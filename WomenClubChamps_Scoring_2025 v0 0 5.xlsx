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lmer\Documents\KW\Keith\Golf\Royal Durban\RDGC Golf\ClubChamps\2025 club champs\"/>
    </mc:Choice>
  </mc:AlternateContent>
  <xr:revisionPtr revIDLastSave="524" documentId="13_ncr:1_{E58FA635-9626-42E8-87D3-17EE3A8E4981}" xr6:coauthVersionLast="47" xr6:coauthVersionMax="47" xr10:uidLastSave="{C920D6BA-A0E0-4042-9B83-BD1D4EEBBC48}"/>
  <bookViews>
    <workbookView xWindow="-108" yWindow="-108" windowWidth="23256" windowHeight="12456" tabRatio="586" firstSheet="6" activeTab="8" xr2:uid="{00000000-000D-0000-FFFF-FFFF00000000}"/>
  </bookViews>
  <sheets>
    <sheet name="Rules" sheetId="14" r:id="rId1"/>
    <sheet name="Players" sheetId="22" r:id="rId2"/>
    <sheet name="Eclectic A" sheetId="18" state="hidden" r:id="rId3"/>
    <sheet name="Eclectic B" sheetId="20" r:id="rId4"/>
    <sheet name="Eclectic C" sheetId="21" r:id="rId5"/>
    <sheet name="A Div" sheetId="8" state="hidden" r:id="rId6"/>
    <sheet name="B Div" sheetId="16" r:id="rId7"/>
    <sheet name="C Div" sheetId="17" r:id="rId8"/>
    <sheet name="RESULTS" sheetId="19" r:id="rId9"/>
  </sheets>
  <definedNames>
    <definedName name="_xlnm._FilterDatabase" localSheetId="5" hidden="1">'A Div'!$A$4:$BJ$104</definedName>
    <definedName name="_xlnm._FilterDatabase" localSheetId="6" hidden="1">'B Div'!$A$4:$BK$104</definedName>
    <definedName name="_xlnm._FilterDatabase" localSheetId="7" hidden="1">'C Div'!$A$4:$BK$104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8" l="1"/>
  <c r="B6" i="8"/>
  <c r="C6" i="8"/>
  <c r="A7" i="8"/>
  <c r="B7" i="8"/>
  <c r="C7" i="8"/>
  <c r="A8" i="8"/>
  <c r="B8" i="8"/>
  <c r="C8" i="8"/>
  <c r="A9" i="8"/>
  <c r="B9" i="8"/>
  <c r="C9" i="8"/>
  <c r="A10" i="8"/>
  <c r="B10" i="8"/>
  <c r="C10" i="8"/>
  <c r="A11" i="8"/>
  <c r="B11" i="8"/>
  <c r="C11" i="8"/>
  <c r="A12" i="8"/>
  <c r="B12" i="8"/>
  <c r="C12" i="8"/>
  <c r="A13" i="8"/>
  <c r="B13" i="8"/>
  <c r="C13" i="8"/>
  <c r="A14" i="8"/>
  <c r="B14" i="8"/>
  <c r="C14" i="8"/>
  <c r="A15" i="8"/>
  <c r="B15" i="8"/>
  <c r="C15" i="8"/>
  <c r="A16" i="8"/>
  <c r="B16" i="8"/>
  <c r="C16" i="8"/>
  <c r="A17" i="8"/>
  <c r="B17" i="8"/>
  <c r="C17" i="8"/>
  <c r="A18" i="8"/>
  <c r="B18" i="8"/>
  <c r="C18" i="8"/>
  <c r="A19" i="8"/>
  <c r="B19" i="8"/>
  <c r="C19" i="8"/>
  <c r="A20" i="8"/>
  <c r="B20" i="8"/>
  <c r="C20" i="8"/>
  <c r="A21" i="8"/>
  <c r="B21" i="8"/>
  <c r="C21" i="8"/>
  <c r="A22" i="8"/>
  <c r="B22" i="8"/>
  <c r="C22" i="8"/>
  <c r="A23" i="8"/>
  <c r="B23" i="8"/>
  <c r="C23" i="8"/>
  <c r="A24" i="8"/>
  <c r="B24" i="8"/>
  <c r="C24" i="8"/>
  <c r="A25" i="8"/>
  <c r="B25" i="8"/>
  <c r="C25" i="8"/>
  <c r="A26" i="8"/>
  <c r="B26" i="8"/>
  <c r="C26" i="8"/>
  <c r="A27" i="8"/>
  <c r="B27" i="8"/>
  <c r="C27" i="8"/>
  <c r="A28" i="8"/>
  <c r="B28" i="8"/>
  <c r="C28" i="8"/>
  <c r="A29" i="8"/>
  <c r="B29" i="8"/>
  <c r="C29" i="8"/>
  <c r="A30" i="8"/>
  <c r="B30" i="8"/>
  <c r="C30" i="8"/>
  <c r="A31" i="8"/>
  <c r="B31" i="8"/>
  <c r="C31" i="8"/>
  <c r="A32" i="8"/>
  <c r="B32" i="8"/>
  <c r="C32" i="8"/>
  <c r="A33" i="8"/>
  <c r="B33" i="8"/>
  <c r="C33" i="8"/>
  <c r="A34" i="8"/>
  <c r="B34" i="8"/>
  <c r="C34" i="8"/>
  <c r="A35" i="8"/>
  <c r="B35" i="8"/>
  <c r="C35" i="8"/>
  <c r="A36" i="8"/>
  <c r="B36" i="8"/>
  <c r="C36" i="8"/>
  <c r="A37" i="8"/>
  <c r="B37" i="8"/>
  <c r="C37" i="8"/>
  <c r="A38" i="8"/>
  <c r="B38" i="8"/>
  <c r="C38" i="8"/>
  <c r="A39" i="8"/>
  <c r="B39" i="8"/>
  <c r="C39" i="8"/>
  <c r="A40" i="8"/>
  <c r="B40" i="8"/>
  <c r="C40" i="8"/>
  <c r="A41" i="8"/>
  <c r="B41" i="8"/>
  <c r="C41" i="8"/>
  <c r="A42" i="8"/>
  <c r="B42" i="8"/>
  <c r="C42" i="8"/>
  <c r="A43" i="8"/>
  <c r="B43" i="8"/>
  <c r="C43" i="8"/>
  <c r="A44" i="8"/>
  <c r="B44" i="8"/>
  <c r="C44" i="8"/>
  <c r="A45" i="8"/>
  <c r="B45" i="8"/>
  <c r="C45" i="8"/>
  <c r="A46" i="8"/>
  <c r="B46" i="8"/>
  <c r="C46" i="8"/>
  <c r="A47" i="8"/>
  <c r="B47" i="8"/>
  <c r="C47" i="8"/>
  <c r="A48" i="8"/>
  <c r="B48" i="8"/>
  <c r="C48" i="8"/>
  <c r="A49" i="8"/>
  <c r="B49" i="8"/>
  <c r="C49" i="8"/>
  <c r="A50" i="8"/>
  <c r="B50" i="8"/>
  <c r="C50" i="8"/>
  <c r="A51" i="8"/>
  <c r="B51" i="8"/>
  <c r="C51" i="8"/>
  <c r="A52" i="8"/>
  <c r="B52" i="8"/>
  <c r="C52" i="8"/>
  <c r="A53" i="8"/>
  <c r="B53" i="8"/>
  <c r="C53" i="8"/>
  <c r="A54" i="8"/>
  <c r="B54" i="8"/>
  <c r="C54" i="8"/>
  <c r="A55" i="8"/>
  <c r="B55" i="8"/>
  <c r="C55" i="8"/>
  <c r="A56" i="8"/>
  <c r="B56" i="8"/>
  <c r="C56" i="8"/>
  <c r="A57" i="8"/>
  <c r="B57" i="8"/>
  <c r="C57" i="8"/>
  <c r="A58" i="8"/>
  <c r="B58" i="8"/>
  <c r="C58" i="8"/>
  <c r="A59" i="8"/>
  <c r="B59" i="8"/>
  <c r="C59" i="8"/>
  <c r="A60" i="8"/>
  <c r="B60" i="8"/>
  <c r="C60" i="8"/>
  <c r="A61" i="8"/>
  <c r="B61" i="8"/>
  <c r="C61" i="8"/>
  <c r="A62" i="8"/>
  <c r="B62" i="8"/>
  <c r="C62" i="8"/>
  <c r="A63" i="8"/>
  <c r="B63" i="8"/>
  <c r="C63" i="8"/>
  <c r="A64" i="8"/>
  <c r="B64" i="8"/>
  <c r="C64" i="8"/>
  <c r="A65" i="8"/>
  <c r="B65" i="8"/>
  <c r="C65" i="8"/>
  <c r="A66" i="8"/>
  <c r="B66" i="8"/>
  <c r="C66" i="8"/>
  <c r="A67" i="8"/>
  <c r="B67" i="8"/>
  <c r="C67" i="8"/>
  <c r="A68" i="8"/>
  <c r="B68" i="8"/>
  <c r="C68" i="8"/>
  <c r="A69" i="8"/>
  <c r="B69" i="8"/>
  <c r="C69" i="8"/>
  <c r="A70" i="8"/>
  <c r="B70" i="8"/>
  <c r="C70" i="8"/>
  <c r="A71" i="8"/>
  <c r="B71" i="8"/>
  <c r="C71" i="8"/>
  <c r="A72" i="8"/>
  <c r="B72" i="8"/>
  <c r="C72" i="8"/>
  <c r="A73" i="8"/>
  <c r="B73" i="8"/>
  <c r="C73" i="8"/>
  <c r="A74" i="8"/>
  <c r="B74" i="8"/>
  <c r="C74" i="8"/>
  <c r="A75" i="8"/>
  <c r="B75" i="8"/>
  <c r="C75" i="8"/>
  <c r="A76" i="8"/>
  <c r="B76" i="8"/>
  <c r="C76" i="8"/>
  <c r="A77" i="8"/>
  <c r="B77" i="8"/>
  <c r="C77" i="8"/>
  <c r="A78" i="8"/>
  <c r="B78" i="8"/>
  <c r="C78" i="8"/>
  <c r="A79" i="8"/>
  <c r="B79" i="8"/>
  <c r="C79" i="8"/>
  <c r="A80" i="8"/>
  <c r="B80" i="8"/>
  <c r="C80" i="8"/>
  <c r="A81" i="8"/>
  <c r="B81" i="8"/>
  <c r="C81" i="8"/>
  <c r="A82" i="8"/>
  <c r="B82" i="8"/>
  <c r="C82" i="8"/>
  <c r="A83" i="8"/>
  <c r="B83" i="8"/>
  <c r="C83" i="8"/>
  <c r="A84" i="8"/>
  <c r="B84" i="8"/>
  <c r="C84" i="8"/>
  <c r="A85" i="8"/>
  <c r="B85" i="8"/>
  <c r="C85" i="8"/>
  <c r="A86" i="8"/>
  <c r="B86" i="8"/>
  <c r="C86" i="8"/>
  <c r="A87" i="8"/>
  <c r="B87" i="8"/>
  <c r="C87" i="8"/>
  <c r="A88" i="8"/>
  <c r="B88" i="8"/>
  <c r="C88" i="8"/>
  <c r="A89" i="8"/>
  <c r="B89" i="8"/>
  <c r="C89" i="8"/>
  <c r="A90" i="8"/>
  <c r="B90" i="8"/>
  <c r="C90" i="8"/>
  <c r="A91" i="8"/>
  <c r="B91" i="8"/>
  <c r="C91" i="8"/>
  <c r="A92" i="8"/>
  <c r="B92" i="8"/>
  <c r="C92" i="8"/>
  <c r="A93" i="8"/>
  <c r="B93" i="8"/>
  <c r="C93" i="8"/>
  <c r="A94" i="8"/>
  <c r="B94" i="8"/>
  <c r="C94" i="8"/>
  <c r="A95" i="8"/>
  <c r="B95" i="8"/>
  <c r="C95" i="8"/>
  <c r="A96" i="8"/>
  <c r="B96" i="8"/>
  <c r="C96" i="8"/>
  <c r="A97" i="8"/>
  <c r="B97" i="8"/>
  <c r="C97" i="8"/>
  <c r="A98" i="8"/>
  <c r="B98" i="8"/>
  <c r="C98" i="8"/>
  <c r="A99" i="8"/>
  <c r="B99" i="8"/>
  <c r="C99" i="8"/>
  <c r="A100" i="8"/>
  <c r="B100" i="8"/>
  <c r="C100" i="8"/>
  <c r="A101" i="8"/>
  <c r="B101" i="8"/>
  <c r="C101" i="8"/>
  <c r="A102" i="8"/>
  <c r="B102" i="8"/>
  <c r="C102" i="8"/>
  <c r="A103" i="8"/>
  <c r="B103" i="8"/>
  <c r="C103" i="8"/>
  <c r="A104" i="8"/>
  <c r="B104" i="8"/>
  <c r="C104" i="8"/>
  <c r="C5" i="8"/>
  <c r="B5" i="8"/>
  <c r="A5" i="8"/>
  <c r="BT21" i="18"/>
  <c r="BT22" i="18"/>
  <c r="BT23" i="18"/>
  <c r="BT24" i="18"/>
  <c r="BT25" i="18"/>
  <c r="BT26" i="18"/>
  <c r="BT27" i="18"/>
  <c r="BT28" i="18"/>
  <c r="BT29" i="18"/>
  <c r="BT30" i="18"/>
  <c r="BT31" i="18"/>
  <c r="BT32" i="18"/>
  <c r="BT33" i="18"/>
  <c r="BT34" i="18"/>
  <c r="BT35" i="18"/>
  <c r="BT36" i="18"/>
  <c r="BT37" i="18"/>
  <c r="BT38" i="18"/>
  <c r="BT39" i="18"/>
  <c r="BT40" i="18"/>
  <c r="BT41" i="18"/>
  <c r="BT42" i="18"/>
  <c r="BT43" i="18"/>
  <c r="BT44" i="18"/>
  <c r="BT45" i="18"/>
  <c r="BT46" i="18"/>
  <c r="BT47" i="18"/>
  <c r="BT48" i="18"/>
  <c r="BT49" i="18"/>
  <c r="BT50" i="18"/>
  <c r="BT51" i="18"/>
  <c r="BT52" i="18"/>
  <c r="BT53" i="18"/>
  <c r="BT54" i="18"/>
  <c r="BT55" i="18"/>
  <c r="BT56" i="18"/>
  <c r="BT57" i="18"/>
  <c r="BT58" i="18"/>
  <c r="BT59" i="18"/>
  <c r="BT60" i="18"/>
  <c r="BT61" i="18"/>
  <c r="BT62" i="18"/>
  <c r="BT63" i="18"/>
  <c r="BT64" i="18"/>
  <c r="BT65" i="18"/>
  <c r="BT66" i="18"/>
  <c r="BT67" i="18"/>
  <c r="BT68" i="18"/>
  <c r="BT69" i="18"/>
  <c r="BT70" i="18"/>
  <c r="BT71" i="18"/>
  <c r="BT72" i="18"/>
  <c r="BT73" i="18"/>
  <c r="BT74" i="18"/>
  <c r="BT75" i="18"/>
  <c r="BT76" i="18"/>
  <c r="BT77" i="18"/>
  <c r="BT78" i="18"/>
  <c r="BT79" i="18"/>
  <c r="BT80" i="18"/>
  <c r="BT81" i="18"/>
  <c r="BT82" i="18"/>
  <c r="BT83" i="18"/>
  <c r="BT84" i="18"/>
  <c r="BT85" i="18"/>
  <c r="BT86" i="18"/>
  <c r="BT87" i="18"/>
  <c r="BT88" i="18"/>
  <c r="BT89" i="18"/>
  <c r="BT90" i="18"/>
  <c r="BT91" i="18"/>
  <c r="BT92" i="18"/>
  <c r="BT93" i="18"/>
  <c r="BT94" i="18"/>
  <c r="BT95" i="18"/>
  <c r="BT96" i="18"/>
  <c r="BT97" i="18"/>
  <c r="BT98" i="18"/>
  <c r="BT99" i="18"/>
  <c r="BT100" i="18"/>
  <c r="BT101" i="18"/>
  <c r="BT102" i="18"/>
  <c r="BT103" i="18"/>
  <c r="BT104" i="18"/>
  <c r="BT105" i="18"/>
  <c r="BT106" i="18"/>
  <c r="BT107" i="18"/>
  <c r="BT108" i="18"/>
  <c r="BT109" i="18"/>
  <c r="BT110" i="18"/>
  <c r="BT111" i="18"/>
  <c r="BT112" i="18"/>
  <c r="BT113" i="18"/>
  <c r="BT114" i="18"/>
  <c r="BT115" i="18"/>
  <c r="BT116" i="18"/>
  <c r="BT117" i="18"/>
  <c r="BT118" i="18"/>
  <c r="BT119" i="18"/>
  <c r="BT120" i="18"/>
  <c r="BT121" i="18"/>
  <c r="BT122" i="18"/>
  <c r="BT123" i="18"/>
  <c r="BT124" i="18"/>
  <c r="BT125" i="18"/>
  <c r="BT126" i="18"/>
  <c r="BT127" i="18"/>
  <c r="BT128" i="18"/>
  <c r="BT129" i="18"/>
  <c r="BT130" i="18"/>
  <c r="BT131" i="18"/>
  <c r="BT132" i="18"/>
  <c r="BT133" i="18"/>
  <c r="BT134" i="18"/>
  <c r="BT135" i="18"/>
  <c r="BT136" i="18"/>
  <c r="BT137" i="18"/>
  <c r="BT138" i="18"/>
  <c r="BT139" i="18"/>
  <c r="BT140" i="18"/>
  <c r="BT141" i="18"/>
  <c r="BT142" i="18"/>
  <c r="BT143" i="18"/>
  <c r="BT144" i="18"/>
  <c r="BT145" i="18"/>
  <c r="BT146" i="18"/>
  <c r="BT147" i="18"/>
  <c r="BT148" i="18"/>
  <c r="BT149" i="18"/>
  <c r="BT150" i="18"/>
  <c r="BT151" i="18"/>
  <c r="BT152" i="18"/>
  <c r="BT153" i="18"/>
  <c r="BT154" i="18"/>
  <c r="BT155" i="18"/>
  <c r="BT156" i="18"/>
  <c r="BT157" i="18"/>
  <c r="BT158" i="18"/>
  <c r="BT159" i="18"/>
  <c r="BT160" i="18"/>
  <c r="BT161" i="18"/>
  <c r="BT162" i="18"/>
  <c r="BT163" i="18"/>
  <c r="BT164" i="18"/>
  <c r="BT165" i="18"/>
  <c r="BT166" i="18"/>
  <c r="BT167" i="18"/>
  <c r="BT168" i="18"/>
  <c r="BT169" i="18"/>
  <c r="BT170" i="18"/>
  <c r="BT171" i="18"/>
  <c r="BT172" i="18"/>
  <c r="BT173" i="18"/>
  <c r="BT174" i="18"/>
  <c r="BT175" i="18"/>
  <c r="BT176" i="18"/>
  <c r="BT177" i="18"/>
  <c r="BT178" i="18"/>
  <c r="BT179" i="18"/>
  <c r="BT180" i="18"/>
  <c r="BT181" i="18"/>
  <c r="BT182" i="18"/>
  <c r="BT183" i="18"/>
  <c r="BT184" i="18"/>
  <c r="BT185" i="18"/>
  <c r="BT186" i="18"/>
  <c r="BT187" i="18"/>
  <c r="BT188" i="18"/>
  <c r="BT189" i="18"/>
  <c r="BT190" i="18"/>
  <c r="BT191" i="18"/>
  <c r="BT192" i="18"/>
  <c r="BT193" i="18"/>
  <c r="BT194" i="18"/>
  <c r="BT195" i="18"/>
  <c r="BT196" i="18"/>
  <c r="BT197" i="18"/>
  <c r="BT198" i="18"/>
  <c r="BT199" i="18"/>
  <c r="BT200" i="18"/>
  <c r="BT201" i="18"/>
  <c r="BT202" i="18"/>
  <c r="BT203" i="18"/>
  <c r="BT204" i="18"/>
  <c r="BT205" i="18"/>
  <c r="BT206" i="18"/>
  <c r="BT207" i="18"/>
  <c r="BT208" i="18"/>
  <c r="BT209" i="18"/>
  <c r="BT210" i="18"/>
  <c r="BT211" i="18"/>
  <c r="BT212" i="18"/>
  <c r="BT213" i="18"/>
  <c r="BT214" i="18"/>
  <c r="BT215" i="18"/>
  <c r="A6" i="16"/>
  <c r="B6" i="16"/>
  <c r="C6" i="16"/>
  <c r="D6" i="16"/>
  <c r="E6" i="16"/>
  <c r="F6" i="16"/>
  <c r="A7" i="16"/>
  <c r="B7" i="16"/>
  <c r="C7" i="16"/>
  <c r="D7" i="16"/>
  <c r="E7" i="16"/>
  <c r="F7" i="16"/>
  <c r="A8" i="16"/>
  <c r="B8" i="16"/>
  <c r="C8" i="16"/>
  <c r="D8" i="16"/>
  <c r="E8" i="16"/>
  <c r="F8" i="16"/>
  <c r="A9" i="16"/>
  <c r="B9" i="16"/>
  <c r="C9" i="16"/>
  <c r="D9" i="16"/>
  <c r="E9" i="16"/>
  <c r="F9" i="16"/>
  <c r="A10" i="16"/>
  <c r="B10" i="16"/>
  <c r="C10" i="16"/>
  <c r="D10" i="16"/>
  <c r="E10" i="16"/>
  <c r="F10" i="16"/>
  <c r="A11" i="16"/>
  <c r="B11" i="16"/>
  <c r="C11" i="16"/>
  <c r="D11" i="16"/>
  <c r="E11" i="16"/>
  <c r="F11" i="16"/>
  <c r="A12" i="16"/>
  <c r="B12" i="16"/>
  <c r="C12" i="16"/>
  <c r="D12" i="16"/>
  <c r="E12" i="16"/>
  <c r="F12" i="16"/>
  <c r="A13" i="16"/>
  <c r="B13" i="16"/>
  <c r="C13" i="16"/>
  <c r="D13" i="16"/>
  <c r="E13" i="16"/>
  <c r="F13" i="16"/>
  <c r="A14" i="16"/>
  <c r="B14" i="16"/>
  <c r="C14" i="16"/>
  <c r="D14" i="16"/>
  <c r="E14" i="16"/>
  <c r="F14" i="16"/>
  <c r="A15" i="16"/>
  <c r="B15" i="16"/>
  <c r="C15" i="16"/>
  <c r="D15" i="16"/>
  <c r="E15" i="16"/>
  <c r="F15" i="16"/>
  <c r="A16" i="16"/>
  <c r="B16" i="16"/>
  <c r="C16" i="16"/>
  <c r="D16" i="16"/>
  <c r="E16" i="16"/>
  <c r="F16" i="16"/>
  <c r="A17" i="16"/>
  <c r="B17" i="16"/>
  <c r="C17" i="16"/>
  <c r="D17" i="16"/>
  <c r="E17" i="16"/>
  <c r="F17" i="16"/>
  <c r="A18" i="16"/>
  <c r="B18" i="16"/>
  <c r="C18" i="16"/>
  <c r="D18" i="16"/>
  <c r="E18" i="16"/>
  <c r="F18" i="16"/>
  <c r="A19" i="16"/>
  <c r="B19" i="16"/>
  <c r="C19" i="16"/>
  <c r="D19" i="16"/>
  <c r="E19" i="16"/>
  <c r="F19" i="16"/>
  <c r="A20" i="16"/>
  <c r="B20" i="16"/>
  <c r="C20" i="16"/>
  <c r="D20" i="16"/>
  <c r="E20" i="16"/>
  <c r="F20" i="16"/>
  <c r="A21" i="16"/>
  <c r="B21" i="16"/>
  <c r="C21" i="16"/>
  <c r="D21" i="16"/>
  <c r="E21" i="16"/>
  <c r="F21" i="16"/>
  <c r="A22" i="16"/>
  <c r="B22" i="16"/>
  <c r="C22" i="16"/>
  <c r="D22" i="16"/>
  <c r="E22" i="16"/>
  <c r="F22" i="16"/>
  <c r="A23" i="16"/>
  <c r="B23" i="16"/>
  <c r="C23" i="16"/>
  <c r="D23" i="16"/>
  <c r="E23" i="16"/>
  <c r="F23" i="16"/>
  <c r="A24" i="16"/>
  <c r="B24" i="16"/>
  <c r="C24" i="16"/>
  <c r="D24" i="16"/>
  <c r="E24" i="16"/>
  <c r="F24" i="16"/>
  <c r="A25" i="16"/>
  <c r="B25" i="16"/>
  <c r="C25" i="16"/>
  <c r="D25" i="16"/>
  <c r="E25" i="16"/>
  <c r="F25" i="16"/>
  <c r="A26" i="16"/>
  <c r="B26" i="16"/>
  <c r="C26" i="16"/>
  <c r="D26" i="16"/>
  <c r="E26" i="16"/>
  <c r="F26" i="16"/>
  <c r="A27" i="16"/>
  <c r="B27" i="16"/>
  <c r="C27" i="16"/>
  <c r="D27" i="16"/>
  <c r="E27" i="16"/>
  <c r="F27" i="16"/>
  <c r="A28" i="16"/>
  <c r="B28" i="16"/>
  <c r="C28" i="16"/>
  <c r="D28" i="16"/>
  <c r="E28" i="16"/>
  <c r="F28" i="16"/>
  <c r="A29" i="16"/>
  <c r="B29" i="16"/>
  <c r="C29" i="16"/>
  <c r="D29" i="16"/>
  <c r="E29" i="16"/>
  <c r="F29" i="16"/>
  <c r="A30" i="16"/>
  <c r="B30" i="16"/>
  <c r="C30" i="16"/>
  <c r="D30" i="16"/>
  <c r="E30" i="16"/>
  <c r="F30" i="16"/>
  <c r="A31" i="16"/>
  <c r="B31" i="16"/>
  <c r="C31" i="16"/>
  <c r="D31" i="16"/>
  <c r="E31" i="16"/>
  <c r="F31" i="16"/>
  <c r="A32" i="16"/>
  <c r="B32" i="16"/>
  <c r="C32" i="16"/>
  <c r="D32" i="16"/>
  <c r="E32" i="16"/>
  <c r="F32" i="16"/>
  <c r="A33" i="16"/>
  <c r="B33" i="16"/>
  <c r="C33" i="16"/>
  <c r="D33" i="16"/>
  <c r="E33" i="16"/>
  <c r="F33" i="16"/>
  <c r="A34" i="16"/>
  <c r="B34" i="16"/>
  <c r="C34" i="16"/>
  <c r="D34" i="16"/>
  <c r="E34" i="16"/>
  <c r="F34" i="16"/>
  <c r="A35" i="16"/>
  <c r="B35" i="16"/>
  <c r="C35" i="16"/>
  <c r="D35" i="16"/>
  <c r="E35" i="16"/>
  <c r="F35" i="16"/>
  <c r="A36" i="16"/>
  <c r="B36" i="16"/>
  <c r="C36" i="16"/>
  <c r="D36" i="16"/>
  <c r="E36" i="16"/>
  <c r="F36" i="16"/>
  <c r="A37" i="16"/>
  <c r="B37" i="16"/>
  <c r="C37" i="16"/>
  <c r="D37" i="16"/>
  <c r="E37" i="16"/>
  <c r="F37" i="16"/>
  <c r="A38" i="16"/>
  <c r="B38" i="16"/>
  <c r="C38" i="16"/>
  <c r="D38" i="16"/>
  <c r="E38" i="16"/>
  <c r="F38" i="16"/>
  <c r="A39" i="16"/>
  <c r="B39" i="16"/>
  <c r="C39" i="16"/>
  <c r="D39" i="16"/>
  <c r="E39" i="16"/>
  <c r="F39" i="16"/>
  <c r="A40" i="16"/>
  <c r="B40" i="16"/>
  <c r="C40" i="16"/>
  <c r="D40" i="16"/>
  <c r="E40" i="16"/>
  <c r="F40" i="16"/>
  <c r="A41" i="16"/>
  <c r="B41" i="16"/>
  <c r="C41" i="16"/>
  <c r="D41" i="16"/>
  <c r="E41" i="16"/>
  <c r="F41" i="16"/>
  <c r="A42" i="16"/>
  <c r="B42" i="16"/>
  <c r="C42" i="16"/>
  <c r="D42" i="16"/>
  <c r="E42" i="16"/>
  <c r="F42" i="16"/>
  <c r="A43" i="16"/>
  <c r="B43" i="16"/>
  <c r="C43" i="16"/>
  <c r="D43" i="16"/>
  <c r="E43" i="16"/>
  <c r="F43" i="16"/>
  <c r="A44" i="16"/>
  <c r="B44" i="16"/>
  <c r="C44" i="16"/>
  <c r="D44" i="16"/>
  <c r="E44" i="16"/>
  <c r="F44" i="16"/>
  <c r="A45" i="16"/>
  <c r="B45" i="16"/>
  <c r="C45" i="16"/>
  <c r="D45" i="16"/>
  <c r="E45" i="16"/>
  <c r="F45" i="16"/>
  <c r="A46" i="16"/>
  <c r="B46" i="16"/>
  <c r="C46" i="16"/>
  <c r="D46" i="16"/>
  <c r="E46" i="16"/>
  <c r="F46" i="16"/>
  <c r="A47" i="16"/>
  <c r="B47" i="16"/>
  <c r="C47" i="16"/>
  <c r="D47" i="16"/>
  <c r="E47" i="16"/>
  <c r="F47" i="16"/>
  <c r="A48" i="16"/>
  <c r="B48" i="16"/>
  <c r="C48" i="16"/>
  <c r="D48" i="16"/>
  <c r="E48" i="16"/>
  <c r="F48" i="16"/>
  <c r="A49" i="16"/>
  <c r="B49" i="16"/>
  <c r="C49" i="16"/>
  <c r="D49" i="16"/>
  <c r="E49" i="16"/>
  <c r="F49" i="16"/>
  <c r="A50" i="16"/>
  <c r="B50" i="16"/>
  <c r="C50" i="16"/>
  <c r="D50" i="16"/>
  <c r="E50" i="16"/>
  <c r="F50" i="16"/>
  <c r="A51" i="16"/>
  <c r="B51" i="16"/>
  <c r="C51" i="16"/>
  <c r="D51" i="16"/>
  <c r="E51" i="16"/>
  <c r="F51" i="16"/>
  <c r="A52" i="16"/>
  <c r="B52" i="16"/>
  <c r="C52" i="16"/>
  <c r="D52" i="16"/>
  <c r="E52" i="16"/>
  <c r="F52" i="16"/>
  <c r="A53" i="16"/>
  <c r="B53" i="16"/>
  <c r="C53" i="16"/>
  <c r="D53" i="16"/>
  <c r="E53" i="16"/>
  <c r="F53" i="16"/>
  <c r="A54" i="16"/>
  <c r="B54" i="16"/>
  <c r="C54" i="16"/>
  <c r="D54" i="16"/>
  <c r="E54" i="16"/>
  <c r="F54" i="16"/>
  <c r="A55" i="16"/>
  <c r="B55" i="16"/>
  <c r="C55" i="16"/>
  <c r="D55" i="16"/>
  <c r="E55" i="16"/>
  <c r="F55" i="16"/>
  <c r="A56" i="16"/>
  <c r="B56" i="16"/>
  <c r="C56" i="16"/>
  <c r="D56" i="16"/>
  <c r="E56" i="16"/>
  <c r="F56" i="16"/>
  <c r="A57" i="16"/>
  <c r="B57" i="16"/>
  <c r="C57" i="16"/>
  <c r="D57" i="16"/>
  <c r="E57" i="16"/>
  <c r="F57" i="16"/>
  <c r="A58" i="16"/>
  <c r="B58" i="16"/>
  <c r="C58" i="16"/>
  <c r="D58" i="16"/>
  <c r="E58" i="16"/>
  <c r="F58" i="16"/>
  <c r="A59" i="16"/>
  <c r="B59" i="16"/>
  <c r="C59" i="16"/>
  <c r="D59" i="16"/>
  <c r="E59" i="16"/>
  <c r="F59" i="16"/>
  <c r="A60" i="16"/>
  <c r="B60" i="16"/>
  <c r="C60" i="16"/>
  <c r="D60" i="16"/>
  <c r="E60" i="16"/>
  <c r="F60" i="16"/>
  <c r="A61" i="16"/>
  <c r="B61" i="16"/>
  <c r="C61" i="16"/>
  <c r="D61" i="16"/>
  <c r="E61" i="16"/>
  <c r="F61" i="16"/>
  <c r="A62" i="16"/>
  <c r="B62" i="16"/>
  <c r="C62" i="16"/>
  <c r="D62" i="16"/>
  <c r="E62" i="16"/>
  <c r="F62" i="16"/>
  <c r="A63" i="16"/>
  <c r="B63" i="16"/>
  <c r="C63" i="16"/>
  <c r="D63" i="16"/>
  <c r="E63" i="16"/>
  <c r="F63" i="16"/>
  <c r="A64" i="16"/>
  <c r="B64" i="16"/>
  <c r="C64" i="16"/>
  <c r="D64" i="16"/>
  <c r="E64" i="16"/>
  <c r="F64" i="16"/>
  <c r="A65" i="16"/>
  <c r="B65" i="16"/>
  <c r="C65" i="16"/>
  <c r="D65" i="16"/>
  <c r="E65" i="16"/>
  <c r="F65" i="16"/>
  <c r="A66" i="16"/>
  <c r="B66" i="16"/>
  <c r="C66" i="16"/>
  <c r="D66" i="16"/>
  <c r="E66" i="16"/>
  <c r="F66" i="16"/>
  <c r="A67" i="16"/>
  <c r="B67" i="16"/>
  <c r="C67" i="16"/>
  <c r="D67" i="16"/>
  <c r="E67" i="16"/>
  <c r="F67" i="16"/>
  <c r="A68" i="16"/>
  <c r="B68" i="16"/>
  <c r="C68" i="16"/>
  <c r="D68" i="16"/>
  <c r="E68" i="16"/>
  <c r="F68" i="16"/>
  <c r="A69" i="16"/>
  <c r="B69" i="16"/>
  <c r="C69" i="16"/>
  <c r="D69" i="16"/>
  <c r="E69" i="16"/>
  <c r="F69" i="16"/>
  <c r="A70" i="16"/>
  <c r="B70" i="16"/>
  <c r="C70" i="16"/>
  <c r="D70" i="16"/>
  <c r="E70" i="16"/>
  <c r="F70" i="16"/>
  <c r="A71" i="16"/>
  <c r="B71" i="16"/>
  <c r="C71" i="16"/>
  <c r="D71" i="16"/>
  <c r="E71" i="16"/>
  <c r="F71" i="16"/>
  <c r="A72" i="16"/>
  <c r="B72" i="16"/>
  <c r="C72" i="16"/>
  <c r="D72" i="16"/>
  <c r="E72" i="16"/>
  <c r="F72" i="16"/>
  <c r="A73" i="16"/>
  <c r="B73" i="16"/>
  <c r="C73" i="16"/>
  <c r="D73" i="16"/>
  <c r="E73" i="16"/>
  <c r="F73" i="16"/>
  <c r="A74" i="16"/>
  <c r="B74" i="16"/>
  <c r="C74" i="16"/>
  <c r="D74" i="16"/>
  <c r="E74" i="16"/>
  <c r="F74" i="16"/>
  <c r="A75" i="16"/>
  <c r="B75" i="16"/>
  <c r="C75" i="16"/>
  <c r="D75" i="16"/>
  <c r="E75" i="16"/>
  <c r="F75" i="16"/>
  <c r="A76" i="16"/>
  <c r="B76" i="16"/>
  <c r="C76" i="16"/>
  <c r="D76" i="16"/>
  <c r="E76" i="16"/>
  <c r="F76" i="16"/>
  <c r="A77" i="16"/>
  <c r="B77" i="16"/>
  <c r="C77" i="16"/>
  <c r="D77" i="16"/>
  <c r="E77" i="16"/>
  <c r="F77" i="16"/>
  <c r="A78" i="16"/>
  <c r="B78" i="16"/>
  <c r="C78" i="16"/>
  <c r="D78" i="16"/>
  <c r="E78" i="16"/>
  <c r="F78" i="16"/>
  <c r="A79" i="16"/>
  <c r="B79" i="16"/>
  <c r="C79" i="16"/>
  <c r="D79" i="16"/>
  <c r="E79" i="16"/>
  <c r="F79" i="16"/>
  <c r="A80" i="16"/>
  <c r="B80" i="16"/>
  <c r="C80" i="16"/>
  <c r="D80" i="16"/>
  <c r="E80" i="16"/>
  <c r="F80" i="16"/>
  <c r="A81" i="16"/>
  <c r="B81" i="16"/>
  <c r="C81" i="16"/>
  <c r="D81" i="16"/>
  <c r="E81" i="16"/>
  <c r="F81" i="16"/>
  <c r="A82" i="16"/>
  <c r="B82" i="16"/>
  <c r="C82" i="16"/>
  <c r="D82" i="16"/>
  <c r="E82" i="16"/>
  <c r="F82" i="16"/>
  <c r="A83" i="16"/>
  <c r="B83" i="16"/>
  <c r="C83" i="16"/>
  <c r="D83" i="16"/>
  <c r="E83" i="16"/>
  <c r="F83" i="16"/>
  <c r="A84" i="16"/>
  <c r="B84" i="16"/>
  <c r="C84" i="16"/>
  <c r="D84" i="16"/>
  <c r="E84" i="16"/>
  <c r="F84" i="16"/>
  <c r="A85" i="16"/>
  <c r="B85" i="16"/>
  <c r="C85" i="16"/>
  <c r="D85" i="16"/>
  <c r="E85" i="16"/>
  <c r="F85" i="16"/>
  <c r="A86" i="16"/>
  <c r="B86" i="16"/>
  <c r="C86" i="16"/>
  <c r="D86" i="16"/>
  <c r="E86" i="16"/>
  <c r="F86" i="16"/>
  <c r="A87" i="16"/>
  <c r="B87" i="16"/>
  <c r="C87" i="16"/>
  <c r="D87" i="16"/>
  <c r="E87" i="16"/>
  <c r="F87" i="16"/>
  <c r="A88" i="16"/>
  <c r="B88" i="16"/>
  <c r="C88" i="16"/>
  <c r="D88" i="16"/>
  <c r="E88" i="16"/>
  <c r="F88" i="16"/>
  <c r="A89" i="16"/>
  <c r="B89" i="16"/>
  <c r="C89" i="16"/>
  <c r="D89" i="16"/>
  <c r="E89" i="16"/>
  <c r="F89" i="16"/>
  <c r="A90" i="16"/>
  <c r="B90" i="16"/>
  <c r="C90" i="16"/>
  <c r="D90" i="16"/>
  <c r="E90" i="16"/>
  <c r="F90" i="16"/>
  <c r="A91" i="16"/>
  <c r="B91" i="16"/>
  <c r="C91" i="16"/>
  <c r="D91" i="16"/>
  <c r="E91" i="16"/>
  <c r="F91" i="16"/>
  <c r="A92" i="16"/>
  <c r="B92" i="16"/>
  <c r="C92" i="16"/>
  <c r="D92" i="16"/>
  <c r="E92" i="16"/>
  <c r="F92" i="16"/>
  <c r="A93" i="16"/>
  <c r="B93" i="16"/>
  <c r="C93" i="16"/>
  <c r="D93" i="16"/>
  <c r="E93" i="16"/>
  <c r="F93" i="16"/>
  <c r="A94" i="16"/>
  <c r="B94" i="16"/>
  <c r="C94" i="16"/>
  <c r="D94" i="16"/>
  <c r="E94" i="16"/>
  <c r="F94" i="16"/>
  <c r="A95" i="16"/>
  <c r="B95" i="16"/>
  <c r="C95" i="16"/>
  <c r="D95" i="16"/>
  <c r="E95" i="16"/>
  <c r="F95" i="16"/>
  <c r="A96" i="16"/>
  <c r="B96" i="16"/>
  <c r="C96" i="16"/>
  <c r="D96" i="16"/>
  <c r="E96" i="16"/>
  <c r="F96" i="16"/>
  <c r="A97" i="16"/>
  <c r="B97" i="16"/>
  <c r="C97" i="16"/>
  <c r="D97" i="16"/>
  <c r="E97" i="16"/>
  <c r="F97" i="16"/>
  <c r="A98" i="16"/>
  <c r="B98" i="16"/>
  <c r="C98" i="16"/>
  <c r="D98" i="16"/>
  <c r="E98" i="16"/>
  <c r="F98" i="16"/>
  <c r="A99" i="16"/>
  <c r="B99" i="16"/>
  <c r="C99" i="16"/>
  <c r="D99" i="16"/>
  <c r="E99" i="16"/>
  <c r="F99" i="16"/>
  <c r="A100" i="16"/>
  <c r="B100" i="16"/>
  <c r="C100" i="16"/>
  <c r="D100" i="16"/>
  <c r="E100" i="16"/>
  <c r="F100" i="16"/>
  <c r="A101" i="16"/>
  <c r="B101" i="16"/>
  <c r="C101" i="16"/>
  <c r="D101" i="16"/>
  <c r="E101" i="16"/>
  <c r="F101" i="16"/>
  <c r="A102" i="16"/>
  <c r="B102" i="16"/>
  <c r="C102" i="16"/>
  <c r="D102" i="16"/>
  <c r="E102" i="16"/>
  <c r="F102" i="16"/>
  <c r="A103" i="16"/>
  <c r="B103" i="16"/>
  <c r="C103" i="16"/>
  <c r="D103" i="16"/>
  <c r="E103" i="16"/>
  <c r="F103" i="16"/>
  <c r="A104" i="16"/>
  <c r="B104" i="16"/>
  <c r="C104" i="16"/>
  <c r="D104" i="16"/>
  <c r="E104" i="16"/>
  <c r="F104" i="16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5" i="18"/>
  <c r="M6" i="21"/>
  <c r="M7" i="21"/>
  <c r="M8" i="21"/>
  <c r="M9" i="21"/>
  <c r="M10" i="21"/>
  <c r="M11" i="21"/>
  <c r="M12" i="21"/>
  <c r="M13" i="21"/>
  <c r="M14" i="21"/>
  <c r="M15" i="21"/>
  <c r="M16" i="21"/>
  <c r="M17" i="21"/>
  <c r="M18" i="21"/>
  <c r="M19" i="21"/>
  <c r="M20" i="21"/>
  <c r="M21" i="21"/>
  <c r="M5" i="21"/>
  <c r="M5" i="20"/>
  <c r="A17" i="17"/>
  <c r="B17" i="17"/>
  <c r="C17" i="17"/>
  <c r="A18" i="17"/>
  <c r="B18" i="17"/>
  <c r="C18" i="17"/>
  <c r="A19" i="17"/>
  <c r="B19" i="17"/>
  <c r="C19" i="17"/>
  <c r="A20" i="17"/>
  <c r="B20" i="17"/>
  <c r="C20" i="17"/>
  <c r="A21" i="17"/>
  <c r="B21" i="17"/>
  <c r="C21" i="17"/>
  <c r="A22" i="17"/>
  <c r="B22" i="17"/>
  <c r="C22" i="17"/>
  <c r="A23" i="17"/>
  <c r="B23" i="17"/>
  <c r="C23" i="17"/>
  <c r="A24" i="17"/>
  <c r="B24" i="17"/>
  <c r="C24" i="17"/>
  <c r="A25" i="17"/>
  <c r="B25" i="17"/>
  <c r="C25" i="17"/>
  <c r="A26" i="17"/>
  <c r="B26" i="17"/>
  <c r="C26" i="17"/>
  <c r="A27" i="17"/>
  <c r="B27" i="17"/>
  <c r="C27" i="17"/>
  <c r="A28" i="17"/>
  <c r="B28" i="17"/>
  <c r="C28" i="17"/>
  <c r="A29" i="17"/>
  <c r="B29" i="17"/>
  <c r="C29" i="17"/>
  <c r="A30" i="17"/>
  <c r="B30" i="17"/>
  <c r="C30" i="17"/>
  <c r="A31" i="17"/>
  <c r="B31" i="17"/>
  <c r="C31" i="17"/>
  <c r="A32" i="17"/>
  <c r="B32" i="17"/>
  <c r="C32" i="17"/>
  <c r="A33" i="17"/>
  <c r="B33" i="17"/>
  <c r="C33" i="17"/>
  <c r="A34" i="17"/>
  <c r="B34" i="17"/>
  <c r="C34" i="17"/>
  <c r="A35" i="17"/>
  <c r="B35" i="17"/>
  <c r="C35" i="17"/>
  <c r="A36" i="17"/>
  <c r="B36" i="17"/>
  <c r="C36" i="17"/>
  <c r="A37" i="17"/>
  <c r="B37" i="17"/>
  <c r="C37" i="17"/>
  <c r="A38" i="17"/>
  <c r="B38" i="17"/>
  <c r="C38" i="17"/>
  <c r="A39" i="17"/>
  <c r="B39" i="17"/>
  <c r="C39" i="17"/>
  <c r="A40" i="17"/>
  <c r="B40" i="17"/>
  <c r="C40" i="17"/>
  <c r="A41" i="17"/>
  <c r="B41" i="17"/>
  <c r="C41" i="17"/>
  <c r="A42" i="17"/>
  <c r="B42" i="17"/>
  <c r="C42" i="17"/>
  <c r="A43" i="17"/>
  <c r="B43" i="17"/>
  <c r="C43" i="17"/>
  <c r="A44" i="17"/>
  <c r="B44" i="17"/>
  <c r="C44" i="17"/>
  <c r="A45" i="17"/>
  <c r="B45" i="17"/>
  <c r="C45" i="17"/>
  <c r="A46" i="17"/>
  <c r="B46" i="17"/>
  <c r="C46" i="17"/>
  <c r="A47" i="17"/>
  <c r="B47" i="17"/>
  <c r="C47" i="17"/>
  <c r="A48" i="17"/>
  <c r="B48" i="17"/>
  <c r="C48" i="17"/>
  <c r="A49" i="17"/>
  <c r="B49" i="17"/>
  <c r="C49" i="17"/>
  <c r="A50" i="17"/>
  <c r="B50" i="17"/>
  <c r="C50" i="17"/>
  <c r="A51" i="17"/>
  <c r="B51" i="17"/>
  <c r="C51" i="17"/>
  <c r="A52" i="17"/>
  <c r="B52" i="17"/>
  <c r="C52" i="17"/>
  <c r="A53" i="17"/>
  <c r="B53" i="17"/>
  <c r="C53" i="17"/>
  <c r="A54" i="17"/>
  <c r="B54" i="17"/>
  <c r="C54" i="17"/>
  <c r="A55" i="17"/>
  <c r="B55" i="17"/>
  <c r="C55" i="17"/>
  <c r="A56" i="17"/>
  <c r="B56" i="17"/>
  <c r="C56" i="17"/>
  <c r="A57" i="17"/>
  <c r="B57" i="17"/>
  <c r="C57" i="17"/>
  <c r="A58" i="17"/>
  <c r="B58" i="17"/>
  <c r="C58" i="17"/>
  <c r="A59" i="17"/>
  <c r="B59" i="17"/>
  <c r="C59" i="17"/>
  <c r="A60" i="17"/>
  <c r="B60" i="17"/>
  <c r="C60" i="17"/>
  <c r="A61" i="17"/>
  <c r="B61" i="17"/>
  <c r="C61" i="17"/>
  <c r="A62" i="17"/>
  <c r="B62" i="17"/>
  <c r="C62" i="17"/>
  <c r="A63" i="17"/>
  <c r="B63" i="17"/>
  <c r="C63" i="17"/>
  <c r="A64" i="17"/>
  <c r="B64" i="17"/>
  <c r="C64" i="17"/>
  <c r="A65" i="17"/>
  <c r="B65" i="17"/>
  <c r="C65" i="17"/>
  <c r="A66" i="17"/>
  <c r="B66" i="17"/>
  <c r="C66" i="17"/>
  <c r="A67" i="17"/>
  <c r="B67" i="17"/>
  <c r="C67" i="17"/>
  <c r="A68" i="17"/>
  <c r="B68" i="17"/>
  <c r="C68" i="17"/>
  <c r="A69" i="17"/>
  <c r="B69" i="17"/>
  <c r="C69" i="17"/>
  <c r="A70" i="17"/>
  <c r="B70" i="17"/>
  <c r="C70" i="17"/>
  <c r="A71" i="17"/>
  <c r="B71" i="17"/>
  <c r="C71" i="17"/>
  <c r="A72" i="17"/>
  <c r="B72" i="17"/>
  <c r="C72" i="17"/>
  <c r="A73" i="17"/>
  <c r="B73" i="17"/>
  <c r="C73" i="17"/>
  <c r="A74" i="17"/>
  <c r="B74" i="17"/>
  <c r="C74" i="17"/>
  <c r="A75" i="17"/>
  <c r="B75" i="17"/>
  <c r="C75" i="17"/>
  <c r="A76" i="17"/>
  <c r="B76" i="17"/>
  <c r="C76" i="17"/>
  <c r="A77" i="17"/>
  <c r="B77" i="17"/>
  <c r="C77" i="17"/>
  <c r="A78" i="17"/>
  <c r="B78" i="17"/>
  <c r="C78" i="17"/>
  <c r="A79" i="17"/>
  <c r="B79" i="17"/>
  <c r="C79" i="17"/>
  <c r="A80" i="17"/>
  <c r="B80" i="17"/>
  <c r="C80" i="17"/>
  <c r="A81" i="17"/>
  <c r="B81" i="17"/>
  <c r="C81" i="17"/>
  <c r="A82" i="17"/>
  <c r="B82" i="17"/>
  <c r="C82" i="17"/>
  <c r="A83" i="17"/>
  <c r="B83" i="17"/>
  <c r="C83" i="17"/>
  <c r="A84" i="17"/>
  <c r="B84" i="17"/>
  <c r="C84" i="17"/>
  <c r="A85" i="17"/>
  <c r="B85" i="17"/>
  <c r="C85" i="17"/>
  <c r="A86" i="17"/>
  <c r="B86" i="17"/>
  <c r="C86" i="17"/>
  <c r="A87" i="17"/>
  <c r="B87" i="17"/>
  <c r="C87" i="17"/>
  <c r="A88" i="17"/>
  <c r="B88" i="17"/>
  <c r="C88" i="17"/>
  <c r="A89" i="17"/>
  <c r="B89" i="17"/>
  <c r="C89" i="17"/>
  <c r="A90" i="17"/>
  <c r="B90" i="17"/>
  <c r="C90" i="17"/>
  <c r="A91" i="17"/>
  <c r="B91" i="17"/>
  <c r="C91" i="17"/>
  <c r="A92" i="17"/>
  <c r="B92" i="17"/>
  <c r="C92" i="17"/>
  <c r="A93" i="17"/>
  <c r="B93" i="17"/>
  <c r="C93" i="17"/>
  <c r="A94" i="17"/>
  <c r="B94" i="17"/>
  <c r="C94" i="17"/>
  <c r="A95" i="17"/>
  <c r="B95" i="17"/>
  <c r="C95" i="17"/>
  <c r="A96" i="17"/>
  <c r="B96" i="17"/>
  <c r="C96" i="17"/>
  <c r="A97" i="17"/>
  <c r="B97" i="17"/>
  <c r="C97" i="17"/>
  <c r="A98" i="17"/>
  <c r="B98" i="17"/>
  <c r="C98" i="17"/>
  <c r="A99" i="17"/>
  <c r="B99" i="17"/>
  <c r="C99" i="17"/>
  <c r="A100" i="17"/>
  <c r="B100" i="17"/>
  <c r="C100" i="17"/>
  <c r="A101" i="17"/>
  <c r="B101" i="17"/>
  <c r="C101" i="17"/>
  <c r="A102" i="17"/>
  <c r="B102" i="17"/>
  <c r="C102" i="17"/>
  <c r="A103" i="17"/>
  <c r="B103" i="17"/>
  <c r="C103" i="17"/>
  <c r="A104" i="17"/>
  <c r="B104" i="17"/>
  <c r="C104" i="17"/>
  <c r="A16" i="17"/>
  <c r="B16" i="17"/>
  <c r="C16" i="17"/>
  <c r="A6" i="17"/>
  <c r="B6" i="17"/>
  <c r="C6" i="17"/>
  <c r="A7" i="17"/>
  <c r="B7" i="17"/>
  <c r="C7" i="17"/>
  <c r="A8" i="17"/>
  <c r="B8" i="17"/>
  <c r="C8" i="17"/>
  <c r="A9" i="17"/>
  <c r="B9" i="17"/>
  <c r="C9" i="17"/>
  <c r="A10" i="17"/>
  <c r="B10" i="17"/>
  <c r="C10" i="17"/>
  <c r="A11" i="17"/>
  <c r="B11" i="17"/>
  <c r="C11" i="17"/>
  <c r="A12" i="17"/>
  <c r="B12" i="17"/>
  <c r="C12" i="17"/>
  <c r="A13" i="17"/>
  <c r="B13" i="17"/>
  <c r="C13" i="17"/>
  <c r="A14" i="17"/>
  <c r="B14" i="17"/>
  <c r="C14" i="17"/>
  <c r="A15" i="17"/>
  <c r="B15" i="17"/>
  <c r="C15" i="17"/>
  <c r="D15" i="17" s="1"/>
  <c r="C5" i="17"/>
  <c r="B5" i="17"/>
  <c r="A5" i="17"/>
  <c r="C5" i="16"/>
  <c r="B5" i="16"/>
  <c r="A5" i="16"/>
  <c r="AT6" i="18"/>
  <c r="AT7" i="18"/>
  <c r="AT8" i="18"/>
  <c r="AT9" i="18"/>
  <c r="AT10" i="18"/>
  <c r="AT11" i="18"/>
  <c r="AT12" i="18"/>
  <c r="AT13" i="18"/>
  <c r="AT14" i="18"/>
  <c r="AT15" i="18"/>
  <c r="AT16" i="18"/>
  <c r="AT17" i="18"/>
  <c r="AT18" i="18"/>
  <c r="AT19" i="18"/>
  <c r="AT20" i="18"/>
  <c r="AT21" i="18"/>
  <c r="AT22" i="18"/>
  <c r="AT23" i="18"/>
  <c r="AT24" i="18"/>
  <c r="AT25" i="18"/>
  <c r="AT26" i="18"/>
  <c r="AT27" i="18"/>
  <c r="AT28" i="18"/>
  <c r="AT29" i="18"/>
  <c r="AT30" i="18"/>
  <c r="AT31" i="18"/>
  <c r="AT32" i="18"/>
  <c r="AT33" i="18"/>
  <c r="AT34" i="18"/>
  <c r="AT35" i="18"/>
  <c r="AT36" i="18"/>
  <c r="AT37" i="18"/>
  <c r="AT38" i="18"/>
  <c r="AT39" i="18"/>
  <c r="AT40" i="18"/>
  <c r="AT41" i="18"/>
  <c r="AT42" i="18"/>
  <c r="AT43" i="18"/>
  <c r="AT44" i="18"/>
  <c r="AT45" i="18"/>
  <c r="AT46" i="18"/>
  <c r="AT47" i="18"/>
  <c r="AT48" i="18"/>
  <c r="AT49" i="18"/>
  <c r="AT50" i="18"/>
  <c r="AT51" i="18"/>
  <c r="AT52" i="18"/>
  <c r="AT53" i="18"/>
  <c r="AT54" i="18"/>
  <c r="AT55" i="18"/>
  <c r="AT56" i="18"/>
  <c r="AT57" i="18"/>
  <c r="AT58" i="18"/>
  <c r="AT59" i="18"/>
  <c r="AT60" i="18"/>
  <c r="AT61" i="18"/>
  <c r="AT62" i="18"/>
  <c r="AT63" i="18"/>
  <c r="AT64" i="18"/>
  <c r="AT65" i="18"/>
  <c r="AT66" i="18"/>
  <c r="AT67" i="18"/>
  <c r="AT68" i="18"/>
  <c r="AT69" i="18"/>
  <c r="AT70" i="18"/>
  <c r="AT71" i="18"/>
  <c r="AT72" i="18"/>
  <c r="AT73" i="18"/>
  <c r="AT74" i="18"/>
  <c r="AT75" i="18"/>
  <c r="AT76" i="18"/>
  <c r="AT77" i="18"/>
  <c r="AT78" i="18"/>
  <c r="AT79" i="18"/>
  <c r="AT80" i="18"/>
  <c r="AT81" i="18"/>
  <c r="AT82" i="18"/>
  <c r="AT83" i="18"/>
  <c r="AT84" i="18"/>
  <c r="AT85" i="18"/>
  <c r="AT86" i="18"/>
  <c r="AT87" i="18"/>
  <c r="AT88" i="18"/>
  <c r="AT89" i="18"/>
  <c r="AT90" i="18"/>
  <c r="AT91" i="18"/>
  <c r="AT92" i="18"/>
  <c r="AT93" i="18"/>
  <c r="AT94" i="18"/>
  <c r="AT95" i="18"/>
  <c r="AT96" i="18"/>
  <c r="AT97" i="18"/>
  <c r="AT98" i="18"/>
  <c r="AT99" i="18"/>
  <c r="AT100" i="18"/>
  <c r="AT101" i="18"/>
  <c r="AT102" i="18"/>
  <c r="AT103" i="18"/>
  <c r="AT104" i="18"/>
  <c r="AT105" i="18"/>
  <c r="AT106" i="18"/>
  <c r="AT107" i="18"/>
  <c r="AT108" i="18"/>
  <c r="AT109" i="18"/>
  <c r="AT110" i="18"/>
  <c r="AT111" i="18"/>
  <c r="AT112" i="18"/>
  <c r="AT113" i="18"/>
  <c r="AT114" i="18"/>
  <c r="AT115" i="18"/>
  <c r="AT116" i="18"/>
  <c r="AT117" i="18"/>
  <c r="AT118" i="18"/>
  <c r="AT119" i="18"/>
  <c r="AT120" i="18"/>
  <c r="AT121" i="18"/>
  <c r="AT122" i="18"/>
  <c r="AT123" i="18"/>
  <c r="AT124" i="18"/>
  <c r="AT125" i="18"/>
  <c r="AT126" i="18"/>
  <c r="AT127" i="18"/>
  <c r="AT128" i="18"/>
  <c r="AT129" i="18"/>
  <c r="AT130" i="18"/>
  <c r="AT131" i="18"/>
  <c r="AT132" i="18"/>
  <c r="AT133" i="18"/>
  <c r="AT134" i="18"/>
  <c r="AT135" i="18"/>
  <c r="AT136" i="18"/>
  <c r="AT137" i="18"/>
  <c r="AT138" i="18"/>
  <c r="AT139" i="18"/>
  <c r="AT140" i="18"/>
  <c r="AT141" i="18"/>
  <c r="AT142" i="18"/>
  <c r="AT143" i="18"/>
  <c r="AT144" i="18"/>
  <c r="AT145" i="18"/>
  <c r="AT146" i="18"/>
  <c r="AT147" i="18"/>
  <c r="AT148" i="18"/>
  <c r="AT149" i="18"/>
  <c r="AT150" i="18"/>
  <c r="AT151" i="18"/>
  <c r="AT152" i="18"/>
  <c r="AT153" i="18"/>
  <c r="AT154" i="18"/>
  <c r="AT155" i="18"/>
  <c r="AT156" i="18"/>
  <c r="AT157" i="18"/>
  <c r="AT158" i="18"/>
  <c r="AT159" i="18"/>
  <c r="AT160" i="18"/>
  <c r="AT161" i="18"/>
  <c r="AT162" i="18"/>
  <c r="AT163" i="18"/>
  <c r="AT164" i="18"/>
  <c r="AT165" i="18"/>
  <c r="AT166" i="18"/>
  <c r="AT167" i="18"/>
  <c r="AT168" i="18"/>
  <c r="AT169" i="18"/>
  <c r="AT170" i="18"/>
  <c r="AT171" i="18"/>
  <c r="AT172" i="18"/>
  <c r="AT173" i="18"/>
  <c r="AT174" i="18"/>
  <c r="AT175" i="18"/>
  <c r="AT176" i="18"/>
  <c r="AT177" i="18"/>
  <c r="AT178" i="18"/>
  <c r="AT179" i="18"/>
  <c r="AT180" i="18"/>
  <c r="AT181" i="18"/>
  <c r="AT182" i="18"/>
  <c r="AT183" i="18"/>
  <c r="AT184" i="18"/>
  <c r="AT185" i="18"/>
  <c r="AT186" i="18"/>
  <c r="AT187" i="18"/>
  <c r="AT188" i="18"/>
  <c r="AT189" i="18"/>
  <c r="AT190" i="18"/>
  <c r="AT191" i="18"/>
  <c r="AT192" i="18"/>
  <c r="AT193" i="18"/>
  <c r="AT194" i="18"/>
  <c r="AT195" i="18"/>
  <c r="AT196" i="18"/>
  <c r="AT197" i="18"/>
  <c r="AT198" i="18"/>
  <c r="AT199" i="18"/>
  <c r="AT200" i="18"/>
  <c r="AT201" i="18"/>
  <c r="AT202" i="18"/>
  <c r="AT203" i="18"/>
  <c r="AT204" i="18"/>
  <c r="AT205" i="18"/>
  <c r="AT206" i="18"/>
  <c r="AT207" i="18"/>
  <c r="AT208" i="18"/>
  <c r="AT209" i="18"/>
  <c r="AT210" i="18"/>
  <c r="AT211" i="18"/>
  <c r="AT212" i="18"/>
  <c r="AT213" i="18"/>
  <c r="AT214" i="18"/>
  <c r="AT215" i="18"/>
  <c r="AT5" i="18"/>
  <c r="AJ6" i="18"/>
  <c r="AU6" i="18" s="1"/>
  <c r="AJ7" i="18"/>
  <c r="AU7" i="18" s="1"/>
  <c r="AJ8" i="18"/>
  <c r="AU8" i="18" s="1"/>
  <c r="AJ9" i="18"/>
  <c r="AU9" i="18" s="1"/>
  <c r="AJ10" i="18"/>
  <c r="AU10" i="18" s="1"/>
  <c r="AJ11" i="18"/>
  <c r="AU11" i="18" s="1"/>
  <c r="AJ12" i="18"/>
  <c r="AU12" i="18" s="1"/>
  <c r="AJ13" i="18"/>
  <c r="AU13" i="18" s="1"/>
  <c r="AJ14" i="18"/>
  <c r="AU14" i="18" s="1"/>
  <c r="AJ15" i="18"/>
  <c r="AU15" i="18" s="1"/>
  <c r="AJ16" i="18"/>
  <c r="AU16" i="18" s="1"/>
  <c r="AJ17" i="18"/>
  <c r="AU17" i="18" s="1"/>
  <c r="AJ18" i="18"/>
  <c r="AU18" i="18" s="1"/>
  <c r="AJ19" i="18"/>
  <c r="AU19" i="18" s="1"/>
  <c r="AJ20" i="18"/>
  <c r="AU20" i="18" s="1"/>
  <c r="AJ21" i="18"/>
  <c r="AU21" i="18" s="1"/>
  <c r="AV21" i="18" s="1"/>
  <c r="AJ22" i="18"/>
  <c r="AU22" i="18" s="1"/>
  <c r="AV22" i="18" s="1"/>
  <c r="AJ23" i="18"/>
  <c r="AU23" i="18" s="1"/>
  <c r="AV23" i="18" s="1"/>
  <c r="AJ24" i="18"/>
  <c r="AU24" i="18" s="1"/>
  <c r="AV24" i="18" s="1"/>
  <c r="AJ25" i="18"/>
  <c r="AU25" i="18" s="1"/>
  <c r="AV25" i="18" s="1"/>
  <c r="AJ26" i="18"/>
  <c r="AU26" i="18" s="1"/>
  <c r="AV26" i="18" s="1"/>
  <c r="AJ27" i="18"/>
  <c r="AU27" i="18" s="1"/>
  <c r="AV27" i="18" s="1"/>
  <c r="AJ28" i="18"/>
  <c r="AU28" i="18" s="1"/>
  <c r="AV28" i="18" s="1"/>
  <c r="AJ29" i="18"/>
  <c r="AU29" i="18" s="1"/>
  <c r="AV29" i="18" s="1"/>
  <c r="AJ30" i="18"/>
  <c r="AU30" i="18" s="1"/>
  <c r="AV30" i="18" s="1"/>
  <c r="AJ31" i="18"/>
  <c r="AU31" i="18" s="1"/>
  <c r="AV31" i="18" s="1"/>
  <c r="AJ32" i="18"/>
  <c r="AU32" i="18" s="1"/>
  <c r="AV32" i="18" s="1"/>
  <c r="AJ33" i="18"/>
  <c r="AU33" i="18" s="1"/>
  <c r="AV33" i="18" s="1"/>
  <c r="AJ34" i="18"/>
  <c r="AU34" i="18" s="1"/>
  <c r="AV34" i="18" s="1"/>
  <c r="AJ35" i="18"/>
  <c r="AU35" i="18" s="1"/>
  <c r="AV35" i="18" s="1"/>
  <c r="AJ36" i="18"/>
  <c r="AU36" i="18" s="1"/>
  <c r="AV36" i="18" s="1"/>
  <c r="AJ37" i="18"/>
  <c r="AU37" i="18" s="1"/>
  <c r="AV37" i="18" s="1"/>
  <c r="AJ38" i="18"/>
  <c r="AU38" i="18" s="1"/>
  <c r="AV38" i="18" s="1"/>
  <c r="AJ39" i="18"/>
  <c r="AU39" i="18" s="1"/>
  <c r="AV39" i="18" s="1"/>
  <c r="AJ40" i="18"/>
  <c r="AU40" i="18" s="1"/>
  <c r="AV40" i="18" s="1"/>
  <c r="AJ41" i="18"/>
  <c r="AU41" i="18" s="1"/>
  <c r="AV41" i="18" s="1"/>
  <c r="AJ42" i="18"/>
  <c r="AU42" i="18" s="1"/>
  <c r="AV42" i="18" s="1"/>
  <c r="AJ43" i="18"/>
  <c r="AU43" i="18" s="1"/>
  <c r="AV43" i="18" s="1"/>
  <c r="AJ44" i="18"/>
  <c r="AU44" i="18" s="1"/>
  <c r="AV44" i="18" s="1"/>
  <c r="AJ45" i="18"/>
  <c r="AU45" i="18" s="1"/>
  <c r="AV45" i="18" s="1"/>
  <c r="AJ46" i="18"/>
  <c r="AU46" i="18" s="1"/>
  <c r="AV46" i="18" s="1"/>
  <c r="AJ47" i="18"/>
  <c r="AU47" i="18" s="1"/>
  <c r="AV47" i="18" s="1"/>
  <c r="AJ48" i="18"/>
  <c r="AU48" i="18" s="1"/>
  <c r="AV48" i="18" s="1"/>
  <c r="AJ49" i="18"/>
  <c r="AU49" i="18" s="1"/>
  <c r="AV49" i="18" s="1"/>
  <c r="AJ50" i="18"/>
  <c r="AU50" i="18" s="1"/>
  <c r="AV50" i="18" s="1"/>
  <c r="AJ51" i="18"/>
  <c r="AU51" i="18" s="1"/>
  <c r="AV51" i="18" s="1"/>
  <c r="AJ52" i="18"/>
  <c r="AU52" i="18" s="1"/>
  <c r="AV52" i="18" s="1"/>
  <c r="AJ53" i="18"/>
  <c r="AU53" i="18" s="1"/>
  <c r="AV53" i="18" s="1"/>
  <c r="AJ54" i="18"/>
  <c r="AU54" i="18" s="1"/>
  <c r="AV54" i="18" s="1"/>
  <c r="AJ55" i="18"/>
  <c r="AU55" i="18" s="1"/>
  <c r="AV55" i="18" s="1"/>
  <c r="AJ56" i="18"/>
  <c r="AU56" i="18" s="1"/>
  <c r="AV56" i="18" s="1"/>
  <c r="AJ57" i="18"/>
  <c r="AU57" i="18" s="1"/>
  <c r="AV57" i="18" s="1"/>
  <c r="AJ58" i="18"/>
  <c r="AU58" i="18" s="1"/>
  <c r="AV58" i="18" s="1"/>
  <c r="AJ59" i="18"/>
  <c r="AU59" i="18" s="1"/>
  <c r="AV59" i="18" s="1"/>
  <c r="AJ60" i="18"/>
  <c r="AU60" i="18" s="1"/>
  <c r="AV60" i="18" s="1"/>
  <c r="AJ61" i="18"/>
  <c r="AU61" i="18" s="1"/>
  <c r="AV61" i="18" s="1"/>
  <c r="AJ62" i="18"/>
  <c r="AU62" i="18" s="1"/>
  <c r="AV62" i="18" s="1"/>
  <c r="AJ63" i="18"/>
  <c r="AU63" i="18" s="1"/>
  <c r="AV63" i="18" s="1"/>
  <c r="AJ64" i="18"/>
  <c r="AU64" i="18" s="1"/>
  <c r="AV64" i="18" s="1"/>
  <c r="AJ65" i="18"/>
  <c r="AU65" i="18" s="1"/>
  <c r="AV65" i="18" s="1"/>
  <c r="AJ66" i="18"/>
  <c r="AU66" i="18" s="1"/>
  <c r="AV66" i="18" s="1"/>
  <c r="AJ67" i="18"/>
  <c r="AU67" i="18" s="1"/>
  <c r="AV67" i="18" s="1"/>
  <c r="AJ68" i="18"/>
  <c r="AU68" i="18" s="1"/>
  <c r="AV68" i="18" s="1"/>
  <c r="AJ69" i="18"/>
  <c r="AU69" i="18" s="1"/>
  <c r="AV69" i="18" s="1"/>
  <c r="AJ70" i="18"/>
  <c r="AU70" i="18" s="1"/>
  <c r="AV70" i="18" s="1"/>
  <c r="AJ71" i="18"/>
  <c r="AU71" i="18" s="1"/>
  <c r="AV71" i="18" s="1"/>
  <c r="AJ72" i="18"/>
  <c r="AU72" i="18" s="1"/>
  <c r="AV72" i="18" s="1"/>
  <c r="AJ73" i="18"/>
  <c r="AU73" i="18" s="1"/>
  <c r="AV73" i="18" s="1"/>
  <c r="AJ74" i="18"/>
  <c r="AU74" i="18" s="1"/>
  <c r="AV74" i="18" s="1"/>
  <c r="AJ75" i="18"/>
  <c r="AU75" i="18" s="1"/>
  <c r="AV75" i="18" s="1"/>
  <c r="AJ76" i="18"/>
  <c r="AU76" i="18" s="1"/>
  <c r="AV76" i="18" s="1"/>
  <c r="AJ77" i="18"/>
  <c r="AU77" i="18" s="1"/>
  <c r="AV77" i="18" s="1"/>
  <c r="AJ78" i="18"/>
  <c r="AU78" i="18" s="1"/>
  <c r="AV78" i="18" s="1"/>
  <c r="AJ79" i="18"/>
  <c r="AU79" i="18" s="1"/>
  <c r="AV79" i="18" s="1"/>
  <c r="AJ80" i="18"/>
  <c r="AU80" i="18" s="1"/>
  <c r="AV80" i="18" s="1"/>
  <c r="AJ81" i="18"/>
  <c r="AU81" i="18" s="1"/>
  <c r="AV81" i="18" s="1"/>
  <c r="AJ82" i="18"/>
  <c r="AU82" i="18" s="1"/>
  <c r="AV82" i="18" s="1"/>
  <c r="AJ83" i="18"/>
  <c r="AU83" i="18" s="1"/>
  <c r="AV83" i="18" s="1"/>
  <c r="AJ84" i="18"/>
  <c r="AU84" i="18" s="1"/>
  <c r="AV84" i="18" s="1"/>
  <c r="AJ85" i="18"/>
  <c r="AU85" i="18" s="1"/>
  <c r="AV85" i="18" s="1"/>
  <c r="AJ86" i="18"/>
  <c r="AU86" i="18" s="1"/>
  <c r="AV86" i="18" s="1"/>
  <c r="AJ87" i="18"/>
  <c r="AU87" i="18" s="1"/>
  <c r="AV87" i="18" s="1"/>
  <c r="AJ88" i="18"/>
  <c r="AU88" i="18" s="1"/>
  <c r="AV88" i="18" s="1"/>
  <c r="AJ89" i="18"/>
  <c r="AU89" i="18" s="1"/>
  <c r="AV89" i="18" s="1"/>
  <c r="AJ90" i="18"/>
  <c r="AU90" i="18" s="1"/>
  <c r="AV90" i="18" s="1"/>
  <c r="AJ91" i="18"/>
  <c r="AU91" i="18" s="1"/>
  <c r="AV91" i="18" s="1"/>
  <c r="AJ92" i="18"/>
  <c r="AU92" i="18" s="1"/>
  <c r="AV92" i="18" s="1"/>
  <c r="AJ93" i="18"/>
  <c r="AU93" i="18" s="1"/>
  <c r="AV93" i="18" s="1"/>
  <c r="AJ94" i="18"/>
  <c r="AU94" i="18" s="1"/>
  <c r="AV94" i="18" s="1"/>
  <c r="AJ95" i="18"/>
  <c r="AU95" i="18" s="1"/>
  <c r="AV95" i="18" s="1"/>
  <c r="AJ96" i="18"/>
  <c r="AU96" i="18" s="1"/>
  <c r="AV96" i="18" s="1"/>
  <c r="AJ97" i="18"/>
  <c r="AU97" i="18" s="1"/>
  <c r="AV97" i="18" s="1"/>
  <c r="AJ98" i="18"/>
  <c r="AU98" i="18" s="1"/>
  <c r="AV98" i="18" s="1"/>
  <c r="AJ99" i="18"/>
  <c r="AU99" i="18" s="1"/>
  <c r="AV99" i="18" s="1"/>
  <c r="AJ100" i="18"/>
  <c r="AU100" i="18" s="1"/>
  <c r="AV100" i="18" s="1"/>
  <c r="AJ101" i="18"/>
  <c r="AU101" i="18" s="1"/>
  <c r="AV101" i="18" s="1"/>
  <c r="AJ102" i="18"/>
  <c r="AU102" i="18" s="1"/>
  <c r="AV102" i="18" s="1"/>
  <c r="AJ103" i="18"/>
  <c r="AU103" i="18" s="1"/>
  <c r="AV103" i="18" s="1"/>
  <c r="AJ104" i="18"/>
  <c r="AU104" i="18" s="1"/>
  <c r="AV104" i="18" s="1"/>
  <c r="AJ105" i="18"/>
  <c r="AU105" i="18" s="1"/>
  <c r="AV105" i="18" s="1"/>
  <c r="AJ106" i="18"/>
  <c r="AU106" i="18" s="1"/>
  <c r="AV106" i="18" s="1"/>
  <c r="AJ107" i="18"/>
  <c r="AU107" i="18" s="1"/>
  <c r="AV107" i="18" s="1"/>
  <c r="AJ108" i="18"/>
  <c r="AU108" i="18" s="1"/>
  <c r="AV108" i="18" s="1"/>
  <c r="AJ109" i="18"/>
  <c r="AU109" i="18" s="1"/>
  <c r="AV109" i="18" s="1"/>
  <c r="AJ110" i="18"/>
  <c r="AU110" i="18" s="1"/>
  <c r="AV110" i="18" s="1"/>
  <c r="AJ111" i="18"/>
  <c r="AU111" i="18" s="1"/>
  <c r="AV111" i="18" s="1"/>
  <c r="AJ112" i="18"/>
  <c r="AU112" i="18" s="1"/>
  <c r="AV112" i="18" s="1"/>
  <c r="AJ113" i="18"/>
  <c r="AU113" i="18" s="1"/>
  <c r="AV113" i="18" s="1"/>
  <c r="AJ114" i="18"/>
  <c r="AU114" i="18" s="1"/>
  <c r="AV114" i="18" s="1"/>
  <c r="AJ115" i="18"/>
  <c r="AU115" i="18" s="1"/>
  <c r="AV115" i="18" s="1"/>
  <c r="AJ116" i="18"/>
  <c r="AU116" i="18" s="1"/>
  <c r="AV116" i="18" s="1"/>
  <c r="AJ117" i="18"/>
  <c r="AU117" i="18" s="1"/>
  <c r="AV117" i="18" s="1"/>
  <c r="AJ118" i="18"/>
  <c r="AU118" i="18" s="1"/>
  <c r="AV118" i="18" s="1"/>
  <c r="AJ119" i="18"/>
  <c r="AU119" i="18" s="1"/>
  <c r="AV119" i="18" s="1"/>
  <c r="AJ120" i="18"/>
  <c r="AU120" i="18" s="1"/>
  <c r="AV120" i="18" s="1"/>
  <c r="AJ121" i="18"/>
  <c r="AU121" i="18" s="1"/>
  <c r="AV121" i="18" s="1"/>
  <c r="AJ122" i="18"/>
  <c r="AU122" i="18" s="1"/>
  <c r="AV122" i="18" s="1"/>
  <c r="AJ123" i="18"/>
  <c r="AU123" i="18" s="1"/>
  <c r="AV123" i="18" s="1"/>
  <c r="AJ124" i="18"/>
  <c r="AU124" i="18" s="1"/>
  <c r="AV124" i="18" s="1"/>
  <c r="AJ125" i="18"/>
  <c r="AU125" i="18" s="1"/>
  <c r="AV125" i="18" s="1"/>
  <c r="AJ126" i="18"/>
  <c r="AU126" i="18" s="1"/>
  <c r="AV126" i="18" s="1"/>
  <c r="AJ127" i="18"/>
  <c r="AU127" i="18" s="1"/>
  <c r="AV127" i="18" s="1"/>
  <c r="AJ128" i="18"/>
  <c r="AU128" i="18" s="1"/>
  <c r="AV128" i="18" s="1"/>
  <c r="AJ129" i="18"/>
  <c r="AU129" i="18" s="1"/>
  <c r="AV129" i="18" s="1"/>
  <c r="AJ130" i="18"/>
  <c r="AU130" i="18" s="1"/>
  <c r="AV130" i="18" s="1"/>
  <c r="AJ131" i="18"/>
  <c r="AU131" i="18" s="1"/>
  <c r="AV131" i="18" s="1"/>
  <c r="AJ132" i="18"/>
  <c r="AU132" i="18" s="1"/>
  <c r="AV132" i="18" s="1"/>
  <c r="AJ133" i="18"/>
  <c r="AU133" i="18" s="1"/>
  <c r="AV133" i="18" s="1"/>
  <c r="AJ134" i="18"/>
  <c r="AU134" i="18" s="1"/>
  <c r="AV134" i="18" s="1"/>
  <c r="AJ135" i="18"/>
  <c r="AU135" i="18" s="1"/>
  <c r="AV135" i="18" s="1"/>
  <c r="AJ136" i="18"/>
  <c r="AU136" i="18" s="1"/>
  <c r="AV136" i="18" s="1"/>
  <c r="AJ137" i="18"/>
  <c r="AU137" i="18" s="1"/>
  <c r="AV137" i="18" s="1"/>
  <c r="AJ138" i="18"/>
  <c r="AU138" i="18" s="1"/>
  <c r="AV138" i="18" s="1"/>
  <c r="AJ139" i="18"/>
  <c r="AU139" i="18" s="1"/>
  <c r="AV139" i="18" s="1"/>
  <c r="AJ140" i="18"/>
  <c r="AU140" i="18" s="1"/>
  <c r="AV140" i="18" s="1"/>
  <c r="AJ141" i="18"/>
  <c r="AU141" i="18" s="1"/>
  <c r="AV141" i="18" s="1"/>
  <c r="AJ142" i="18"/>
  <c r="AU142" i="18" s="1"/>
  <c r="AV142" i="18" s="1"/>
  <c r="AJ143" i="18"/>
  <c r="AU143" i="18" s="1"/>
  <c r="AV143" i="18" s="1"/>
  <c r="AJ144" i="18"/>
  <c r="AU144" i="18" s="1"/>
  <c r="AV144" i="18" s="1"/>
  <c r="AJ145" i="18"/>
  <c r="AU145" i="18" s="1"/>
  <c r="AV145" i="18" s="1"/>
  <c r="AJ146" i="18"/>
  <c r="AU146" i="18" s="1"/>
  <c r="AV146" i="18" s="1"/>
  <c r="AJ147" i="18"/>
  <c r="AU147" i="18" s="1"/>
  <c r="AV147" i="18" s="1"/>
  <c r="AJ148" i="18"/>
  <c r="AU148" i="18" s="1"/>
  <c r="AV148" i="18" s="1"/>
  <c r="AJ149" i="18"/>
  <c r="AU149" i="18" s="1"/>
  <c r="AV149" i="18" s="1"/>
  <c r="AJ150" i="18"/>
  <c r="AU150" i="18" s="1"/>
  <c r="AV150" i="18" s="1"/>
  <c r="AJ151" i="18"/>
  <c r="AU151" i="18" s="1"/>
  <c r="AV151" i="18" s="1"/>
  <c r="AJ152" i="18"/>
  <c r="AU152" i="18" s="1"/>
  <c r="AV152" i="18" s="1"/>
  <c r="AJ153" i="18"/>
  <c r="AU153" i="18" s="1"/>
  <c r="AV153" i="18" s="1"/>
  <c r="AJ154" i="18"/>
  <c r="AU154" i="18" s="1"/>
  <c r="AV154" i="18" s="1"/>
  <c r="AJ155" i="18"/>
  <c r="AU155" i="18" s="1"/>
  <c r="AV155" i="18" s="1"/>
  <c r="AJ156" i="18"/>
  <c r="AU156" i="18" s="1"/>
  <c r="AV156" i="18" s="1"/>
  <c r="AJ157" i="18"/>
  <c r="AU157" i="18" s="1"/>
  <c r="AV157" i="18" s="1"/>
  <c r="AJ158" i="18"/>
  <c r="AU158" i="18" s="1"/>
  <c r="AV158" i="18" s="1"/>
  <c r="AJ159" i="18"/>
  <c r="AU159" i="18" s="1"/>
  <c r="AV159" i="18" s="1"/>
  <c r="AJ160" i="18"/>
  <c r="AU160" i="18" s="1"/>
  <c r="AV160" i="18" s="1"/>
  <c r="AJ161" i="18"/>
  <c r="AU161" i="18" s="1"/>
  <c r="AV161" i="18" s="1"/>
  <c r="AJ162" i="18"/>
  <c r="AU162" i="18" s="1"/>
  <c r="AV162" i="18" s="1"/>
  <c r="AJ163" i="18"/>
  <c r="AU163" i="18" s="1"/>
  <c r="AV163" i="18" s="1"/>
  <c r="AJ164" i="18"/>
  <c r="AU164" i="18" s="1"/>
  <c r="AV164" i="18" s="1"/>
  <c r="AJ165" i="18"/>
  <c r="AU165" i="18" s="1"/>
  <c r="AV165" i="18" s="1"/>
  <c r="AJ166" i="18"/>
  <c r="AU166" i="18" s="1"/>
  <c r="AV166" i="18" s="1"/>
  <c r="AJ167" i="18"/>
  <c r="AU167" i="18" s="1"/>
  <c r="AV167" i="18" s="1"/>
  <c r="AJ168" i="18"/>
  <c r="AU168" i="18" s="1"/>
  <c r="AV168" i="18" s="1"/>
  <c r="AJ169" i="18"/>
  <c r="AU169" i="18" s="1"/>
  <c r="AV169" i="18" s="1"/>
  <c r="AJ170" i="18"/>
  <c r="AU170" i="18" s="1"/>
  <c r="AV170" i="18" s="1"/>
  <c r="AJ171" i="18"/>
  <c r="AU171" i="18" s="1"/>
  <c r="AV171" i="18" s="1"/>
  <c r="AJ172" i="18"/>
  <c r="AU172" i="18" s="1"/>
  <c r="AV172" i="18" s="1"/>
  <c r="AJ173" i="18"/>
  <c r="AU173" i="18" s="1"/>
  <c r="AV173" i="18" s="1"/>
  <c r="AJ174" i="18"/>
  <c r="AU174" i="18" s="1"/>
  <c r="AV174" i="18" s="1"/>
  <c r="AJ175" i="18"/>
  <c r="AU175" i="18" s="1"/>
  <c r="AV175" i="18" s="1"/>
  <c r="AJ176" i="18"/>
  <c r="AU176" i="18" s="1"/>
  <c r="AV176" i="18" s="1"/>
  <c r="AJ177" i="18"/>
  <c r="AU177" i="18" s="1"/>
  <c r="AV177" i="18" s="1"/>
  <c r="AJ178" i="18"/>
  <c r="AU178" i="18" s="1"/>
  <c r="AV178" i="18" s="1"/>
  <c r="AJ179" i="18"/>
  <c r="AU179" i="18" s="1"/>
  <c r="AV179" i="18" s="1"/>
  <c r="AJ180" i="18"/>
  <c r="AU180" i="18" s="1"/>
  <c r="AV180" i="18" s="1"/>
  <c r="AJ181" i="18"/>
  <c r="AU181" i="18" s="1"/>
  <c r="AV181" i="18" s="1"/>
  <c r="AJ182" i="18"/>
  <c r="AU182" i="18" s="1"/>
  <c r="AV182" i="18" s="1"/>
  <c r="AJ183" i="18"/>
  <c r="AU183" i="18" s="1"/>
  <c r="AV183" i="18" s="1"/>
  <c r="AJ184" i="18"/>
  <c r="AU184" i="18" s="1"/>
  <c r="AV184" i="18" s="1"/>
  <c r="AJ185" i="18"/>
  <c r="AU185" i="18" s="1"/>
  <c r="AV185" i="18" s="1"/>
  <c r="AJ186" i="18"/>
  <c r="AU186" i="18" s="1"/>
  <c r="AV186" i="18" s="1"/>
  <c r="AJ187" i="18"/>
  <c r="AU187" i="18" s="1"/>
  <c r="AV187" i="18" s="1"/>
  <c r="AJ188" i="18"/>
  <c r="AU188" i="18" s="1"/>
  <c r="AV188" i="18" s="1"/>
  <c r="AJ189" i="18"/>
  <c r="AU189" i="18" s="1"/>
  <c r="AV189" i="18" s="1"/>
  <c r="AJ190" i="18"/>
  <c r="AU190" i="18" s="1"/>
  <c r="AV190" i="18" s="1"/>
  <c r="AJ191" i="18"/>
  <c r="AU191" i="18" s="1"/>
  <c r="AV191" i="18" s="1"/>
  <c r="AJ192" i="18"/>
  <c r="AU192" i="18" s="1"/>
  <c r="AV192" i="18" s="1"/>
  <c r="AJ193" i="18"/>
  <c r="AU193" i="18" s="1"/>
  <c r="AV193" i="18" s="1"/>
  <c r="AJ194" i="18"/>
  <c r="AU194" i="18" s="1"/>
  <c r="AV194" i="18" s="1"/>
  <c r="AJ195" i="18"/>
  <c r="AU195" i="18" s="1"/>
  <c r="AV195" i="18" s="1"/>
  <c r="AJ196" i="18"/>
  <c r="AU196" i="18" s="1"/>
  <c r="AV196" i="18" s="1"/>
  <c r="AJ197" i="18"/>
  <c r="AU197" i="18" s="1"/>
  <c r="AV197" i="18" s="1"/>
  <c r="AJ198" i="18"/>
  <c r="AU198" i="18" s="1"/>
  <c r="AV198" i="18" s="1"/>
  <c r="AJ199" i="18"/>
  <c r="AU199" i="18" s="1"/>
  <c r="AV199" i="18" s="1"/>
  <c r="AJ200" i="18"/>
  <c r="AU200" i="18" s="1"/>
  <c r="AV200" i="18" s="1"/>
  <c r="AJ201" i="18"/>
  <c r="AU201" i="18" s="1"/>
  <c r="AV201" i="18" s="1"/>
  <c r="AJ202" i="18"/>
  <c r="AU202" i="18" s="1"/>
  <c r="AV202" i="18" s="1"/>
  <c r="AJ203" i="18"/>
  <c r="AU203" i="18" s="1"/>
  <c r="AV203" i="18" s="1"/>
  <c r="AJ204" i="18"/>
  <c r="AU204" i="18" s="1"/>
  <c r="AV204" i="18" s="1"/>
  <c r="AJ205" i="18"/>
  <c r="AU205" i="18" s="1"/>
  <c r="AV205" i="18" s="1"/>
  <c r="AJ206" i="18"/>
  <c r="AU206" i="18" s="1"/>
  <c r="AV206" i="18" s="1"/>
  <c r="AJ207" i="18"/>
  <c r="AU207" i="18" s="1"/>
  <c r="AV207" i="18" s="1"/>
  <c r="AJ208" i="18"/>
  <c r="AU208" i="18" s="1"/>
  <c r="AV208" i="18" s="1"/>
  <c r="AJ209" i="18"/>
  <c r="AU209" i="18" s="1"/>
  <c r="AV209" i="18" s="1"/>
  <c r="AJ210" i="18"/>
  <c r="AU210" i="18" s="1"/>
  <c r="AV210" i="18" s="1"/>
  <c r="AJ211" i="18"/>
  <c r="AU211" i="18" s="1"/>
  <c r="AV211" i="18" s="1"/>
  <c r="AJ212" i="18"/>
  <c r="AU212" i="18" s="1"/>
  <c r="AV212" i="18" s="1"/>
  <c r="AJ213" i="18"/>
  <c r="AU213" i="18" s="1"/>
  <c r="AV213" i="18" s="1"/>
  <c r="AJ214" i="18"/>
  <c r="AU214" i="18" s="1"/>
  <c r="AV214" i="18" s="1"/>
  <c r="AJ215" i="18"/>
  <c r="AU215" i="18" s="1"/>
  <c r="AV215" i="18" s="1"/>
  <c r="W6" i="18"/>
  <c r="W7" i="18"/>
  <c r="W8" i="18"/>
  <c r="W9" i="18"/>
  <c r="W10" i="18"/>
  <c r="W11" i="18"/>
  <c r="W12" i="18"/>
  <c r="W13" i="18"/>
  <c r="W14" i="18"/>
  <c r="W15" i="18"/>
  <c r="W16" i="18"/>
  <c r="W17" i="18"/>
  <c r="W18" i="18"/>
  <c r="W19" i="18"/>
  <c r="W20" i="18"/>
  <c r="W21" i="18"/>
  <c r="W22" i="18"/>
  <c r="W23" i="18"/>
  <c r="W24" i="18"/>
  <c r="W25" i="18"/>
  <c r="W26" i="18"/>
  <c r="W27" i="18"/>
  <c r="W28" i="18"/>
  <c r="W29" i="18"/>
  <c r="W30" i="18"/>
  <c r="W31" i="18"/>
  <c r="W32" i="18"/>
  <c r="W33" i="18"/>
  <c r="W34" i="18"/>
  <c r="W35" i="18"/>
  <c r="W36" i="18"/>
  <c r="W37" i="18"/>
  <c r="W38" i="18"/>
  <c r="W39" i="18"/>
  <c r="W40" i="18"/>
  <c r="W41" i="18"/>
  <c r="W42" i="18"/>
  <c r="W43" i="18"/>
  <c r="W44" i="18"/>
  <c r="W45" i="18"/>
  <c r="W46" i="18"/>
  <c r="W47" i="18"/>
  <c r="W48" i="18"/>
  <c r="W49" i="18"/>
  <c r="W50" i="18"/>
  <c r="W51" i="18"/>
  <c r="W52" i="18"/>
  <c r="W53" i="18"/>
  <c r="W54" i="18"/>
  <c r="W55" i="18"/>
  <c r="W56" i="18"/>
  <c r="W57" i="18"/>
  <c r="W58" i="18"/>
  <c r="W59" i="18"/>
  <c r="W60" i="18"/>
  <c r="W61" i="18"/>
  <c r="W62" i="18"/>
  <c r="W63" i="18"/>
  <c r="W64" i="18"/>
  <c r="W65" i="18"/>
  <c r="W66" i="18"/>
  <c r="W67" i="18"/>
  <c r="W68" i="18"/>
  <c r="W69" i="18"/>
  <c r="W70" i="18"/>
  <c r="W71" i="18"/>
  <c r="W72" i="18"/>
  <c r="W73" i="18"/>
  <c r="W74" i="18"/>
  <c r="W75" i="18"/>
  <c r="W76" i="18"/>
  <c r="W77" i="18"/>
  <c r="W78" i="18"/>
  <c r="W79" i="18"/>
  <c r="W80" i="18"/>
  <c r="W81" i="18"/>
  <c r="W82" i="18"/>
  <c r="W83" i="18"/>
  <c r="W84" i="18"/>
  <c r="W85" i="18"/>
  <c r="W86" i="18"/>
  <c r="W87" i="18"/>
  <c r="W88" i="18"/>
  <c r="W89" i="18"/>
  <c r="W90" i="18"/>
  <c r="W91" i="18"/>
  <c r="W92" i="18"/>
  <c r="W93" i="18"/>
  <c r="W94" i="18"/>
  <c r="W95" i="18"/>
  <c r="W96" i="18"/>
  <c r="W97" i="18"/>
  <c r="W98" i="18"/>
  <c r="W99" i="18"/>
  <c r="W100" i="18"/>
  <c r="W101" i="18"/>
  <c r="W102" i="18"/>
  <c r="W103" i="18"/>
  <c r="W104" i="18"/>
  <c r="W105" i="18"/>
  <c r="W106" i="18"/>
  <c r="W107" i="18"/>
  <c r="W108" i="18"/>
  <c r="W109" i="18"/>
  <c r="W110" i="18"/>
  <c r="W111" i="18"/>
  <c r="W112" i="18"/>
  <c r="W113" i="18"/>
  <c r="W114" i="18"/>
  <c r="W115" i="18"/>
  <c r="W116" i="18"/>
  <c r="W117" i="18"/>
  <c r="W118" i="18"/>
  <c r="W119" i="18"/>
  <c r="W120" i="18"/>
  <c r="W121" i="18"/>
  <c r="W122" i="18"/>
  <c r="W123" i="18"/>
  <c r="W124" i="18"/>
  <c r="W125" i="18"/>
  <c r="W126" i="18"/>
  <c r="W127" i="18"/>
  <c r="W128" i="18"/>
  <c r="W129" i="18"/>
  <c r="W130" i="18"/>
  <c r="W131" i="18"/>
  <c r="W132" i="18"/>
  <c r="W133" i="18"/>
  <c r="W134" i="18"/>
  <c r="W135" i="18"/>
  <c r="W136" i="18"/>
  <c r="W137" i="18"/>
  <c r="W138" i="18"/>
  <c r="W139" i="18"/>
  <c r="W140" i="18"/>
  <c r="W141" i="18"/>
  <c r="W142" i="18"/>
  <c r="W143" i="18"/>
  <c r="W144" i="18"/>
  <c r="W145" i="18"/>
  <c r="W146" i="18"/>
  <c r="W147" i="18"/>
  <c r="W148" i="18"/>
  <c r="W149" i="18"/>
  <c r="W150" i="18"/>
  <c r="W151" i="18"/>
  <c r="W152" i="18"/>
  <c r="W153" i="18"/>
  <c r="W154" i="18"/>
  <c r="W155" i="18"/>
  <c r="W156" i="18"/>
  <c r="W157" i="18"/>
  <c r="W158" i="18"/>
  <c r="W159" i="18"/>
  <c r="W160" i="18"/>
  <c r="W161" i="18"/>
  <c r="W162" i="18"/>
  <c r="W163" i="18"/>
  <c r="W164" i="18"/>
  <c r="W165" i="18"/>
  <c r="W166" i="18"/>
  <c r="W167" i="18"/>
  <c r="W168" i="18"/>
  <c r="W169" i="18"/>
  <c r="W170" i="18"/>
  <c r="W171" i="18"/>
  <c r="W172" i="18"/>
  <c r="W173" i="18"/>
  <c r="W174" i="18"/>
  <c r="W175" i="18"/>
  <c r="W176" i="18"/>
  <c r="W177" i="18"/>
  <c r="W178" i="18"/>
  <c r="W179" i="18"/>
  <c r="W180" i="18"/>
  <c r="W181" i="18"/>
  <c r="W182" i="18"/>
  <c r="W183" i="18"/>
  <c r="W184" i="18"/>
  <c r="W185" i="18"/>
  <c r="W186" i="18"/>
  <c r="W187" i="18"/>
  <c r="W188" i="18"/>
  <c r="W189" i="18"/>
  <c r="W190" i="18"/>
  <c r="W191" i="18"/>
  <c r="W192" i="18"/>
  <c r="W193" i="18"/>
  <c r="W194" i="18"/>
  <c r="W195" i="18"/>
  <c r="W196" i="18"/>
  <c r="W197" i="18"/>
  <c r="W198" i="18"/>
  <c r="W199" i="18"/>
  <c r="W200" i="18"/>
  <c r="W201" i="18"/>
  <c r="W202" i="18"/>
  <c r="W203" i="18"/>
  <c r="W204" i="18"/>
  <c r="W205" i="18"/>
  <c r="W206" i="18"/>
  <c r="W207" i="18"/>
  <c r="W208" i="18"/>
  <c r="W209" i="18"/>
  <c r="W210" i="18"/>
  <c r="W211" i="18"/>
  <c r="W212" i="18"/>
  <c r="W213" i="18"/>
  <c r="W214" i="18"/>
  <c r="W215" i="18"/>
  <c r="W5" i="18"/>
  <c r="M6" i="18"/>
  <c r="X6" i="18" s="1"/>
  <c r="M7" i="18"/>
  <c r="X7" i="18" s="1"/>
  <c r="M8" i="18"/>
  <c r="X8" i="18" s="1"/>
  <c r="M9" i="18"/>
  <c r="X9" i="18" s="1"/>
  <c r="M10" i="18"/>
  <c r="X10" i="18" s="1"/>
  <c r="M11" i="18"/>
  <c r="X11" i="18" s="1"/>
  <c r="M12" i="18"/>
  <c r="X12" i="18" s="1"/>
  <c r="M13" i="18"/>
  <c r="X13" i="18" s="1"/>
  <c r="M14" i="18"/>
  <c r="X14" i="18" s="1"/>
  <c r="M15" i="18"/>
  <c r="X15" i="18" s="1"/>
  <c r="M16" i="18"/>
  <c r="X16" i="18" s="1"/>
  <c r="M17" i="18"/>
  <c r="X17" i="18" s="1"/>
  <c r="M18" i="18"/>
  <c r="X18" i="18" s="1"/>
  <c r="M19" i="18"/>
  <c r="X19" i="18" s="1"/>
  <c r="M20" i="18"/>
  <c r="X20" i="18" s="1"/>
  <c r="M21" i="18"/>
  <c r="X21" i="18" s="1"/>
  <c r="Y21" i="18" s="1"/>
  <c r="M22" i="18"/>
  <c r="X22" i="18" s="1"/>
  <c r="Y22" i="18" s="1"/>
  <c r="M23" i="18"/>
  <c r="X23" i="18" s="1"/>
  <c r="Y23" i="18" s="1"/>
  <c r="M24" i="18"/>
  <c r="X24" i="18" s="1"/>
  <c r="Y24" i="18" s="1"/>
  <c r="M25" i="18"/>
  <c r="X25" i="18" s="1"/>
  <c r="Y25" i="18" s="1"/>
  <c r="M26" i="18"/>
  <c r="X26" i="18" s="1"/>
  <c r="Y26" i="18" s="1"/>
  <c r="M27" i="18"/>
  <c r="X27" i="18" s="1"/>
  <c r="Y27" i="18" s="1"/>
  <c r="M28" i="18"/>
  <c r="X28" i="18" s="1"/>
  <c r="Y28" i="18" s="1"/>
  <c r="M29" i="18"/>
  <c r="X29" i="18" s="1"/>
  <c r="Y29" i="18" s="1"/>
  <c r="M30" i="18"/>
  <c r="X30" i="18" s="1"/>
  <c r="Y30" i="18" s="1"/>
  <c r="M31" i="18"/>
  <c r="X31" i="18" s="1"/>
  <c r="Y31" i="18" s="1"/>
  <c r="M32" i="18"/>
  <c r="X32" i="18" s="1"/>
  <c r="Y32" i="18" s="1"/>
  <c r="M33" i="18"/>
  <c r="X33" i="18" s="1"/>
  <c r="Y33" i="18" s="1"/>
  <c r="M34" i="18"/>
  <c r="X34" i="18" s="1"/>
  <c r="Y34" i="18" s="1"/>
  <c r="M35" i="18"/>
  <c r="X35" i="18" s="1"/>
  <c r="Y35" i="18" s="1"/>
  <c r="M36" i="18"/>
  <c r="X36" i="18" s="1"/>
  <c r="Y36" i="18" s="1"/>
  <c r="M37" i="18"/>
  <c r="X37" i="18" s="1"/>
  <c r="Y37" i="18" s="1"/>
  <c r="M38" i="18"/>
  <c r="X38" i="18" s="1"/>
  <c r="Y38" i="18" s="1"/>
  <c r="M39" i="18"/>
  <c r="X39" i="18" s="1"/>
  <c r="Y39" i="18" s="1"/>
  <c r="M40" i="18"/>
  <c r="X40" i="18" s="1"/>
  <c r="Y40" i="18" s="1"/>
  <c r="M41" i="18"/>
  <c r="X41" i="18" s="1"/>
  <c r="Y41" i="18" s="1"/>
  <c r="M42" i="18"/>
  <c r="X42" i="18" s="1"/>
  <c r="Y42" i="18" s="1"/>
  <c r="M43" i="18"/>
  <c r="X43" i="18" s="1"/>
  <c r="Y43" i="18" s="1"/>
  <c r="M44" i="18"/>
  <c r="X44" i="18" s="1"/>
  <c r="Y44" i="18" s="1"/>
  <c r="M45" i="18"/>
  <c r="X45" i="18" s="1"/>
  <c r="Y45" i="18" s="1"/>
  <c r="M46" i="18"/>
  <c r="X46" i="18" s="1"/>
  <c r="Y46" i="18" s="1"/>
  <c r="M47" i="18"/>
  <c r="X47" i="18" s="1"/>
  <c r="Y47" i="18" s="1"/>
  <c r="M48" i="18"/>
  <c r="X48" i="18" s="1"/>
  <c r="Y48" i="18" s="1"/>
  <c r="M49" i="18"/>
  <c r="X49" i="18" s="1"/>
  <c r="Y49" i="18" s="1"/>
  <c r="M50" i="18"/>
  <c r="X50" i="18" s="1"/>
  <c r="Y50" i="18" s="1"/>
  <c r="M51" i="18"/>
  <c r="X51" i="18" s="1"/>
  <c r="Y51" i="18" s="1"/>
  <c r="M52" i="18"/>
  <c r="X52" i="18" s="1"/>
  <c r="Y52" i="18" s="1"/>
  <c r="M53" i="18"/>
  <c r="X53" i="18" s="1"/>
  <c r="Y53" i="18" s="1"/>
  <c r="M54" i="18"/>
  <c r="X54" i="18" s="1"/>
  <c r="Y54" i="18" s="1"/>
  <c r="M55" i="18"/>
  <c r="X55" i="18" s="1"/>
  <c r="Y55" i="18" s="1"/>
  <c r="M56" i="18"/>
  <c r="X56" i="18" s="1"/>
  <c r="Y56" i="18" s="1"/>
  <c r="M57" i="18"/>
  <c r="X57" i="18" s="1"/>
  <c r="Y57" i="18" s="1"/>
  <c r="M58" i="18"/>
  <c r="X58" i="18" s="1"/>
  <c r="Y58" i="18" s="1"/>
  <c r="M59" i="18"/>
  <c r="X59" i="18" s="1"/>
  <c r="Y59" i="18" s="1"/>
  <c r="M60" i="18"/>
  <c r="X60" i="18" s="1"/>
  <c r="Y60" i="18" s="1"/>
  <c r="M61" i="18"/>
  <c r="X61" i="18" s="1"/>
  <c r="Y61" i="18" s="1"/>
  <c r="M62" i="18"/>
  <c r="X62" i="18" s="1"/>
  <c r="Y62" i="18" s="1"/>
  <c r="M63" i="18"/>
  <c r="X63" i="18" s="1"/>
  <c r="Y63" i="18" s="1"/>
  <c r="M64" i="18"/>
  <c r="X64" i="18" s="1"/>
  <c r="Y64" i="18" s="1"/>
  <c r="M65" i="18"/>
  <c r="X65" i="18" s="1"/>
  <c r="Y65" i="18" s="1"/>
  <c r="M66" i="18"/>
  <c r="X66" i="18" s="1"/>
  <c r="Y66" i="18" s="1"/>
  <c r="M67" i="18"/>
  <c r="X67" i="18" s="1"/>
  <c r="Y67" i="18" s="1"/>
  <c r="M68" i="18"/>
  <c r="X68" i="18" s="1"/>
  <c r="Y68" i="18" s="1"/>
  <c r="M69" i="18"/>
  <c r="X69" i="18" s="1"/>
  <c r="Y69" i="18" s="1"/>
  <c r="M70" i="18"/>
  <c r="X70" i="18" s="1"/>
  <c r="Y70" i="18" s="1"/>
  <c r="M71" i="18"/>
  <c r="X71" i="18" s="1"/>
  <c r="Y71" i="18" s="1"/>
  <c r="M72" i="18"/>
  <c r="X72" i="18" s="1"/>
  <c r="Y72" i="18" s="1"/>
  <c r="M73" i="18"/>
  <c r="X73" i="18" s="1"/>
  <c r="Y73" i="18" s="1"/>
  <c r="M74" i="18"/>
  <c r="X74" i="18" s="1"/>
  <c r="Y74" i="18" s="1"/>
  <c r="M75" i="18"/>
  <c r="X75" i="18" s="1"/>
  <c r="Y75" i="18" s="1"/>
  <c r="M76" i="18"/>
  <c r="X76" i="18" s="1"/>
  <c r="Y76" i="18" s="1"/>
  <c r="M77" i="18"/>
  <c r="X77" i="18" s="1"/>
  <c r="Y77" i="18" s="1"/>
  <c r="M78" i="18"/>
  <c r="X78" i="18" s="1"/>
  <c r="Y78" i="18" s="1"/>
  <c r="M79" i="18"/>
  <c r="X79" i="18" s="1"/>
  <c r="Y79" i="18" s="1"/>
  <c r="M80" i="18"/>
  <c r="X80" i="18" s="1"/>
  <c r="Y80" i="18" s="1"/>
  <c r="M81" i="18"/>
  <c r="X81" i="18" s="1"/>
  <c r="Y81" i="18" s="1"/>
  <c r="M82" i="18"/>
  <c r="X82" i="18" s="1"/>
  <c r="Y82" i="18" s="1"/>
  <c r="M83" i="18"/>
  <c r="X83" i="18" s="1"/>
  <c r="Y83" i="18" s="1"/>
  <c r="M84" i="18"/>
  <c r="X84" i="18" s="1"/>
  <c r="Y84" i="18" s="1"/>
  <c r="M85" i="18"/>
  <c r="X85" i="18" s="1"/>
  <c r="Y85" i="18" s="1"/>
  <c r="M86" i="18"/>
  <c r="X86" i="18" s="1"/>
  <c r="Y86" i="18" s="1"/>
  <c r="M87" i="18"/>
  <c r="X87" i="18" s="1"/>
  <c r="Y87" i="18" s="1"/>
  <c r="M88" i="18"/>
  <c r="X88" i="18" s="1"/>
  <c r="Y88" i="18" s="1"/>
  <c r="M89" i="18"/>
  <c r="X89" i="18" s="1"/>
  <c r="Y89" i="18" s="1"/>
  <c r="M90" i="18"/>
  <c r="X90" i="18" s="1"/>
  <c r="Y90" i="18" s="1"/>
  <c r="M91" i="18"/>
  <c r="X91" i="18" s="1"/>
  <c r="Y91" i="18" s="1"/>
  <c r="M92" i="18"/>
  <c r="X92" i="18" s="1"/>
  <c r="Y92" i="18" s="1"/>
  <c r="M93" i="18"/>
  <c r="X93" i="18" s="1"/>
  <c r="Y93" i="18" s="1"/>
  <c r="M94" i="18"/>
  <c r="X94" i="18" s="1"/>
  <c r="Y94" i="18" s="1"/>
  <c r="M95" i="18"/>
  <c r="X95" i="18" s="1"/>
  <c r="Y95" i="18" s="1"/>
  <c r="M96" i="18"/>
  <c r="X96" i="18" s="1"/>
  <c r="Y96" i="18" s="1"/>
  <c r="M97" i="18"/>
  <c r="X97" i="18" s="1"/>
  <c r="Y97" i="18" s="1"/>
  <c r="M98" i="18"/>
  <c r="X98" i="18" s="1"/>
  <c r="Y98" i="18" s="1"/>
  <c r="M99" i="18"/>
  <c r="X99" i="18" s="1"/>
  <c r="Y99" i="18" s="1"/>
  <c r="M100" i="18"/>
  <c r="X100" i="18" s="1"/>
  <c r="Y100" i="18" s="1"/>
  <c r="M101" i="18"/>
  <c r="X101" i="18" s="1"/>
  <c r="Y101" i="18" s="1"/>
  <c r="M102" i="18"/>
  <c r="X102" i="18" s="1"/>
  <c r="Y102" i="18" s="1"/>
  <c r="M103" i="18"/>
  <c r="X103" i="18" s="1"/>
  <c r="Y103" i="18" s="1"/>
  <c r="M104" i="18"/>
  <c r="X104" i="18" s="1"/>
  <c r="Y104" i="18" s="1"/>
  <c r="M105" i="18"/>
  <c r="X105" i="18" s="1"/>
  <c r="Y105" i="18" s="1"/>
  <c r="M106" i="18"/>
  <c r="X106" i="18" s="1"/>
  <c r="Y106" i="18" s="1"/>
  <c r="M107" i="18"/>
  <c r="X107" i="18" s="1"/>
  <c r="Y107" i="18" s="1"/>
  <c r="M108" i="18"/>
  <c r="X108" i="18" s="1"/>
  <c r="Y108" i="18" s="1"/>
  <c r="M109" i="18"/>
  <c r="X109" i="18" s="1"/>
  <c r="Y109" i="18" s="1"/>
  <c r="M110" i="18"/>
  <c r="X110" i="18" s="1"/>
  <c r="Y110" i="18" s="1"/>
  <c r="M111" i="18"/>
  <c r="X111" i="18" s="1"/>
  <c r="Y111" i="18" s="1"/>
  <c r="M112" i="18"/>
  <c r="X112" i="18" s="1"/>
  <c r="Y112" i="18" s="1"/>
  <c r="M113" i="18"/>
  <c r="X113" i="18" s="1"/>
  <c r="Y113" i="18" s="1"/>
  <c r="M114" i="18"/>
  <c r="X114" i="18" s="1"/>
  <c r="Y114" i="18" s="1"/>
  <c r="M115" i="18"/>
  <c r="X115" i="18" s="1"/>
  <c r="Y115" i="18" s="1"/>
  <c r="M116" i="18"/>
  <c r="X116" i="18" s="1"/>
  <c r="Y116" i="18" s="1"/>
  <c r="M117" i="18"/>
  <c r="X117" i="18" s="1"/>
  <c r="Y117" i="18" s="1"/>
  <c r="M118" i="18"/>
  <c r="X118" i="18" s="1"/>
  <c r="Y118" i="18" s="1"/>
  <c r="M119" i="18"/>
  <c r="X119" i="18" s="1"/>
  <c r="Y119" i="18" s="1"/>
  <c r="M120" i="18"/>
  <c r="X120" i="18" s="1"/>
  <c r="Y120" i="18" s="1"/>
  <c r="M121" i="18"/>
  <c r="X121" i="18" s="1"/>
  <c r="Y121" i="18" s="1"/>
  <c r="M122" i="18"/>
  <c r="X122" i="18" s="1"/>
  <c r="Y122" i="18" s="1"/>
  <c r="M123" i="18"/>
  <c r="X123" i="18" s="1"/>
  <c r="Y123" i="18" s="1"/>
  <c r="M124" i="18"/>
  <c r="X124" i="18" s="1"/>
  <c r="Y124" i="18" s="1"/>
  <c r="M125" i="18"/>
  <c r="X125" i="18" s="1"/>
  <c r="Y125" i="18" s="1"/>
  <c r="M126" i="18"/>
  <c r="X126" i="18" s="1"/>
  <c r="Y126" i="18" s="1"/>
  <c r="M127" i="18"/>
  <c r="X127" i="18" s="1"/>
  <c r="Y127" i="18" s="1"/>
  <c r="M128" i="18"/>
  <c r="X128" i="18" s="1"/>
  <c r="Y128" i="18" s="1"/>
  <c r="M129" i="18"/>
  <c r="X129" i="18" s="1"/>
  <c r="Y129" i="18" s="1"/>
  <c r="M130" i="18"/>
  <c r="X130" i="18" s="1"/>
  <c r="Y130" i="18" s="1"/>
  <c r="M131" i="18"/>
  <c r="X131" i="18" s="1"/>
  <c r="Y131" i="18" s="1"/>
  <c r="M132" i="18"/>
  <c r="X132" i="18" s="1"/>
  <c r="Y132" i="18" s="1"/>
  <c r="M133" i="18"/>
  <c r="X133" i="18" s="1"/>
  <c r="Y133" i="18" s="1"/>
  <c r="M134" i="18"/>
  <c r="X134" i="18" s="1"/>
  <c r="Y134" i="18" s="1"/>
  <c r="M135" i="18"/>
  <c r="X135" i="18" s="1"/>
  <c r="Y135" i="18" s="1"/>
  <c r="M136" i="18"/>
  <c r="X136" i="18" s="1"/>
  <c r="Y136" i="18" s="1"/>
  <c r="M137" i="18"/>
  <c r="X137" i="18" s="1"/>
  <c r="Y137" i="18" s="1"/>
  <c r="M138" i="18"/>
  <c r="X138" i="18" s="1"/>
  <c r="Y138" i="18" s="1"/>
  <c r="M139" i="18"/>
  <c r="X139" i="18" s="1"/>
  <c r="Y139" i="18" s="1"/>
  <c r="M140" i="18"/>
  <c r="X140" i="18" s="1"/>
  <c r="Y140" i="18" s="1"/>
  <c r="M141" i="18"/>
  <c r="X141" i="18" s="1"/>
  <c r="Y141" i="18" s="1"/>
  <c r="M142" i="18"/>
  <c r="X142" i="18" s="1"/>
  <c r="Y142" i="18" s="1"/>
  <c r="M143" i="18"/>
  <c r="X143" i="18" s="1"/>
  <c r="Y143" i="18" s="1"/>
  <c r="M144" i="18"/>
  <c r="X144" i="18" s="1"/>
  <c r="Y144" i="18" s="1"/>
  <c r="M145" i="18"/>
  <c r="X145" i="18" s="1"/>
  <c r="Y145" i="18" s="1"/>
  <c r="M146" i="18"/>
  <c r="X146" i="18" s="1"/>
  <c r="Y146" i="18" s="1"/>
  <c r="M147" i="18"/>
  <c r="X147" i="18" s="1"/>
  <c r="Y147" i="18" s="1"/>
  <c r="M148" i="18"/>
  <c r="X148" i="18" s="1"/>
  <c r="Y148" i="18" s="1"/>
  <c r="M149" i="18"/>
  <c r="X149" i="18" s="1"/>
  <c r="Y149" i="18" s="1"/>
  <c r="M150" i="18"/>
  <c r="X150" i="18" s="1"/>
  <c r="Y150" i="18" s="1"/>
  <c r="M151" i="18"/>
  <c r="X151" i="18" s="1"/>
  <c r="Y151" i="18" s="1"/>
  <c r="M152" i="18"/>
  <c r="X152" i="18" s="1"/>
  <c r="Y152" i="18" s="1"/>
  <c r="M153" i="18"/>
  <c r="X153" i="18" s="1"/>
  <c r="Y153" i="18" s="1"/>
  <c r="M154" i="18"/>
  <c r="X154" i="18" s="1"/>
  <c r="Y154" i="18" s="1"/>
  <c r="M155" i="18"/>
  <c r="X155" i="18" s="1"/>
  <c r="Y155" i="18" s="1"/>
  <c r="M156" i="18"/>
  <c r="X156" i="18" s="1"/>
  <c r="Y156" i="18" s="1"/>
  <c r="M157" i="18"/>
  <c r="X157" i="18" s="1"/>
  <c r="Y157" i="18" s="1"/>
  <c r="M158" i="18"/>
  <c r="X158" i="18" s="1"/>
  <c r="Y158" i="18" s="1"/>
  <c r="M159" i="18"/>
  <c r="X159" i="18" s="1"/>
  <c r="Y159" i="18" s="1"/>
  <c r="M160" i="18"/>
  <c r="X160" i="18" s="1"/>
  <c r="Y160" i="18" s="1"/>
  <c r="M161" i="18"/>
  <c r="X161" i="18" s="1"/>
  <c r="Y161" i="18" s="1"/>
  <c r="M162" i="18"/>
  <c r="X162" i="18" s="1"/>
  <c r="Y162" i="18" s="1"/>
  <c r="M163" i="18"/>
  <c r="X163" i="18" s="1"/>
  <c r="Y163" i="18" s="1"/>
  <c r="M164" i="18"/>
  <c r="X164" i="18" s="1"/>
  <c r="Y164" i="18" s="1"/>
  <c r="M165" i="18"/>
  <c r="X165" i="18" s="1"/>
  <c r="Y165" i="18" s="1"/>
  <c r="M166" i="18"/>
  <c r="X166" i="18" s="1"/>
  <c r="Y166" i="18" s="1"/>
  <c r="M167" i="18"/>
  <c r="X167" i="18" s="1"/>
  <c r="Y167" i="18" s="1"/>
  <c r="M168" i="18"/>
  <c r="X168" i="18" s="1"/>
  <c r="Y168" i="18" s="1"/>
  <c r="M169" i="18"/>
  <c r="X169" i="18" s="1"/>
  <c r="Y169" i="18" s="1"/>
  <c r="M170" i="18"/>
  <c r="X170" i="18" s="1"/>
  <c r="Y170" i="18" s="1"/>
  <c r="M171" i="18"/>
  <c r="X171" i="18" s="1"/>
  <c r="Y171" i="18" s="1"/>
  <c r="M172" i="18"/>
  <c r="X172" i="18" s="1"/>
  <c r="Y172" i="18" s="1"/>
  <c r="M173" i="18"/>
  <c r="X173" i="18" s="1"/>
  <c r="Y173" i="18" s="1"/>
  <c r="M174" i="18"/>
  <c r="X174" i="18" s="1"/>
  <c r="Y174" i="18" s="1"/>
  <c r="M175" i="18"/>
  <c r="X175" i="18" s="1"/>
  <c r="Y175" i="18" s="1"/>
  <c r="M176" i="18"/>
  <c r="X176" i="18" s="1"/>
  <c r="Y176" i="18" s="1"/>
  <c r="M177" i="18"/>
  <c r="X177" i="18" s="1"/>
  <c r="Y177" i="18" s="1"/>
  <c r="M178" i="18"/>
  <c r="X178" i="18" s="1"/>
  <c r="Y178" i="18" s="1"/>
  <c r="M179" i="18"/>
  <c r="X179" i="18" s="1"/>
  <c r="Y179" i="18" s="1"/>
  <c r="M180" i="18"/>
  <c r="X180" i="18" s="1"/>
  <c r="Y180" i="18" s="1"/>
  <c r="M181" i="18"/>
  <c r="X181" i="18" s="1"/>
  <c r="Y181" i="18" s="1"/>
  <c r="M182" i="18"/>
  <c r="X182" i="18" s="1"/>
  <c r="Y182" i="18" s="1"/>
  <c r="M183" i="18"/>
  <c r="X183" i="18" s="1"/>
  <c r="Y183" i="18" s="1"/>
  <c r="M184" i="18"/>
  <c r="X184" i="18" s="1"/>
  <c r="Y184" i="18" s="1"/>
  <c r="M185" i="18"/>
  <c r="X185" i="18" s="1"/>
  <c r="Y185" i="18" s="1"/>
  <c r="M186" i="18"/>
  <c r="X186" i="18" s="1"/>
  <c r="Y186" i="18" s="1"/>
  <c r="M187" i="18"/>
  <c r="X187" i="18" s="1"/>
  <c r="Y187" i="18" s="1"/>
  <c r="M188" i="18"/>
  <c r="X188" i="18" s="1"/>
  <c r="Y188" i="18" s="1"/>
  <c r="M189" i="18"/>
  <c r="X189" i="18" s="1"/>
  <c r="Y189" i="18" s="1"/>
  <c r="M190" i="18"/>
  <c r="X190" i="18" s="1"/>
  <c r="Y190" i="18" s="1"/>
  <c r="M191" i="18"/>
  <c r="X191" i="18" s="1"/>
  <c r="Y191" i="18" s="1"/>
  <c r="M192" i="18"/>
  <c r="X192" i="18" s="1"/>
  <c r="Y192" i="18" s="1"/>
  <c r="M193" i="18"/>
  <c r="X193" i="18" s="1"/>
  <c r="Y193" i="18" s="1"/>
  <c r="M194" i="18"/>
  <c r="X194" i="18" s="1"/>
  <c r="Y194" i="18" s="1"/>
  <c r="M195" i="18"/>
  <c r="X195" i="18" s="1"/>
  <c r="Y195" i="18" s="1"/>
  <c r="M196" i="18"/>
  <c r="X196" i="18" s="1"/>
  <c r="Y196" i="18" s="1"/>
  <c r="M197" i="18"/>
  <c r="X197" i="18" s="1"/>
  <c r="Y197" i="18" s="1"/>
  <c r="M198" i="18"/>
  <c r="X198" i="18" s="1"/>
  <c r="Y198" i="18" s="1"/>
  <c r="M199" i="18"/>
  <c r="X199" i="18" s="1"/>
  <c r="Y199" i="18" s="1"/>
  <c r="M200" i="18"/>
  <c r="X200" i="18" s="1"/>
  <c r="Y200" i="18" s="1"/>
  <c r="M201" i="18"/>
  <c r="X201" i="18" s="1"/>
  <c r="Y201" i="18" s="1"/>
  <c r="M202" i="18"/>
  <c r="X202" i="18" s="1"/>
  <c r="Y202" i="18" s="1"/>
  <c r="M203" i="18"/>
  <c r="X203" i="18" s="1"/>
  <c r="Y203" i="18" s="1"/>
  <c r="M204" i="18"/>
  <c r="X204" i="18" s="1"/>
  <c r="Y204" i="18" s="1"/>
  <c r="M205" i="18"/>
  <c r="X205" i="18" s="1"/>
  <c r="Y205" i="18" s="1"/>
  <c r="M206" i="18"/>
  <c r="X206" i="18" s="1"/>
  <c r="Y206" i="18" s="1"/>
  <c r="M207" i="18"/>
  <c r="X207" i="18" s="1"/>
  <c r="Y207" i="18" s="1"/>
  <c r="M208" i="18"/>
  <c r="X208" i="18" s="1"/>
  <c r="Y208" i="18" s="1"/>
  <c r="M209" i="18"/>
  <c r="X209" i="18" s="1"/>
  <c r="Y209" i="18" s="1"/>
  <c r="M210" i="18"/>
  <c r="X210" i="18" s="1"/>
  <c r="Y210" i="18" s="1"/>
  <c r="M211" i="18"/>
  <c r="X211" i="18" s="1"/>
  <c r="Y211" i="18" s="1"/>
  <c r="M212" i="18"/>
  <c r="X212" i="18" s="1"/>
  <c r="Y212" i="18" s="1"/>
  <c r="M213" i="18"/>
  <c r="X213" i="18" s="1"/>
  <c r="Y213" i="18" s="1"/>
  <c r="M214" i="18"/>
  <c r="X214" i="18" s="1"/>
  <c r="Y214" i="18" s="1"/>
  <c r="M215" i="18"/>
  <c r="X215" i="18" s="1"/>
  <c r="Y215" i="18" s="1"/>
  <c r="M5" i="18"/>
  <c r="X5" i="18" s="1"/>
  <c r="G6" i="8"/>
  <c r="H6" i="8"/>
  <c r="I6" i="8"/>
  <c r="J6" i="8"/>
  <c r="G7" i="8"/>
  <c r="H7" i="8"/>
  <c r="I7" i="8"/>
  <c r="J7" i="8"/>
  <c r="G8" i="8"/>
  <c r="H8" i="8"/>
  <c r="I8" i="8"/>
  <c r="J8" i="8"/>
  <c r="G9" i="8"/>
  <c r="H9" i="8"/>
  <c r="I9" i="8"/>
  <c r="J9" i="8"/>
  <c r="G10" i="8"/>
  <c r="H10" i="8"/>
  <c r="I10" i="8"/>
  <c r="J10" i="8"/>
  <c r="G11" i="8"/>
  <c r="H11" i="8"/>
  <c r="I11" i="8"/>
  <c r="J11" i="8"/>
  <c r="G12" i="8"/>
  <c r="H12" i="8"/>
  <c r="I12" i="8"/>
  <c r="J12" i="8"/>
  <c r="G13" i="8"/>
  <c r="H13" i="8"/>
  <c r="I13" i="8"/>
  <c r="J13" i="8"/>
  <c r="G14" i="8"/>
  <c r="H14" i="8"/>
  <c r="I14" i="8"/>
  <c r="J14" i="8"/>
  <c r="G15" i="8"/>
  <c r="H15" i="8"/>
  <c r="I15" i="8"/>
  <c r="J15" i="8"/>
  <c r="G16" i="8"/>
  <c r="H16" i="8"/>
  <c r="I16" i="8"/>
  <c r="J16" i="8"/>
  <c r="G17" i="8"/>
  <c r="H17" i="8"/>
  <c r="I17" i="8"/>
  <c r="J17" i="8"/>
  <c r="G18" i="8"/>
  <c r="H18" i="8"/>
  <c r="I18" i="8"/>
  <c r="J18" i="8"/>
  <c r="G19" i="8"/>
  <c r="H19" i="8"/>
  <c r="I19" i="8"/>
  <c r="J19" i="8"/>
  <c r="G20" i="8"/>
  <c r="H20" i="8"/>
  <c r="I20" i="8"/>
  <c r="J20" i="8"/>
  <c r="G21" i="8"/>
  <c r="H21" i="8"/>
  <c r="I21" i="8"/>
  <c r="J21" i="8"/>
  <c r="G22" i="8"/>
  <c r="H22" i="8"/>
  <c r="I22" i="8"/>
  <c r="J22" i="8"/>
  <c r="G23" i="8"/>
  <c r="H23" i="8"/>
  <c r="I23" i="8"/>
  <c r="J23" i="8"/>
  <c r="G24" i="8"/>
  <c r="H24" i="8"/>
  <c r="I24" i="8"/>
  <c r="J24" i="8"/>
  <c r="G25" i="8"/>
  <c r="H25" i="8"/>
  <c r="I25" i="8"/>
  <c r="J25" i="8"/>
  <c r="G26" i="8"/>
  <c r="H26" i="8"/>
  <c r="I26" i="8"/>
  <c r="J26" i="8"/>
  <c r="G27" i="8"/>
  <c r="H27" i="8"/>
  <c r="I27" i="8"/>
  <c r="J27" i="8"/>
  <c r="G28" i="8"/>
  <c r="H28" i="8"/>
  <c r="I28" i="8"/>
  <c r="J28" i="8"/>
  <c r="G29" i="8"/>
  <c r="H29" i="8"/>
  <c r="I29" i="8"/>
  <c r="J29" i="8"/>
  <c r="G30" i="8"/>
  <c r="H30" i="8"/>
  <c r="I30" i="8"/>
  <c r="J30" i="8"/>
  <c r="G31" i="8"/>
  <c r="H31" i="8"/>
  <c r="I31" i="8"/>
  <c r="J31" i="8"/>
  <c r="G32" i="8"/>
  <c r="H32" i="8"/>
  <c r="I32" i="8"/>
  <c r="J32" i="8"/>
  <c r="G33" i="8"/>
  <c r="H33" i="8"/>
  <c r="I33" i="8"/>
  <c r="J33" i="8"/>
  <c r="G34" i="8"/>
  <c r="H34" i="8"/>
  <c r="I34" i="8"/>
  <c r="J34" i="8"/>
  <c r="G35" i="8"/>
  <c r="H35" i="8"/>
  <c r="I35" i="8"/>
  <c r="J35" i="8"/>
  <c r="G36" i="8"/>
  <c r="H36" i="8"/>
  <c r="I36" i="8"/>
  <c r="J36" i="8"/>
  <c r="G37" i="8"/>
  <c r="H37" i="8"/>
  <c r="I37" i="8"/>
  <c r="J37" i="8"/>
  <c r="G38" i="8"/>
  <c r="H38" i="8"/>
  <c r="I38" i="8"/>
  <c r="J38" i="8"/>
  <c r="G39" i="8"/>
  <c r="H39" i="8"/>
  <c r="I39" i="8"/>
  <c r="J39" i="8"/>
  <c r="G40" i="8"/>
  <c r="H40" i="8"/>
  <c r="I40" i="8"/>
  <c r="J40" i="8"/>
  <c r="G41" i="8"/>
  <c r="H41" i="8"/>
  <c r="I41" i="8"/>
  <c r="J41" i="8"/>
  <c r="G42" i="8"/>
  <c r="H42" i="8"/>
  <c r="I42" i="8"/>
  <c r="J42" i="8"/>
  <c r="G43" i="8"/>
  <c r="H43" i="8"/>
  <c r="I43" i="8"/>
  <c r="J43" i="8"/>
  <c r="G44" i="8"/>
  <c r="H44" i="8"/>
  <c r="I44" i="8"/>
  <c r="J44" i="8"/>
  <c r="G45" i="8"/>
  <c r="H45" i="8"/>
  <c r="I45" i="8"/>
  <c r="J45" i="8"/>
  <c r="G46" i="8"/>
  <c r="H46" i="8"/>
  <c r="I46" i="8"/>
  <c r="J46" i="8"/>
  <c r="G47" i="8"/>
  <c r="H47" i="8"/>
  <c r="I47" i="8"/>
  <c r="J47" i="8"/>
  <c r="G48" i="8"/>
  <c r="H48" i="8"/>
  <c r="I48" i="8"/>
  <c r="J48" i="8"/>
  <c r="G49" i="8"/>
  <c r="H49" i="8"/>
  <c r="I49" i="8"/>
  <c r="J49" i="8"/>
  <c r="G50" i="8"/>
  <c r="H50" i="8"/>
  <c r="I50" i="8"/>
  <c r="J50" i="8"/>
  <c r="G51" i="8"/>
  <c r="H51" i="8"/>
  <c r="I51" i="8"/>
  <c r="J51" i="8"/>
  <c r="G52" i="8"/>
  <c r="H52" i="8"/>
  <c r="I52" i="8"/>
  <c r="J52" i="8"/>
  <c r="G53" i="8"/>
  <c r="H53" i="8"/>
  <c r="I53" i="8"/>
  <c r="J53" i="8"/>
  <c r="G54" i="8"/>
  <c r="H54" i="8"/>
  <c r="I54" i="8"/>
  <c r="J54" i="8"/>
  <c r="G55" i="8"/>
  <c r="H55" i="8"/>
  <c r="I55" i="8"/>
  <c r="J55" i="8"/>
  <c r="G56" i="8"/>
  <c r="H56" i="8"/>
  <c r="I56" i="8"/>
  <c r="J56" i="8"/>
  <c r="G57" i="8"/>
  <c r="H57" i="8"/>
  <c r="I57" i="8"/>
  <c r="J57" i="8"/>
  <c r="G58" i="8"/>
  <c r="H58" i="8"/>
  <c r="I58" i="8"/>
  <c r="J58" i="8"/>
  <c r="G59" i="8"/>
  <c r="H59" i="8"/>
  <c r="I59" i="8"/>
  <c r="J59" i="8"/>
  <c r="G60" i="8"/>
  <c r="H60" i="8"/>
  <c r="I60" i="8"/>
  <c r="J60" i="8"/>
  <c r="G61" i="8"/>
  <c r="H61" i="8"/>
  <c r="I61" i="8"/>
  <c r="J61" i="8"/>
  <c r="G62" i="8"/>
  <c r="H62" i="8"/>
  <c r="I62" i="8"/>
  <c r="J62" i="8"/>
  <c r="G63" i="8"/>
  <c r="H63" i="8"/>
  <c r="I63" i="8"/>
  <c r="J63" i="8"/>
  <c r="G64" i="8"/>
  <c r="H64" i="8"/>
  <c r="I64" i="8"/>
  <c r="J64" i="8"/>
  <c r="G65" i="8"/>
  <c r="H65" i="8"/>
  <c r="I65" i="8"/>
  <c r="J65" i="8"/>
  <c r="G66" i="8"/>
  <c r="H66" i="8"/>
  <c r="I66" i="8"/>
  <c r="J66" i="8"/>
  <c r="G67" i="8"/>
  <c r="H67" i="8"/>
  <c r="I67" i="8"/>
  <c r="J67" i="8"/>
  <c r="G68" i="8"/>
  <c r="H68" i="8"/>
  <c r="I68" i="8"/>
  <c r="J68" i="8"/>
  <c r="G69" i="8"/>
  <c r="H69" i="8"/>
  <c r="I69" i="8"/>
  <c r="J69" i="8"/>
  <c r="G70" i="8"/>
  <c r="H70" i="8"/>
  <c r="I70" i="8"/>
  <c r="J70" i="8"/>
  <c r="G71" i="8"/>
  <c r="H71" i="8"/>
  <c r="I71" i="8"/>
  <c r="J71" i="8"/>
  <c r="G72" i="8"/>
  <c r="H72" i="8"/>
  <c r="I72" i="8"/>
  <c r="J72" i="8"/>
  <c r="G73" i="8"/>
  <c r="H73" i="8"/>
  <c r="I73" i="8"/>
  <c r="J73" i="8"/>
  <c r="G74" i="8"/>
  <c r="H74" i="8"/>
  <c r="I74" i="8"/>
  <c r="J74" i="8"/>
  <c r="G75" i="8"/>
  <c r="H75" i="8"/>
  <c r="I75" i="8"/>
  <c r="J75" i="8"/>
  <c r="G76" i="8"/>
  <c r="H76" i="8"/>
  <c r="I76" i="8"/>
  <c r="J76" i="8"/>
  <c r="G77" i="8"/>
  <c r="H77" i="8"/>
  <c r="I77" i="8"/>
  <c r="J77" i="8"/>
  <c r="G78" i="8"/>
  <c r="H78" i="8"/>
  <c r="I78" i="8"/>
  <c r="J78" i="8"/>
  <c r="G79" i="8"/>
  <c r="H79" i="8"/>
  <c r="I79" i="8"/>
  <c r="J79" i="8"/>
  <c r="G80" i="8"/>
  <c r="H80" i="8"/>
  <c r="I80" i="8"/>
  <c r="J80" i="8"/>
  <c r="G81" i="8"/>
  <c r="H81" i="8"/>
  <c r="I81" i="8"/>
  <c r="J81" i="8"/>
  <c r="G82" i="8"/>
  <c r="H82" i="8"/>
  <c r="I82" i="8"/>
  <c r="J82" i="8"/>
  <c r="G83" i="8"/>
  <c r="H83" i="8"/>
  <c r="I83" i="8"/>
  <c r="J83" i="8"/>
  <c r="G84" i="8"/>
  <c r="H84" i="8"/>
  <c r="I84" i="8"/>
  <c r="J84" i="8"/>
  <c r="G85" i="8"/>
  <c r="H85" i="8"/>
  <c r="I85" i="8"/>
  <c r="J85" i="8"/>
  <c r="G86" i="8"/>
  <c r="H86" i="8"/>
  <c r="I86" i="8"/>
  <c r="J86" i="8"/>
  <c r="G87" i="8"/>
  <c r="H87" i="8"/>
  <c r="I87" i="8"/>
  <c r="J87" i="8"/>
  <c r="G88" i="8"/>
  <c r="H88" i="8"/>
  <c r="I88" i="8"/>
  <c r="J88" i="8"/>
  <c r="G89" i="8"/>
  <c r="H89" i="8"/>
  <c r="I89" i="8"/>
  <c r="J89" i="8"/>
  <c r="G90" i="8"/>
  <c r="H90" i="8"/>
  <c r="I90" i="8"/>
  <c r="J90" i="8"/>
  <c r="G91" i="8"/>
  <c r="H91" i="8"/>
  <c r="I91" i="8"/>
  <c r="J91" i="8"/>
  <c r="G92" i="8"/>
  <c r="H92" i="8"/>
  <c r="I92" i="8"/>
  <c r="J92" i="8"/>
  <c r="G93" i="8"/>
  <c r="H93" i="8"/>
  <c r="I93" i="8"/>
  <c r="J93" i="8"/>
  <c r="G94" i="8"/>
  <c r="H94" i="8"/>
  <c r="I94" i="8"/>
  <c r="J94" i="8"/>
  <c r="G95" i="8"/>
  <c r="H95" i="8"/>
  <c r="I95" i="8"/>
  <c r="J95" i="8"/>
  <c r="G96" i="8"/>
  <c r="H96" i="8"/>
  <c r="I96" i="8"/>
  <c r="J96" i="8"/>
  <c r="G97" i="8"/>
  <c r="H97" i="8"/>
  <c r="I97" i="8"/>
  <c r="J97" i="8"/>
  <c r="G98" i="8"/>
  <c r="H98" i="8"/>
  <c r="I98" i="8"/>
  <c r="J98" i="8"/>
  <c r="G99" i="8"/>
  <c r="H99" i="8"/>
  <c r="I99" i="8"/>
  <c r="J99" i="8"/>
  <c r="G100" i="8"/>
  <c r="H100" i="8"/>
  <c r="I100" i="8"/>
  <c r="J100" i="8"/>
  <c r="G101" i="8"/>
  <c r="H101" i="8"/>
  <c r="I101" i="8"/>
  <c r="J101" i="8"/>
  <c r="G102" i="8"/>
  <c r="H102" i="8"/>
  <c r="I102" i="8"/>
  <c r="J102" i="8"/>
  <c r="G103" i="8"/>
  <c r="H103" i="8"/>
  <c r="I103" i="8"/>
  <c r="J103" i="8"/>
  <c r="G104" i="8"/>
  <c r="H104" i="8"/>
  <c r="I104" i="8"/>
  <c r="J104" i="8"/>
  <c r="G5" i="8"/>
  <c r="H5" i="8"/>
  <c r="I5" i="8"/>
  <c r="G16" i="17"/>
  <c r="G17" i="17"/>
  <c r="G18" i="17"/>
  <c r="G19" i="17"/>
  <c r="G20" i="17"/>
  <c r="G21" i="17"/>
  <c r="J5" i="8"/>
  <c r="AU5" i="18" l="1"/>
  <c r="M104" i="8"/>
  <c r="N104" i="8"/>
  <c r="K104" i="8"/>
  <c r="O104" i="8" s="1"/>
  <c r="L104" i="8"/>
  <c r="P104" i="8" s="1"/>
  <c r="M103" i="8"/>
  <c r="N103" i="8"/>
  <c r="K103" i="8"/>
  <c r="O103" i="8" s="1"/>
  <c r="L103" i="8"/>
  <c r="P103" i="8" s="1"/>
  <c r="M102" i="8"/>
  <c r="N102" i="8"/>
  <c r="K102" i="8"/>
  <c r="O102" i="8" s="1"/>
  <c r="L102" i="8"/>
  <c r="P102" i="8" s="1"/>
  <c r="M101" i="8"/>
  <c r="N101" i="8"/>
  <c r="K101" i="8"/>
  <c r="O101" i="8" s="1"/>
  <c r="L101" i="8"/>
  <c r="P101" i="8" s="1"/>
  <c r="M100" i="8"/>
  <c r="N100" i="8"/>
  <c r="K100" i="8"/>
  <c r="O100" i="8" s="1"/>
  <c r="L100" i="8"/>
  <c r="P100" i="8" s="1"/>
  <c r="M99" i="8"/>
  <c r="N99" i="8"/>
  <c r="K99" i="8"/>
  <c r="O99" i="8" s="1"/>
  <c r="L99" i="8"/>
  <c r="P99" i="8" s="1"/>
  <c r="M98" i="8"/>
  <c r="N98" i="8"/>
  <c r="K98" i="8"/>
  <c r="O98" i="8" s="1"/>
  <c r="L98" i="8"/>
  <c r="P98" i="8" s="1"/>
  <c r="M97" i="8"/>
  <c r="N97" i="8"/>
  <c r="K97" i="8"/>
  <c r="O97" i="8" s="1"/>
  <c r="L97" i="8"/>
  <c r="P97" i="8" s="1"/>
  <c r="M96" i="8"/>
  <c r="N96" i="8"/>
  <c r="K96" i="8"/>
  <c r="O96" i="8" s="1"/>
  <c r="L96" i="8"/>
  <c r="P96" i="8" s="1"/>
  <c r="M95" i="8"/>
  <c r="N95" i="8"/>
  <c r="K95" i="8"/>
  <c r="O95" i="8" s="1"/>
  <c r="L95" i="8"/>
  <c r="P95" i="8" s="1"/>
  <c r="M94" i="8"/>
  <c r="N94" i="8"/>
  <c r="K94" i="8"/>
  <c r="O94" i="8" s="1"/>
  <c r="L94" i="8"/>
  <c r="P94" i="8" s="1"/>
  <c r="M93" i="8"/>
  <c r="N93" i="8"/>
  <c r="K93" i="8"/>
  <c r="O93" i="8" s="1"/>
  <c r="L93" i="8"/>
  <c r="P93" i="8" s="1"/>
  <c r="M92" i="8"/>
  <c r="N92" i="8"/>
  <c r="K92" i="8"/>
  <c r="O92" i="8" s="1"/>
  <c r="L92" i="8"/>
  <c r="P92" i="8" s="1"/>
  <c r="M91" i="8"/>
  <c r="N91" i="8"/>
  <c r="K91" i="8"/>
  <c r="O91" i="8" s="1"/>
  <c r="L91" i="8"/>
  <c r="P91" i="8" s="1"/>
  <c r="M90" i="8"/>
  <c r="N90" i="8"/>
  <c r="K90" i="8"/>
  <c r="O90" i="8" s="1"/>
  <c r="L90" i="8"/>
  <c r="P90" i="8" s="1"/>
  <c r="M89" i="8"/>
  <c r="N89" i="8"/>
  <c r="K89" i="8"/>
  <c r="O89" i="8" s="1"/>
  <c r="L89" i="8"/>
  <c r="P89" i="8" s="1"/>
  <c r="M88" i="8"/>
  <c r="N88" i="8"/>
  <c r="K88" i="8"/>
  <c r="O88" i="8" s="1"/>
  <c r="L88" i="8"/>
  <c r="P88" i="8" s="1"/>
  <c r="M87" i="8"/>
  <c r="N87" i="8"/>
  <c r="K87" i="8"/>
  <c r="O87" i="8" s="1"/>
  <c r="L87" i="8"/>
  <c r="P87" i="8" s="1"/>
  <c r="M86" i="8"/>
  <c r="N86" i="8"/>
  <c r="K86" i="8"/>
  <c r="O86" i="8" s="1"/>
  <c r="L86" i="8"/>
  <c r="P86" i="8" s="1"/>
  <c r="M85" i="8"/>
  <c r="N85" i="8"/>
  <c r="K85" i="8"/>
  <c r="O85" i="8" s="1"/>
  <c r="L85" i="8"/>
  <c r="P85" i="8" s="1"/>
  <c r="M84" i="8"/>
  <c r="N84" i="8"/>
  <c r="K84" i="8"/>
  <c r="O84" i="8" s="1"/>
  <c r="L84" i="8"/>
  <c r="P84" i="8" s="1"/>
  <c r="M83" i="8"/>
  <c r="N83" i="8"/>
  <c r="K83" i="8"/>
  <c r="O83" i="8" s="1"/>
  <c r="L83" i="8"/>
  <c r="P83" i="8" s="1"/>
  <c r="M82" i="8"/>
  <c r="N82" i="8"/>
  <c r="K82" i="8"/>
  <c r="O82" i="8" s="1"/>
  <c r="L82" i="8"/>
  <c r="P82" i="8" s="1"/>
  <c r="M81" i="8"/>
  <c r="N81" i="8"/>
  <c r="K81" i="8"/>
  <c r="O81" i="8" s="1"/>
  <c r="L81" i="8"/>
  <c r="P81" i="8" s="1"/>
  <c r="M80" i="8"/>
  <c r="N80" i="8"/>
  <c r="K80" i="8"/>
  <c r="O80" i="8" s="1"/>
  <c r="L80" i="8"/>
  <c r="P80" i="8" s="1"/>
  <c r="M79" i="8"/>
  <c r="N79" i="8"/>
  <c r="K79" i="8"/>
  <c r="O79" i="8" s="1"/>
  <c r="L79" i="8"/>
  <c r="P79" i="8" s="1"/>
  <c r="M78" i="8"/>
  <c r="N78" i="8"/>
  <c r="K78" i="8"/>
  <c r="O78" i="8" s="1"/>
  <c r="L78" i="8"/>
  <c r="P78" i="8" s="1"/>
  <c r="M77" i="8"/>
  <c r="N77" i="8"/>
  <c r="K77" i="8"/>
  <c r="O77" i="8" s="1"/>
  <c r="L77" i="8"/>
  <c r="P77" i="8" s="1"/>
  <c r="M76" i="8"/>
  <c r="N76" i="8"/>
  <c r="K76" i="8"/>
  <c r="O76" i="8" s="1"/>
  <c r="L76" i="8"/>
  <c r="P76" i="8" s="1"/>
  <c r="M75" i="8"/>
  <c r="N75" i="8"/>
  <c r="K75" i="8"/>
  <c r="O75" i="8" s="1"/>
  <c r="L75" i="8"/>
  <c r="P75" i="8" s="1"/>
  <c r="M74" i="8"/>
  <c r="N74" i="8"/>
  <c r="K74" i="8"/>
  <c r="O74" i="8" s="1"/>
  <c r="L74" i="8"/>
  <c r="P74" i="8" s="1"/>
  <c r="M73" i="8"/>
  <c r="N73" i="8"/>
  <c r="K73" i="8"/>
  <c r="O73" i="8" s="1"/>
  <c r="L73" i="8"/>
  <c r="P73" i="8" s="1"/>
  <c r="M72" i="8"/>
  <c r="N72" i="8"/>
  <c r="K72" i="8"/>
  <c r="O72" i="8" s="1"/>
  <c r="L72" i="8"/>
  <c r="P72" i="8" s="1"/>
  <c r="M71" i="8"/>
  <c r="N71" i="8"/>
  <c r="K71" i="8"/>
  <c r="O71" i="8" s="1"/>
  <c r="L71" i="8"/>
  <c r="P71" i="8" s="1"/>
  <c r="M70" i="8"/>
  <c r="N70" i="8"/>
  <c r="K70" i="8"/>
  <c r="O70" i="8" s="1"/>
  <c r="L70" i="8"/>
  <c r="P70" i="8" s="1"/>
  <c r="M69" i="8"/>
  <c r="N69" i="8"/>
  <c r="K69" i="8"/>
  <c r="O69" i="8" s="1"/>
  <c r="L69" i="8"/>
  <c r="P69" i="8" s="1"/>
  <c r="M68" i="8"/>
  <c r="N68" i="8"/>
  <c r="K68" i="8"/>
  <c r="O68" i="8" s="1"/>
  <c r="L68" i="8"/>
  <c r="P68" i="8" s="1"/>
  <c r="M67" i="8"/>
  <c r="N67" i="8"/>
  <c r="K67" i="8"/>
  <c r="O67" i="8" s="1"/>
  <c r="L67" i="8"/>
  <c r="P67" i="8" s="1"/>
  <c r="M66" i="8"/>
  <c r="N66" i="8"/>
  <c r="K66" i="8"/>
  <c r="O66" i="8" s="1"/>
  <c r="L66" i="8"/>
  <c r="P66" i="8" s="1"/>
  <c r="M65" i="8"/>
  <c r="N65" i="8"/>
  <c r="K65" i="8"/>
  <c r="O65" i="8" s="1"/>
  <c r="L65" i="8"/>
  <c r="P65" i="8" s="1"/>
  <c r="M64" i="8"/>
  <c r="N64" i="8"/>
  <c r="K64" i="8"/>
  <c r="O64" i="8" s="1"/>
  <c r="L64" i="8"/>
  <c r="P64" i="8" s="1"/>
  <c r="M63" i="8"/>
  <c r="N63" i="8"/>
  <c r="K63" i="8"/>
  <c r="O63" i="8" s="1"/>
  <c r="L63" i="8"/>
  <c r="P63" i="8" s="1"/>
  <c r="M62" i="8"/>
  <c r="N62" i="8"/>
  <c r="K62" i="8"/>
  <c r="O62" i="8" s="1"/>
  <c r="L62" i="8"/>
  <c r="P62" i="8" s="1"/>
  <c r="M61" i="8"/>
  <c r="N61" i="8"/>
  <c r="K61" i="8"/>
  <c r="O61" i="8" s="1"/>
  <c r="L61" i="8"/>
  <c r="P61" i="8" s="1"/>
  <c r="M60" i="8"/>
  <c r="N60" i="8"/>
  <c r="K60" i="8"/>
  <c r="O60" i="8" s="1"/>
  <c r="L60" i="8"/>
  <c r="P60" i="8" s="1"/>
  <c r="M59" i="8"/>
  <c r="N59" i="8"/>
  <c r="K59" i="8"/>
  <c r="O59" i="8" s="1"/>
  <c r="L59" i="8"/>
  <c r="P59" i="8" s="1"/>
  <c r="M58" i="8"/>
  <c r="N58" i="8"/>
  <c r="K58" i="8"/>
  <c r="O58" i="8" s="1"/>
  <c r="L58" i="8"/>
  <c r="P58" i="8" s="1"/>
  <c r="M57" i="8"/>
  <c r="N57" i="8"/>
  <c r="K57" i="8"/>
  <c r="O57" i="8" s="1"/>
  <c r="L57" i="8"/>
  <c r="P57" i="8" s="1"/>
  <c r="M56" i="8"/>
  <c r="N56" i="8"/>
  <c r="K56" i="8"/>
  <c r="O56" i="8" s="1"/>
  <c r="L56" i="8"/>
  <c r="P56" i="8" s="1"/>
  <c r="M55" i="8"/>
  <c r="N55" i="8"/>
  <c r="K55" i="8"/>
  <c r="O55" i="8" s="1"/>
  <c r="L55" i="8"/>
  <c r="P55" i="8" s="1"/>
  <c r="M54" i="8"/>
  <c r="N54" i="8"/>
  <c r="K54" i="8"/>
  <c r="O54" i="8" s="1"/>
  <c r="L54" i="8"/>
  <c r="P54" i="8" s="1"/>
  <c r="M53" i="8"/>
  <c r="N53" i="8"/>
  <c r="K53" i="8"/>
  <c r="O53" i="8" s="1"/>
  <c r="L53" i="8"/>
  <c r="P53" i="8" s="1"/>
  <c r="M52" i="8"/>
  <c r="N52" i="8"/>
  <c r="K52" i="8"/>
  <c r="O52" i="8" s="1"/>
  <c r="L52" i="8"/>
  <c r="P52" i="8" s="1"/>
  <c r="M51" i="8"/>
  <c r="N51" i="8"/>
  <c r="K51" i="8"/>
  <c r="O51" i="8" s="1"/>
  <c r="L51" i="8"/>
  <c r="P51" i="8" s="1"/>
  <c r="M50" i="8"/>
  <c r="N50" i="8"/>
  <c r="K50" i="8"/>
  <c r="O50" i="8" s="1"/>
  <c r="L50" i="8"/>
  <c r="P50" i="8" s="1"/>
  <c r="M49" i="8"/>
  <c r="N49" i="8"/>
  <c r="K49" i="8"/>
  <c r="O49" i="8" s="1"/>
  <c r="L49" i="8"/>
  <c r="P49" i="8" s="1"/>
  <c r="M48" i="8"/>
  <c r="N48" i="8"/>
  <c r="K48" i="8"/>
  <c r="O48" i="8" s="1"/>
  <c r="L48" i="8"/>
  <c r="P48" i="8" s="1"/>
  <c r="M47" i="8"/>
  <c r="N47" i="8"/>
  <c r="K47" i="8"/>
  <c r="O47" i="8" s="1"/>
  <c r="L47" i="8"/>
  <c r="P47" i="8" s="1"/>
  <c r="M46" i="8"/>
  <c r="N46" i="8"/>
  <c r="K46" i="8"/>
  <c r="O46" i="8" s="1"/>
  <c r="L46" i="8"/>
  <c r="P46" i="8" s="1"/>
  <c r="M45" i="8"/>
  <c r="N45" i="8"/>
  <c r="K45" i="8"/>
  <c r="O45" i="8" s="1"/>
  <c r="L45" i="8"/>
  <c r="P45" i="8" s="1"/>
  <c r="M44" i="8"/>
  <c r="N44" i="8"/>
  <c r="K44" i="8"/>
  <c r="O44" i="8" s="1"/>
  <c r="L44" i="8"/>
  <c r="P44" i="8" s="1"/>
  <c r="M43" i="8"/>
  <c r="N43" i="8"/>
  <c r="K43" i="8"/>
  <c r="O43" i="8" s="1"/>
  <c r="L43" i="8"/>
  <c r="P43" i="8" s="1"/>
  <c r="M42" i="8"/>
  <c r="N42" i="8"/>
  <c r="K42" i="8"/>
  <c r="O42" i="8" s="1"/>
  <c r="L42" i="8"/>
  <c r="P42" i="8" s="1"/>
  <c r="M41" i="8"/>
  <c r="N41" i="8"/>
  <c r="K41" i="8"/>
  <c r="O41" i="8" s="1"/>
  <c r="L41" i="8"/>
  <c r="P41" i="8" s="1"/>
  <c r="M40" i="8"/>
  <c r="N40" i="8"/>
  <c r="K40" i="8"/>
  <c r="O40" i="8" s="1"/>
  <c r="L40" i="8"/>
  <c r="P40" i="8" s="1"/>
  <c r="M39" i="8"/>
  <c r="N39" i="8"/>
  <c r="K39" i="8"/>
  <c r="O39" i="8" s="1"/>
  <c r="L39" i="8"/>
  <c r="P39" i="8" s="1"/>
  <c r="M38" i="8"/>
  <c r="N38" i="8"/>
  <c r="K38" i="8"/>
  <c r="O38" i="8" s="1"/>
  <c r="L38" i="8"/>
  <c r="P38" i="8" s="1"/>
  <c r="M37" i="8"/>
  <c r="N37" i="8"/>
  <c r="K37" i="8"/>
  <c r="O37" i="8" s="1"/>
  <c r="L37" i="8"/>
  <c r="P37" i="8" s="1"/>
  <c r="M36" i="8"/>
  <c r="N36" i="8"/>
  <c r="K36" i="8"/>
  <c r="O36" i="8" s="1"/>
  <c r="L36" i="8"/>
  <c r="P36" i="8" s="1"/>
  <c r="M35" i="8"/>
  <c r="N35" i="8"/>
  <c r="K35" i="8"/>
  <c r="O35" i="8" s="1"/>
  <c r="L35" i="8"/>
  <c r="P35" i="8" s="1"/>
  <c r="M34" i="8"/>
  <c r="N34" i="8"/>
  <c r="K34" i="8"/>
  <c r="O34" i="8" s="1"/>
  <c r="L34" i="8"/>
  <c r="P34" i="8" s="1"/>
  <c r="M33" i="8"/>
  <c r="N33" i="8"/>
  <c r="K33" i="8"/>
  <c r="O33" i="8" s="1"/>
  <c r="L33" i="8"/>
  <c r="P33" i="8" s="1"/>
  <c r="M32" i="8"/>
  <c r="N32" i="8"/>
  <c r="K32" i="8"/>
  <c r="O32" i="8" s="1"/>
  <c r="L32" i="8"/>
  <c r="P32" i="8" s="1"/>
  <c r="M31" i="8"/>
  <c r="N31" i="8"/>
  <c r="K31" i="8"/>
  <c r="O31" i="8" s="1"/>
  <c r="L31" i="8"/>
  <c r="P31" i="8" s="1"/>
  <c r="M30" i="8"/>
  <c r="N30" i="8"/>
  <c r="K30" i="8"/>
  <c r="O30" i="8" s="1"/>
  <c r="L30" i="8"/>
  <c r="P30" i="8" s="1"/>
  <c r="M29" i="8"/>
  <c r="N29" i="8"/>
  <c r="K29" i="8"/>
  <c r="O29" i="8" s="1"/>
  <c r="L29" i="8"/>
  <c r="P29" i="8" s="1"/>
  <c r="M28" i="8"/>
  <c r="N28" i="8"/>
  <c r="K28" i="8"/>
  <c r="O28" i="8" s="1"/>
  <c r="L28" i="8"/>
  <c r="P28" i="8" s="1"/>
  <c r="M27" i="8"/>
  <c r="N27" i="8"/>
  <c r="K27" i="8"/>
  <c r="O27" i="8" s="1"/>
  <c r="L27" i="8"/>
  <c r="P27" i="8" s="1"/>
  <c r="M26" i="8"/>
  <c r="N26" i="8"/>
  <c r="K26" i="8"/>
  <c r="O26" i="8" s="1"/>
  <c r="L26" i="8"/>
  <c r="P26" i="8" s="1"/>
  <c r="M25" i="8"/>
  <c r="N25" i="8"/>
  <c r="K25" i="8"/>
  <c r="O25" i="8" s="1"/>
  <c r="L25" i="8"/>
  <c r="P25" i="8" s="1"/>
  <c r="M24" i="8"/>
  <c r="N24" i="8"/>
  <c r="K24" i="8"/>
  <c r="O24" i="8" s="1"/>
  <c r="L24" i="8"/>
  <c r="P24" i="8" s="1"/>
  <c r="M23" i="8"/>
  <c r="N23" i="8"/>
  <c r="K23" i="8"/>
  <c r="O23" i="8" s="1"/>
  <c r="L23" i="8"/>
  <c r="P23" i="8" s="1"/>
  <c r="M22" i="8"/>
  <c r="N22" i="8"/>
  <c r="K22" i="8"/>
  <c r="O22" i="8" s="1"/>
  <c r="L22" i="8"/>
  <c r="P22" i="8" s="1"/>
  <c r="M21" i="8"/>
  <c r="N21" i="8"/>
  <c r="K21" i="8"/>
  <c r="O21" i="8" s="1"/>
  <c r="L21" i="8"/>
  <c r="P21" i="8" s="1"/>
  <c r="M20" i="8"/>
  <c r="K20" i="8"/>
  <c r="O20" i="8" s="1"/>
  <c r="M19" i="8"/>
  <c r="K19" i="8"/>
  <c r="O19" i="8" s="1"/>
  <c r="M18" i="8"/>
  <c r="K18" i="8"/>
  <c r="O18" i="8" s="1"/>
  <c r="M17" i="8"/>
  <c r="K17" i="8"/>
  <c r="O17" i="8" s="1"/>
  <c r="M16" i="8"/>
  <c r="K16" i="8"/>
  <c r="O16" i="8" s="1"/>
  <c r="M15" i="8"/>
  <c r="K15" i="8"/>
  <c r="O15" i="8" s="1"/>
  <c r="M14" i="8"/>
  <c r="K14" i="8"/>
  <c r="O14" i="8" s="1"/>
  <c r="M13" i="8"/>
  <c r="K13" i="8"/>
  <c r="O13" i="8" s="1"/>
  <c r="M12" i="8"/>
  <c r="K12" i="8"/>
  <c r="O12" i="8" s="1"/>
  <c r="M11" i="8"/>
  <c r="M10" i="8"/>
  <c r="M9" i="8"/>
  <c r="M8" i="8"/>
  <c r="M7" i="8"/>
  <c r="M6" i="8"/>
  <c r="K11" i="8"/>
  <c r="O11" i="8" s="1"/>
  <c r="K10" i="8"/>
  <c r="O10" i="8" s="1"/>
  <c r="K9" i="8"/>
  <c r="O9" i="8" s="1"/>
  <c r="K8" i="8"/>
  <c r="O8" i="8" s="1"/>
  <c r="K7" i="8"/>
  <c r="O7" i="8" s="1"/>
  <c r="K6" i="8"/>
  <c r="O6" i="8" s="1"/>
  <c r="M5" i="8"/>
  <c r="K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3" i="17"/>
  <c r="D74" i="17"/>
  <c r="D75" i="17"/>
  <c r="D76" i="17"/>
  <c r="D77" i="17"/>
  <c r="D78" i="17"/>
  <c r="D79" i="17"/>
  <c r="D80" i="17"/>
  <c r="D81" i="17"/>
  <c r="D82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D104" i="17"/>
  <c r="B7" i="20"/>
  <c r="B8" i="20"/>
  <c r="B9" i="20"/>
  <c r="BW9" i="20" s="1"/>
  <c r="B10" i="20"/>
  <c r="B11" i="20"/>
  <c r="B12" i="20"/>
  <c r="BW12" i="20" s="1"/>
  <c r="B13" i="20"/>
  <c r="BW13" i="20" s="1"/>
  <c r="B14" i="20"/>
  <c r="B15" i="20"/>
  <c r="B16" i="20"/>
  <c r="B17" i="20"/>
  <c r="B18" i="20"/>
  <c r="B19" i="20"/>
  <c r="B20" i="20"/>
  <c r="BW20" i="20" s="1"/>
  <c r="B21" i="20"/>
  <c r="BW21" i="20" s="1"/>
  <c r="B22" i="20"/>
  <c r="B23" i="20"/>
  <c r="B24" i="20"/>
  <c r="B25" i="20"/>
  <c r="B26" i="20"/>
  <c r="B27" i="20"/>
  <c r="B28" i="20"/>
  <c r="BW28" i="20" s="1"/>
  <c r="B29" i="20"/>
  <c r="BW29" i="20" s="1"/>
  <c r="B30" i="20"/>
  <c r="B31" i="20"/>
  <c r="B32" i="20"/>
  <c r="B33" i="20"/>
  <c r="B34" i="20"/>
  <c r="B35" i="20"/>
  <c r="B36" i="20"/>
  <c r="BW36" i="20" s="1"/>
  <c r="B37" i="20"/>
  <c r="BW37" i="20" s="1"/>
  <c r="B38" i="20"/>
  <c r="B39" i="20"/>
  <c r="B40" i="20"/>
  <c r="B41" i="20"/>
  <c r="B42" i="20"/>
  <c r="B43" i="20"/>
  <c r="B44" i="20"/>
  <c r="BW44" i="20" s="1"/>
  <c r="B45" i="20"/>
  <c r="BW45" i="20" s="1"/>
  <c r="B46" i="20"/>
  <c r="B47" i="20"/>
  <c r="B48" i="20"/>
  <c r="B49" i="20"/>
  <c r="B50" i="20"/>
  <c r="B51" i="20"/>
  <c r="B52" i="20"/>
  <c r="BW52" i="20" s="1"/>
  <c r="B53" i="20"/>
  <c r="BW53" i="20" s="1"/>
  <c r="B54" i="20"/>
  <c r="B55" i="20"/>
  <c r="B56" i="20"/>
  <c r="B57" i="20"/>
  <c r="B58" i="20"/>
  <c r="B59" i="20"/>
  <c r="B60" i="20"/>
  <c r="BW60" i="20" s="1"/>
  <c r="B61" i="20"/>
  <c r="BW61" i="20" s="1"/>
  <c r="B62" i="20"/>
  <c r="B63" i="20"/>
  <c r="B64" i="20"/>
  <c r="B65" i="20"/>
  <c r="B66" i="20"/>
  <c r="B67" i="20"/>
  <c r="B68" i="20"/>
  <c r="BW68" i="20" s="1"/>
  <c r="B69" i="20"/>
  <c r="BW69" i="20" s="1"/>
  <c r="B70" i="20"/>
  <c r="B71" i="20"/>
  <c r="B72" i="20"/>
  <c r="B73" i="20"/>
  <c r="B74" i="20"/>
  <c r="B75" i="20"/>
  <c r="B76" i="20"/>
  <c r="BW76" i="20" s="1"/>
  <c r="B77" i="20"/>
  <c r="BW77" i="20" s="1"/>
  <c r="B78" i="20"/>
  <c r="B79" i="20"/>
  <c r="B80" i="20"/>
  <c r="B81" i="20"/>
  <c r="B82" i="20"/>
  <c r="B83" i="20"/>
  <c r="B84" i="20"/>
  <c r="BW84" i="20" s="1"/>
  <c r="B85" i="20"/>
  <c r="BW85" i="20" s="1"/>
  <c r="B86" i="20"/>
  <c r="B87" i="20"/>
  <c r="B88" i="20"/>
  <c r="B89" i="20"/>
  <c r="B90" i="20"/>
  <c r="B91" i="20"/>
  <c r="B92" i="20"/>
  <c r="BW92" i="20" s="1"/>
  <c r="B93" i="20"/>
  <c r="BW93" i="20" s="1"/>
  <c r="B94" i="20"/>
  <c r="B95" i="20"/>
  <c r="B96" i="20"/>
  <c r="B97" i="20"/>
  <c r="B98" i="20"/>
  <c r="B99" i="20"/>
  <c r="B100" i="20"/>
  <c r="BW100" i="20" s="1"/>
  <c r="B101" i="20"/>
  <c r="BW101" i="20" s="1"/>
  <c r="B102" i="20"/>
  <c r="B103" i="20"/>
  <c r="B104" i="20"/>
  <c r="B105" i="20"/>
  <c r="B106" i="20"/>
  <c r="B107" i="20"/>
  <c r="B108" i="20"/>
  <c r="BW108" i="20" s="1"/>
  <c r="B109" i="20"/>
  <c r="BW109" i="20" s="1"/>
  <c r="B110" i="20"/>
  <c r="B111" i="20"/>
  <c r="B112" i="20"/>
  <c r="B113" i="20"/>
  <c r="B114" i="20"/>
  <c r="B115" i="20"/>
  <c r="B116" i="20"/>
  <c r="BW116" i="20" s="1"/>
  <c r="B117" i="20"/>
  <c r="BW117" i="20" s="1"/>
  <c r="B118" i="20"/>
  <c r="B119" i="20"/>
  <c r="B120" i="20"/>
  <c r="B121" i="20"/>
  <c r="B122" i="20"/>
  <c r="B123" i="20"/>
  <c r="B124" i="20"/>
  <c r="BW124" i="20" s="1"/>
  <c r="B125" i="20"/>
  <c r="BW125" i="20" s="1"/>
  <c r="B126" i="20"/>
  <c r="B127" i="20"/>
  <c r="B128" i="20"/>
  <c r="B129" i="20"/>
  <c r="B130" i="20"/>
  <c r="B131" i="20"/>
  <c r="B132" i="20"/>
  <c r="BW132" i="20" s="1"/>
  <c r="B133" i="20"/>
  <c r="BW133" i="20" s="1"/>
  <c r="B134" i="20"/>
  <c r="B135" i="20"/>
  <c r="B136" i="20"/>
  <c r="B137" i="20"/>
  <c r="B138" i="20"/>
  <c r="B139" i="20"/>
  <c r="B140" i="20"/>
  <c r="BW140" i="20" s="1"/>
  <c r="B141" i="20"/>
  <c r="BW141" i="20" s="1"/>
  <c r="B142" i="20"/>
  <c r="B143" i="20"/>
  <c r="B144" i="20"/>
  <c r="B145" i="20"/>
  <c r="B146" i="20"/>
  <c r="B147" i="20"/>
  <c r="B148" i="20"/>
  <c r="BW148" i="20" s="1"/>
  <c r="B149" i="20"/>
  <c r="BW149" i="20" s="1"/>
  <c r="B150" i="20"/>
  <c r="B151" i="20"/>
  <c r="B152" i="20"/>
  <c r="B153" i="20"/>
  <c r="B154" i="20"/>
  <c r="B155" i="20"/>
  <c r="B156" i="20"/>
  <c r="BW156" i="20" s="1"/>
  <c r="B157" i="20"/>
  <c r="BW157" i="20" s="1"/>
  <c r="B158" i="20"/>
  <c r="B159" i="20"/>
  <c r="B160" i="20"/>
  <c r="B161" i="20"/>
  <c r="B162" i="20"/>
  <c r="B163" i="20"/>
  <c r="B164" i="20"/>
  <c r="BW164" i="20" s="1"/>
  <c r="B165" i="20"/>
  <c r="BW165" i="20" s="1"/>
  <c r="B166" i="20"/>
  <c r="B167" i="20"/>
  <c r="B168" i="20"/>
  <c r="B169" i="20"/>
  <c r="B170" i="20"/>
  <c r="B171" i="20"/>
  <c r="B172" i="20"/>
  <c r="BW172" i="20" s="1"/>
  <c r="B173" i="20"/>
  <c r="BW173" i="20" s="1"/>
  <c r="B174" i="20"/>
  <c r="B175" i="20"/>
  <c r="B176" i="20"/>
  <c r="B177" i="20"/>
  <c r="B178" i="20"/>
  <c r="B179" i="20"/>
  <c r="B180" i="20"/>
  <c r="BW180" i="20" s="1"/>
  <c r="B181" i="20"/>
  <c r="BW181" i="20" s="1"/>
  <c r="B182" i="20"/>
  <c r="B183" i="20"/>
  <c r="B184" i="20"/>
  <c r="B185" i="20"/>
  <c r="B186" i="20"/>
  <c r="B187" i="20"/>
  <c r="B188" i="20"/>
  <c r="BW188" i="20" s="1"/>
  <c r="B189" i="20"/>
  <c r="BW189" i="20" s="1"/>
  <c r="B190" i="20"/>
  <c r="B191" i="20"/>
  <c r="B192" i="20"/>
  <c r="B193" i="20"/>
  <c r="B194" i="20"/>
  <c r="B195" i="20"/>
  <c r="B196" i="20"/>
  <c r="BW196" i="20" s="1"/>
  <c r="B197" i="20"/>
  <c r="BW197" i="20" s="1"/>
  <c r="B198" i="20"/>
  <c r="B199" i="20"/>
  <c r="B200" i="20"/>
  <c r="B201" i="20"/>
  <c r="B202" i="20"/>
  <c r="B203" i="20"/>
  <c r="B204" i="20"/>
  <c r="BW204" i="20" s="1"/>
  <c r="B205" i="20"/>
  <c r="BW205" i="20" s="1"/>
  <c r="B206" i="20"/>
  <c r="B207" i="20"/>
  <c r="B208" i="20"/>
  <c r="B209" i="20"/>
  <c r="B210" i="20"/>
  <c r="B211" i="20"/>
  <c r="B212" i="20"/>
  <c r="BW212" i="20" s="1"/>
  <c r="B213" i="20"/>
  <c r="BW213" i="20" s="1"/>
  <c r="B214" i="20"/>
  <c r="B215" i="20"/>
  <c r="B6" i="21"/>
  <c r="B7" i="21"/>
  <c r="BW7" i="21" s="1"/>
  <c r="B8" i="21"/>
  <c r="B9" i="21"/>
  <c r="B10" i="21"/>
  <c r="B11" i="21"/>
  <c r="BW11" i="21" s="1"/>
  <c r="B12" i="21"/>
  <c r="B13" i="21"/>
  <c r="BW13" i="21" s="1"/>
  <c r="B14" i="21"/>
  <c r="B15" i="21"/>
  <c r="BW15" i="21" s="1"/>
  <c r="B16" i="21"/>
  <c r="B17" i="21"/>
  <c r="B18" i="21"/>
  <c r="B19" i="21"/>
  <c r="BW19" i="21" s="1"/>
  <c r="B20" i="21"/>
  <c r="B21" i="21"/>
  <c r="BW21" i="21" s="1"/>
  <c r="B22" i="21"/>
  <c r="B23" i="21"/>
  <c r="BW23" i="21" s="1"/>
  <c r="B24" i="21"/>
  <c r="B25" i="21"/>
  <c r="B26" i="21"/>
  <c r="B27" i="21"/>
  <c r="BW27" i="21" s="1"/>
  <c r="B28" i="21"/>
  <c r="B29" i="21"/>
  <c r="BW29" i="21" s="1"/>
  <c r="B30" i="21"/>
  <c r="B31" i="21"/>
  <c r="BW31" i="21" s="1"/>
  <c r="B32" i="21"/>
  <c r="B33" i="21"/>
  <c r="B34" i="21"/>
  <c r="B35" i="21"/>
  <c r="BW35" i="21" s="1"/>
  <c r="B36" i="21"/>
  <c r="B37" i="21"/>
  <c r="BW37" i="21" s="1"/>
  <c r="B38" i="21"/>
  <c r="B39" i="21"/>
  <c r="BW39" i="21" s="1"/>
  <c r="B40" i="21"/>
  <c r="B41" i="21"/>
  <c r="B42" i="21"/>
  <c r="B43" i="21"/>
  <c r="BW43" i="21" s="1"/>
  <c r="B44" i="21"/>
  <c r="B45" i="21"/>
  <c r="B46" i="21"/>
  <c r="B47" i="21"/>
  <c r="B48" i="21"/>
  <c r="B49" i="21"/>
  <c r="B50" i="21"/>
  <c r="B51" i="21"/>
  <c r="BW51" i="21" s="1"/>
  <c r="B52" i="21"/>
  <c r="B53" i="21"/>
  <c r="BW53" i="21" s="1"/>
  <c r="B54" i="21"/>
  <c r="B55" i="21"/>
  <c r="BW55" i="21" s="1"/>
  <c r="B56" i="21"/>
  <c r="B57" i="21"/>
  <c r="B58" i="21"/>
  <c r="B59" i="21"/>
  <c r="BW59" i="21" s="1"/>
  <c r="B60" i="21"/>
  <c r="B61" i="21"/>
  <c r="B62" i="21"/>
  <c r="B63" i="21"/>
  <c r="BW63" i="21" s="1"/>
  <c r="B64" i="21"/>
  <c r="B65" i="21"/>
  <c r="B66" i="21"/>
  <c r="B67" i="21"/>
  <c r="BW67" i="21" s="1"/>
  <c r="B68" i="21"/>
  <c r="B69" i="21"/>
  <c r="BW69" i="21" s="1"/>
  <c r="B70" i="21"/>
  <c r="B71" i="21"/>
  <c r="BW71" i="21" s="1"/>
  <c r="B72" i="21"/>
  <c r="B73" i="21"/>
  <c r="B74" i="21"/>
  <c r="B75" i="21"/>
  <c r="BW75" i="21" s="1"/>
  <c r="B76" i="21"/>
  <c r="B77" i="21"/>
  <c r="BW77" i="21" s="1"/>
  <c r="B78" i="21"/>
  <c r="B79" i="21"/>
  <c r="BW79" i="21" s="1"/>
  <c r="B80" i="21"/>
  <c r="B81" i="21"/>
  <c r="B82" i="21"/>
  <c r="B83" i="21"/>
  <c r="BW83" i="21" s="1"/>
  <c r="B84" i="21"/>
  <c r="B85" i="21"/>
  <c r="BW85" i="21" s="1"/>
  <c r="B86" i="21"/>
  <c r="B87" i="21"/>
  <c r="BW87" i="21" s="1"/>
  <c r="B88" i="21"/>
  <c r="B89" i="21"/>
  <c r="B90" i="21"/>
  <c r="B91" i="21"/>
  <c r="BW91" i="21" s="1"/>
  <c r="B92" i="21"/>
  <c r="B93" i="21"/>
  <c r="BW93" i="21" s="1"/>
  <c r="B94" i="21"/>
  <c r="B95" i="21"/>
  <c r="BW95" i="21" s="1"/>
  <c r="B96" i="21"/>
  <c r="B97" i="21"/>
  <c r="B98" i="21"/>
  <c r="B99" i="21"/>
  <c r="BW99" i="21" s="1"/>
  <c r="B100" i="21"/>
  <c r="B101" i="21"/>
  <c r="BW101" i="21" s="1"/>
  <c r="B102" i="21"/>
  <c r="B103" i="21"/>
  <c r="BW103" i="21" s="1"/>
  <c r="B104" i="21"/>
  <c r="B105" i="21"/>
  <c r="C105" i="21"/>
  <c r="B106" i="21"/>
  <c r="BW106" i="21" s="1"/>
  <c r="C106" i="21"/>
  <c r="B107" i="21"/>
  <c r="BW107" i="21" s="1"/>
  <c r="C107" i="21"/>
  <c r="B108" i="21"/>
  <c r="BW108" i="21" s="1"/>
  <c r="C108" i="21"/>
  <c r="B109" i="21"/>
  <c r="C109" i="21"/>
  <c r="B110" i="21"/>
  <c r="BW110" i="21" s="1"/>
  <c r="C110" i="21"/>
  <c r="B111" i="21"/>
  <c r="BW111" i="21" s="1"/>
  <c r="C111" i="21"/>
  <c r="B112" i="21"/>
  <c r="BW112" i="21" s="1"/>
  <c r="C112" i="21"/>
  <c r="B113" i="21"/>
  <c r="C113" i="21"/>
  <c r="B114" i="21"/>
  <c r="BW114" i="21" s="1"/>
  <c r="C114" i="21"/>
  <c r="B115" i="21"/>
  <c r="BW115" i="21" s="1"/>
  <c r="C115" i="21"/>
  <c r="B116" i="21"/>
  <c r="BW116" i="21" s="1"/>
  <c r="C116" i="21"/>
  <c r="B117" i="21"/>
  <c r="C117" i="21"/>
  <c r="B118" i="21"/>
  <c r="BW118" i="21" s="1"/>
  <c r="C118" i="21"/>
  <c r="B119" i="21"/>
  <c r="BW119" i="21" s="1"/>
  <c r="C119" i="21"/>
  <c r="B120" i="21"/>
  <c r="BW120" i="21" s="1"/>
  <c r="C120" i="21"/>
  <c r="B121" i="21"/>
  <c r="C121" i="21"/>
  <c r="B122" i="21"/>
  <c r="BW122" i="21" s="1"/>
  <c r="C122" i="21"/>
  <c r="B123" i="21"/>
  <c r="C123" i="21"/>
  <c r="B124" i="21"/>
  <c r="BW124" i="21" s="1"/>
  <c r="C124" i="21"/>
  <c r="B125" i="21"/>
  <c r="C125" i="21"/>
  <c r="B126" i="21"/>
  <c r="BW126" i="21" s="1"/>
  <c r="C126" i="21"/>
  <c r="B127" i="21"/>
  <c r="BW127" i="21" s="1"/>
  <c r="C127" i="21"/>
  <c r="B128" i="21"/>
  <c r="BW128" i="21" s="1"/>
  <c r="C128" i="21"/>
  <c r="B129" i="21"/>
  <c r="C129" i="21"/>
  <c r="B130" i="21"/>
  <c r="BW130" i="21" s="1"/>
  <c r="C130" i="21"/>
  <c r="B131" i="21"/>
  <c r="C131" i="21"/>
  <c r="B132" i="21"/>
  <c r="C132" i="21"/>
  <c r="B133" i="21"/>
  <c r="C133" i="21"/>
  <c r="B134" i="21"/>
  <c r="BW134" i="21" s="1"/>
  <c r="C134" i="21"/>
  <c r="B135" i="21"/>
  <c r="BW135" i="21" s="1"/>
  <c r="C135" i="21"/>
  <c r="B136" i="21"/>
  <c r="BW136" i="21" s="1"/>
  <c r="C136" i="21"/>
  <c r="B137" i="21"/>
  <c r="C137" i="21"/>
  <c r="B138" i="21"/>
  <c r="BW138" i="21" s="1"/>
  <c r="C138" i="21"/>
  <c r="B139" i="21"/>
  <c r="BW139" i="21" s="1"/>
  <c r="C139" i="21"/>
  <c r="B140" i="21"/>
  <c r="BW140" i="21" s="1"/>
  <c r="C140" i="21"/>
  <c r="B141" i="21"/>
  <c r="C141" i="21"/>
  <c r="B142" i="21"/>
  <c r="BW142" i="21" s="1"/>
  <c r="C142" i="21"/>
  <c r="B143" i="21"/>
  <c r="BW143" i="21" s="1"/>
  <c r="C143" i="21"/>
  <c r="B144" i="21"/>
  <c r="BW144" i="21" s="1"/>
  <c r="C144" i="21"/>
  <c r="B145" i="21"/>
  <c r="C145" i="21"/>
  <c r="B146" i="21"/>
  <c r="BW146" i="21" s="1"/>
  <c r="C146" i="21"/>
  <c r="B147" i="21"/>
  <c r="BW147" i="21" s="1"/>
  <c r="C147" i="21"/>
  <c r="B148" i="21"/>
  <c r="BW148" i="21" s="1"/>
  <c r="C148" i="21"/>
  <c r="B149" i="21"/>
  <c r="C149" i="21"/>
  <c r="B150" i="21"/>
  <c r="BW150" i="21" s="1"/>
  <c r="C150" i="21"/>
  <c r="B151" i="21"/>
  <c r="BW151" i="21" s="1"/>
  <c r="C151" i="21"/>
  <c r="B152" i="21"/>
  <c r="BW152" i="21" s="1"/>
  <c r="C152" i="21"/>
  <c r="B153" i="21"/>
  <c r="C153" i="21"/>
  <c r="B154" i="21"/>
  <c r="BW154" i="21" s="1"/>
  <c r="C154" i="21"/>
  <c r="B155" i="21"/>
  <c r="C155" i="21"/>
  <c r="B156" i="21"/>
  <c r="BW156" i="21" s="1"/>
  <c r="C156" i="21"/>
  <c r="B157" i="21"/>
  <c r="C157" i="21"/>
  <c r="B158" i="21"/>
  <c r="BW158" i="21" s="1"/>
  <c r="C158" i="21"/>
  <c r="B159" i="21"/>
  <c r="BW159" i="21" s="1"/>
  <c r="C159" i="21"/>
  <c r="B160" i="21"/>
  <c r="BW160" i="21" s="1"/>
  <c r="C160" i="21"/>
  <c r="B161" i="21"/>
  <c r="C161" i="21"/>
  <c r="B162" i="21"/>
  <c r="BW162" i="21" s="1"/>
  <c r="C162" i="21"/>
  <c r="B163" i="21"/>
  <c r="C163" i="21"/>
  <c r="B164" i="21"/>
  <c r="C164" i="21"/>
  <c r="B165" i="21"/>
  <c r="C165" i="21"/>
  <c r="B166" i="21"/>
  <c r="BW166" i="21" s="1"/>
  <c r="C166" i="21"/>
  <c r="B167" i="21"/>
  <c r="BW167" i="21" s="1"/>
  <c r="C167" i="21"/>
  <c r="B168" i="21"/>
  <c r="BW168" i="21" s="1"/>
  <c r="C168" i="21"/>
  <c r="B169" i="21"/>
  <c r="C169" i="21"/>
  <c r="B170" i="21"/>
  <c r="BW170" i="21" s="1"/>
  <c r="C170" i="21"/>
  <c r="B171" i="21"/>
  <c r="BW171" i="21" s="1"/>
  <c r="C171" i="21"/>
  <c r="B172" i="21"/>
  <c r="BW172" i="21" s="1"/>
  <c r="C172" i="21"/>
  <c r="B173" i="21"/>
  <c r="C173" i="21"/>
  <c r="B174" i="21"/>
  <c r="BW174" i="21" s="1"/>
  <c r="C174" i="21"/>
  <c r="B175" i="21"/>
  <c r="BW175" i="21" s="1"/>
  <c r="C175" i="21"/>
  <c r="B176" i="21"/>
  <c r="BW176" i="21" s="1"/>
  <c r="C176" i="21"/>
  <c r="B177" i="21"/>
  <c r="C177" i="21"/>
  <c r="B178" i="21"/>
  <c r="BW178" i="21" s="1"/>
  <c r="C178" i="21"/>
  <c r="B179" i="21"/>
  <c r="BW179" i="21" s="1"/>
  <c r="C179" i="21"/>
  <c r="B180" i="21"/>
  <c r="BW180" i="21" s="1"/>
  <c r="C180" i="21"/>
  <c r="B181" i="21"/>
  <c r="C181" i="21"/>
  <c r="B182" i="21"/>
  <c r="BW182" i="21" s="1"/>
  <c r="C182" i="21"/>
  <c r="B183" i="21"/>
  <c r="BW183" i="21" s="1"/>
  <c r="C183" i="21"/>
  <c r="B184" i="21"/>
  <c r="BW184" i="21" s="1"/>
  <c r="C184" i="21"/>
  <c r="B185" i="21"/>
  <c r="C185" i="21"/>
  <c r="B186" i="21"/>
  <c r="BW186" i="21" s="1"/>
  <c r="C186" i="21"/>
  <c r="B187" i="21"/>
  <c r="C187" i="21"/>
  <c r="B188" i="21"/>
  <c r="BW188" i="21" s="1"/>
  <c r="C188" i="21"/>
  <c r="B189" i="21"/>
  <c r="C189" i="21"/>
  <c r="B190" i="21"/>
  <c r="BW190" i="21" s="1"/>
  <c r="C190" i="21"/>
  <c r="B191" i="21"/>
  <c r="BW191" i="21" s="1"/>
  <c r="C191" i="21"/>
  <c r="B192" i="21"/>
  <c r="BW192" i="21" s="1"/>
  <c r="C192" i="21"/>
  <c r="B193" i="21"/>
  <c r="C193" i="21"/>
  <c r="B194" i="21"/>
  <c r="BW194" i="21" s="1"/>
  <c r="C194" i="21"/>
  <c r="B195" i="21"/>
  <c r="C195" i="21"/>
  <c r="B196" i="21"/>
  <c r="C196" i="21"/>
  <c r="B197" i="21"/>
  <c r="C197" i="21"/>
  <c r="B198" i="21"/>
  <c r="BW198" i="21" s="1"/>
  <c r="C198" i="21"/>
  <c r="B199" i="21"/>
  <c r="BW199" i="21" s="1"/>
  <c r="C199" i="21"/>
  <c r="B200" i="21"/>
  <c r="BW200" i="21" s="1"/>
  <c r="C200" i="21"/>
  <c r="B201" i="21"/>
  <c r="C201" i="21"/>
  <c r="B202" i="21"/>
  <c r="BW202" i="21" s="1"/>
  <c r="C202" i="21"/>
  <c r="B203" i="21"/>
  <c r="BW203" i="21" s="1"/>
  <c r="C203" i="21"/>
  <c r="B204" i="21"/>
  <c r="BW204" i="21" s="1"/>
  <c r="C204" i="21"/>
  <c r="B205" i="21"/>
  <c r="C205" i="21"/>
  <c r="B206" i="21"/>
  <c r="BW206" i="21" s="1"/>
  <c r="C206" i="21"/>
  <c r="B207" i="21"/>
  <c r="BW207" i="21" s="1"/>
  <c r="C207" i="21"/>
  <c r="B208" i="21"/>
  <c r="BW208" i="21" s="1"/>
  <c r="C208" i="21"/>
  <c r="B209" i="21"/>
  <c r="C209" i="21"/>
  <c r="B210" i="21"/>
  <c r="BW210" i="21" s="1"/>
  <c r="C210" i="21"/>
  <c r="B211" i="21"/>
  <c r="BW211" i="21" s="1"/>
  <c r="C211" i="21"/>
  <c r="B212" i="21"/>
  <c r="BW212" i="21" s="1"/>
  <c r="C212" i="21"/>
  <c r="B213" i="21"/>
  <c r="C213" i="21"/>
  <c r="B214" i="21"/>
  <c r="BW214" i="21" s="1"/>
  <c r="C214" i="21"/>
  <c r="B215" i="21"/>
  <c r="BW215" i="21" s="1"/>
  <c r="C215" i="21"/>
  <c r="B5" i="21"/>
  <c r="BW5" i="21" s="1"/>
  <c r="B6" i="20"/>
  <c r="C105" i="20"/>
  <c r="BX105" i="20" s="1"/>
  <c r="C106" i="20"/>
  <c r="BX106" i="20" s="1"/>
  <c r="C107" i="20"/>
  <c r="C108" i="20"/>
  <c r="C109" i="20"/>
  <c r="C110" i="20"/>
  <c r="C111" i="20"/>
  <c r="C112" i="20"/>
  <c r="C113" i="20"/>
  <c r="BX113" i="20" s="1"/>
  <c r="C114" i="20"/>
  <c r="BX114" i="20" s="1"/>
  <c r="C115" i="20"/>
  <c r="C116" i="20"/>
  <c r="C117" i="20"/>
  <c r="C118" i="20"/>
  <c r="C119" i="20"/>
  <c r="C120" i="20"/>
  <c r="C121" i="20"/>
  <c r="BX121" i="20" s="1"/>
  <c r="C122" i="20"/>
  <c r="BX122" i="20" s="1"/>
  <c r="C123" i="20"/>
  <c r="C124" i="20"/>
  <c r="C125" i="20"/>
  <c r="C126" i="20"/>
  <c r="C127" i="20"/>
  <c r="C128" i="20"/>
  <c r="C129" i="20"/>
  <c r="BX129" i="20" s="1"/>
  <c r="C130" i="20"/>
  <c r="BX130" i="20" s="1"/>
  <c r="C131" i="20"/>
  <c r="C132" i="20"/>
  <c r="C133" i="20"/>
  <c r="C134" i="20"/>
  <c r="C135" i="20"/>
  <c r="C136" i="20"/>
  <c r="C137" i="20"/>
  <c r="BX137" i="20" s="1"/>
  <c r="C138" i="20"/>
  <c r="BX138" i="20" s="1"/>
  <c r="C139" i="20"/>
  <c r="C140" i="20"/>
  <c r="C141" i="20"/>
  <c r="C142" i="20"/>
  <c r="C143" i="20"/>
  <c r="C144" i="20"/>
  <c r="C145" i="20"/>
  <c r="BX145" i="20" s="1"/>
  <c r="C146" i="20"/>
  <c r="BX146" i="20" s="1"/>
  <c r="C147" i="20"/>
  <c r="C148" i="20"/>
  <c r="C149" i="20"/>
  <c r="C150" i="20"/>
  <c r="C151" i="20"/>
  <c r="C152" i="20"/>
  <c r="C153" i="20"/>
  <c r="BX153" i="20" s="1"/>
  <c r="C154" i="20"/>
  <c r="BX154" i="20" s="1"/>
  <c r="C155" i="20"/>
  <c r="C156" i="20"/>
  <c r="C157" i="20"/>
  <c r="C158" i="20"/>
  <c r="C159" i="20"/>
  <c r="C160" i="20"/>
  <c r="C161" i="20"/>
  <c r="BX161" i="20" s="1"/>
  <c r="C162" i="20"/>
  <c r="BX162" i="20" s="1"/>
  <c r="C163" i="20"/>
  <c r="C164" i="20"/>
  <c r="C165" i="20"/>
  <c r="C166" i="20"/>
  <c r="C167" i="20"/>
  <c r="C168" i="20"/>
  <c r="C169" i="20"/>
  <c r="BX169" i="20" s="1"/>
  <c r="C170" i="20"/>
  <c r="BX170" i="20" s="1"/>
  <c r="C171" i="20"/>
  <c r="C172" i="20"/>
  <c r="C173" i="20"/>
  <c r="C174" i="20"/>
  <c r="C175" i="20"/>
  <c r="C176" i="20"/>
  <c r="C177" i="20"/>
  <c r="BX177" i="20" s="1"/>
  <c r="C178" i="20"/>
  <c r="BX178" i="20" s="1"/>
  <c r="C179" i="20"/>
  <c r="C180" i="20"/>
  <c r="C181" i="20"/>
  <c r="C182" i="20"/>
  <c r="C183" i="20"/>
  <c r="C184" i="20"/>
  <c r="C185" i="20"/>
  <c r="BX185" i="20" s="1"/>
  <c r="C186" i="20"/>
  <c r="BX186" i="20" s="1"/>
  <c r="C187" i="20"/>
  <c r="C188" i="20"/>
  <c r="C189" i="20"/>
  <c r="C190" i="20"/>
  <c r="C191" i="20"/>
  <c r="C192" i="20"/>
  <c r="C193" i="20"/>
  <c r="BX193" i="20" s="1"/>
  <c r="C194" i="20"/>
  <c r="BX194" i="20" s="1"/>
  <c r="C195" i="20"/>
  <c r="C196" i="20"/>
  <c r="C197" i="20"/>
  <c r="C198" i="20"/>
  <c r="C199" i="20"/>
  <c r="C200" i="20"/>
  <c r="C201" i="20"/>
  <c r="BX201" i="20" s="1"/>
  <c r="C202" i="20"/>
  <c r="BX202" i="20" s="1"/>
  <c r="C203" i="20"/>
  <c r="C204" i="20"/>
  <c r="C205" i="20"/>
  <c r="C206" i="20"/>
  <c r="C207" i="20"/>
  <c r="C208" i="20"/>
  <c r="C209" i="20"/>
  <c r="BX209" i="20" s="1"/>
  <c r="C210" i="20"/>
  <c r="BX210" i="20" s="1"/>
  <c r="C211" i="20"/>
  <c r="C212" i="20"/>
  <c r="C213" i="20"/>
  <c r="C214" i="20"/>
  <c r="C215" i="20"/>
  <c r="B5" i="20"/>
  <c r="C105" i="18"/>
  <c r="C106" i="18"/>
  <c r="C107" i="18"/>
  <c r="C108" i="18"/>
  <c r="C109" i="18"/>
  <c r="C110" i="18"/>
  <c r="C111" i="18"/>
  <c r="C112" i="18"/>
  <c r="C113" i="18"/>
  <c r="C114" i="18"/>
  <c r="C115" i="18"/>
  <c r="C116" i="18"/>
  <c r="C117" i="18"/>
  <c r="C118" i="18"/>
  <c r="C119" i="18"/>
  <c r="C120" i="18"/>
  <c r="C121" i="18"/>
  <c r="C122" i="18"/>
  <c r="C123" i="18"/>
  <c r="C124" i="18"/>
  <c r="C125" i="18"/>
  <c r="C126" i="18"/>
  <c r="C127" i="18"/>
  <c r="C128" i="18"/>
  <c r="C129" i="18"/>
  <c r="C130" i="18"/>
  <c r="C131" i="18"/>
  <c r="C132" i="18"/>
  <c r="C133" i="18"/>
  <c r="C134" i="18"/>
  <c r="C135" i="18"/>
  <c r="C136" i="18"/>
  <c r="C137" i="18"/>
  <c r="C138" i="18"/>
  <c r="C139" i="18"/>
  <c r="C140" i="18"/>
  <c r="C141" i="18"/>
  <c r="C142" i="18"/>
  <c r="C143" i="18"/>
  <c r="C144" i="18"/>
  <c r="C145" i="18"/>
  <c r="C146" i="18"/>
  <c r="C147" i="18"/>
  <c r="C148" i="18"/>
  <c r="C149" i="18"/>
  <c r="C150" i="18"/>
  <c r="C151" i="18"/>
  <c r="C152" i="18"/>
  <c r="C153" i="18"/>
  <c r="C154" i="18"/>
  <c r="C155" i="18"/>
  <c r="C156" i="18"/>
  <c r="C157" i="18"/>
  <c r="C158" i="18"/>
  <c r="C159" i="18"/>
  <c r="C160" i="18"/>
  <c r="C161" i="18"/>
  <c r="C162" i="18"/>
  <c r="C163" i="18"/>
  <c r="C164" i="18"/>
  <c r="C165" i="18"/>
  <c r="C166" i="18"/>
  <c r="C167" i="18"/>
  <c r="C168" i="18"/>
  <c r="C169" i="18"/>
  <c r="C170" i="18"/>
  <c r="C171" i="18"/>
  <c r="C172" i="18"/>
  <c r="C173" i="18"/>
  <c r="C174" i="18"/>
  <c r="C175" i="18"/>
  <c r="C176" i="18"/>
  <c r="C177" i="18"/>
  <c r="C178" i="18"/>
  <c r="C179" i="18"/>
  <c r="C180" i="18"/>
  <c r="C181" i="18"/>
  <c r="C182" i="18"/>
  <c r="C183" i="18"/>
  <c r="C184" i="18"/>
  <c r="C185" i="18"/>
  <c r="C186" i="18"/>
  <c r="C187" i="18"/>
  <c r="C188" i="18"/>
  <c r="C189" i="18"/>
  <c r="C190" i="18"/>
  <c r="C191" i="18"/>
  <c r="C192" i="18"/>
  <c r="C193" i="18"/>
  <c r="C194" i="18"/>
  <c r="C195" i="18"/>
  <c r="C196" i="18"/>
  <c r="C197" i="18"/>
  <c r="C198" i="18"/>
  <c r="C199" i="18"/>
  <c r="C200" i="18"/>
  <c r="C201" i="18"/>
  <c r="C202" i="18"/>
  <c r="C203" i="18"/>
  <c r="C204" i="18"/>
  <c r="C205" i="18"/>
  <c r="C206" i="18"/>
  <c r="C207" i="18"/>
  <c r="C208" i="18"/>
  <c r="C209" i="18"/>
  <c r="C210" i="18"/>
  <c r="C211" i="18"/>
  <c r="C212" i="18"/>
  <c r="C213" i="18"/>
  <c r="C214" i="18"/>
  <c r="C215" i="18"/>
  <c r="B6" i="18"/>
  <c r="B7" i="18"/>
  <c r="B8" i="18"/>
  <c r="B9" i="18"/>
  <c r="B10" i="18"/>
  <c r="B11" i="18"/>
  <c r="B12" i="18"/>
  <c r="B13" i="18"/>
  <c r="B14" i="18"/>
  <c r="B15" i="18"/>
  <c r="B16" i="18"/>
  <c r="B17" i="18"/>
  <c r="B18" i="18"/>
  <c r="B19" i="18"/>
  <c r="B20" i="18"/>
  <c r="B21" i="18"/>
  <c r="B22" i="18"/>
  <c r="B23" i="18"/>
  <c r="B24" i="18"/>
  <c r="B25" i="18"/>
  <c r="B26" i="18"/>
  <c r="B27" i="18"/>
  <c r="B28" i="18"/>
  <c r="B29" i="18"/>
  <c r="B30" i="18"/>
  <c r="B31" i="18"/>
  <c r="B32" i="18"/>
  <c r="B33" i="18"/>
  <c r="B34" i="18"/>
  <c r="B35" i="18"/>
  <c r="B36" i="18"/>
  <c r="B37" i="18"/>
  <c r="B38" i="18"/>
  <c r="B39" i="18"/>
  <c r="B40" i="18"/>
  <c r="B41" i="18"/>
  <c r="B42" i="18"/>
  <c r="B43" i="18"/>
  <c r="B44" i="18"/>
  <c r="B45" i="18"/>
  <c r="B46" i="18"/>
  <c r="B47" i="18"/>
  <c r="B48" i="18"/>
  <c r="B49" i="18"/>
  <c r="B50" i="18"/>
  <c r="B51" i="18"/>
  <c r="B52" i="18"/>
  <c r="B53" i="18"/>
  <c r="B54" i="18"/>
  <c r="B55" i="18"/>
  <c r="B56" i="18"/>
  <c r="B57" i="18"/>
  <c r="B58" i="18"/>
  <c r="B59" i="18"/>
  <c r="B60" i="18"/>
  <c r="B61" i="18"/>
  <c r="B62" i="18"/>
  <c r="B63" i="18"/>
  <c r="B64" i="18"/>
  <c r="B65" i="18"/>
  <c r="B66" i="18"/>
  <c r="B67" i="18"/>
  <c r="B68" i="18"/>
  <c r="B69" i="18"/>
  <c r="B70" i="18"/>
  <c r="B71" i="18"/>
  <c r="B72" i="18"/>
  <c r="B73" i="18"/>
  <c r="B74" i="18"/>
  <c r="B75" i="18"/>
  <c r="B76" i="18"/>
  <c r="B77" i="18"/>
  <c r="B78" i="18"/>
  <c r="B79" i="18"/>
  <c r="B80" i="18"/>
  <c r="B81" i="18"/>
  <c r="B82" i="18"/>
  <c r="B83" i="18"/>
  <c r="B84" i="18"/>
  <c r="B85" i="18"/>
  <c r="B86" i="18"/>
  <c r="B87" i="18"/>
  <c r="B88" i="18"/>
  <c r="B89" i="18"/>
  <c r="B90" i="18"/>
  <c r="B91" i="18"/>
  <c r="B92" i="18"/>
  <c r="B93" i="18"/>
  <c r="B94" i="18"/>
  <c r="B95" i="18"/>
  <c r="B96" i="18"/>
  <c r="B97" i="18"/>
  <c r="B98" i="18"/>
  <c r="B99" i="18"/>
  <c r="B100" i="18"/>
  <c r="B101" i="18"/>
  <c r="B102" i="18"/>
  <c r="B103" i="18"/>
  <c r="B104" i="18"/>
  <c r="B105" i="18"/>
  <c r="B106" i="18"/>
  <c r="B107" i="18"/>
  <c r="B108" i="18"/>
  <c r="B109" i="18"/>
  <c r="B110" i="18"/>
  <c r="B111" i="18"/>
  <c r="B112" i="18"/>
  <c r="B113" i="18"/>
  <c r="B114" i="18"/>
  <c r="B115" i="18"/>
  <c r="B116" i="18"/>
  <c r="B117" i="18"/>
  <c r="B118" i="18"/>
  <c r="B119" i="18"/>
  <c r="B120" i="18"/>
  <c r="B121" i="18"/>
  <c r="B122" i="18"/>
  <c r="B123" i="18"/>
  <c r="B124" i="18"/>
  <c r="B125" i="18"/>
  <c r="B126" i="18"/>
  <c r="B127" i="18"/>
  <c r="B128" i="18"/>
  <c r="B129" i="18"/>
  <c r="B130" i="18"/>
  <c r="B131" i="18"/>
  <c r="B132" i="18"/>
  <c r="B133" i="18"/>
  <c r="B134" i="18"/>
  <c r="B135" i="18"/>
  <c r="B136" i="18"/>
  <c r="B137" i="18"/>
  <c r="B138" i="18"/>
  <c r="B139" i="18"/>
  <c r="B140" i="18"/>
  <c r="B141" i="18"/>
  <c r="B142" i="18"/>
  <c r="B143" i="18"/>
  <c r="B144" i="18"/>
  <c r="B145" i="18"/>
  <c r="B146" i="18"/>
  <c r="B147" i="18"/>
  <c r="B148" i="18"/>
  <c r="B149" i="18"/>
  <c r="B150" i="18"/>
  <c r="B151" i="18"/>
  <c r="B152" i="18"/>
  <c r="B153" i="18"/>
  <c r="B154" i="18"/>
  <c r="B155" i="18"/>
  <c r="B156" i="18"/>
  <c r="B157" i="18"/>
  <c r="B158" i="18"/>
  <c r="B159" i="18"/>
  <c r="B160" i="18"/>
  <c r="B161" i="18"/>
  <c r="B162" i="18"/>
  <c r="B163" i="18"/>
  <c r="B164" i="18"/>
  <c r="B165" i="18"/>
  <c r="B166" i="18"/>
  <c r="B167" i="18"/>
  <c r="B168" i="18"/>
  <c r="B169" i="18"/>
  <c r="B170" i="18"/>
  <c r="B171" i="18"/>
  <c r="B172" i="18"/>
  <c r="B173" i="18"/>
  <c r="B174" i="18"/>
  <c r="B175" i="18"/>
  <c r="B176" i="18"/>
  <c r="B177" i="18"/>
  <c r="B178" i="18"/>
  <c r="B179" i="18"/>
  <c r="B180" i="18"/>
  <c r="B181" i="18"/>
  <c r="B182" i="18"/>
  <c r="B183" i="18"/>
  <c r="B184" i="18"/>
  <c r="B185" i="18"/>
  <c r="B186" i="18"/>
  <c r="B187" i="18"/>
  <c r="B188" i="18"/>
  <c r="B189" i="18"/>
  <c r="B190" i="18"/>
  <c r="B191" i="18"/>
  <c r="B192" i="18"/>
  <c r="B193" i="18"/>
  <c r="B194" i="18"/>
  <c r="B195" i="18"/>
  <c r="B196" i="18"/>
  <c r="B197" i="18"/>
  <c r="B198" i="18"/>
  <c r="B199" i="18"/>
  <c r="B200" i="18"/>
  <c r="B201" i="18"/>
  <c r="B202" i="18"/>
  <c r="B203" i="18"/>
  <c r="B204" i="18"/>
  <c r="B205" i="18"/>
  <c r="B206" i="18"/>
  <c r="B207" i="18"/>
  <c r="B208" i="18"/>
  <c r="B209" i="18"/>
  <c r="B210" i="18"/>
  <c r="B211" i="18"/>
  <c r="B212" i="18"/>
  <c r="B213" i="18"/>
  <c r="B214" i="18"/>
  <c r="B215" i="18"/>
  <c r="B5" i="18"/>
  <c r="BX215" i="21"/>
  <c r="BP215" i="21"/>
  <c r="BO215" i="21"/>
  <c r="BN215" i="21"/>
  <c r="BM215" i="21"/>
  <c r="BL215" i="21"/>
  <c r="BK215" i="21"/>
  <c r="BJ215" i="21"/>
  <c r="BI215" i="21"/>
  <c r="BH215" i="21"/>
  <c r="BF215" i="21"/>
  <c r="BE215" i="21"/>
  <c r="BD215" i="21"/>
  <c r="BC215" i="21"/>
  <c r="BB215" i="21"/>
  <c r="BA215" i="21"/>
  <c r="AZ215" i="21"/>
  <c r="AY215" i="21"/>
  <c r="AX215" i="21"/>
  <c r="AT215" i="21"/>
  <c r="AJ215" i="21"/>
  <c r="AU215" i="21" s="1"/>
  <c r="AV215" i="21" s="1"/>
  <c r="W215" i="21"/>
  <c r="M215" i="21"/>
  <c r="X215" i="21" s="1"/>
  <c r="Y215" i="21" s="1"/>
  <c r="BX214" i="21"/>
  <c r="BP214" i="21"/>
  <c r="BO214" i="21"/>
  <c r="BN214" i="21"/>
  <c r="BM214" i="21"/>
  <c r="BL214" i="21"/>
  <c r="BK214" i="21"/>
  <c r="BJ214" i="21"/>
  <c r="BI214" i="21"/>
  <c r="BH214" i="21"/>
  <c r="BF214" i="21"/>
  <c r="BE214" i="21"/>
  <c r="BD214" i="21"/>
  <c r="BC214" i="21"/>
  <c r="BB214" i="21"/>
  <c r="BA214" i="21"/>
  <c r="AZ214" i="21"/>
  <c r="AY214" i="21"/>
  <c r="AX214" i="21"/>
  <c r="AT214" i="21"/>
  <c r="AJ214" i="21"/>
  <c r="AU214" i="21" s="1"/>
  <c r="AV214" i="21" s="1"/>
  <c r="W214" i="21"/>
  <c r="M214" i="21"/>
  <c r="X214" i="21" s="1"/>
  <c r="Y214" i="21" s="1"/>
  <c r="BX213" i="21"/>
  <c r="BW213" i="21"/>
  <c r="BP213" i="21"/>
  <c r="BO213" i="21"/>
  <c r="BN213" i="21"/>
  <c r="BM213" i="21"/>
  <c r="BL213" i="21"/>
  <c r="BK213" i="21"/>
  <c r="BJ213" i="21"/>
  <c r="BI213" i="21"/>
  <c r="BH213" i="21"/>
  <c r="BF213" i="21"/>
  <c r="BE213" i="21"/>
  <c r="BD213" i="21"/>
  <c r="BC213" i="21"/>
  <c r="BB213" i="21"/>
  <c r="BA213" i="21"/>
  <c r="AZ213" i="21"/>
  <c r="AY213" i="21"/>
  <c r="AX213" i="21"/>
  <c r="AT213" i="21"/>
  <c r="AJ213" i="21"/>
  <c r="AU213" i="21" s="1"/>
  <c r="AV213" i="21" s="1"/>
  <c r="W213" i="21"/>
  <c r="M213" i="21"/>
  <c r="X213" i="21" s="1"/>
  <c r="Y213" i="21" s="1"/>
  <c r="BX212" i="21"/>
  <c r="BP212" i="21"/>
  <c r="BO212" i="21"/>
  <c r="BN212" i="21"/>
  <c r="BM212" i="21"/>
  <c r="BL212" i="21"/>
  <c r="BK212" i="21"/>
  <c r="BJ212" i="21"/>
  <c r="BI212" i="21"/>
  <c r="BH212" i="21"/>
  <c r="BF212" i="21"/>
  <c r="BE212" i="21"/>
  <c r="BD212" i="21"/>
  <c r="BC212" i="21"/>
  <c r="BB212" i="21"/>
  <c r="BA212" i="21"/>
  <c r="AZ212" i="21"/>
  <c r="AY212" i="21"/>
  <c r="AX212" i="21"/>
  <c r="AT212" i="21"/>
  <c r="AJ212" i="21"/>
  <c r="AU212" i="21" s="1"/>
  <c r="AV212" i="21" s="1"/>
  <c r="W212" i="21"/>
  <c r="M212" i="21"/>
  <c r="X212" i="21" s="1"/>
  <c r="Y212" i="21" s="1"/>
  <c r="BX211" i="21"/>
  <c r="BP211" i="21"/>
  <c r="BO211" i="21"/>
  <c r="BN211" i="21"/>
  <c r="BM211" i="21"/>
  <c r="BL211" i="21"/>
  <c r="BK211" i="21"/>
  <c r="BJ211" i="21"/>
  <c r="BI211" i="21"/>
  <c r="BH211" i="21"/>
  <c r="BF211" i="21"/>
  <c r="BE211" i="21"/>
  <c r="BD211" i="21"/>
  <c r="BC211" i="21"/>
  <c r="BB211" i="21"/>
  <c r="BA211" i="21"/>
  <c r="AZ211" i="21"/>
  <c r="AY211" i="21"/>
  <c r="AX211" i="21"/>
  <c r="AT211" i="21"/>
  <c r="AJ211" i="21"/>
  <c r="AU211" i="21" s="1"/>
  <c r="AV211" i="21" s="1"/>
  <c r="W211" i="21"/>
  <c r="M211" i="21"/>
  <c r="X211" i="21" s="1"/>
  <c r="Y211" i="21" s="1"/>
  <c r="BX210" i="21"/>
  <c r="BP210" i="21"/>
  <c r="BO210" i="21"/>
  <c r="BN210" i="21"/>
  <c r="BM210" i="21"/>
  <c r="BL210" i="21"/>
  <c r="BK210" i="21"/>
  <c r="BJ210" i="21"/>
  <c r="BI210" i="21"/>
  <c r="BH210" i="21"/>
  <c r="BF210" i="21"/>
  <c r="BE210" i="21"/>
  <c r="BD210" i="21"/>
  <c r="BC210" i="21"/>
  <c r="BB210" i="21"/>
  <c r="BA210" i="21"/>
  <c r="AZ210" i="21"/>
  <c r="AY210" i="21"/>
  <c r="AX210" i="21"/>
  <c r="AT210" i="21"/>
  <c r="AJ210" i="21"/>
  <c r="AU210" i="21" s="1"/>
  <c r="AV210" i="21" s="1"/>
  <c r="W210" i="21"/>
  <c r="M210" i="21"/>
  <c r="X210" i="21" s="1"/>
  <c r="Y210" i="21" s="1"/>
  <c r="BX209" i="21"/>
  <c r="BW209" i="21"/>
  <c r="BP209" i="21"/>
  <c r="BO209" i="21"/>
  <c r="BN209" i="21"/>
  <c r="BM209" i="21"/>
  <c r="BL209" i="21"/>
  <c r="BK209" i="21"/>
  <c r="BJ209" i="21"/>
  <c r="BI209" i="21"/>
  <c r="BH209" i="21"/>
  <c r="BF209" i="21"/>
  <c r="BE209" i="21"/>
  <c r="BD209" i="21"/>
  <c r="BC209" i="21"/>
  <c r="BB209" i="21"/>
  <c r="BA209" i="21"/>
  <c r="AZ209" i="21"/>
  <c r="AY209" i="21"/>
  <c r="AX209" i="21"/>
  <c r="AT209" i="21"/>
  <c r="AJ209" i="21"/>
  <c r="AU209" i="21" s="1"/>
  <c r="AV209" i="21" s="1"/>
  <c r="W209" i="21"/>
  <c r="M209" i="21"/>
  <c r="X209" i="21" s="1"/>
  <c r="Y209" i="21" s="1"/>
  <c r="BX208" i="21"/>
  <c r="BP208" i="21"/>
  <c r="BO208" i="21"/>
  <c r="BN208" i="21"/>
  <c r="BM208" i="21"/>
  <c r="BL208" i="21"/>
  <c r="BK208" i="21"/>
  <c r="BJ208" i="21"/>
  <c r="BI208" i="21"/>
  <c r="BH208" i="21"/>
  <c r="BF208" i="21"/>
  <c r="BE208" i="21"/>
  <c r="BD208" i="21"/>
  <c r="BC208" i="21"/>
  <c r="BB208" i="21"/>
  <c r="BA208" i="21"/>
  <c r="AZ208" i="21"/>
  <c r="AY208" i="21"/>
  <c r="AX208" i="21"/>
  <c r="AT208" i="21"/>
  <c r="AJ208" i="21"/>
  <c r="AU208" i="21" s="1"/>
  <c r="AV208" i="21" s="1"/>
  <c r="W208" i="21"/>
  <c r="M208" i="21"/>
  <c r="X208" i="21" s="1"/>
  <c r="Y208" i="21" s="1"/>
  <c r="BX207" i="21"/>
  <c r="BP207" i="21"/>
  <c r="BO207" i="21"/>
  <c r="BN207" i="21"/>
  <c r="BM207" i="21"/>
  <c r="BL207" i="21"/>
  <c r="BK207" i="21"/>
  <c r="BJ207" i="21"/>
  <c r="BI207" i="21"/>
  <c r="BH207" i="21"/>
  <c r="BF207" i="21"/>
  <c r="BE207" i="21"/>
  <c r="BD207" i="21"/>
  <c r="BC207" i="21"/>
  <c r="BB207" i="21"/>
  <c r="BA207" i="21"/>
  <c r="AZ207" i="21"/>
  <c r="AY207" i="21"/>
  <c r="AX207" i="21"/>
  <c r="AT207" i="21"/>
  <c r="AJ207" i="21"/>
  <c r="AU207" i="21" s="1"/>
  <c r="AV207" i="21" s="1"/>
  <c r="W207" i="21"/>
  <c r="M207" i="21"/>
  <c r="X207" i="21" s="1"/>
  <c r="Y207" i="21" s="1"/>
  <c r="BX206" i="21"/>
  <c r="BP206" i="21"/>
  <c r="BO206" i="21"/>
  <c r="BN206" i="21"/>
  <c r="BM206" i="21"/>
  <c r="BL206" i="21"/>
  <c r="BK206" i="21"/>
  <c r="BJ206" i="21"/>
  <c r="BI206" i="21"/>
  <c r="BH206" i="21"/>
  <c r="BF206" i="21"/>
  <c r="BE206" i="21"/>
  <c r="BD206" i="21"/>
  <c r="BC206" i="21"/>
  <c r="BB206" i="21"/>
  <c r="BA206" i="21"/>
  <c r="AZ206" i="21"/>
  <c r="AY206" i="21"/>
  <c r="AX206" i="21"/>
  <c r="AT206" i="21"/>
  <c r="AJ206" i="21"/>
  <c r="AU206" i="21" s="1"/>
  <c r="AV206" i="21" s="1"/>
  <c r="W206" i="21"/>
  <c r="M206" i="21"/>
  <c r="X206" i="21" s="1"/>
  <c r="Y206" i="21" s="1"/>
  <c r="BX205" i="21"/>
  <c r="BW205" i="21"/>
  <c r="BP205" i="21"/>
  <c r="BO205" i="21"/>
  <c r="BN205" i="21"/>
  <c r="BM205" i="21"/>
  <c r="BL205" i="21"/>
  <c r="BK205" i="21"/>
  <c r="BJ205" i="21"/>
  <c r="BI205" i="21"/>
  <c r="BH205" i="21"/>
  <c r="BF205" i="21"/>
  <c r="BE205" i="21"/>
  <c r="BD205" i="21"/>
  <c r="BC205" i="21"/>
  <c r="BB205" i="21"/>
  <c r="BA205" i="21"/>
  <c r="AZ205" i="21"/>
  <c r="AY205" i="21"/>
  <c r="AX205" i="21"/>
  <c r="AT205" i="21"/>
  <c r="AJ205" i="21"/>
  <c r="AU205" i="21" s="1"/>
  <c r="AV205" i="21" s="1"/>
  <c r="W205" i="21"/>
  <c r="M205" i="21"/>
  <c r="X205" i="21" s="1"/>
  <c r="Y205" i="21" s="1"/>
  <c r="BX204" i="21"/>
  <c r="BP204" i="21"/>
  <c r="BO204" i="21"/>
  <c r="BN204" i="21"/>
  <c r="BM204" i="21"/>
  <c r="BL204" i="21"/>
  <c r="BK204" i="21"/>
  <c r="BJ204" i="21"/>
  <c r="BI204" i="21"/>
  <c r="BH204" i="21"/>
  <c r="BF204" i="21"/>
  <c r="BE204" i="21"/>
  <c r="BD204" i="21"/>
  <c r="BC204" i="21"/>
  <c r="BB204" i="21"/>
  <c r="BA204" i="21"/>
  <c r="AZ204" i="21"/>
  <c r="AY204" i="21"/>
  <c r="AX204" i="21"/>
  <c r="AT204" i="21"/>
  <c r="AJ204" i="21"/>
  <c r="AU204" i="21" s="1"/>
  <c r="AV204" i="21" s="1"/>
  <c r="W204" i="21"/>
  <c r="M204" i="21"/>
  <c r="X204" i="21" s="1"/>
  <c r="Y204" i="21" s="1"/>
  <c r="BX203" i="21"/>
  <c r="BP203" i="21"/>
  <c r="BO203" i="21"/>
  <c r="BN203" i="21"/>
  <c r="BM203" i="21"/>
  <c r="BL203" i="21"/>
  <c r="BK203" i="21"/>
  <c r="BJ203" i="21"/>
  <c r="BI203" i="21"/>
  <c r="BH203" i="21"/>
  <c r="BF203" i="21"/>
  <c r="BE203" i="21"/>
  <c r="BD203" i="21"/>
  <c r="BC203" i="21"/>
  <c r="BB203" i="21"/>
  <c r="BA203" i="21"/>
  <c r="AZ203" i="21"/>
  <c r="AY203" i="21"/>
  <c r="AX203" i="21"/>
  <c r="AT203" i="21"/>
  <c r="AJ203" i="21"/>
  <c r="AU203" i="21" s="1"/>
  <c r="AV203" i="21" s="1"/>
  <c r="W203" i="21"/>
  <c r="M203" i="21"/>
  <c r="X203" i="21" s="1"/>
  <c r="Y203" i="21" s="1"/>
  <c r="BX202" i="21"/>
  <c r="BP202" i="21"/>
  <c r="BO202" i="21"/>
  <c r="BN202" i="21"/>
  <c r="BM202" i="21"/>
  <c r="BL202" i="21"/>
  <c r="BK202" i="21"/>
  <c r="BJ202" i="21"/>
  <c r="BI202" i="21"/>
  <c r="BH202" i="21"/>
  <c r="BF202" i="21"/>
  <c r="BE202" i="21"/>
  <c r="BD202" i="21"/>
  <c r="BC202" i="21"/>
  <c r="BB202" i="21"/>
  <c r="BA202" i="21"/>
  <c r="AZ202" i="21"/>
  <c r="AY202" i="21"/>
  <c r="AX202" i="21"/>
  <c r="AT202" i="21"/>
  <c r="AJ202" i="21"/>
  <c r="AU202" i="21" s="1"/>
  <c r="AV202" i="21" s="1"/>
  <c r="W202" i="21"/>
  <c r="M202" i="21"/>
  <c r="X202" i="21" s="1"/>
  <c r="Y202" i="21" s="1"/>
  <c r="BX201" i="21"/>
  <c r="BW201" i="21"/>
  <c r="BP201" i="21"/>
  <c r="BO201" i="21"/>
  <c r="BN201" i="21"/>
  <c r="BM201" i="21"/>
  <c r="BL201" i="21"/>
  <c r="BK201" i="21"/>
  <c r="BJ201" i="21"/>
  <c r="BI201" i="21"/>
  <c r="BH201" i="21"/>
  <c r="BF201" i="21"/>
  <c r="BE201" i="21"/>
  <c r="BD201" i="21"/>
  <c r="BC201" i="21"/>
  <c r="BB201" i="21"/>
  <c r="BA201" i="21"/>
  <c r="AZ201" i="21"/>
  <c r="AY201" i="21"/>
  <c r="AX201" i="21"/>
  <c r="AT201" i="21"/>
  <c r="AJ201" i="21"/>
  <c r="AU201" i="21" s="1"/>
  <c r="AV201" i="21" s="1"/>
  <c r="W201" i="21"/>
  <c r="M201" i="21"/>
  <c r="X201" i="21" s="1"/>
  <c r="Y201" i="21" s="1"/>
  <c r="BX200" i="21"/>
  <c r="BP200" i="21"/>
  <c r="BO200" i="21"/>
  <c r="BN200" i="21"/>
  <c r="BM200" i="21"/>
  <c r="BL200" i="21"/>
  <c r="BK200" i="21"/>
  <c r="BJ200" i="21"/>
  <c r="BI200" i="21"/>
  <c r="BH200" i="21"/>
  <c r="BF200" i="21"/>
  <c r="BE200" i="21"/>
  <c r="BD200" i="21"/>
  <c r="BC200" i="21"/>
  <c r="BB200" i="21"/>
  <c r="BA200" i="21"/>
  <c r="AZ200" i="21"/>
  <c r="AY200" i="21"/>
  <c r="AX200" i="21"/>
  <c r="AT200" i="21"/>
  <c r="AJ200" i="21"/>
  <c r="AU200" i="21" s="1"/>
  <c r="AV200" i="21" s="1"/>
  <c r="W200" i="21"/>
  <c r="M200" i="21"/>
  <c r="X200" i="21" s="1"/>
  <c r="Y200" i="21" s="1"/>
  <c r="BX199" i="21"/>
  <c r="BP199" i="21"/>
  <c r="BO199" i="21"/>
  <c r="BN199" i="21"/>
  <c r="BM199" i="21"/>
  <c r="BL199" i="21"/>
  <c r="BK199" i="21"/>
  <c r="BJ199" i="21"/>
  <c r="BI199" i="21"/>
  <c r="BH199" i="21"/>
  <c r="BF199" i="21"/>
  <c r="BE199" i="21"/>
  <c r="BD199" i="21"/>
  <c r="BC199" i="21"/>
  <c r="BB199" i="21"/>
  <c r="BA199" i="21"/>
  <c r="AZ199" i="21"/>
  <c r="AY199" i="21"/>
  <c r="AX199" i="21"/>
  <c r="AT199" i="21"/>
  <c r="AJ199" i="21"/>
  <c r="AU199" i="21" s="1"/>
  <c r="AV199" i="21" s="1"/>
  <c r="W199" i="21"/>
  <c r="M199" i="21"/>
  <c r="X199" i="21" s="1"/>
  <c r="Y199" i="21" s="1"/>
  <c r="BX198" i="21"/>
  <c r="BP198" i="21"/>
  <c r="BO198" i="21"/>
  <c r="BN198" i="21"/>
  <c r="BM198" i="21"/>
  <c r="BL198" i="21"/>
  <c r="BK198" i="21"/>
  <c r="BJ198" i="21"/>
  <c r="BI198" i="21"/>
  <c r="BH198" i="21"/>
  <c r="BF198" i="21"/>
  <c r="BE198" i="21"/>
  <c r="BD198" i="21"/>
  <c r="BC198" i="21"/>
  <c r="BB198" i="21"/>
  <c r="BA198" i="21"/>
  <c r="AZ198" i="21"/>
  <c r="AY198" i="21"/>
  <c r="AX198" i="21"/>
  <c r="AT198" i="21"/>
  <c r="AJ198" i="21"/>
  <c r="AU198" i="21" s="1"/>
  <c r="AV198" i="21" s="1"/>
  <c r="W198" i="21"/>
  <c r="M198" i="21"/>
  <c r="X198" i="21" s="1"/>
  <c r="Y198" i="21" s="1"/>
  <c r="BX197" i="21"/>
  <c r="BW197" i="21"/>
  <c r="BP197" i="21"/>
  <c r="BO197" i="21"/>
  <c r="BN197" i="21"/>
  <c r="BM197" i="21"/>
  <c r="BL197" i="21"/>
  <c r="BK197" i="21"/>
  <c r="BJ197" i="21"/>
  <c r="BI197" i="21"/>
  <c r="BH197" i="21"/>
  <c r="BF197" i="21"/>
  <c r="BE197" i="21"/>
  <c r="BD197" i="21"/>
  <c r="BC197" i="21"/>
  <c r="BB197" i="21"/>
  <c r="BA197" i="21"/>
  <c r="AZ197" i="21"/>
  <c r="AY197" i="21"/>
  <c r="AX197" i="21"/>
  <c r="AT197" i="21"/>
  <c r="AJ197" i="21"/>
  <c r="AU197" i="21" s="1"/>
  <c r="AV197" i="21" s="1"/>
  <c r="W197" i="21"/>
  <c r="M197" i="21"/>
  <c r="X197" i="21" s="1"/>
  <c r="Y197" i="21" s="1"/>
  <c r="BX196" i="21"/>
  <c r="BW196" i="21"/>
  <c r="BP196" i="21"/>
  <c r="BO196" i="21"/>
  <c r="BN196" i="21"/>
  <c r="BM196" i="21"/>
  <c r="BL196" i="21"/>
  <c r="BK196" i="21"/>
  <c r="BJ196" i="21"/>
  <c r="BI196" i="21"/>
  <c r="BH196" i="21"/>
  <c r="BF196" i="21"/>
  <c r="BE196" i="21"/>
  <c r="BD196" i="21"/>
  <c r="BC196" i="21"/>
  <c r="BB196" i="21"/>
  <c r="BA196" i="21"/>
  <c r="AZ196" i="21"/>
  <c r="AY196" i="21"/>
  <c r="AX196" i="21"/>
  <c r="AT196" i="21"/>
  <c r="AJ196" i="21"/>
  <c r="AU196" i="21" s="1"/>
  <c r="AV196" i="21" s="1"/>
  <c r="W196" i="21"/>
  <c r="M196" i="21"/>
  <c r="X196" i="21" s="1"/>
  <c r="Y196" i="21" s="1"/>
  <c r="BX195" i="21"/>
  <c r="BW195" i="21"/>
  <c r="BP195" i="21"/>
  <c r="BO195" i="21"/>
  <c r="BN195" i="21"/>
  <c r="BM195" i="21"/>
  <c r="BL195" i="21"/>
  <c r="BK195" i="21"/>
  <c r="BJ195" i="21"/>
  <c r="BI195" i="21"/>
  <c r="BH195" i="21"/>
  <c r="BF195" i="21"/>
  <c r="BE195" i="21"/>
  <c r="BD195" i="21"/>
  <c r="BC195" i="21"/>
  <c r="BB195" i="21"/>
  <c r="BA195" i="21"/>
  <c r="AZ195" i="21"/>
  <c r="AY195" i="21"/>
  <c r="AX195" i="21"/>
  <c r="AT195" i="21"/>
  <c r="AJ195" i="21"/>
  <c r="AU195" i="21" s="1"/>
  <c r="AV195" i="21" s="1"/>
  <c r="W195" i="21"/>
  <c r="M195" i="21"/>
  <c r="X195" i="21" s="1"/>
  <c r="Y195" i="21" s="1"/>
  <c r="BX194" i="21"/>
  <c r="BP194" i="21"/>
  <c r="BO194" i="21"/>
  <c r="BN194" i="21"/>
  <c r="BM194" i="21"/>
  <c r="BL194" i="21"/>
  <c r="BK194" i="21"/>
  <c r="BJ194" i="21"/>
  <c r="BI194" i="21"/>
  <c r="BH194" i="21"/>
  <c r="BF194" i="21"/>
  <c r="BE194" i="21"/>
  <c r="BD194" i="21"/>
  <c r="BC194" i="21"/>
  <c r="BB194" i="21"/>
  <c r="BA194" i="21"/>
  <c r="AZ194" i="21"/>
  <c r="AY194" i="21"/>
  <c r="AX194" i="21"/>
  <c r="AT194" i="21"/>
  <c r="AJ194" i="21"/>
  <c r="AU194" i="21" s="1"/>
  <c r="AV194" i="21" s="1"/>
  <c r="W194" i="21"/>
  <c r="M194" i="21"/>
  <c r="X194" i="21" s="1"/>
  <c r="Y194" i="21" s="1"/>
  <c r="BX193" i="21"/>
  <c r="BW193" i="21"/>
  <c r="BP193" i="21"/>
  <c r="BO193" i="21"/>
  <c r="BN193" i="21"/>
  <c r="BM193" i="21"/>
  <c r="BL193" i="21"/>
  <c r="BK193" i="21"/>
  <c r="BJ193" i="21"/>
  <c r="BI193" i="21"/>
  <c r="BH193" i="21"/>
  <c r="BF193" i="21"/>
  <c r="BE193" i="21"/>
  <c r="BD193" i="21"/>
  <c r="BC193" i="21"/>
  <c r="BB193" i="21"/>
  <c r="BA193" i="21"/>
  <c r="AZ193" i="21"/>
  <c r="AY193" i="21"/>
  <c r="AX193" i="21"/>
  <c r="AT193" i="21"/>
  <c r="AJ193" i="21"/>
  <c r="AU193" i="21" s="1"/>
  <c r="AV193" i="21" s="1"/>
  <c r="W193" i="21"/>
  <c r="M193" i="21"/>
  <c r="X193" i="21" s="1"/>
  <c r="Y193" i="21" s="1"/>
  <c r="BX192" i="21"/>
  <c r="BP192" i="21"/>
  <c r="BO192" i="21"/>
  <c r="BN192" i="21"/>
  <c r="BM192" i="21"/>
  <c r="BL192" i="21"/>
  <c r="BK192" i="21"/>
  <c r="BJ192" i="21"/>
  <c r="BI192" i="21"/>
  <c r="BH192" i="21"/>
  <c r="BF192" i="21"/>
  <c r="BE192" i="21"/>
  <c r="BD192" i="21"/>
  <c r="BC192" i="21"/>
  <c r="BB192" i="21"/>
  <c r="BA192" i="21"/>
  <c r="AZ192" i="21"/>
  <c r="AY192" i="21"/>
  <c r="AX192" i="21"/>
  <c r="AT192" i="21"/>
  <c r="AJ192" i="21"/>
  <c r="AU192" i="21" s="1"/>
  <c r="AV192" i="21" s="1"/>
  <c r="W192" i="21"/>
  <c r="M192" i="21"/>
  <c r="X192" i="21" s="1"/>
  <c r="Y192" i="21" s="1"/>
  <c r="BX191" i="21"/>
  <c r="BP191" i="21"/>
  <c r="BO191" i="21"/>
  <c r="BN191" i="21"/>
  <c r="BM191" i="21"/>
  <c r="BL191" i="21"/>
  <c r="BK191" i="21"/>
  <c r="BJ191" i="21"/>
  <c r="BI191" i="21"/>
  <c r="BH191" i="21"/>
  <c r="BF191" i="21"/>
  <c r="BE191" i="21"/>
  <c r="BD191" i="21"/>
  <c r="BC191" i="21"/>
  <c r="BB191" i="21"/>
  <c r="BA191" i="21"/>
  <c r="AZ191" i="21"/>
  <c r="AY191" i="21"/>
  <c r="AX191" i="21"/>
  <c r="AT191" i="21"/>
  <c r="AJ191" i="21"/>
  <c r="AU191" i="21" s="1"/>
  <c r="AV191" i="21" s="1"/>
  <c r="W191" i="21"/>
  <c r="M191" i="21"/>
  <c r="X191" i="21" s="1"/>
  <c r="Y191" i="21" s="1"/>
  <c r="BX190" i="21"/>
  <c r="BP190" i="21"/>
  <c r="BO190" i="21"/>
  <c r="BN190" i="21"/>
  <c r="BM190" i="21"/>
  <c r="BL190" i="21"/>
  <c r="BK190" i="21"/>
  <c r="BJ190" i="21"/>
  <c r="BI190" i="21"/>
  <c r="BH190" i="21"/>
  <c r="BF190" i="21"/>
  <c r="BE190" i="21"/>
  <c r="BD190" i="21"/>
  <c r="BC190" i="21"/>
  <c r="BB190" i="21"/>
  <c r="BA190" i="21"/>
  <c r="AZ190" i="21"/>
  <c r="AY190" i="21"/>
  <c r="AX190" i="21"/>
  <c r="AT190" i="21"/>
  <c r="AJ190" i="21"/>
  <c r="AU190" i="21" s="1"/>
  <c r="AV190" i="21" s="1"/>
  <c r="W190" i="21"/>
  <c r="M190" i="21"/>
  <c r="X190" i="21" s="1"/>
  <c r="Y190" i="21" s="1"/>
  <c r="BX189" i="21"/>
  <c r="BW189" i="21"/>
  <c r="BP189" i="21"/>
  <c r="BO189" i="21"/>
  <c r="BN189" i="21"/>
  <c r="BM189" i="21"/>
  <c r="BL189" i="21"/>
  <c r="BK189" i="21"/>
  <c r="BJ189" i="21"/>
  <c r="BI189" i="21"/>
  <c r="BH189" i="21"/>
  <c r="BF189" i="21"/>
  <c r="BE189" i="21"/>
  <c r="BD189" i="21"/>
  <c r="BC189" i="21"/>
  <c r="BB189" i="21"/>
  <c r="BA189" i="21"/>
  <c r="AZ189" i="21"/>
  <c r="AY189" i="21"/>
  <c r="AX189" i="21"/>
  <c r="AT189" i="21"/>
  <c r="AJ189" i="21"/>
  <c r="AU189" i="21" s="1"/>
  <c r="AV189" i="21" s="1"/>
  <c r="W189" i="21"/>
  <c r="M189" i="21"/>
  <c r="X189" i="21" s="1"/>
  <c r="Y189" i="21" s="1"/>
  <c r="BX188" i="21"/>
  <c r="BP188" i="21"/>
  <c r="BO188" i="21"/>
  <c r="BN188" i="21"/>
  <c r="BM188" i="21"/>
  <c r="BL188" i="21"/>
  <c r="BK188" i="21"/>
  <c r="BJ188" i="21"/>
  <c r="BI188" i="21"/>
  <c r="BH188" i="21"/>
  <c r="BF188" i="21"/>
  <c r="BE188" i="21"/>
  <c r="BD188" i="21"/>
  <c r="BC188" i="21"/>
  <c r="BB188" i="21"/>
  <c r="BA188" i="21"/>
  <c r="AZ188" i="21"/>
  <c r="AY188" i="21"/>
  <c r="AX188" i="21"/>
  <c r="AT188" i="21"/>
  <c r="AJ188" i="21"/>
  <c r="AU188" i="21" s="1"/>
  <c r="AV188" i="21" s="1"/>
  <c r="W188" i="21"/>
  <c r="M188" i="21"/>
  <c r="X188" i="21" s="1"/>
  <c r="Y188" i="21" s="1"/>
  <c r="BX187" i="21"/>
  <c r="BW187" i="21"/>
  <c r="BP187" i="21"/>
  <c r="BO187" i="21"/>
  <c r="BN187" i="21"/>
  <c r="BM187" i="21"/>
  <c r="BL187" i="21"/>
  <c r="BK187" i="21"/>
  <c r="BJ187" i="21"/>
  <c r="BI187" i="21"/>
  <c r="BH187" i="21"/>
  <c r="BF187" i="21"/>
  <c r="BE187" i="21"/>
  <c r="BD187" i="21"/>
  <c r="BC187" i="21"/>
  <c r="BB187" i="21"/>
  <c r="BA187" i="21"/>
  <c r="AZ187" i="21"/>
  <c r="AY187" i="21"/>
  <c r="AX187" i="21"/>
  <c r="AT187" i="21"/>
  <c r="AJ187" i="21"/>
  <c r="AU187" i="21" s="1"/>
  <c r="AV187" i="21" s="1"/>
  <c r="W187" i="21"/>
  <c r="M187" i="21"/>
  <c r="X187" i="21" s="1"/>
  <c r="Y187" i="21" s="1"/>
  <c r="BX186" i="21"/>
  <c r="BP186" i="21"/>
  <c r="BO186" i="21"/>
  <c r="BN186" i="21"/>
  <c r="BM186" i="21"/>
  <c r="BL186" i="21"/>
  <c r="BK186" i="21"/>
  <c r="BJ186" i="21"/>
  <c r="BI186" i="21"/>
  <c r="BH186" i="21"/>
  <c r="BF186" i="21"/>
  <c r="BE186" i="21"/>
  <c r="BD186" i="21"/>
  <c r="BC186" i="21"/>
  <c r="BB186" i="21"/>
  <c r="BA186" i="21"/>
  <c r="AZ186" i="21"/>
  <c r="AY186" i="21"/>
  <c r="AX186" i="21"/>
  <c r="AT186" i="21"/>
  <c r="AJ186" i="21"/>
  <c r="AU186" i="21" s="1"/>
  <c r="AV186" i="21" s="1"/>
  <c r="W186" i="21"/>
  <c r="M186" i="21"/>
  <c r="X186" i="21" s="1"/>
  <c r="Y186" i="21" s="1"/>
  <c r="BX185" i="21"/>
  <c r="BW185" i="21"/>
  <c r="BP185" i="21"/>
  <c r="BO185" i="21"/>
  <c r="BN185" i="21"/>
  <c r="BM185" i="21"/>
  <c r="BL185" i="21"/>
  <c r="BK185" i="21"/>
  <c r="BJ185" i="21"/>
  <c r="BI185" i="21"/>
  <c r="BH185" i="21"/>
  <c r="BF185" i="21"/>
  <c r="BE185" i="21"/>
  <c r="BD185" i="21"/>
  <c r="BC185" i="21"/>
  <c r="BB185" i="21"/>
  <c r="BA185" i="21"/>
  <c r="AZ185" i="21"/>
  <c r="AY185" i="21"/>
  <c r="AX185" i="21"/>
  <c r="AT185" i="21"/>
  <c r="AJ185" i="21"/>
  <c r="AU185" i="21" s="1"/>
  <c r="AV185" i="21" s="1"/>
  <c r="W185" i="21"/>
  <c r="M185" i="21"/>
  <c r="X185" i="21" s="1"/>
  <c r="Y185" i="21" s="1"/>
  <c r="BX184" i="21"/>
  <c r="BP184" i="21"/>
  <c r="BO184" i="21"/>
  <c r="BN184" i="21"/>
  <c r="BM184" i="21"/>
  <c r="BL184" i="21"/>
  <c r="BK184" i="21"/>
  <c r="BJ184" i="21"/>
  <c r="BI184" i="21"/>
  <c r="BH184" i="21"/>
  <c r="BF184" i="21"/>
  <c r="BE184" i="21"/>
  <c r="BD184" i="21"/>
  <c r="BC184" i="21"/>
  <c r="BB184" i="21"/>
  <c r="BA184" i="21"/>
  <c r="AZ184" i="21"/>
  <c r="AY184" i="21"/>
  <c r="AX184" i="21"/>
  <c r="AT184" i="21"/>
  <c r="AJ184" i="21"/>
  <c r="AU184" i="21" s="1"/>
  <c r="AV184" i="21" s="1"/>
  <c r="W184" i="21"/>
  <c r="M184" i="21"/>
  <c r="X184" i="21" s="1"/>
  <c r="Y184" i="21" s="1"/>
  <c r="BX183" i="21"/>
  <c r="BP183" i="21"/>
  <c r="BO183" i="21"/>
  <c r="BN183" i="21"/>
  <c r="BM183" i="21"/>
  <c r="BL183" i="21"/>
  <c r="BK183" i="21"/>
  <c r="BJ183" i="21"/>
  <c r="BI183" i="21"/>
  <c r="BH183" i="21"/>
  <c r="BF183" i="21"/>
  <c r="BE183" i="21"/>
  <c r="BD183" i="21"/>
  <c r="BC183" i="21"/>
  <c r="BB183" i="21"/>
  <c r="BA183" i="21"/>
  <c r="AZ183" i="21"/>
  <c r="AY183" i="21"/>
  <c r="AX183" i="21"/>
  <c r="AT183" i="21"/>
  <c r="AJ183" i="21"/>
  <c r="AU183" i="21" s="1"/>
  <c r="AV183" i="21" s="1"/>
  <c r="W183" i="21"/>
  <c r="M183" i="21"/>
  <c r="X183" i="21" s="1"/>
  <c r="Y183" i="21" s="1"/>
  <c r="BX182" i="21"/>
  <c r="BP182" i="21"/>
  <c r="BO182" i="21"/>
  <c r="BN182" i="21"/>
  <c r="BM182" i="21"/>
  <c r="BL182" i="21"/>
  <c r="BK182" i="21"/>
  <c r="BJ182" i="21"/>
  <c r="BI182" i="21"/>
  <c r="BH182" i="21"/>
  <c r="BF182" i="21"/>
  <c r="BE182" i="21"/>
  <c r="BD182" i="21"/>
  <c r="BC182" i="21"/>
  <c r="BB182" i="21"/>
  <c r="BA182" i="21"/>
  <c r="AZ182" i="21"/>
  <c r="AY182" i="21"/>
  <c r="AX182" i="21"/>
  <c r="AT182" i="21"/>
  <c r="AJ182" i="21"/>
  <c r="AU182" i="21" s="1"/>
  <c r="AV182" i="21" s="1"/>
  <c r="W182" i="21"/>
  <c r="M182" i="21"/>
  <c r="X182" i="21" s="1"/>
  <c r="Y182" i="21" s="1"/>
  <c r="BX181" i="21"/>
  <c r="BW181" i="21"/>
  <c r="BP181" i="21"/>
  <c r="BO181" i="21"/>
  <c r="BN181" i="21"/>
  <c r="BM181" i="21"/>
  <c r="BL181" i="21"/>
  <c r="BK181" i="21"/>
  <c r="BJ181" i="21"/>
  <c r="BI181" i="21"/>
  <c r="BH181" i="21"/>
  <c r="BF181" i="21"/>
  <c r="BE181" i="21"/>
  <c r="BD181" i="21"/>
  <c r="BC181" i="21"/>
  <c r="BB181" i="21"/>
  <c r="BA181" i="21"/>
  <c r="AZ181" i="21"/>
  <c r="AY181" i="21"/>
  <c r="AX181" i="21"/>
  <c r="AT181" i="21"/>
  <c r="AJ181" i="21"/>
  <c r="AU181" i="21" s="1"/>
  <c r="AV181" i="21" s="1"/>
  <c r="W181" i="21"/>
  <c r="M181" i="21"/>
  <c r="X181" i="21" s="1"/>
  <c r="Y181" i="21" s="1"/>
  <c r="BX180" i="21"/>
  <c r="BP180" i="21"/>
  <c r="BO180" i="21"/>
  <c r="BN180" i="21"/>
  <c r="BM180" i="21"/>
  <c r="BL180" i="21"/>
  <c r="BK180" i="21"/>
  <c r="BJ180" i="21"/>
  <c r="BI180" i="21"/>
  <c r="BH180" i="21"/>
  <c r="BF180" i="21"/>
  <c r="BE180" i="21"/>
  <c r="BD180" i="21"/>
  <c r="BC180" i="21"/>
  <c r="BB180" i="21"/>
  <c r="BA180" i="21"/>
  <c r="AZ180" i="21"/>
  <c r="AY180" i="21"/>
  <c r="AX180" i="21"/>
  <c r="AT180" i="21"/>
  <c r="AJ180" i="21"/>
  <c r="AU180" i="21" s="1"/>
  <c r="AV180" i="21" s="1"/>
  <c r="W180" i="21"/>
  <c r="M180" i="21"/>
  <c r="X180" i="21" s="1"/>
  <c r="Y180" i="21" s="1"/>
  <c r="BX179" i="21"/>
  <c r="BP179" i="21"/>
  <c r="BO179" i="21"/>
  <c r="BN179" i="21"/>
  <c r="BM179" i="21"/>
  <c r="BL179" i="21"/>
  <c r="BK179" i="21"/>
  <c r="BJ179" i="21"/>
  <c r="BI179" i="21"/>
  <c r="BH179" i="21"/>
  <c r="BF179" i="21"/>
  <c r="BE179" i="21"/>
  <c r="BD179" i="21"/>
  <c r="BC179" i="21"/>
  <c r="BB179" i="21"/>
  <c r="BA179" i="21"/>
  <c r="AZ179" i="21"/>
  <c r="AY179" i="21"/>
  <c r="AX179" i="21"/>
  <c r="AT179" i="21"/>
  <c r="AJ179" i="21"/>
  <c r="AU179" i="21" s="1"/>
  <c r="AV179" i="21" s="1"/>
  <c r="W179" i="21"/>
  <c r="M179" i="21"/>
  <c r="X179" i="21" s="1"/>
  <c r="Y179" i="21" s="1"/>
  <c r="BX178" i="21"/>
  <c r="BP178" i="21"/>
  <c r="BO178" i="21"/>
  <c r="BN178" i="21"/>
  <c r="BM178" i="21"/>
  <c r="BL178" i="21"/>
  <c r="BK178" i="21"/>
  <c r="BJ178" i="21"/>
  <c r="BI178" i="21"/>
  <c r="BH178" i="21"/>
  <c r="BF178" i="21"/>
  <c r="BE178" i="21"/>
  <c r="BD178" i="21"/>
  <c r="BC178" i="21"/>
  <c r="BB178" i="21"/>
  <c r="BA178" i="21"/>
  <c r="AZ178" i="21"/>
  <c r="AY178" i="21"/>
  <c r="AX178" i="21"/>
  <c r="AT178" i="21"/>
  <c r="AJ178" i="21"/>
  <c r="AU178" i="21" s="1"/>
  <c r="AV178" i="21" s="1"/>
  <c r="W178" i="21"/>
  <c r="M178" i="21"/>
  <c r="X178" i="21" s="1"/>
  <c r="Y178" i="21" s="1"/>
  <c r="BX177" i="21"/>
  <c r="BW177" i="21"/>
  <c r="BP177" i="21"/>
  <c r="BO177" i="21"/>
  <c r="BN177" i="21"/>
  <c r="BM177" i="21"/>
  <c r="BL177" i="21"/>
  <c r="BK177" i="21"/>
  <c r="BJ177" i="21"/>
  <c r="BI177" i="21"/>
  <c r="BH177" i="21"/>
  <c r="BF177" i="21"/>
  <c r="BE177" i="21"/>
  <c r="BD177" i="21"/>
  <c r="BC177" i="21"/>
  <c r="BB177" i="21"/>
  <c r="BA177" i="21"/>
  <c r="AZ177" i="21"/>
  <c r="AY177" i="21"/>
  <c r="AX177" i="21"/>
  <c r="AT177" i="21"/>
  <c r="AJ177" i="21"/>
  <c r="AU177" i="21" s="1"/>
  <c r="AV177" i="21" s="1"/>
  <c r="W177" i="21"/>
  <c r="M177" i="21"/>
  <c r="X177" i="21" s="1"/>
  <c r="Y177" i="21" s="1"/>
  <c r="BX176" i="21"/>
  <c r="BP176" i="21"/>
  <c r="BO176" i="21"/>
  <c r="BN176" i="21"/>
  <c r="BM176" i="21"/>
  <c r="BL176" i="21"/>
  <c r="BK176" i="21"/>
  <c r="BJ176" i="21"/>
  <c r="BI176" i="21"/>
  <c r="BH176" i="21"/>
  <c r="BF176" i="21"/>
  <c r="BE176" i="21"/>
  <c r="BD176" i="21"/>
  <c r="BC176" i="21"/>
  <c r="BB176" i="21"/>
  <c r="BA176" i="21"/>
  <c r="AZ176" i="21"/>
  <c r="AY176" i="21"/>
  <c r="AX176" i="21"/>
  <c r="AT176" i="21"/>
  <c r="AJ176" i="21"/>
  <c r="AU176" i="21" s="1"/>
  <c r="AV176" i="21" s="1"/>
  <c r="W176" i="21"/>
  <c r="M176" i="21"/>
  <c r="X176" i="21" s="1"/>
  <c r="Y176" i="21" s="1"/>
  <c r="BX175" i="21"/>
  <c r="BP175" i="21"/>
  <c r="BO175" i="21"/>
  <c r="BN175" i="21"/>
  <c r="BM175" i="21"/>
  <c r="BL175" i="21"/>
  <c r="BK175" i="21"/>
  <c r="BJ175" i="21"/>
  <c r="BI175" i="21"/>
  <c r="BH175" i="21"/>
  <c r="BF175" i="21"/>
  <c r="BE175" i="21"/>
  <c r="BD175" i="21"/>
  <c r="BC175" i="21"/>
  <c r="BB175" i="21"/>
  <c r="BA175" i="21"/>
  <c r="AZ175" i="21"/>
  <c r="AY175" i="21"/>
  <c r="AX175" i="21"/>
  <c r="AT175" i="21"/>
  <c r="AJ175" i="21"/>
  <c r="AU175" i="21" s="1"/>
  <c r="AV175" i="21" s="1"/>
  <c r="W175" i="21"/>
  <c r="M175" i="21"/>
  <c r="X175" i="21" s="1"/>
  <c r="Y175" i="21" s="1"/>
  <c r="BX174" i="21"/>
  <c r="BP174" i="21"/>
  <c r="BO174" i="21"/>
  <c r="BN174" i="21"/>
  <c r="BM174" i="21"/>
  <c r="BL174" i="21"/>
  <c r="BK174" i="21"/>
  <c r="BJ174" i="21"/>
  <c r="BI174" i="21"/>
  <c r="BH174" i="21"/>
  <c r="BF174" i="21"/>
  <c r="BE174" i="21"/>
  <c r="BD174" i="21"/>
  <c r="BC174" i="21"/>
  <c r="BB174" i="21"/>
  <c r="BA174" i="21"/>
  <c r="AZ174" i="21"/>
  <c r="AY174" i="21"/>
  <c r="AX174" i="21"/>
  <c r="AT174" i="21"/>
  <c r="AJ174" i="21"/>
  <c r="AU174" i="21" s="1"/>
  <c r="AV174" i="21" s="1"/>
  <c r="W174" i="21"/>
  <c r="M174" i="21"/>
  <c r="X174" i="21" s="1"/>
  <c r="Y174" i="21" s="1"/>
  <c r="BX173" i="21"/>
  <c r="BW173" i="21"/>
  <c r="BP173" i="21"/>
  <c r="BO173" i="21"/>
  <c r="BN173" i="21"/>
  <c r="BM173" i="21"/>
  <c r="BL173" i="21"/>
  <c r="BK173" i="21"/>
  <c r="BJ173" i="21"/>
  <c r="BI173" i="21"/>
  <c r="BH173" i="21"/>
  <c r="BF173" i="21"/>
  <c r="BE173" i="21"/>
  <c r="BD173" i="21"/>
  <c r="BC173" i="21"/>
  <c r="BB173" i="21"/>
  <c r="BA173" i="21"/>
  <c r="AZ173" i="21"/>
  <c r="AY173" i="21"/>
  <c r="AX173" i="21"/>
  <c r="AT173" i="21"/>
  <c r="AJ173" i="21"/>
  <c r="AU173" i="21" s="1"/>
  <c r="AV173" i="21" s="1"/>
  <c r="W173" i="21"/>
  <c r="M173" i="21"/>
  <c r="X173" i="21" s="1"/>
  <c r="Y173" i="21" s="1"/>
  <c r="BX172" i="21"/>
  <c r="BP172" i="21"/>
  <c r="BO172" i="21"/>
  <c r="BN172" i="21"/>
  <c r="BM172" i="21"/>
  <c r="BL172" i="21"/>
  <c r="BK172" i="21"/>
  <c r="BJ172" i="21"/>
  <c r="BI172" i="21"/>
  <c r="BH172" i="21"/>
  <c r="BF172" i="21"/>
  <c r="BE172" i="21"/>
  <c r="BD172" i="21"/>
  <c r="BC172" i="21"/>
  <c r="BB172" i="21"/>
  <c r="BA172" i="21"/>
  <c r="AZ172" i="21"/>
  <c r="AY172" i="21"/>
  <c r="AX172" i="21"/>
  <c r="AT172" i="21"/>
  <c r="AJ172" i="21"/>
  <c r="AU172" i="21" s="1"/>
  <c r="AV172" i="21" s="1"/>
  <c r="W172" i="21"/>
  <c r="M172" i="21"/>
  <c r="X172" i="21" s="1"/>
  <c r="Y172" i="21" s="1"/>
  <c r="BX171" i="21"/>
  <c r="BP171" i="21"/>
  <c r="BO171" i="21"/>
  <c r="BN171" i="21"/>
  <c r="BM171" i="21"/>
  <c r="BL171" i="21"/>
  <c r="BK171" i="21"/>
  <c r="BJ171" i="21"/>
  <c r="BI171" i="21"/>
  <c r="BH171" i="21"/>
  <c r="BF171" i="21"/>
  <c r="BE171" i="21"/>
  <c r="BD171" i="21"/>
  <c r="BC171" i="21"/>
  <c r="BB171" i="21"/>
  <c r="BA171" i="21"/>
  <c r="AZ171" i="21"/>
  <c r="AY171" i="21"/>
  <c r="AX171" i="21"/>
  <c r="AT171" i="21"/>
  <c r="AJ171" i="21"/>
  <c r="AU171" i="21" s="1"/>
  <c r="AV171" i="21" s="1"/>
  <c r="W171" i="21"/>
  <c r="M171" i="21"/>
  <c r="X171" i="21" s="1"/>
  <c r="Y171" i="21" s="1"/>
  <c r="BX170" i="21"/>
  <c r="BP170" i="21"/>
  <c r="BO170" i="21"/>
  <c r="BN170" i="21"/>
  <c r="BM170" i="21"/>
  <c r="BL170" i="21"/>
  <c r="BK170" i="21"/>
  <c r="BJ170" i="21"/>
  <c r="BI170" i="21"/>
  <c r="BH170" i="21"/>
  <c r="BF170" i="21"/>
  <c r="BE170" i="21"/>
  <c r="BD170" i="21"/>
  <c r="BC170" i="21"/>
  <c r="BB170" i="21"/>
  <c r="BA170" i="21"/>
  <c r="AZ170" i="21"/>
  <c r="AY170" i="21"/>
  <c r="AX170" i="21"/>
  <c r="AT170" i="21"/>
  <c r="AJ170" i="21"/>
  <c r="AU170" i="21" s="1"/>
  <c r="AV170" i="21" s="1"/>
  <c r="W170" i="21"/>
  <c r="M170" i="21"/>
  <c r="X170" i="21" s="1"/>
  <c r="Y170" i="21" s="1"/>
  <c r="BX169" i="21"/>
  <c r="BW169" i="21"/>
  <c r="BP169" i="21"/>
  <c r="BO169" i="21"/>
  <c r="BN169" i="21"/>
  <c r="BM169" i="21"/>
  <c r="BL169" i="21"/>
  <c r="BK169" i="21"/>
  <c r="BJ169" i="21"/>
  <c r="BI169" i="21"/>
  <c r="BH169" i="21"/>
  <c r="BF169" i="21"/>
  <c r="BE169" i="21"/>
  <c r="BD169" i="21"/>
  <c r="BC169" i="21"/>
  <c r="BB169" i="21"/>
  <c r="BA169" i="21"/>
  <c r="AZ169" i="21"/>
  <c r="AY169" i="21"/>
  <c r="AX169" i="21"/>
  <c r="AT169" i="21"/>
  <c r="AJ169" i="21"/>
  <c r="AU169" i="21" s="1"/>
  <c r="AV169" i="21" s="1"/>
  <c r="W169" i="21"/>
  <c r="M169" i="21"/>
  <c r="X169" i="21" s="1"/>
  <c r="Y169" i="21" s="1"/>
  <c r="BX168" i="21"/>
  <c r="BP168" i="21"/>
  <c r="BO168" i="21"/>
  <c r="BN168" i="21"/>
  <c r="BM168" i="21"/>
  <c r="BL168" i="21"/>
  <c r="BK168" i="21"/>
  <c r="BJ168" i="21"/>
  <c r="BI168" i="21"/>
  <c r="BH168" i="21"/>
  <c r="BF168" i="21"/>
  <c r="BE168" i="21"/>
  <c r="BD168" i="21"/>
  <c r="BC168" i="21"/>
  <c r="BB168" i="21"/>
  <c r="BA168" i="21"/>
  <c r="AZ168" i="21"/>
  <c r="AY168" i="21"/>
  <c r="AX168" i="21"/>
  <c r="AT168" i="21"/>
  <c r="AJ168" i="21"/>
  <c r="AU168" i="21" s="1"/>
  <c r="AV168" i="21" s="1"/>
  <c r="W168" i="21"/>
  <c r="M168" i="21"/>
  <c r="X168" i="21" s="1"/>
  <c r="Y168" i="21" s="1"/>
  <c r="BX167" i="21"/>
  <c r="BP167" i="21"/>
  <c r="BO167" i="21"/>
  <c r="BN167" i="21"/>
  <c r="BM167" i="21"/>
  <c r="BL167" i="21"/>
  <c r="BK167" i="21"/>
  <c r="BJ167" i="21"/>
  <c r="BI167" i="21"/>
  <c r="BH167" i="21"/>
  <c r="BF167" i="21"/>
  <c r="BE167" i="21"/>
  <c r="BD167" i="21"/>
  <c r="BC167" i="21"/>
  <c r="BB167" i="21"/>
  <c r="BA167" i="21"/>
  <c r="AZ167" i="21"/>
  <c r="AY167" i="21"/>
  <c r="AX167" i="21"/>
  <c r="AT167" i="21"/>
  <c r="AJ167" i="21"/>
  <c r="AU167" i="21" s="1"/>
  <c r="AV167" i="21" s="1"/>
  <c r="W167" i="21"/>
  <c r="M167" i="21"/>
  <c r="X167" i="21" s="1"/>
  <c r="Y167" i="21" s="1"/>
  <c r="BX166" i="21"/>
  <c r="BP166" i="21"/>
  <c r="BO166" i="21"/>
  <c r="BN166" i="21"/>
  <c r="BM166" i="21"/>
  <c r="BL166" i="21"/>
  <c r="BK166" i="21"/>
  <c r="BJ166" i="21"/>
  <c r="BI166" i="21"/>
  <c r="BH166" i="21"/>
  <c r="BF166" i="21"/>
  <c r="BE166" i="21"/>
  <c r="BD166" i="21"/>
  <c r="BC166" i="21"/>
  <c r="BB166" i="21"/>
  <c r="BA166" i="21"/>
  <c r="AZ166" i="21"/>
  <c r="AY166" i="21"/>
  <c r="AX166" i="21"/>
  <c r="AT166" i="21"/>
  <c r="AJ166" i="21"/>
  <c r="AU166" i="21" s="1"/>
  <c r="AV166" i="21" s="1"/>
  <c r="W166" i="21"/>
  <c r="M166" i="21"/>
  <c r="X166" i="21" s="1"/>
  <c r="Y166" i="21" s="1"/>
  <c r="BX165" i="21"/>
  <c r="BW165" i="21"/>
  <c r="BP165" i="21"/>
  <c r="BO165" i="21"/>
  <c r="BN165" i="21"/>
  <c r="BM165" i="21"/>
  <c r="BL165" i="21"/>
  <c r="BK165" i="21"/>
  <c r="BJ165" i="21"/>
  <c r="BI165" i="21"/>
  <c r="BH165" i="21"/>
  <c r="BF165" i="21"/>
  <c r="BE165" i="21"/>
  <c r="BD165" i="21"/>
  <c r="BC165" i="21"/>
  <c r="BB165" i="21"/>
  <c r="BA165" i="21"/>
  <c r="AZ165" i="21"/>
  <c r="AY165" i="21"/>
  <c r="AX165" i="21"/>
  <c r="AT165" i="21"/>
  <c r="AJ165" i="21"/>
  <c r="AU165" i="21" s="1"/>
  <c r="AV165" i="21" s="1"/>
  <c r="W165" i="21"/>
  <c r="M165" i="21"/>
  <c r="X165" i="21" s="1"/>
  <c r="Y165" i="21" s="1"/>
  <c r="BX164" i="21"/>
  <c r="BW164" i="21"/>
  <c r="BP164" i="21"/>
  <c r="BO164" i="21"/>
  <c r="BN164" i="21"/>
  <c r="BM164" i="21"/>
  <c r="BL164" i="21"/>
  <c r="BK164" i="21"/>
  <c r="BJ164" i="21"/>
  <c r="BI164" i="21"/>
  <c r="BH164" i="21"/>
  <c r="BF164" i="21"/>
  <c r="BE164" i="21"/>
  <c r="BD164" i="21"/>
  <c r="BC164" i="21"/>
  <c r="BB164" i="21"/>
  <c r="BA164" i="21"/>
  <c r="AZ164" i="21"/>
  <c r="AY164" i="21"/>
  <c r="AX164" i="21"/>
  <c r="AT164" i="21"/>
  <c r="AJ164" i="21"/>
  <c r="AU164" i="21" s="1"/>
  <c r="AV164" i="21" s="1"/>
  <c r="W164" i="21"/>
  <c r="M164" i="21"/>
  <c r="X164" i="21" s="1"/>
  <c r="Y164" i="21" s="1"/>
  <c r="BX163" i="21"/>
  <c r="BW163" i="21"/>
  <c r="BP163" i="21"/>
  <c r="BO163" i="21"/>
  <c r="BN163" i="21"/>
  <c r="BM163" i="21"/>
  <c r="BL163" i="21"/>
  <c r="BK163" i="21"/>
  <c r="BJ163" i="21"/>
  <c r="BI163" i="21"/>
  <c r="BH163" i="21"/>
  <c r="BF163" i="21"/>
  <c r="BE163" i="21"/>
  <c r="BD163" i="21"/>
  <c r="BC163" i="21"/>
  <c r="BB163" i="21"/>
  <c r="BA163" i="21"/>
  <c r="AZ163" i="21"/>
  <c r="AY163" i="21"/>
  <c r="AX163" i="21"/>
  <c r="AT163" i="21"/>
  <c r="AJ163" i="21"/>
  <c r="AU163" i="21" s="1"/>
  <c r="AV163" i="21" s="1"/>
  <c r="W163" i="21"/>
  <c r="M163" i="21"/>
  <c r="X163" i="21" s="1"/>
  <c r="Y163" i="21" s="1"/>
  <c r="BX162" i="21"/>
  <c r="BP162" i="21"/>
  <c r="BO162" i="21"/>
  <c r="BN162" i="21"/>
  <c r="BM162" i="21"/>
  <c r="BL162" i="21"/>
  <c r="BK162" i="21"/>
  <c r="BJ162" i="21"/>
  <c r="BI162" i="21"/>
  <c r="BH162" i="21"/>
  <c r="BF162" i="21"/>
  <c r="BE162" i="21"/>
  <c r="BD162" i="21"/>
  <c r="BC162" i="21"/>
  <c r="BB162" i="21"/>
  <c r="BA162" i="21"/>
  <c r="AZ162" i="21"/>
  <c r="AY162" i="21"/>
  <c r="AX162" i="21"/>
  <c r="AT162" i="21"/>
  <c r="AJ162" i="21"/>
  <c r="AU162" i="21" s="1"/>
  <c r="AV162" i="21" s="1"/>
  <c r="W162" i="21"/>
  <c r="M162" i="21"/>
  <c r="X162" i="21" s="1"/>
  <c r="Y162" i="21" s="1"/>
  <c r="BX161" i="21"/>
  <c r="BW161" i="21"/>
  <c r="BP161" i="21"/>
  <c r="BO161" i="21"/>
  <c r="BN161" i="21"/>
  <c r="BM161" i="21"/>
  <c r="BL161" i="21"/>
  <c r="BK161" i="21"/>
  <c r="BJ161" i="21"/>
  <c r="BI161" i="21"/>
  <c r="BH161" i="21"/>
  <c r="BQ161" i="21" s="1"/>
  <c r="BF161" i="21"/>
  <c r="BE161" i="21"/>
  <c r="BD161" i="21"/>
  <c r="BC161" i="21"/>
  <c r="BB161" i="21"/>
  <c r="BA161" i="21"/>
  <c r="AZ161" i="21"/>
  <c r="AY161" i="21"/>
  <c r="AX161" i="21"/>
  <c r="AT161" i="21"/>
  <c r="AJ161" i="21"/>
  <c r="AU161" i="21" s="1"/>
  <c r="AV161" i="21" s="1"/>
  <c r="W161" i="21"/>
  <c r="M161" i="21"/>
  <c r="X161" i="21" s="1"/>
  <c r="Y161" i="21" s="1"/>
  <c r="BX160" i="21"/>
  <c r="BP160" i="21"/>
  <c r="BO160" i="21"/>
  <c r="BN160" i="21"/>
  <c r="BM160" i="21"/>
  <c r="BL160" i="21"/>
  <c r="BK160" i="21"/>
  <c r="BJ160" i="21"/>
  <c r="BI160" i="21"/>
  <c r="BH160" i="21"/>
  <c r="BF160" i="21"/>
  <c r="BE160" i="21"/>
  <c r="BD160" i="21"/>
  <c r="BC160" i="21"/>
  <c r="BB160" i="21"/>
  <c r="BA160" i="21"/>
  <c r="AZ160" i="21"/>
  <c r="AY160" i="21"/>
  <c r="AX160" i="21"/>
  <c r="AT160" i="21"/>
  <c r="AJ160" i="21"/>
  <c r="AU160" i="21" s="1"/>
  <c r="AV160" i="21" s="1"/>
  <c r="W160" i="21"/>
  <c r="M160" i="21"/>
  <c r="X160" i="21" s="1"/>
  <c r="Y160" i="21" s="1"/>
  <c r="BX159" i="21"/>
  <c r="BP159" i="21"/>
  <c r="BO159" i="21"/>
  <c r="BN159" i="21"/>
  <c r="BM159" i="21"/>
  <c r="BL159" i="21"/>
  <c r="BK159" i="21"/>
  <c r="BJ159" i="21"/>
  <c r="BI159" i="21"/>
  <c r="BH159" i="21"/>
  <c r="BF159" i="21"/>
  <c r="BE159" i="21"/>
  <c r="BD159" i="21"/>
  <c r="BC159" i="21"/>
  <c r="BB159" i="21"/>
  <c r="BA159" i="21"/>
  <c r="AZ159" i="21"/>
  <c r="AY159" i="21"/>
  <c r="AX159" i="21"/>
  <c r="AT159" i="21"/>
  <c r="AJ159" i="21"/>
  <c r="AU159" i="21" s="1"/>
  <c r="AV159" i="21" s="1"/>
  <c r="W159" i="21"/>
  <c r="M159" i="21"/>
  <c r="X159" i="21" s="1"/>
  <c r="Y159" i="21" s="1"/>
  <c r="BX158" i="21"/>
  <c r="BP158" i="21"/>
  <c r="BO158" i="21"/>
  <c r="BN158" i="21"/>
  <c r="BM158" i="21"/>
  <c r="BL158" i="21"/>
  <c r="BK158" i="21"/>
  <c r="BJ158" i="21"/>
  <c r="BI158" i="21"/>
  <c r="BH158" i="21"/>
  <c r="BF158" i="21"/>
  <c r="BE158" i="21"/>
  <c r="BD158" i="21"/>
  <c r="BC158" i="21"/>
  <c r="BB158" i="21"/>
  <c r="BA158" i="21"/>
  <c r="AZ158" i="21"/>
  <c r="AY158" i="21"/>
  <c r="AX158" i="21"/>
  <c r="AT158" i="21"/>
  <c r="AJ158" i="21"/>
  <c r="AU158" i="21" s="1"/>
  <c r="AV158" i="21" s="1"/>
  <c r="W158" i="21"/>
  <c r="M158" i="21"/>
  <c r="X158" i="21" s="1"/>
  <c r="Y158" i="21" s="1"/>
  <c r="BX157" i="21"/>
  <c r="BW157" i="21"/>
  <c r="BP157" i="21"/>
  <c r="BO157" i="21"/>
  <c r="BN157" i="21"/>
  <c r="BM157" i="21"/>
  <c r="BL157" i="21"/>
  <c r="BK157" i="21"/>
  <c r="BJ157" i="21"/>
  <c r="BI157" i="21"/>
  <c r="BH157" i="21"/>
  <c r="BQ157" i="21" s="1"/>
  <c r="BF157" i="21"/>
  <c r="BE157" i="21"/>
  <c r="BD157" i="21"/>
  <c r="BC157" i="21"/>
  <c r="BB157" i="21"/>
  <c r="BA157" i="21"/>
  <c r="AZ157" i="21"/>
  <c r="AY157" i="21"/>
  <c r="AX157" i="21"/>
  <c r="AT157" i="21"/>
  <c r="AJ157" i="21"/>
  <c r="AU157" i="21" s="1"/>
  <c r="AV157" i="21" s="1"/>
  <c r="W157" i="21"/>
  <c r="M157" i="21"/>
  <c r="X157" i="21" s="1"/>
  <c r="Y157" i="21" s="1"/>
  <c r="BX156" i="21"/>
  <c r="BP156" i="21"/>
  <c r="BO156" i="21"/>
  <c r="BN156" i="21"/>
  <c r="BM156" i="21"/>
  <c r="BL156" i="21"/>
  <c r="BK156" i="21"/>
  <c r="BJ156" i="21"/>
  <c r="BI156" i="21"/>
  <c r="BH156" i="21"/>
  <c r="BQ156" i="21" s="1"/>
  <c r="BF156" i="21"/>
  <c r="BE156" i="21"/>
  <c r="BD156" i="21"/>
  <c r="BC156" i="21"/>
  <c r="BB156" i="21"/>
  <c r="BA156" i="21"/>
  <c r="AZ156" i="21"/>
  <c r="AY156" i="21"/>
  <c r="AX156" i="21"/>
  <c r="AT156" i="21"/>
  <c r="AJ156" i="21"/>
  <c r="AU156" i="21" s="1"/>
  <c r="AV156" i="21" s="1"/>
  <c r="W156" i="21"/>
  <c r="M156" i="21"/>
  <c r="X156" i="21" s="1"/>
  <c r="Y156" i="21" s="1"/>
  <c r="BX155" i="21"/>
  <c r="BW155" i="21"/>
  <c r="BP155" i="21"/>
  <c r="BO155" i="21"/>
  <c r="BN155" i="21"/>
  <c r="BM155" i="21"/>
  <c r="BL155" i="21"/>
  <c r="BK155" i="21"/>
  <c r="BJ155" i="21"/>
  <c r="BI155" i="21"/>
  <c r="BH155" i="21"/>
  <c r="BF155" i="21"/>
  <c r="BE155" i="21"/>
  <c r="BD155" i="21"/>
  <c r="BC155" i="21"/>
  <c r="BB155" i="21"/>
  <c r="BA155" i="21"/>
  <c r="AZ155" i="21"/>
  <c r="AY155" i="21"/>
  <c r="AX155" i="21"/>
  <c r="AT155" i="21"/>
  <c r="AJ155" i="21"/>
  <c r="AU155" i="21" s="1"/>
  <c r="AV155" i="21" s="1"/>
  <c r="W155" i="21"/>
  <c r="M155" i="21"/>
  <c r="X155" i="21" s="1"/>
  <c r="Y155" i="21" s="1"/>
  <c r="BX154" i="21"/>
  <c r="BP154" i="21"/>
  <c r="BO154" i="21"/>
  <c r="BN154" i="21"/>
  <c r="BM154" i="21"/>
  <c r="BL154" i="21"/>
  <c r="BK154" i="21"/>
  <c r="BJ154" i="21"/>
  <c r="BI154" i="21"/>
  <c r="BH154" i="21"/>
  <c r="BF154" i="21"/>
  <c r="BE154" i="21"/>
  <c r="BD154" i="21"/>
  <c r="BC154" i="21"/>
  <c r="BB154" i="21"/>
  <c r="BA154" i="21"/>
  <c r="AZ154" i="21"/>
  <c r="AY154" i="21"/>
  <c r="AX154" i="21"/>
  <c r="AT154" i="21"/>
  <c r="AJ154" i="21"/>
  <c r="AU154" i="21" s="1"/>
  <c r="AV154" i="21" s="1"/>
  <c r="W154" i="21"/>
  <c r="M154" i="21"/>
  <c r="X154" i="21" s="1"/>
  <c r="Y154" i="21" s="1"/>
  <c r="BX153" i="21"/>
  <c r="BW153" i="21"/>
  <c r="BP153" i="21"/>
  <c r="BO153" i="21"/>
  <c r="BN153" i="21"/>
  <c r="BM153" i="21"/>
  <c r="BL153" i="21"/>
  <c r="BK153" i="21"/>
  <c r="BJ153" i="21"/>
  <c r="BI153" i="21"/>
  <c r="BH153" i="21"/>
  <c r="BQ153" i="21" s="1"/>
  <c r="BF153" i="21"/>
  <c r="BE153" i="21"/>
  <c r="BD153" i="21"/>
  <c r="BC153" i="21"/>
  <c r="BB153" i="21"/>
  <c r="BA153" i="21"/>
  <c r="AZ153" i="21"/>
  <c r="AY153" i="21"/>
  <c r="AX153" i="21"/>
  <c r="AT153" i="21"/>
  <c r="AJ153" i="21"/>
  <c r="AU153" i="21" s="1"/>
  <c r="AV153" i="21" s="1"/>
  <c r="W153" i="21"/>
  <c r="M153" i="21"/>
  <c r="X153" i="21" s="1"/>
  <c r="Y153" i="21" s="1"/>
  <c r="BX152" i="21"/>
  <c r="BP152" i="21"/>
  <c r="BO152" i="21"/>
  <c r="BN152" i="21"/>
  <c r="BM152" i="21"/>
  <c r="BL152" i="21"/>
  <c r="BK152" i="21"/>
  <c r="BJ152" i="21"/>
  <c r="BI152" i="21"/>
  <c r="BH152" i="21"/>
  <c r="BF152" i="21"/>
  <c r="BE152" i="21"/>
  <c r="BD152" i="21"/>
  <c r="BC152" i="21"/>
  <c r="BB152" i="21"/>
  <c r="BA152" i="21"/>
  <c r="AZ152" i="21"/>
  <c r="AY152" i="21"/>
  <c r="AX152" i="21"/>
  <c r="AT152" i="21"/>
  <c r="AJ152" i="21"/>
  <c r="AU152" i="21" s="1"/>
  <c r="AV152" i="21" s="1"/>
  <c r="W152" i="21"/>
  <c r="M152" i="21"/>
  <c r="X152" i="21" s="1"/>
  <c r="Y152" i="21" s="1"/>
  <c r="BX151" i="21"/>
  <c r="BP151" i="21"/>
  <c r="BO151" i="21"/>
  <c r="BN151" i="21"/>
  <c r="BM151" i="21"/>
  <c r="BL151" i="21"/>
  <c r="BK151" i="21"/>
  <c r="BJ151" i="21"/>
  <c r="BI151" i="21"/>
  <c r="BH151" i="21"/>
  <c r="BF151" i="21"/>
  <c r="BE151" i="21"/>
  <c r="BD151" i="21"/>
  <c r="BC151" i="21"/>
  <c r="BB151" i="21"/>
  <c r="BA151" i="21"/>
  <c r="AZ151" i="21"/>
  <c r="AY151" i="21"/>
  <c r="AX151" i="21"/>
  <c r="AT151" i="21"/>
  <c r="AJ151" i="21"/>
  <c r="AU151" i="21" s="1"/>
  <c r="AV151" i="21" s="1"/>
  <c r="W151" i="21"/>
  <c r="M151" i="21"/>
  <c r="X151" i="21" s="1"/>
  <c r="Y151" i="21" s="1"/>
  <c r="BX150" i="21"/>
  <c r="BP150" i="21"/>
  <c r="BO150" i="21"/>
  <c r="BN150" i="21"/>
  <c r="BM150" i="21"/>
  <c r="BL150" i="21"/>
  <c r="BK150" i="21"/>
  <c r="BJ150" i="21"/>
  <c r="BI150" i="21"/>
  <c r="BH150" i="21"/>
  <c r="BF150" i="21"/>
  <c r="BE150" i="21"/>
  <c r="BD150" i="21"/>
  <c r="BC150" i="21"/>
  <c r="BB150" i="21"/>
  <c r="BA150" i="21"/>
  <c r="AZ150" i="21"/>
  <c r="AY150" i="21"/>
  <c r="AX150" i="21"/>
  <c r="AT150" i="21"/>
  <c r="AJ150" i="21"/>
  <c r="AU150" i="21" s="1"/>
  <c r="AV150" i="21" s="1"/>
  <c r="W150" i="21"/>
  <c r="M150" i="21"/>
  <c r="X150" i="21" s="1"/>
  <c r="Y150" i="21" s="1"/>
  <c r="BX149" i="21"/>
  <c r="BW149" i="21"/>
  <c r="BP149" i="21"/>
  <c r="BO149" i="21"/>
  <c r="BN149" i="21"/>
  <c r="BM149" i="21"/>
  <c r="BL149" i="21"/>
  <c r="BK149" i="21"/>
  <c r="BJ149" i="21"/>
  <c r="BI149" i="21"/>
  <c r="BH149" i="21"/>
  <c r="BQ149" i="21" s="1"/>
  <c r="BF149" i="21"/>
  <c r="BE149" i="21"/>
  <c r="BD149" i="21"/>
  <c r="BC149" i="21"/>
  <c r="BB149" i="21"/>
  <c r="BA149" i="21"/>
  <c r="AZ149" i="21"/>
  <c r="AY149" i="21"/>
  <c r="AX149" i="21"/>
  <c r="AT149" i="21"/>
  <c r="AJ149" i="21"/>
  <c r="AU149" i="21" s="1"/>
  <c r="AV149" i="21" s="1"/>
  <c r="W149" i="21"/>
  <c r="M149" i="21"/>
  <c r="X149" i="21" s="1"/>
  <c r="Y149" i="21" s="1"/>
  <c r="BX148" i="21"/>
  <c r="BP148" i="21"/>
  <c r="BO148" i="21"/>
  <c r="BN148" i="21"/>
  <c r="BM148" i="21"/>
  <c r="BL148" i="21"/>
  <c r="BK148" i="21"/>
  <c r="BJ148" i="21"/>
  <c r="BI148" i="21"/>
  <c r="BH148" i="21"/>
  <c r="BQ148" i="21" s="1"/>
  <c r="BF148" i="21"/>
  <c r="BE148" i="21"/>
  <c r="BD148" i="21"/>
  <c r="BC148" i="21"/>
  <c r="BB148" i="21"/>
  <c r="BA148" i="21"/>
  <c r="AZ148" i="21"/>
  <c r="AY148" i="21"/>
  <c r="AX148" i="21"/>
  <c r="AT148" i="21"/>
  <c r="AJ148" i="21"/>
  <c r="AU148" i="21" s="1"/>
  <c r="AV148" i="21" s="1"/>
  <c r="W148" i="21"/>
  <c r="M148" i="21"/>
  <c r="X148" i="21" s="1"/>
  <c r="Y148" i="21" s="1"/>
  <c r="BX147" i="21"/>
  <c r="BP147" i="21"/>
  <c r="BO147" i="21"/>
  <c r="BN147" i="21"/>
  <c r="BM147" i="21"/>
  <c r="BL147" i="21"/>
  <c r="BK147" i="21"/>
  <c r="BJ147" i="21"/>
  <c r="BI147" i="21"/>
  <c r="BH147" i="21"/>
  <c r="BF147" i="21"/>
  <c r="BE147" i="21"/>
  <c r="BD147" i="21"/>
  <c r="BC147" i="21"/>
  <c r="BB147" i="21"/>
  <c r="BA147" i="21"/>
  <c r="AZ147" i="21"/>
  <c r="AY147" i="21"/>
  <c r="AX147" i="21"/>
  <c r="AT147" i="21"/>
  <c r="AJ147" i="21"/>
  <c r="AU147" i="21" s="1"/>
  <c r="AV147" i="21" s="1"/>
  <c r="W147" i="21"/>
  <c r="M147" i="21"/>
  <c r="X147" i="21" s="1"/>
  <c r="Y147" i="21" s="1"/>
  <c r="BX146" i="21"/>
  <c r="BP146" i="21"/>
  <c r="BO146" i="21"/>
  <c r="BN146" i="21"/>
  <c r="BM146" i="21"/>
  <c r="BL146" i="21"/>
  <c r="BK146" i="21"/>
  <c r="BJ146" i="21"/>
  <c r="BI146" i="21"/>
  <c r="BH146" i="21"/>
  <c r="BF146" i="21"/>
  <c r="BE146" i="21"/>
  <c r="BD146" i="21"/>
  <c r="BC146" i="21"/>
  <c r="BB146" i="21"/>
  <c r="BA146" i="21"/>
  <c r="AZ146" i="21"/>
  <c r="AY146" i="21"/>
  <c r="AX146" i="21"/>
  <c r="AT146" i="21"/>
  <c r="AJ146" i="21"/>
  <c r="AU146" i="21" s="1"/>
  <c r="AV146" i="21" s="1"/>
  <c r="W146" i="21"/>
  <c r="M146" i="21"/>
  <c r="X146" i="21" s="1"/>
  <c r="Y146" i="21" s="1"/>
  <c r="BX145" i="21"/>
  <c r="BW145" i="21"/>
  <c r="BP145" i="21"/>
  <c r="BO145" i="21"/>
  <c r="BN145" i="21"/>
  <c r="BM145" i="21"/>
  <c r="BL145" i="21"/>
  <c r="BK145" i="21"/>
  <c r="BJ145" i="21"/>
  <c r="BI145" i="21"/>
  <c r="BH145" i="21"/>
  <c r="BQ145" i="21" s="1"/>
  <c r="BF145" i="21"/>
  <c r="BE145" i="21"/>
  <c r="BD145" i="21"/>
  <c r="BC145" i="21"/>
  <c r="BB145" i="21"/>
  <c r="BA145" i="21"/>
  <c r="AZ145" i="21"/>
  <c r="AY145" i="21"/>
  <c r="AX145" i="21"/>
  <c r="AT145" i="21"/>
  <c r="AJ145" i="21"/>
  <c r="AU145" i="21" s="1"/>
  <c r="AV145" i="21" s="1"/>
  <c r="W145" i="21"/>
  <c r="M145" i="21"/>
  <c r="X145" i="21" s="1"/>
  <c r="Y145" i="21" s="1"/>
  <c r="BX144" i="21"/>
  <c r="BP144" i="21"/>
  <c r="BO144" i="21"/>
  <c r="BN144" i="21"/>
  <c r="BM144" i="21"/>
  <c r="BL144" i="21"/>
  <c r="BK144" i="21"/>
  <c r="BJ144" i="21"/>
  <c r="BI144" i="21"/>
  <c r="BH144" i="21"/>
  <c r="BF144" i="21"/>
  <c r="BE144" i="21"/>
  <c r="BD144" i="21"/>
  <c r="BC144" i="21"/>
  <c r="BB144" i="21"/>
  <c r="BA144" i="21"/>
  <c r="AZ144" i="21"/>
  <c r="AY144" i="21"/>
  <c r="AX144" i="21"/>
  <c r="AT144" i="21"/>
  <c r="AJ144" i="21"/>
  <c r="AU144" i="21" s="1"/>
  <c r="AV144" i="21" s="1"/>
  <c r="W144" i="21"/>
  <c r="M144" i="21"/>
  <c r="X144" i="21" s="1"/>
  <c r="Y144" i="21" s="1"/>
  <c r="BX143" i="21"/>
  <c r="BP143" i="21"/>
  <c r="BO143" i="21"/>
  <c r="BN143" i="21"/>
  <c r="BM143" i="21"/>
  <c r="BL143" i="21"/>
  <c r="BK143" i="21"/>
  <c r="BJ143" i="21"/>
  <c r="BI143" i="21"/>
  <c r="BH143" i="21"/>
  <c r="BF143" i="21"/>
  <c r="BE143" i="21"/>
  <c r="BD143" i="21"/>
  <c r="BC143" i="21"/>
  <c r="BB143" i="21"/>
  <c r="BA143" i="21"/>
  <c r="AZ143" i="21"/>
  <c r="AY143" i="21"/>
  <c r="AX143" i="21"/>
  <c r="AT143" i="21"/>
  <c r="AJ143" i="21"/>
  <c r="AU143" i="21" s="1"/>
  <c r="AV143" i="21" s="1"/>
  <c r="W143" i="21"/>
  <c r="M143" i="21"/>
  <c r="X143" i="21" s="1"/>
  <c r="Y143" i="21" s="1"/>
  <c r="BX142" i="21"/>
  <c r="BP142" i="21"/>
  <c r="BO142" i="21"/>
  <c r="BN142" i="21"/>
  <c r="BM142" i="21"/>
  <c r="BL142" i="21"/>
  <c r="BK142" i="21"/>
  <c r="BJ142" i="21"/>
  <c r="BI142" i="21"/>
  <c r="BH142" i="21"/>
  <c r="BF142" i="21"/>
  <c r="BE142" i="21"/>
  <c r="BD142" i="21"/>
  <c r="BC142" i="21"/>
  <c r="BB142" i="21"/>
  <c r="BA142" i="21"/>
  <c r="AZ142" i="21"/>
  <c r="AY142" i="21"/>
  <c r="AX142" i="21"/>
  <c r="AT142" i="21"/>
  <c r="AJ142" i="21"/>
  <c r="AU142" i="21" s="1"/>
  <c r="AV142" i="21" s="1"/>
  <c r="W142" i="21"/>
  <c r="M142" i="21"/>
  <c r="X142" i="21" s="1"/>
  <c r="Y142" i="21" s="1"/>
  <c r="BX141" i="21"/>
  <c r="BW141" i="21"/>
  <c r="BP141" i="21"/>
  <c r="BO141" i="21"/>
  <c r="BN141" i="21"/>
  <c r="BM141" i="21"/>
  <c r="BL141" i="21"/>
  <c r="BK141" i="21"/>
  <c r="BJ141" i="21"/>
  <c r="BI141" i="21"/>
  <c r="BH141" i="21"/>
  <c r="BQ141" i="21" s="1"/>
  <c r="BF141" i="21"/>
  <c r="BE141" i="21"/>
  <c r="BD141" i="21"/>
  <c r="BC141" i="21"/>
  <c r="BB141" i="21"/>
  <c r="BA141" i="21"/>
  <c r="AZ141" i="21"/>
  <c r="AY141" i="21"/>
  <c r="AX141" i="21"/>
  <c r="AT141" i="21"/>
  <c r="AJ141" i="21"/>
  <c r="AU141" i="21" s="1"/>
  <c r="AV141" i="21" s="1"/>
  <c r="W141" i="21"/>
  <c r="M141" i="21"/>
  <c r="X141" i="21" s="1"/>
  <c r="Y141" i="21" s="1"/>
  <c r="BX140" i="21"/>
  <c r="BP140" i="21"/>
  <c r="BO140" i="21"/>
  <c r="BN140" i="21"/>
  <c r="BM140" i="21"/>
  <c r="BL140" i="21"/>
  <c r="BK140" i="21"/>
  <c r="BJ140" i="21"/>
  <c r="BI140" i="21"/>
  <c r="BH140" i="21"/>
  <c r="BQ140" i="21" s="1"/>
  <c r="BF140" i="21"/>
  <c r="BE140" i="21"/>
  <c r="BD140" i="21"/>
  <c r="BC140" i="21"/>
  <c r="BB140" i="21"/>
  <c r="BA140" i="21"/>
  <c r="AZ140" i="21"/>
  <c r="AY140" i="21"/>
  <c r="AX140" i="21"/>
  <c r="AT140" i="21"/>
  <c r="AJ140" i="21"/>
  <c r="AU140" i="21" s="1"/>
  <c r="AV140" i="21" s="1"/>
  <c r="W140" i="21"/>
  <c r="M140" i="21"/>
  <c r="X140" i="21" s="1"/>
  <c r="Y140" i="21" s="1"/>
  <c r="BX139" i="21"/>
  <c r="BP139" i="21"/>
  <c r="BO139" i="21"/>
  <c r="BN139" i="21"/>
  <c r="BM139" i="21"/>
  <c r="BL139" i="21"/>
  <c r="BK139" i="21"/>
  <c r="BJ139" i="21"/>
  <c r="BI139" i="21"/>
  <c r="BH139" i="21"/>
  <c r="BF139" i="21"/>
  <c r="BE139" i="21"/>
  <c r="BD139" i="21"/>
  <c r="BC139" i="21"/>
  <c r="BB139" i="21"/>
  <c r="BA139" i="21"/>
  <c r="AZ139" i="21"/>
  <c r="AY139" i="21"/>
  <c r="AX139" i="21"/>
  <c r="AT139" i="21"/>
  <c r="AJ139" i="21"/>
  <c r="AU139" i="21" s="1"/>
  <c r="AV139" i="21" s="1"/>
  <c r="W139" i="21"/>
  <c r="M139" i="21"/>
  <c r="X139" i="21" s="1"/>
  <c r="Y139" i="21" s="1"/>
  <c r="BX138" i="21"/>
  <c r="BP138" i="21"/>
  <c r="BO138" i="21"/>
  <c r="BN138" i="21"/>
  <c r="BM138" i="21"/>
  <c r="BL138" i="21"/>
  <c r="BK138" i="21"/>
  <c r="BJ138" i="21"/>
  <c r="BI138" i="21"/>
  <c r="BH138" i="21"/>
  <c r="BF138" i="21"/>
  <c r="BE138" i="21"/>
  <c r="BD138" i="21"/>
  <c r="BC138" i="21"/>
  <c r="BB138" i="21"/>
  <c r="BA138" i="21"/>
  <c r="AZ138" i="21"/>
  <c r="AY138" i="21"/>
  <c r="AX138" i="21"/>
  <c r="AT138" i="21"/>
  <c r="AJ138" i="21"/>
  <c r="AU138" i="21" s="1"/>
  <c r="AV138" i="21" s="1"/>
  <c r="W138" i="21"/>
  <c r="M138" i="21"/>
  <c r="X138" i="21" s="1"/>
  <c r="Y138" i="21" s="1"/>
  <c r="BX137" i="21"/>
  <c r="BW137" i="21"/>
  <c r="BP137" i="21"/>
  <c r="BO137" i="21"/>
  <c r="BN137" i="21"/>
  <c r="BM137" i="21"/>
  <c r="BL137" i="21"/>
  <c r="BK137" i="21"/>
  <c r="BJ137" i="21"/>
  <c r="BI137" i="21"/>
  <c r="BH137" i="21"/>
  <c r="BQ137" i="21" s="1"/>
  <c r="BF137" i="21"/>
  <c r="BE137" i="21"/>
  <c r="BD137" i="21"/>
  <c r="BC137" i="21"/>
  <c r="BB137" i="21"/>
  <c r="BA137" i="21"/>
  <c r="AZ137" i="21"/>
  <c r="AY137" i="21"/>
  <c r="AX137" i="21"/>
  <c r="AT137" i="21"/>
  <c r="AJ137" i="21"/>
  <c r="AU137" i="21" s="1"/>
  <c r="AV137" i="21" s="1"/>
  <c r="W137" i="21"/>
  <c r="M137" i="21"/>
  <c r="X137" i="21" s="1"/>
  <c r="Y137" i="21" s="1"/>
  <c r="BX136" i="21"/>
  <c r="BP136" i="21"/>
  <c r="BO136" i="21"/>
  <c r="BN136" i="21"/>
  <c r="BM136" i="21"/>
  <c r="BL136" i="21"/>
  <c r="BK136" i="21"/>
  <c r="BJ136" i="21"/>
  <c r="BI136" i="21"/>
  <c r="BH136" i="21"/>
  <c r="BF136" i="21"/>
  <c r="BE136" i="21"/>
  <c r="BD136" i="21"/>
  <c r="BC136" i="21"/>
  <c r="BB136" i="21"/>
  <c r="BA136" i="21"/>
  <c r="AZ136" i="21"/>
  <c r="AY136" i="21"/>
  <c r="AX136" i="21"/>
  <c r="AT136" i="21"/>
  <c r="AJ136" i="21"/>
  <c r="AU136" i="21" s="1"/>
  <c r="AV136" i="21" s="1"/>
  <c r="W136" i="21"/>
  <c r="M136" i="21"/>
  <c r="X136" i="21" s="1"/>
  <c r="Y136" i="21" s="1"/>
  <c r="BX135" i="21"/>
  <c r="BP135" i="21"/>
  <c r="BO135" i="21"/>
  <c r="BN135" i="21"/>
  <c r="BM135" i="21"/>
  <c r="BL135" i="21"/>
  <c r="BK135" i="21"/>
  <c r="BJ135" i="21"/>
  <c r="BI135" i="21"/>
  <c r="BH135" i="21"/>
  <c r="BF135" i="21"/>
  <c r="BE135" i="21"/>
  <c r="BD135" i="21"/>
  <c r="BC135" i="21"/>
  <c r="BB135" i="21"/>
  <c r="BA135" i="21"/>
  <c r="AZ135" i="21"/>
  <c r="AY135" i="21"/>
  <c r="AX135" i="21"/>
  <c r="AT135" i="21"/>
  <c r="AJ135" i="21"/>
  <c r="AU135" i="21" s="1"/>
  <c r="AV135" i="21" s="1"/>
  <c r="W135" i="21"/>
  <c r="M135" i="21"/>
  <c r="X135" i="21" s="1"/>
  <c r="Y135" i="21" s="1"/>
  <c r="BX134" i="21"/>
  <c r="BP134" i="21"/>
  <c r="BO134" i="21"/>
  <c r="BN134" i="21"/>
  <c r="BM134" i="21"/>
  <c r="BL134" i="21"/>
  <c r="BK134" i="21"/>
  <c r="BJ134" i="21"/>
  <c r="BI134" i="21"/>
  <c r="BH134" i="21"/>
  <c r="BF134" i="21"/>
  <c r="BE134" i="21"/>
  <c r="BD134" i="21"/>
  <c r="BC134" i="21"/>
  <c r="BB134" i="21"/>
  <c r="BA134" i="21"/>
  <c r="AZ134" i="21"/>
  <c r="AY134" i="21"/>
  <c r="AX134" i="21"/>
  <c r="AT134" i="21"/>
  <c r="AJ134" i="21"/>
  <c r="AU134" i="21" s="1"/>
  <c r="AV134" i="21" s="1"/>
  <c r="W134" i="21"/>
  <c r="M134" i="21"/>
  <c r="X134" i="21" s="1"/>
  <c r="Y134" i="21" s="1"/>
  <c r="BX133" i="21"/>
  <c r="BW133" i="21"/>
  <c r="BP133" i="21"/>
  <c r="BO133" i="21"/>
  <c r="BN133" i="21"/>
  <c r="BM133" i="21"/>
  <c r="BL133" i="21"/>
  <c r="BK133" i="21"/>
  <c r="BJ133" i="21"/>
  <c r="BI133" i="21"/>
  <c r="BH133" i="21"/>
  <c r="BQ133" i="21" s="1"/>
  <c r="BF133" i="21"/>
  <c r="BE133" i="21"/>
  <c r="BD133" i="21"/>
  <c r="BC133" i="21"/>
  <c r="BB133" i="21"/>
  <c r="BA133" i="21"/>
  <c r="AZ133" i="21"/>
  <c r="AY133" i="21"/>
  <c r="AX133" i="21"/>
  <c r="AT133" i="21"/>
  <c r="AJ133" i="21"/>
  <c r="AU133" i="21" s="1"/>
  <c r="AV133" i="21" s="1"/>
  <c r="W133" i="21"/>
  <c r="M133" i="21"/>
  <c r="X133" i="21" s="1"/>
  <c r="Y133" i="21" s="1"/>
  <c r="BX132" i="21"/>
  <c r="BW132" i="21"/>
  <c r="BP132" i="21"/>
  <c r="BO132" i="21"/>
  <c r="BN132" i="21"/>
  <c r="BM132" i="21"/>
  <c r="BL132" i="21"/>
  <c r="BK132" i="21"/>
  <c r="BJ132" i="21"/>
  <c r="BI132" i="21"/>
  <c r="BH132" i="21"/>
  <c r="BQ132" i="21" s="1"/>
  <c r="BF132" i="21"/>
  <c r="BE132" i="21"/>
  <c r="BD132" i="21"/>
  <c r="BC132" i="21"/>
  <c r="BB132" i="21"/>
  <c r="BA132" i="21"/>
  <c r="AZ132" i="21"/>
  <c r="AY132" i="21"/>
  <c r="AX132" i="21"/>
  <c r="AT132" i="21"/>
  <c r="AJ132" i="21"/>
  <c r="AU132" i="21" s="1"/>
  <c r="AV132" i="21" s="1"/>
  <c r="W132" i="21"/>
  <c r="M132" i="21"/>
  <c r="X132" i="21" s="1"/>
  <c r="Y132" i="21" s="1"/>
  <c r="BX131" i="21"/>
  <c r="BW131" i="21"/>
  <c r="BP131" i="21"/>
  <c r="BO131" i="21"/>
  <c r="BN131" i="21"/>
  <c r="BM131" i="21"/>
  <c r="BL131" i="21"/>
  <c r="BK131" i="21"/>
  <c r="BJ131" i="21"/>
  <c r="BI131" i="21"/>
  <c r="BH131" i="21"/>
  <c r="BF131" i="21"/>
  <c r="BE131" i="21"/>
  <c r="BD131" i="21"/>
  <c r="BC131" i="21"/>
  <c r="BB131" i="21"/>
  <c r="BA131" i="21"/>
  <c r="AZ131" i="21"/>
  <c r="AY131" i="21"/>
  <c r="AX131" i="21"/>
  <c r="AT131" i="21"/>
  <c r="AJ131" i="21"/>
  <c r="AU131" i="21" s="1"/>
  <c r="AV131" i="21" s="1"/>
  <c r="W131" i="21"/>
  <c r="M131" i="21"/>
  <c r="X131" i="21" s="1"/>
  <c r="Y131" i="21" s="1"/>
  <c r="BX130" i="21"/>
  <c r="BP130" i="21"/>
  <c r="BO130" i="21"/>
  <c r="BN130" i="21"/>
  <c r="BM130" i="21"/>
  <c r="BL130" i="21"/>
  <c r="BK130" i="21"/>
  <c r="BJ130" i="21"/>
  <c r="BI130" i="21"/>
  <c r="BH130" i="21"/>
  <c r="BF130" i="21"/>
  <c r="BE130" i="21"/>
  <c r="BD130" i="21"/>
  <c r="BC130" i="21"/>
  <c r="BB130" i="21"/>
  <c r="BA130" i="21"/>
  <c r="AZ130" i="21"/>
  <c r="AY130" i="21"/>
  <c r="AX130" i="21"/>
  <c r="AT130" i="21"/>
  <c r="AJ130" i="21"/>
  <c r="AU130" i="21" s="1"/>
  <c r="AV130" i="21" s="1"/>
  <c r="W130" i="21"/>
  <c r="M130" i="21"/>
  <c r="X130" i="21" s="1"/>
  <c r="Y130" i="21" s="1"/>
  <c r="BX129" i="21"/>
  <c r="BW129" i="21"/>
  <c r="BP129" i="21"/>
  <c r="BO129" i="21"/>
  <c r="BN129" i="21"/>
  <c r="BM129" i="21"/>
  <c r="BL129" i="21"/>
  <c r="BK129" i="21"/>
  <c r="BJ129" i="21"/>
  <c r="BI129" i="21"/>
  <c r="BH129" i="21"/>
  <c r="BQ129" i="21" s="1"/>
  <c r="BF129" i="21"/>
  <c r="BE129" i="21"/>
  <c r="BD129" i="21"/>
  <c r="BC129" i="21"/>
  <c r="BB129" i="21"/>
  <c r="BA129" i="21"/>
  <c r="AZ129" i="21"/>
  <c r="AY129" i="21"/>
  <c r="AX129" i="21"/>
  <c r="AT129" i="21"/>
  <c r="AJ129" i="21"/>
  <c r="AU129" i="21" s="1"/>
  <c r="AV129" i="21" s="1"/>
  <c r="W129" i="21"/>
  <c r="M129" i="21"/>
  <c r="X129" i="21" s="1"/>
  <c r="Y129" i="21" s="1"/>
  <c r="BX128" i="21"/>
  <c r="BP128" i="21"/>
  <c r="BO128" i="21"/>
  <c r="BN128" i="21"/>
  <c r="BM128" i="21"/>
  <c r="BL128" i="21"/>
  <c r="BK128" i="21"/>
  <c r="BJ128" i="21"/>
  <c r="BI128" i="21"/>
  <c r="BH128" i="21"/>
  <c r="BF128" i="21"/>
  <c r="BE128" i="21"/>
  <c r="BD128" i="21"/>
  <c r="BC128" i="21"/>
  <c r="BB128" i="21"/>
  <c r="BA128" i="21"/>
  <c r="AZ128" i="21"/>
  <c r="AY128" i="21"/>
  <c r="AX128" i="21"/>
  <c r="AT128" i="21"/>
  <c r="AJ128" i="21"/>
  <c r="AU128" i="21" s="1"/>
  <c r="AV128" i="21" s="1"/>
  <c r="W128" i="21"/>
  <c r="M128" i="21"/>
  <c r="X128" i="21" s="1"/>
  <c r="Y128" i="21" s="1"/>
  <c r="BX127" i="21"/>
  <c r="BP127" i="21"/>
  <c r="BO127" i="21"/>
  <c r="BN127" i="21"/>
  <c r="BM127" i="21"/>
  <c r="BL127" i="21"/>
  <c r="BK127" i="21"/>
  <c r="BJ127" i="21"/>
  <c r="BI127" i="21"/>
  <c r="BH127" i="21"/>
  <c r="BF127" i="21"/>
  <c r="BE127" i="21"/>
  <c r="BD127" i="21"/>
  <c r="BC127" i="21"/>
  <c r="BB127" i="21"/>
  <c r="BA127" i="21"/>
  <c r="AZ127" i="21"/>
  <c r="AY127" i="21"/>
  <c r="AX127" i="21"/>
  <c r="AT127" i="21"/>
  <c r="AJ127" i="21"/>
  <c r="AU127" i="21" s="1"/>
  <c r="AV127" i="21" s="1"/>
  <c r="W127" i="21"/>
  <c r="M127" i="21"/>
  <c r="X127" i="21" s="1"/>
  <c r="Y127" i="21" s="1"/>
  <c r="BX126" i="21"/>
  <c r="BP126" i="21"/>
  <c r="BO126" i="21"/>
  <c r="BN126" i="21"/>
  <c r="BM126" i="21"/>
  <c r="BL126" i="21"/>
  <c r="BK126" i="21"/>
  <c r="BJ126" i="21"/>
  <c r="BI126" i="21"/>
  <c r="BH126" i="21"/>
  <c r="BF126" i="21"/>
  <c r="BE126" i="21"/>
  <c r="BD126" i="21"/>
  <c r="BC126" i="21"/>
  <c r="BB126" i="21"/>
  <c r="BA126" i="21"/>
  <c r="AZ126" i="21"/>
  <c r="AY126" i="21"/>
  <c r="AX126" i="21"/>
  <c r="AT126" i="21"/>
  <c r="AJ126" i="21"/>
  <c r="AU126" i="21" s="1"/>
  <c r="AV126" i="21" s="1"/>
  <c r="W126" i="21"/>
  <c r="M126" i="21"/>
  <c r="X126" i="21" s="1"/>
  <c r="Y126" i="21" s="1"/>
  <c r="BX125" i="21"/>
  <c r="BW125" i="21"/>
  <c r="BP125" i="21"/>
  <c r="BO125" i="21"/>
  <c r="BN125" i="21"/>
  <c r="BM125" i="21"/>
  <c r="BL125" i="21"/>
  <c r="BK125" i="21"/>
  <c r="BJ125" i="21"/>
  <c r="BI125" i="21"/>
  <c r="BH125" i="21"/>
  <c r="BQ125" i="21" s="1"/>
  <c r="BF125" i="21"/>
  <c r="BE125" i="21"/>
  <c r="BD125" i="21"/>
  <c r="BC125" i="21"/>
  <c r="BB125" i="21"/>
  <c r="BA125" i="21"/>
  <c r="AZ125" i="21"/>
  <c r="AY125" i="21"/>
  <c r="AX125" i="21"/>
  <c r="AT125" i="21"/>
  <c r="AJ125" i="21"/>
  <c r="AU125" i="21" s="1"/>
  <c r="AV125" i="21" s="1"/>
  <c r="W125" i="21"/>
  <c r="M125" i="21"/>
  <c r="X125" i="21" s="1"/>
  <c r="Y125" i="21" s="1"/>
  <c r="BX124" i="21"/>
  <c r="BP124" i="21"/>
  <c r="BO124" i="21"/>
  <c r="BN124" i="21"/>
  <c r="BM124" i="21"/>
  <c r="BL124" i="21"/>
  <c r="BK124" i="21"/>
  <c r="BJ124" i="21"/>
  <c r="BI124" i="21"/>
  <c r="BH124" i="21"/>
  <c r="BQ124" i="21" s="1"/>
  <c r="BF124" i="21"/>
  <c r="BE124" i="21"/>
  <c r="BD124" i="21"/>
  <c r="BC124" i="21"/>
  <c r="BB124" i="21"/>
  <c r="BA124" i="21"/>
  <c r="AZ124" i="21"/>
  <c r="AY124" i="21"/>
  <c r="AX124" i="21"/>
  <c r="AT124" i="21"/>
  <c r="AJ124" i="21"/>
  <c r="AU124" i="21" s="1"/>
  <c r="AV124" i="21" s="1"/>
  <c r="W124" i="21"/>
  <c r="M124" i="21"/>
  <c r="X124" i="21" s="1"/>
  <c r="Y124" i="21" s="1"/>
  <c r="BX123" i="21"/>
  <c r="BW123" i="21"/>
  <c r="BP123" i="21"/>
  <c r="BO123" i="21"/>
  <c r="BN123" i="21"/>
  <c r="BM123" i="21"/>
  <c r="BL123" i="21"/>
  <c r="BK123" i="21"/>
  <c r="BJ123" i="21"/>
  <c r="BI123" i="21"/>
  <c r="BH123" i="21"/>
  <c r="BF123" i="21"/>
  <c r="BE123" i="21"/>
  <c r="BD123" i="21"/>
  <c r="BC123" i="21"/>
  <c r="BB123" i="21"/>
  <c r="BA123" i="21"/>
  <c r="AZ123" i="21"/>
  <c r="AY123" i="21"/>
  <c r="AX123" i="21"/>
  <c r="AT123" i="21"/>
  <c r="AJ123" i="21"/>
  <c r="AU123" i="21" s="1"/>
  <c r="AV123" i="21" s="1"/>
  <c r="W123" i="21"/>
  <c r="M123" i="21"/>
  <c r="X123" i="21" s="1"/>
  <c r="Y123" i="21" s="1"/>
  <c r="BX122" i="21"/>
  <c r="BP122" i="21"/>
  <c r="BO122" i="21"/>
  <c r="BN122" i="21"/>
  <c r="BM122" i="21"/>
  <c r="BL122" i="21"/>
  <c r="BK122" i="21"/>
  <c r="BJ122" i="21"/>
  <c r="BI122" i="21"/>
  <c r="BH122" i="21"/>
  <c r="BF122" i="21"/>
  <c r="BE122" i="21"/>
  <c r="BD122" i="21"/>
  <c r="BC122" i="21"/>
  <c r="BB122" i="21"/>
  <c r="BA122" i="21"/>
  <c r="AZ122" i="21"/>
  <c r="AY122" i="21"/>
  <c r="AX122" i="21"/>
  <c r="AT122" i="21"/>
  <c r="AJ122" i="21"/>
  <c r="AU122" i="21" s="1"/>
  <c r="AV122" i="21" s="1"/>
  <c r="W122" i="21"/>
  <c r="M122" i="21"/>
  <c r="X122" i="21" s="1"/>
  <c r="Y122" i="21" s="1"/>
  <c r="BX121" i="21"/>
  <c r="BW121" i="21"/>
  <c r="BP121" i="21"/>
  <c r="BO121" i="21"/>
  <c r="BN121" i="21"/>
  <c r="BM121" i="21"/>
  <c r="BL121" i="21"/>
  <c r="BK121" i="21"/>
  <c r="BJ121" i="21"/>
  <c r="BI121" i="21"/>
  <c r="BH121" i="21"/>
  <c r="BQ121" i="21" s="1"/>
  <c r="BF121" i="21"/>
  <c r="BE121" i="21"/>
  <c r="BD121" i="21"/>
  <c r="BC121" i="21"/>
  <c r="BB121" i="21"/>
  <c r="BA121" i="21"/>
  <c r="AZ121" i="21"/>
  <c r="AY121" i="21"/>
  <c r="AX121" i="21"/>
  <c r="AT121" i="21"/>
  <c r="AJ121" i="21"/>
  <c r="AU121" i="21" s="1"/>
  <c r="AV121" i="21" s="1"/>
  <c r="W121" i="21"/>
  <c r="M121" i="21"/>
  <c r="X121" i="21" s="1"/>
  <c r="Y121" i="21" s="1"/>
  <c r="BX120" i="21"/>
  <c r="BP120" i="21"/>
  <c r="BO120" i="21"/>
  <c r="BN120" i="21"/>
  <c r="BM120" i="21"/>
  <c r="BL120" i="21"/>
  <c r="BK120" i="21"/>
  <c r="BJ120" i="21"/>
  <c r="BI120" i="21"/>
  <c r="BH120" i="21"/>
  <c r="BF120" i="21"/>
  <c r="BE120" i="21"/>
  <c r="BD120" i="21"/>
  <c r="BC120" i="21"/>
  <c r="BB120" i="21"/>
  <c r="BA120" i="21"/>
  <c r="AZ120" i="21"/>
  <c r="AY120" i="21"/>
  <c r="AX120" i="21"/>
  <c r="AT120" i="21"/>
  <c r="AJ120" i="21"/>
  <c r="AU120" i="21" s="1"/>
  <c r="AV120" i="21" s="1"/>
  <c r="W120" i="21"/>
  <c r="M120" i="21"/>
  <c r="X120" i="21" s="1"/>
  <c r="Y120" i="21" s="1"/>
  <c r="BX119" i="21"/>
  <c r="BP119" i="21"/>
  <c r="BO119" i="21"/>
  <c r="BN119" i="21"/>
  <c r="BM119" i="21"/>
  <c r="BL119" i="21"/>
  <c r="BK119" i="21"/>
  <c r="BJ119" i="21"/>
  <c r="BI119" i="21"/>
  <c r="BH119" i="21"/>
  <c r="BF119" i="21"/>
  <c r="BE119" i="21"/>
  <c r="BD119" i="21"/>
  <c r="BC119" i="21"/>
  <c r="BB119" i="21"/>
  <c r="BA119" i="21"/>
  <c r="AZ119" i="21"/>
  <c r="AY119" i="21"/>
  <c r="AX119" i="21"/>
  <c r="AT119" i="21"/>
  <c r="AJ119" i="21"/>
  <c r="AU119" i="21" s="1"/>
  <c r="AV119" i="21" s="1"/>
  <c r="W119" i="21"/>
  <c r="M119" i="21"/>
  <c r="X119" i="21" s="1"/>
  <c r="Y119" i="21" s="1"/>
  <c r="BX118" i="21"/>
  <c r="BP118" i="21"/>
  <c r="BO118" i="21"/>
  <c r="BN118" i="21"/>
  <c r="BM118" i="21"/>
  <c r="BL118" i="21"/>
  <c r="BK118" i="21"/>
  <c r="BJ118" i="21"/>
  <c r="BI118" i="21"/>
  <c r="BH118" i="21"/>
  <c r="BQ118" i="21" s="1"/>
  <c r="BF118" i="21"/>
  <c r="BE118" i="21"/>
  <c r="BD118" i="21"/>
  <c r="BC118" i="21"/>
  <c r="BB118" i="21"/>
  <c r="BA118" i="21"/>
  <c r="AZ118" i="21"/>
  <c r="AY118" i="21"/>
  <c r="AX118" i="21"/>
  <c r="AT118" i="21"/>
  <c r="AJ118" i="21"/>
  <c r="AU118" i="21" s="1"/>
  <c r="AV118" i="21" s="1"/>
  <c r="W118" i="21"/>
  <c r="M118" i="21"/>
  <c r="X118" i="21" s="1"/>
  <c r="Y118" i="21" s="1"/>
  <c r="BX117" i="21"/>
  <c r="BW117" i="21"/>
  <c r="BP117" i="21"/>
  <c r="BO117" i="21"/>
  <c r="BN117" i="21"/>
  <c r="BM117" i="21"/>
  <c r="BL117" i="21"/>
  <c r="BK117" i="21"/>
  <c r="BJ117" i="21"/>
  <c r="BI117" i="21"/>
  <c r="BH117" i="21"/>
  <c r="BF117" i="21"/>
  <c r="BE117" i="21"/>
  <c r="BD117" i="21"/>
  <c r="BC117" i="21"/>
  <c r="BB117" i="21"/>
  <c r="BA117" i="21"/>
  <c r="AZ117" i="21"/>
  <c r="AY117" i="21"/>
  <c r="AX117" i="21"/>
  <c r="AT117" i="21"/>
  <c r="AJ117" i="21"/>
  <c r="AU117" i="21" s="1"/>
  <c r="AV117" i="21" s="1"/>
  <c r="W117" i="21"/>
  <c r="M117" i="21"/>
  <c r="X117" i="21" s="1"/>
  <c r="Y117" i="21" s="1"/>
  <c r="BX116" i="21"/>
  <c r="BP116" i="21"/>
  <c r="BO116" i="21"/>
  <c r="BN116" i="21"/>
  <c r="BM116" i="21"/>
  <c r="BL116" i="21"/>
  <c r="BK116" i="21"/>
  <c r="BJ116" i="21"/>
  <c r="BI116" i="21"/>
  <c r="BH116" i="21"/>
  <c r="BF116" i="21"/>
  <c r="BE116" i="21"/>
  <c r="BD116" i="21"/>
  <c r="BC116" i="21"/>
  <c r="BB116" i="21"/>
  <c r="BA116" i="21"/>
  <c r="AZ116" i="21"/>
  <c r="AY116" i="21"/>
  <c r="AX116" i="21"/>
  <c r="AT116" i="21"/>
  <c r="AJ116" i="21"/>
  <c r="AU116" i="21" s="1"/>
  <c r="AV116" i="21" s="1"/>
  <c r="W116" i="21"/>
  <c r="M116" i="21"/>
  <c r="X116" i="21" s="1"/>
  <c r="Y116" i="21" s="1"/>
  <c r="BX115" i="21"/>
  <c r="BP115" i="21"/>
  <c r="BO115" i="21"/>
  <c r="BN115" i="21"/>
  <c r="BM115" i="21"/>
  <c r="BL115" i="21"/>
  <c r="BK115" i="21"/>
  <c r="BJ115" i="21"/>
  <c r="BI115" i="21"/>
  <c r="BH115" i="21"/>
  <c r="BF115" i="21"/>
  <c r="BE115" i="21"/>
  <c r="BD115" i="21"/>
  <c r="BC115" i="21"/>
  <c r="BB115" i="21"/>
  <c r="BA115" i="21"/>
  <c r="AZ115" i="21"/>
  <c r="AY115" i="21"/>
  <c r="AX115" i="21"/>
  <c r="AT115" i="21"/>
  <c r="AJ115" i="21"/>
  <c r="AU115" i="21" s="1"/>
  <c r="AV115" i="21" s="1"/>
  <c r="W115" i="21"/>
  <c r="M115" i="21"/>
  <c r="X115" i="21" s="1"/>
  <c r="Y115" i="21" s="1"/>
  <c r="BX114" i="21"/>
  <c r="BP114" i="21"/>
  <c r="BO114" i="21"/>
  <c r="BN114" i="21"/>
  <c r="BM114" i="21"/>
  <c r="BL114" i="21"/>
  <c r="BK114" i="21"/>
  <c r="BJ114" i="21"/>
  <c r="BI114" i="21"/>
  <c r="BH114" i="21"/>
  <c r="BQ114" i="21" s="1"/>
  <c r="BF114" i="21"/>
  <c r="BE114" i="21"/>
  <c r="BD114" i="21"/>
  <c r="BC114" i="21"/>
  <c r="BB114" i="21"/>
  <c r="BA114" i="21"/>
  <c r="AZ114" i="21"/>
  <c r="AY114" i="21"/>
  <c r="AX114" i="21"/>
  <c r="AT114" i="21"/>
  <c r="AJ114" i="21"/>
  <c r="AU114" i="21" s="1"/>
  <c r="AV114" i="21" s="1"/>
  <c r="W114" i="21"/>
  <c r="M114" i="21"/>
  <c r="X114" i="21" s="1"/>
  <c r="Y114" i="21" s="1"/>
  <c r="BX113" i="21"/>
  <c r="BW113" i="21"/>
  <c r="BP113" i="21"/>
  <c r="BO113" i="21"/>
  <c r="BN113" i="21"/>
  <c r="BM113" i="21"/>
  <c r="BL113" i="21"/>
  <c r="BK113" i="21"/>
  <c r="BJ113" i="21"/>
  <c r="BI113" i="21"/>
  <c r="BH113" i="21"/>
  <c r="BF113" i="21"/>
  <c r="BE113" i="21"/>
  <c r="BD113" i="21"/>
  <c r="BC113" i="21"/>
  <c r="BB113" i="21"/>
  <c r="BA113" i="21"/>
  <c r="AZ113" i="21"/>
  <c r="AY113" i="21"/>
  <c r="AX113" i="21"/>
  <c r="AT113" i="21"/>
  <c r="AJ113" i="21"/>
  <c r="AU113" i="21" s="1"/>
  <c r="AV113" i="21" s="1"/>
  <c r="W113" i="21"/>
  <c r="M113" i="21"/>
  <c r="X113" i="21" s="1"/>
  <c r="Y113" i="21" s="1"/>
  <c r="BX112" i="21"/>
  <c r="BP112" i="21"/>
  <c r="BO112" i="21"/>
  <c r="BN112" i="21"/>
  <c r="BM112" i="21"/>
  <c r="BL112" i="21"/>
  <c r="BK112" i="21"/>
  <c r="BJ112" i="21"/>
  <c r="BI112" i="21"/>
  <c r="BH112" i="21"/>
  <c r="BF112" i="21"/>
  <c r="BE112" i="21"/>
  <c r="BD112" i="21"/>
  <c r="BC112" i="21"/>
  <c r="BB112" i="21"/>
  <c r="BA112" i="21"/>
  <c r="AZ112" i="21"/>
  <c r="AY112" i="21"/>
  <c r="AX112" i="21"/>
  <c r="AT112" i="21"/>
  <c r="AJ112" i="21"/>
  <c r="AU112" i="21" s="1"/>
  <c r="AV112" i="21" s="1"/>
  <c r="W112" i="21"/>
  <c r="M112" i="21"/>
  <c r="X112" i="21" s="1"/>
  <c r="Y112" i="21" s="1"/>
  <c r="BX111" i="21"/>
  <c r="BP111" i="21"/>
  <c r="BO111" i="21"/>
  <c r="BN111" i="21"/>
  <c r="BM111" i="21"/>
  <c r="BL111" i="21"/>
  <c r="BK111" i="21"/>
  <c r="BJ111" i="21"/>
  <c r="BI111" i="21"/>
  <c r="BH111" i="21"/>
  <c r="BF111" i="21"/>
  <c r="BE111" i="21"/>
  <c r="BD111" i="21"/>
  <c r="BC111" i="21"/>
  <c r="BB111" i="21"/>
  <c r="BA111" i="21"/>
  <c r="AZ111" i="21"/>
  <c r="AY111" i="21"/>
  <c r="AX111" i="21"/>
  <c r="AT111" i="21"/>
  <c r="AJ111" i="21"/>
  <c r="AU111" i="21" s="1"/>
  <c r="AV111" i="21" s="1"/>
  <c r="W111" i="21"/>
  <c r="M111" i="21"/>
  <c r="X111" i="21" s="1"/>
  <c r="Y111" i="21" s="1"/>
  <c r="BX110" i="21"/>
  <c r="BP110" i="21"/>
  <c r="BO110" i="21"/>
  <c r="BN110" i="21"/>
  <c r="BM110" i="21"/>
  <c r="BL110" i="21"/>
  <c r="BK110" i="21"/>
  <c r="BJ110" i="21"/>
  <c r="BI110" i="21"/>
  <c r="BH110" i="21"/>
  <c r="BQ110" i="21" s="1"/>
  <c r="BF110" i="21"/>
  <c r="BE110" i="21"/>
  <c r="BD110" i="21"/>
  <c r="BC110" i="21"/>
  <c r="BB110" i="21"/>
  <c r="BA110" i="21"/>
  <c r="AZ110" i="21"/>
  <c r="AY110" i="21"/>
  <c r="AX110" i="21"/>
  <c r="AT110" i="21"/>
  <c r="AJ110" i="21"/>
  <c r="AU110" i="21" s="1"/>
  <c r="AV110" i="21" s="1"/>
  <c r="W110" i="21"/>
  <c r="M110" i="21"/>
  <c r="X110" i="21" s="1"/>
  <c r="Y110" i="21" s="1"/>
  <c r="BX109" i="21"/>
  <c r="BW109" i="21"/>
  <c r="BP109" i="21"/>
  <c r="BO109" i="21"/>
  <c r="BN109" i="21"/>
  <c r="BM109" i="21"/>
  <c r="BL109" i="21"/>
  <c r="BK109" i="21"/>
  <c r="BJ109" i="21"/>
  <c r="BI109" i="21"/>
  <c r="BH109" i="21"/>
  <c r="BF109" i="21"/>
  <c r="BE109" i="21"/>
  <c r="BD109" i="21"/>
  <c r="BC109" i="21"/>
  <c r="BB109" i="21"/>
  <c r="BA109" i="21"/>
  <c r="AZ109" i="21"/>
  <c r="AY109" i="21"/>
  <c r="AX109" i="21"/>
  <c r="AT109" i="21"/>
  <c r="AJ109" i="21"/>
  <c r="AU109" i="21" s="1"/>
  <c r="AV109" i="21" s="1"/>
  <c r="W109" i="21"/>
  <c r="M109" i="21"/>
  <c r="X109" i="21" s="1"/>
  <c r="Y109" i="21" s="1"/>
  <c r="BX108" i="21"/>
  <c r="BP108" i="21"/>
  <c r="BO108" i="21"/>
  <c r="BN108" i="21"/>
  <c r="BM108" i="21"/>
  <c r="BL108" i="21"/>
  <c r="BK108" i="21"/>
  <c r="BJ108" i="21"/>
  <c r="BI108" i="21"/>
  <c r="BH108" i="21"/>
  <c r="BF108" i="21"/>
  <c r="BE108" i="21"/>
  <c r="BD108" i="21"/>
  <c r="BC108" i="21"/>
  <c r="BB108" i="21"/>
  <c r="BA108" i="21"/>
  <c r="AZ108" i="21"/>
  <c r="AY108" i="21"/>
  <c r="AX108" i="21"/>
  <c r="AT108" i="21"/>
  <c r="AJ108" i="21"/>
  <c r="AU108" i="21" s="1"/>
  <c r="AV108" i="21" s="1"/>
  <c r="W108" i="21"/>
  <c r="M108" i="21"/>
  <c r="X108" i="21" s="1"/>
  <c r="Y108" i="21" s="1"/>
  <c r="BX107" i="21"/>
  <c r="BP107" i="21"/>
  <c r="BO107" i="21"/>
  <c r="BN107" i="21"/>
  <c r="BM107" i="21"/>
  <c r="BL107" i="21"/>
  <c r="BK107" i="21"/>
  <c r="BJ107" i="21"/>
  <c r="BI107" i="21"/>
  <c r="BH107" i="21"/>
  <c r="BF107" i="21"/>
  <c r="BE107" i="21"/>
  <c r="BD107" i="21"/>
  <c r="BC107" i="21"/>
  <c r="BB107" i="21"/>
  <c r="BA107" i="21"/>
  <c r="AZ107" i="21"/>
  <c r="AY107" i="21"/>
  <c r="AX107" i="21"/>
  <c r="AT107" i="21"/>
  <c r="AJ107" i="21"/>
  <c r="AU107" i="21" s="1"/>
  <c r="AV107" i="21" s="1"/>
  <c r="W107" i="21"/>
  <c r="M107" i="21"/>
  <c r="X107" i="21" s="1"/>
  <c r="Y107" i="21" s="1"/>
  <c r="BX106" i="21"/>
  <c r="BP106" i="21"/>
  <c r="BO106" i="21"/>
  <c r="BN106" i="21"/>
  <c r="BM106" i="21"/>
  <c r="BL106" i="21"/>
  <c r="BK106" i="21"/>
  <c r="BJ106" i="21"/>
  <c r="BI106" i="21"/>
  <c r="BH106" i="21"/>
  <c r="BQ106" i="21" s="1"/>
  <c r="BF106" i="21"/>
  <c r="BE106" i="21"/>
  <c r="BD106" i="21"/>
  <c r="BC106" i="21"/>
  <c r="BB106" i="21"/>
  <c r="BA106" i="21"/>
  <c r="AZ106" i="21"/>
  <c r="AY106" i="21"/>
  <c r="AX106" i="21"/>
  <c r="AT106" i="21"/>
  <c r="AJ106" i="21"/>
  <c r="AU106" i="21" s="1"/>
  <c r="AV106" i="21" s="1"/>
  <c r="W106" i="21"/>
  <c r="M106" i="21"/>
  <c r="X106" i="21" s="1"/>
  <c r="Y106" i="21" s="1"/>
  <c r="BX105" i="21"/>
  <c r="BW105" i="21"/>
  <c r="BP105" i="21"/>
  <c r="BO105" i="21"/>
  <c r="BN105" i="21"/>
  <c r="BM105" i="21"/>
  <c r="BL105" i="21"/>
  <c r="BK105" i="21"/>
  <c r="BJ105" i="21"/>
  <c r="BI105" i="21"/>
  <c r="BH105" i="21"/>
  <c r="BQ105" i="21" s="1"/>
  <c r="BF105" i="21"/>
  <c r="BE105" i="21"/>
  <c r="BD105" i="21"/>
  <c r="BC105" i="21"/>
  <c r="BB105" i="21"/>
  <c r="BA105" i="21"/>
  <c r="AZ105" i="21"/>
  <c r="AY105" i="21"/>
  <c r="AX105" i="21"/>
  <c r="AT105" i="21"/>
  <c r="AJ105" i="21"/>
  <c r="AU105" i="21" s="1"/>
  <c r="AV105" i="21" s="1"/>
  <c r="W105" i="21"/>
  <c r="M105" i="21"/>
  <c r="X105" i="21" s="1"/>
  <c r="Y105" i="21" s="1"/>
  <c r="BW104" i="21"/>
  <c r="BP104" i="21"/>
  <c r="BO104" i="21"/>
  <c r="BN104" i="21"/>
  <c r="BM104" i="21"/>
  <c r="BL104" i="21"/>
  <c r="BK104" i="21"/>
  <c r="BJ104" i="21"/>
  <c r="BI104" i="21"/>
  <c r="BH104" i="21"/>
  <c r="BF104" i="21"/>
  <c r="BE104" i="21"/>
  <c r="BD104" i="21"/>
  <c r="BC104" i="21"/>
  <c r="BB104" i="21"/>
  <c r="BA104" i="21"/>
  <c r="AZ104" i="21"/>
  <c r="AY104" i="21"/>
  <c r="AX104" i="21"/>
  <c r="BG104" i="21" s="1"/>
  <c r="BR104" i="21" s="1"/>
  <c r="AT104" i="21"/>
  <c r="J104" i="17" s="1"/>
  <c r="AJ104" i="21"/>
  <c r="W104" i="21"/>
  <c r="H104" i="17" s="1"/>
  <c r="M104" i="21"/>
  <c r="BP103" i="21"/>
  <c r="BO103" i="21"/>
  <c r="BN103" i="21"/>
  <c r="BM103" i="21"/>
  <c r="BL103" i="21"/>
  <c r="BK103" i="21"/>
  <c r="BJ103" i="21"/>
  <c r="BI103" i="21"/>
  <c r="BH103" i="21"/>
  <c r="BF103" i="21"/>
  <c r="BE103" i="21"/>
  <c r="BD103" i="21"/>
  <c r="BC103" i="21"/>
  <c r="BB103" i="21"/>
  <c r="BA103" i="21"/>
  <c r="AZ103" i="21"/>
  <c r="AY103" i="21"/>
  <c r="AX103" i="21"/>
  <c r="BG103" i="21" s="1"/>
  <c r="BR103" i="21" s="1"/>
  <c r="AT103" i="21"/>
  <c r="J103" i="17" s="1"/>
  <c r="AJ103" i="21"/>
  <c r="W103" i="21"/>
  <c r="H103" i="17" s="1"/>
  <c r="M103" i="21"/>
  <c r="BW102" i="21"/>
  <c r="BP102" i="21"/>
  <c r="BO102" i="21"/>
  <c r="BN102" i="21"/>
  <c r="BM102" i="21"/>
  <c r="BL102" i="21"/>
  <c r="BK102" i="21"/>
  <c r="BJ102" i="21"/>
  <c r="BI102" i="21"/>
  <c r="BH102" i="21"/>
  <c r="BF102" i="21"/>
  <c r="BE102" i="21"/>
  <c r="BD102" i="21"/>
  <c r="BC102" i="21"/>
  <c r="BB102" i="21"/>
  <c r="BA102" i="21"/>
  <c r="AZ102" i="21"/>
  <c r="AY102" i="21"/>
  <c r="AX102" i="21"/>
  <c r="BG102" i="21" s="1"/>
  <c r="BR102" i="21" s="1"/>
  <c r="AT102" i="21"/>
  <c r="J102" i="17" s="1"/>
  <c r="AJ102" i="21"/>
  <c r="W102" i="21"/>
  <c r="H102" i="17" s="1"/>
  <c r="M102" i="21"/>
  <c r="BP101" i="21"/>
  <c r="BO101" i="21"/>
  <c r="BN101" i="21"/>
  <c r="BM101" i="21"/>
  <c r="BL101" i="21"/>
  <c r="BK101" i="21"/>
  <c r="BJ101" i="21"/>
  <c r="BI101" i="21"/>
  <c r="BH101" i="21"/>
  <c r="BF101" i="21"/>
  <c r="BE101" i="21"/>
  <c r="BD101" i="21"/>
  <c r="BC101" i="21"/>
  <c r="BB101" i="21"/>
  <c r="BA101" i="21"/>
  <c r="AZ101" i="21"/>
  <c r="AY101" i="21"/>
  <c r="AX101" i="21"/>
  <c r="AT101" i="21"/>
  <c r="J101" i="17" s="1"/>
  <c r="AJ101" i="21"/>
  <c r="W101" i="21"/>
  <c r="H101" i="17" s="1"/>
  <c r="M101" i="21"/>
  <c r="BW100" i="21"/>
  <c r="BP100" i="21"/>
  <c r="BO100" i="21"/>
  <c r="BN100" i="21"/>
  <c r="BM100" i="21"/>
  <c r="BL100" i="21"/>
  <c r="BK100" i="21"/>
  <c r="BJ100" i="21"/>
  <c r="BI100" i="21"/>
  <c r="BH100" i="21"/>
  <c r="BF100" i="21"/>
  <c r="BE100" i="21"/>
  <c r="BD100" i="21"/>
  <c r="BC100" i="21"/>
  <c r="BB100" i="21"/>
  <c r="BA100" i="21"/>
  <c r="AZ100" i="21"/>
  <c r="AY100" i="21"/>
  <c r="AX100" i="21"/>
  <c r="BG100" i="21" s="1"/>
  <c r="BR100" i="21" s="1"/>
  <c r="AT100" i="21"/>
  <c r="J100" i="17" s="1"/>
  <c r="AJ100" i="21"/>
  <c r="W100" i="21"/>
  <c r="H100" i="17" s="1"/>
  <c r="M100" i="21"/>
  <c r="BP99" i="21"/>
  <c r="BO99" i="21"/>
  <c r="BN99" i="21"/>
  <c r="BM99" i="21"/>
  <c r="BL99" i="21"/>
  <c r="BK99" i="21"/>
  <c r="BJ99" i="21"/>
  <c r="BI99" i="21"/>
  <c r="BH99" i="21"/>
  <c r="BF99" i="21"/>
  <c r="BE99" i="21"/>
  <c r="BD99" i="21"/>
  <c r="BC99" i="21"/>
  <c r="BB99" i="21"/>
  <c r="BA99" i="21"/>
  <c r="AZ99" i="21"/>
  <c r="AY99" i="21"/>
  <c r="AX99" i="21"/>
  <c r="BG99" i="21" s="1"/>
  <c r="BR99" i="21" s="1"/>
  <c r="AT99" i="21"/>
  <c r="J99" i="17" s="1"/>
  <c r="AJ99" i="21"/>
  <c r="W99" i="21"/>
  <c r="H99" i="17" s="1"/>
  <c r="M99" i="21"/>
  <c r="BW98" i="21"/>
  <c r="BP98" i="21"/>
  <c r="BO98" i="21"/>
  <c r="BN98" i="21"/>
  <c r="BM98" i="21"/>
  <c r="BL98" i="21"/>
  <c r="BK98" i="21"/>
  <c r="BJ98" i="21"/>
  <c r="BI98" i="21"/>
  <c r="BH98" i="21"/>
  <c r="BF98" i="21"/>
  <c r="BE98" i="21"/>
  <c r="BD98" i="21"/>
  <c r="BC98" i="21"/>
  <c r="BB98" i="21"/>
  <c r="BA98" i="21"/>
  <c r="AZ98" i="21"/>
  <c r="AY98" i="21"/>
  <c r="AX98" i="21"/>
  <c r="BG98" i="21" s="1"/>
  <c r="BR98" i="21" s="1"/>
  <c r="AT98" i="21"/>
  <c r="J98" i="17" s="1"/>
  <c r="AJ98" i="21"/>
  <c r="W98" i="21"/>
  <c r="H98" i="17" s="1"/>
  <c r="M98" i="21"/>
  <c r="BW97" i="21"/>
  <c r="BP97" i="21"/>
  <c r="BO97" i="21"/>
  <c r="BN97" i="21"/>
  <c r="BM97" i="21"/>
  <c r="BL97" i="21"/>
  <c r="BK97" i="21"/>
  <c r="BJ97" i="21"/>
  <c r="BI97" i="21"/>
  <c r="BH97" i="21"/>
  <c r="BF97" i="21"/>
  <c r="BE97" i="21"/>
  <c r="BD97" i="21"/>
  <c r="BC97" i="21"/>
  <c r="BB97" i="21"/>
  <c r="BA97" i="21"/>
  <c r="AZ97" i="21"/>
  <c r="AY97" i="21"/>
  <c r="AX97" i="21"/>
  <c r="AT97" i="21"/>
  <c r="J97" i="17" s="1"/>
  <c r="AJ97" i="21"/>
  <c r="W97" i="21"/>
  <c r="H97" i="17" s="1"/>
  <c r="M97" i="21"/>
  <c r="BW96" i="21"/>
  <c r="BP96" i="21"/>
  <c r="BO96" i="21"/>
  <c r="BN96" i="21"/>
  <c r="BM96" i="21"/>
  <c r="BL96" i="21"/>
  <c r="BK96" i="21"/>
  <c r="BJ96" i="21"/>
  <c r="BI96" i="21"/>
  <c r="BH96" i="21"/>
  <c r="BF96" i="21"/>
  <c r="BE96" i="21"/>
  <c r="BD96" i="21"/>
  <c r="BC96" i="21"/>
  <c r="BB96" i="21"/>
  <c r="BA96" i="21"/>
  <c r="AZ96" i="21"/>
  <c r="AY96" i="21"/>
  <c r="AX96" i="21"/>
  <c r="BG96" i="21" s="1"/>
  <c r="BR96" i="21" s="1"/>
  <c r="AT96" i="21"/>
  <c r="J96" i="17" s="1"/>
  <c r="AJ96" i="21"/>
  <c r="W96" i="21"/>
  <c r="H96" i="17" s="1"/>
  <c r="M96" i="21"/>
  <c r="BP95" i="21"/>
  <c r="BO95" i="21"/>
  <c r="BN95" i="21"/>
  <c r="BM95" i="21"/>
  <c r="BL95" i="21"/>
  <c r="BK95" i="21"/>
  <c r="BJ95" i="21"/>
  <c r="BI95" i="21"/>
  <c r="BH95" i="21"/>
  <c r="BF95" i="21"/>
  <c r="BE95" i="21"/>
  <c r="BD95" i="21"/>
  <c r="BC95" i="21"/>
  <c r="BB95" i="21"/>
  <c r="BA95" i="21"/>
  <c r="AZ95" i="21"/>
  <c r="AY95" i="21"/>
  <c r="AX95" i="21"/>
  <c r="BG95" i="21" s="1"/>
  <c r="BR95" i="21" s="1"/>
  <c r="AT95" i="21"/>
  <c r="J95" i="17" s="1"/>
  <c r="AJ95" i="21"/>
  <c r="W95" i="21"/>
  <c r="H95" i="17" s="1"/>
  <c r="M95" i="21"/>
  <c r="BW94" i="21"/>
  <c r="BP94" i="21"/>
  <c r="BO94" i="21"/>
  <c r="BN94" i="21"/>
  <c r="BM94" i="21"/>
  <c r="BL94" i="21"/>
  <c r="BK94" i="21"/>
  <c r="BJ94" i="21"/>
  <c r="BI94" i="21"/>
  <c r="BH94" i="21"/>
  <c r="BF94" i="21"/>
  <c r="BE94" i="21"/>
  <c r="BD94" i="21"/>
  <c r="BC94" i="21"/>
  <c r="BB94" i="21"/>
  <c r="BA94" i="21"/>
  <c r="AZ94" i="21"/>
  <c r="AY94" i="21"/>
  <c r="AX94" i="21"/>
  <c r="BG94" i="21" s="1"/>
  <c r="BR94" i="21" s="1"/>
  <c r="AT94" i="21"/>
  <c r="J94" i="17" s="1"/>
  <c r="AJ94" i="21"/>
  <c r="W94" i="21"/>
  <c r="H94" i="17" s="1"/>
  <c r="M94" i="21"/>
  <c r="BP93" i="21"/>
  <c r="BO93" i="21"/>
  <c r="BN93" i="21"/>
  <c r="BM93" i="21"/>
  <c r="BL93" i="21"/>
  <c r="BK93" i="21"/>
  <c r="BJ93" i="21"/>
  <c r="BI93" i="21"/>
  <c r="BH93" i="21"/>
  <c r="BF93" i="21"/>
  <c r="BE93" i="21"/>
  <c r="BD93" i="21"/>
  <c r="BC93" i="21"/>
  <c r="BB93" i="21"/>
  <c r="BA93" i="21"/>
  <c r="AZ93" i="21"/>
  <c r="AY93" i="21"/>
  <c r="AX93" i="21"/>
  <c r="AT93" i="21"/>
  <c r="J93" i="17" s="1"/>
  <c r="AJ93" i="21"/>
  <c r="W93" i="21"/>
  <c r="H93" i="17" s="1"/>
  <c r="M93" i="21"/>
  <c r="BW92" i="21"/>
  <c r="BP92" i="21"/>
  <c r="BO92" i="21"/>
  <c r="BN92" i="21"/>
  <c r="BM92" i="21"/>
  <c r="BL92" i="21"/>
  <c r="BK92" i="21"/>
  <c r="BJ92" i="21"/>
  <c r="BI92" i="21"/>
  <c r="BH92" i="21"/>
  <c r="BF92" i="21"/>
  <c r="BE92" i="21"/>
  <c r="BD92" i="21"/>
  <c r="BC92" i="21"/>
  <c r="BB92" i="21"/>
  <c r="BA92" i="21"/>
  <c r="AZ92" i="21"/>
  <c r="AY92" i="21"/>
  <c r="AX92" i="21"/>
  <c r="BG92" i="21" s="1"/>
  <c r="BR92" i="21" s="1"/>
  <c r="AT92" i="21"/>
  <c r="J92" i="17" s="1"/>
  <c r="AJ92" i="21"/>
  <c r="W92" i="21"/>
  <c r="H92" i="17" s="1"/>
  <c r="M92" i="21"/>
  <c r="BP91" i="21"/>
  <c r="BO91" i="21"/>
  <c r="BN91" i="21"/>
  <c r="BM91" i="21"/>
  <c r="BL91" i="21"/>
  <c r="BK91" i="21"/>
  <c r="BJ91" i="21"/>
  <c r="BI91" i="21"/>
  <c r="BH91" i="21"/>
  <c r="BF91" i="21"/>
  <c r="BE91" i="21"/>
  <c r="BD91" i="21"/>
  <c r="BC91" i="21"/>
  <c r="BB91" i="21"/>
  <c r="BA91" i="21"/>
  <c r="AZ91" i="21"/>
  <c r="AY91" i="21"/>
  <c r="AX91" i="21"/>
  <c r="BG91" i="21" s="1"/>
  <c r="BR91" i="21" s="1"/>
  <c r="AT91" i="21"/>
  <c r="J91" i="17" s="1"/>
  <c r="AJ91" i="21"/>
  <c r="W91" i="21"/>
  <c r="H91" i="17" s="1"/>
  <c r="M91" i="21"/>
  <c r="BW90" i="21"/>
  <c r="BP90" i="21"/>
  <c r="BO90" i="21"/>
  <c r="BN90" i="21"/>
  <c r="BM90" i="21"/>
  <c r="BL90" i="21"/>
  <c r="BK90" i="21"/>
  <c r="BJ90" i="21"/>
  <c r="BI90" i="21"/>
  <c r="BH90" i="21"/>
  <c r="BF90" i="21"/>
  <c r="BE90" i="21"/>
  <c r="BD90" i="21"/>
  <c r="BC90" i="21"/>
  <c r="BB90" i="21"/>
  <c r="BA90" i="21"/>
  <c r="AZ90" i="21"/>
  <c r="AY90" i="21"/>
  <c r="AX90" i="21"/>
  <c r="BG90" i="21" s="1"/>
  <c r="BR90" i="21" s="1"/>
  <c r="AT90" i="21"/>
  <c r="J90" i="17" s="1"/>
  <c r="AJ90" i="21"/>
  <c r="W90" i="21"/>
  <c r="H90" i="17" s="1"/>
  <c r="M90" i="21"/>
  <c r="BW89" i="21"/>
  <c r="BP89" i="21"/>
  <c r="BO89" i="21"/>
  <c r="BN89" i="21"/>
  <c r="BM89" i="21"/>
  <c r="BL89" i="21"/>
  <c r="BK89" i="21"/>
  <c r="BJ89" i="21"/>
  <c r="BI89" i="21"/>
  <c r="BH89" i="21"/>
  <c r="BF89" i="21"/>
  <c r="BE89" i="21"/>
  <c r="BD89" i="21"/>
  <c r="BC89" i="21"/>
  <c r="BB89" i="21"/>
  <c r="BA89" i="21"/>
  <c r="AZ89" i="21"/>
  <c r="AY89" i="21"/>
  <c r="AX89" i="21"/>
  <c r="AT89" i="21"/>
  <c r="J89" i="17" s="1"/>
  <c r="AJ89" i="21"/>
  <c r="W89" i="21"/>
  <c r="H89" i="17" s="1"/>
  <c r="M89" i="21"/>
  <c r="BW88" i="21"/>
  <c r="BP88" i="21"/>
  <c r="BO88" i="21"/>
  <c r="BN88" i="21"/>
  <c r="BM88" i="21"/>
  <c r="BL88" i="21"/>
  <c r="BK88" i="21"/>
  <c r="BJ88" i="21"/>
  <c r="BI88" i="21"/>
  <c r="BH88" i="21"/>
  <c r="BF88" i="21"/>
  <c r="BE88" i="21"/>
  <c r="BD88" i="21"/>
  <c r="BC88" i="21"/>
  <c r="BB88" i="21"/>
  <c r="BA88" i="21"/>
  <c r="AZ88" i="21"/>
  <c r="AY88" i="21"/>
  <c r="AX88" i="21"/>
  <c r="BG88" i="21" s="1"/>
  <c r="BR88" i="21" s="1"/>
  <c r="AT88" i="21"/>
  <c r="J88" i="17" s="1"/>
  <c r="AJ88" i="21"/>
  <c r="W88" i="21"/>
  <c r="H88" i="17" s="1"/>
  <c r="M88" i="21"/>
  <c r="BP87" i="21"/>
  <c r="BO87" i="21"/>
  <c r="BN87" i="21"/>
  <c r="BM87" i="21"/>
  <c r="BL87" i="21"/>
  <c r="BK87" i="21"/>
  <c r="BJ87" i="21"/>
  <c r="BI87" i="21"/>
  <c r="BH87" i="21"/>
  <c r="BF87" i="21"/>
  <c r="BE87" i="21"/>
  <c r="BD87" i="21"/>
  <c r="BC87" i="21"/>
  <c r="BB87" i="21"/>
  <c r="BA87" i="21"/>
  <c r="AZ87" i="21"/>
  <c r="AY87" i="21"/>
  <c r="AX87" i="21"/>
  <c r="BG87" i="21" s="1"/>
  <c r="BR87" i="21" s="1"/>
  <c r="AT87" i="21"/>
  <c r="J87" i="17" s="1"/>
  <c r="AJ87" i="21"/>
  <c r="W87" i="21"/>
  <c r="H87" i="17" s="1"/>
  <c r="M87" i="21"/>
  <c r="BW86" i="21"/>
  <c r="BP86" i="21"/>
  <c r="BO86" i="21"/>
  <c r="BN86" i="21"/>
  <c r="BM86" i="21"/>
  <c r="BL86" i="21"/>
  <c r="BK86" i="21"/>
  <c r="BJ86" i="21"/>
  <c r="BI86" i="21"/>
  <c r="BH86" i="21"/>
  <c r="BF86" i="21"/>
  <c r="BE86" i="21"/>
  <c r="BD86" i="21"/>
  <c r="BC86" i="21"/>
  <c r="BB86" i="21"/>
  <c r="BA86" i="21"/>
  <c r="AZ86" i="21"/>
  <c r="AY86" i="21"/>
  <c r="AX86" i="21"/>
  <c r="BG86" i="21" s="1"/>
  <c r="BR86" i="21" s="1"/>
  <c r="AT86" i="21"/>
  <c r="J86" i="17" s="1"/>
  <c r="AJ86" i="21"/>
  <c r="W86" i="21"/>
  <c r="H86" i="17" s="1"/>
  <c r="M86" i="21"/>
  <c r="BP85" i="21"/>
  <c r="BO85" i="21"/>
  <c r="BN85" i="21"/>
  <c r="BM85" i="21"/>
  <c r="BL85" i="21"/>
  <c r="BK85" i="21"/>
  <c r="BJ85" i="21"/>
  <c r="BI85" i="21"/>
  <c r="BH85" i="21"/>
  <c r="BF85" i="21"/>
  <c r="BE85" i="21"/>
  <c r="BD85" i="21"/>
  <c r="BC85" i="21"/>
  <c r="BB85" i="21"/>
  <c r="BA85" i="21"/>
  <c r="AZ85" i="21"/>
  <c r="AY85" i="21"/>
  <c r="AX85" i="21"/>
  <c r="AT85" i="21"/>
  <c r="J85" i="17" s="1"/>
  <c r="AJ85" i="21"/>
  <c r="W85" i="21"/>
  <c r="H85" i="17" s="1"/>
  <c r="M85" i="21"/>
  <c r="BW84" i="21"/>
  <c r="BP84" i="21"/>
  <c r="BO84" i="21"/>
  <c r="BN84" i="21"/>
  <c r="BM84" i="21"/>
  <c r="BL84" i="21"/>
  <c r="BK84" i="21"/>
  <c r="BJ84" i="21"/>
  <c r="BI84" i="21"/>
  <c r="BH84" i="21"/>
  <c r="BF84" i="21"/>
  <c r="BE84" i="21"/>
  <c r="BD84" i="21"/>
  <c r="BC84" i="21"/>
  <c r="BB84" i="21"/>
  <c r="BA84" i="21"/>
  <c r="AZ84" i="21"/>
  <c r="AY84" i="21"/>
  <c r="AX84" i="21"/>
  <c r="BG84" i="21" s="1"/>
  <c r="BR84" i="21" s="1"/>
  <c r="AT84" i="21"/>
  <c r="J84" i="17" s="1"/>
  <c r="AJ84" i="21"/>
  <c r="W84" i="21"/>
  <c r="H84" i="17" s="1"/>
  <c r="M84" i="21"/>
  <c r="BP83" i="21"/>
  <c r="BO83" i="21"/>
  <c r="BN83" i="21"/>
  <c r="BM83" i="21"/>
  <c r="BL83" i="21"/>
  <c r="BK83" i="21"/>
  <c r="BJ83" i="21"/>
  <c r="BI83" i="21"/>
  <c r="BH83" i="21"/>
  <c r="BF83" i="21"/>
  <c r="BE83" i="21"/>
  <c r="BD83" i="21"/>
  <c r="BC83" i="21"/>
  <c r="BB83" i="21"/>
  <c r="BA83" i="21"/>
  <c r="AZ83" i="21"/>
  <c r="AY83" i="21"/>
  <c r="AX83" i="21"/>
  <c r="AT83" i="21"/>
  <c r="J83" i="17" s="1"/>
  <c r="AJ83" i="21"/>
  <c r="W83" i="21"/>
  <c r="H83" i="17" s="1"/>
  <c r="M83" i="21"/>
  <c r="BW82" i="21"/>
  <c r="BP82" i="21"/>
  <c r="BO82" i="21"/>
  <c r="BN82" i="21"/>
  <c r="BM82" i="21"/>
  <c r="BL82" i="21"/>
  <c r="BK82" i="21"/>
  <c r="BJ82" i="21"/>
  <c r="BI82" i="21"/>
  <c r="BH82" i="21"/>
  <c r="BF82" i="21"/>
  <c r="BE82" i="21"/>
  <c r="BD82" i="21"/>
  <c r="BC82" i="21"/>
  <c r="BB82" i="21"/>
  <c r="BA82" i="21"/>
  <c r="AZ82" i="21"/>
  <c r="AY82" i="21"/>
  <c r="AX82" i="21"/>
  <c r="BG82" i="21" s="1"/>
  <c r="BR82" i="21" s="1"/>
  <c r="AT82" i="21"/>
  <c r="J82" i="17" s="1"/>
  <c r="AJ82" i="21"/>
  <c r="W82" i="21"/>
  <c r="H82" i="17" s="1"/>
  <c r="M82" i="21"/>
  <c r="BW81" i="21"/>
  <c r="BP81" i="21"/>
  <c r="BO81" i="21"/>
  <c r="BN81" i="21"/>
  <c r="BM81" i="21"/>
  <c r="BL81" i="21"/>
  <c r="BK81" i="21"/>
  <c r="BJ81" i="21"/>
  <c r="BI81" i="21"/>
  <c r="BH81" i="21"/>
  <c r="BF81" i="21"/>
  <c r="BE81" i="21"/>
  <c r="BD81" i="21"/>
  <c r="BC81" i="21"/>
  <c r="BB81" i="21"/>
  <c r="BA81" i="21"/>
  <c r="AZ81" i="21"/>
  <c r="AY81" i="21"/>
  <c r="AX81" i="21"/>
  <c r="AT81" i="21"/>
  <c r="J81" i="17" s="1"/>
  <c r="AJ81" i="21"/>
  <c r="W81" i="21"/>
  <c r="H81" i="17" s="1"/>
  <c r="M81" i="21"/>
  <c r="BW80" i="21"/>
  <c r="BP80" i="21"/>
  <c r="BO80" i="21"/>
  <c r="BN80" i="21"/>
  <c r="BM80" i="21"/>
  <c r="BL80" i="21"/>
  <c r="BK80" i="21"/>
  <c r="BJ80" i="21"/>
  <c r="BI80" i="21"/>
  <c r="BH80" i="21"/>
  <c r="BF80" i="21"/>
  <c r="BE80" i="21"/>
  <c r="BD80" i="21"/>
  <c r="BC80" i="21"/>
  <c r="BB80" i="21"/>
  <c r="BA80" i="21"/>
  <c r="AZ80" i="21"/>
  <c r="AY80" i="21"/>
  <c r="AX80" i="21"/>
  <c r="BG80" i="21" s="1"/>
  <c r="BR80" i="21" s="1"/>
  <c r="AT80" i="21"/>
  <c r="J80" i="17" s="1"/>
  <c r="AJ80" i="21"/>
  <c r="W80" i="21"/>
  <c r="H80" i="17" s="1"/>
  <c r="M80" i="21"/>
  <c r="BP79" i="21"/>
  <c r="BO79" i="21"/>
  <c r="BN79" i="21"/>
  <c r="BM79" i="21"/>
  <c r="BL79" i="21"/>
  <c r="BK79" i="21"/>
  <c r="BJ79" i="21"/>
  <c r="BI79" i="21"/>
  <c r="BH79" i="21"/>
  <c r="BF79" i="21"/>
  <c r="BE79" i="21"/>
  <c r="BD79" i="21"/>
  <c r="BC79" i="21"/>
  <c r="BB79" i="21"/>
  <c r="BA79" i="21"/>
  <c r="AZ79" i="21"/>
  <c r="AY79" i="21"/>
  <c r="AX79" i="21"/>
  <c r="AT79" i="21"/>
  <c r="J79" i="17" s="1"/>
  <c r="AJ79" i="21"/>
  <c r="W79" i="21"/>
  <c r="H79" i="17" s="1"/>
  <c r="M79" i="21"/>
  <c r="BW78" i="21"/>
  <c r="BP78" i="21"/>
  <c r="BO78" i="21"/>
  <c r="BN78" i="21"/>
  <c r="BM78" i="21"/>
  <c r="BL78" i="21"/>
  <c r="BK78" i="21"/>
  <c r="BJ78" i="21"/>
  <c r="BI78" i="21"/>
  <c r="BH78" i="21"/>
  <c r="BF78" i="21"/>
  <c r="BE78" i="21"/>
  <c r="BD78" i="21"/>
  <c r="BC78" i="21"/>
  <c r="BB78" i="21"/>
  <c r="BA78" i="21"/>
  <c r="AZ78" i="21"/>
  <c r="AY78" i="21"/>
  <c r="AX78" i="21"/>
  <c r="BG78" i="21" s="1"/>
  <c r="BR78" i="21" s="1"/>
  <c r="AT78" i="21"/>
  <c r="J78" i="17" s="1"/>
  <c r="AJ78" i="21"/>
  <c r="W78" i="21"/>
  <c r="H78" i="17" s="1"/>
  <c r="M78" i="21"/>
  <c r="BP77" i="21"/>
  <c r="BO77" i="21"/>
  <c r="BN77" i="21"/>
  <c r="BM77" i="21"/>
  <c r="BL77" i="21"/>
  <c r="BK77" i="21"/>
  <c r="BJ77" i="21"/>
  <c r="BI77" i="21"/>
  <c r="BH77" i="21"/>
  <c r="BF77" i="21"/>
  <c r="BE77" i="21"/>
  <c r="BD77" i="21"/>
  <c r="BC77" i="21"/>
  <c r="BB77" i="21"/>
  <c r="BA77" i="21"/>
  <c r="AZ77" i="21"/>
  <c r="AY77" i="21"/>
  <c r="AX77" i="21"/>
  <c r="AT77" i="21"/>
  <c r="J77" i="17" s="1"/>
  <c r="AJ77" i="21"/>
  <c r="W77" i="21"/>
  <c r="H77" i="17" s="1"/>
  <c r="M77" i="21"/>
  <c r="BW76" i="21"/>
  <c r="BP76" i="21"/>
  <c r="BO76" i="21"/>
  <c r="BN76" i="21"/>
  <c r="BM76" i="21"/>
  <c r="BL76" i="21"/>
  <c r="BK76" i="21"/>
  <c r="BJ76" i="21"/>
  <c r="BI76" i="21"/>
  <c r="BH76" i="21"/>
  <c r="BF76" i="21"/>
  <c r="BE76" i="21"/>
  <c r="BD76" i="21"/>
  <c r="BC76" i="21"/>
  <c r="BB76" i="21"/>
  <c r="BA76" i="21"/>
  <c r="AZ76" i="21"/>
  <c r="AY76" i="21"/>
  <c r="AX76" i="21"/>
  <c r="BG76" i="21" s="1"/>
  <c r="BR76" i="21" s="1"/>
  <c r="AT76" i="21"/>
  <c r="J76" i="17" s="1"/>
  <c r="AJ76" i="21"/>
  <c r="W76" i="21"/>
  <c r="H76" i="17" s="1"/>
  <c r="M76" i="21"/>
  <c r="BP75" i="21"/>
  <c r="BO75" i="21"/>
  <c r="BN75" i="21"/>
  <c r="BM75" i="21"/>
  <c r="BL75" i="21"/>
  <c r="BK75" i="21"/>
  <c r="BJ75" i="21"/>
  <c r="BI75" i="21"/>
  <c r="BH75" i="21"/>
  <c r="BF75" i="21"/>
  <c r="BE75" i="21"/>
  <c r="BD75" i="21"/>
  <c r="BC75" i="21"/>
  <c r="BB75" i="21"/>
  <c r="BA75" i="21"/>
  <c r="AZ75" i="21"/>
  <c r="AY75" i="21"/>
  <c r="AX75" i="21"/>
  <c r="AT75" i="21"/>
  <c r="J75" i="17" s="1"/>
  <c r="AJ75" i="21"/>
  <c r="W75" i="21"/>
  <c r="H75" i="17" s="1"/>
  <c r="M75" i="21"/>
  <c r="BW74" i="21"/>
  <c r="BP74" i="21"/>
  <c r="BO74" i="21"/>
  <c r="BN74" i="21"/>
  <c r="BM74" i="21"/>
  <c r="BL74" i="21"/>
  <c r="BK74" i="21"/>
  <c r="BJ74" i="21"/>
  <c r="BI74" i="21"/>
  <c r="BH74" i="21"/>
  <c r="BQ74" i="21" s="1"/>
  <c r="BF74" i="21"/>
  <c r="BE74" i="21"/>
  <c r="BD74" i="21"/>
  <c r="BC74" i="21"/>
  <c r="BB74" i="21"/>
  <c r="BA74" i="21"/>
  <c r="AZ74" i="21"/>
  <c r="AY74" i="21"/>
  <c r="AX74" i="21"/>
  <c r="AT74" i="21"/>
  <c r="J74" i="17" s="1"/>
  <c r="AJ74" i="21"/>
  <c r="W74" i="21"/>
  <c r="H74" i="17" s="1"/>
  <c r="M74" i="21"/>
  <c r="BW73" i="21"/>
  <c r="BP73" i="21"/>
  <c r="BO73" i="21"/>
  <c r="BN73" i="21"/>
  <c r="BM73" i="21"/>
  <c r="BL73" i="21"/>
  <c r="BK73" i="21"/>
  <c r="BJ73" i="21"/>
  <c r="BI73" i="21"/>
  <c r="BH73" i="21"/>
  <c r="BF73" i="21"/>
  <c r="BE73" i="21"/>
  <c r="BD73" i="21"/>
  <c r="BC73" i="21"/>
  <c r="BB73" i="21"/>
  <c r="BA73" i="21"/>
  <c r="AZ73" i="21"/>
  <c r="AY73" i="21"/>
  <c r="AX73" i="21"/>
  <c r="AT73" i="21"/>
  <c r="J73" i="17" s="1"/>
  <c r="AJ73" i="21"/>
  <c r="W73" i="21"/>
  <c r="H73" i="17" s="1"/>
  <c r="M73" i="21"/>
  <c r="BW72" i="21"/>
  <c r="BP72" i="21"/>
  <c r="BO72" i="21"/>
  <c r="BN72" i="21"/>
  <c r="BM72" i="21"/>
  <c r="BL72" i="21"/>
  <c r="BK72" i="21"/>
  <c r="BJ72" i="21"/>
  <c r="BI72" i="21"/>
  <c r="BH72" i="21"/>
  <c r="BQ72" i="21" s="1"/>
  <c r="BF72" i="21"/>
  <c r="BE72" i="21"/>
  <c r="BD72" i="21"/>
  <c r="BC72" i="21"/>
  <c r="BB72" i="21"/>
  <c r="BA72" i="21"/>
  <c r="AZ72" i="21"/>
  <c r="AY72" i="21"/>
  <c r="AX72" i="21"/>
  <c r="AT72" i="21"/>
  <c r="J72" i="17" s="1"/>
  <c r="AJ72" i="21"/>
  <c r="W72" i="21"/>
  <c r="H72" i="17" s="1"/>
  <c r="M72" i="21"/>
  <c r="BP71" i="21"/>
  <c r="BO71" i="21"/>
  <c r="BN71" i="21"/>
  <c r="BM71" i="21"/>
  <c r="BL71" i="21"/>
  <c r="BK71" i="21"/>
  <c r="BJ71" i="21"/>
  <c r="BI71" i="21"/>
  <c r="BH71" i="21"/>
  <c r="BF71" i="21"/>
  <c r="BE71" i="21"/>
  <c r="BD71" i="21"/>
  <c r="BC71" i="21"/>
  <c r="BB71" i="21"/>
  <c r="BA71" i="21"/>
  <c r="AZ71" i="21"/>
  <c r="AY71" i="21"/>
  <c r="AX71" i="21"/>
  <c r="AT71" i="21"/>
  <c r="J71" i="17" s="1"/>
  <c r="AJ71" i="21"/>
  <c r="W71" i="21"/>
  <c r="H71" i="17" s="1"/>
  <c r="M71" i="21"/>
  <c r="BW70" i="21"/>
  <c r="BP70" i="21"/>
  <c r="BO70" i="21"/>
  <c r="BN70" i="21"/>
  <c r="BM70" i="21"/>
  <c r="BL70" i="21"/>
  <c r="BK70" i="21"/>
  <c r="BJ70" i="21"/>
  <c r="BI70" i="21"/>
  <c r="BH70" i="21"/>
  <c r="BF70" i="21"/>
  <c r="BE70" i="21"/>
  <c r="BD70" i="21"/>
  <c r="BC70" i="21"/>
  <c r="BB70" i="21"/>
  <c r="BA70" i="21"/>
  <c r="AZ70" i="21"/>
  <c r="AY70" i="21"/>
  <c r="AX70" i="21"/>
  <c r="AT70" i="21"/>
  <c r="J70" i="17" s="1"/>
  <c r="AJ70" i="21"/>
  <c r="W70" i="21"/>
  <c r="H70" i="17" s="1"/>
  <c r="M70" i="21"/>
  <c r="BP69" i="21"/>
  <c r="BO69" i="21"/>
  <c r="BN69" i="21"/>
  <c r="BM69" i="21"/>
  <c r="BL69" i="21"/>
  <c r="BK69" i="21"/>
  <c r="BJ69" i="21"/>
  <c r="BI69" i="21"/>
  <c r="BH69" i="21"/>
  <c r="BF69" i="21"/>
  <c r="BE69" i="21"/>
  <c r="BD69" i="21"/>
  <c r="BC69" i="21"/>
  <c r="BB69" i="21"/>
  <c r="BA69" i="21"/>
  <c r="AZ69" i="21"/>
  <c r="AY69" i="21"/>
  <c r="AX69" i="21"/>
  <c r="BG69" i="21" s="1"/>
  <c r="BR69" i="21" s="1"/>
  <c r="AT69" i="21"/>
  <c r="J69" i="17" s="1"/>
  <c r="AJ69" i="21"/>
  <c r="W69" i="21"/>
  <c r="H69" i="17" s="1"/>
  <c r="M69" i="21"/>
  <c r="BW68" i="21"/>
  <c r="BP68" i="21"/>
  <c r="BO68" i="21"/>
  <c r="BN68" i="21"/>
  <c r="BM68" i="21"/>
  <c r="BL68" i="21"/>
  <c r="BK68" i="21"/>
  <c r="BJ68" i="21"/>
  <c r="BI68" i="21"/>
  <c r="BH68" i="21"/>
  <c r="BQ68" i="21" s="1"/>
  <c r="BF68" i="21"/>
  <c r="BE68" i="21"/>
  <c r="BD68" i="21"/>
  <c r="BC68" i="21"/>
  <c r="BB68" i="21"/>
  <c r="BA68" i="21"/>
  <c r="AZ68" i="21"/>
  <c r="AY68" i="21"/>
  <c r="AX68" i="21"/>
  <c r="AT68" i="21"/>
  <c r="J68" i="17" s="1"/>
  <c r="AJ68" i="21"/>
  <c r="W68" i="21"/>
  <c r="H68" i="17" s="1"/>
  <c r="M68" i="21"/>
  <c r="BP67" i="21"/>
  <c r="BO67" i="21"/>
  <c r="BN67" i="21"/>
  <c r="BM67" i="21"/>
  <c r="BL67" i="21"/>
  <c r="BK67" i="21"/>
  <c r="BJ67" i="21"/>
  <c r="BI67" i="21"/>
  <c r="BH67" i="21"/>
  <c r="BF67" i="21"/>
  <c r="BE67" i="21"/>
  <c r="BD67" i="21"/>
  <c r="BC67" i="21"/>
  <c r="BB67" i="21"/>
  <c r="BA67" i="21"/>
  <c r="AZ67" i="21"/>
  <c r="AY67" i="21"/>
  <c r="AX67" i="21"/>
  <c r="AT67" i="21"/>
  <c r="J67" i="17" s="1"/>
  <c r="AJ67" i="21"/>
  <c r="W67" i="21"/>
  <c r="H67" i="17" s="1"/>
  <c r="M67" i="21"/>
  <c r="BW66" i="21"/>
  <c r="BP66" i="21"/>
  <c r="BO66" i="21"/>
  <c r="BN66" i="21"/>
  <c r="BM66" i="21"/>
  <c r="BL66" i="21"/>
  <c r="BK66" i="21"/>
  <c r="BJ66" i="21"/>
  <c r="BI66" i="21"/>
  <c r="BH66" i="21"/>
  <c r="BF66" i="21"/>
  <c r="BE66" i="21"/>
  <c r="BD66" i="21"/>
  <c r="BC66" i="21"/>
  <c r="BB66" i="21"/>
  <c r="BA66" i="21"/>
  <c r="AZ66" i="21"/>
  <c r="AY66" i="21"/>
  <c r="AX66" i="21"/>
  <c r="AT66" i="21"/>
  <c r="J66" i="17" s="1"/>
  <c r="AJ66" i="21"/>
  <c r="W66" i="21"/>
  <c r="H66" i="17" s="1"/>
  <c r="M66" i="21"/>
  <c r="BW65" i="21"/>
  <c r="BP65" i="21"/>
  <c r="BO65" i="21"/>
  <c r="BN65" i="21"/>
  <c r="BM65" i="21"/>
  <c r="BL65" i="21"/>
  <c r="BK65" i="21"/>
  <c r="BJ65" i="21"/>
  <c r="BI65" i="21"/>
  <c r="BH65" i="21"/>
  <c r="BF65" i="21"/>
  <c r="BE65" i="21"/>
  <c r="BD65" i="21"/>
  <c r="BC65" i="21"/>
  <c r="BB65" i="21"/>
  <c r="BA65" i="21"/>
  <c r="AZ65" i="21"/>
  <c r="AY65" i="21"/>
  <c r="AX65" i="21"/>
  <c r="BG65" i="21" s="1"/>
  <c r="BR65" i="21" s="1"/>
  <c r="AT65" i="21"/>
  <c r="J65" i="17" s="1"/>
  <c r="AJ65" i="21"/>
  <c r="W65" i="21"/>
  <c r="H65" i="17" s="1"/>
  <c r="M65" i="21"/>
  <c r="BW64" i="21"/>
  <c r="BP64" i="21"/>
  <c r="BO64" i="21"/>
  <c r="BN64" i="21"/>
  <c r="BM64" i="21"/>
  <c r="BL64" i="21"/>
  <c r="BK64" i="21"/>
  <c r="BJ64" i="21"/>
  <c r="BI64" i="21"/>
  <c r="BH64" i="21"/>
  <c r="BQ64" i="21" s="1"/>
  <c r="BF64" i="21"/>
  <c r="BE64" i="21"/>
  <c r="BD64" i="21"/>
  <c r="BC64" i="21"/>
  <c r="BB64" i="21"/>
  <c r="BA64" i="21"/>
  <c r="AZ64" i="21"/>
  <c r="AY64" i="21"/>
  <c r="AX64" i="21"/>
  <c r="AT64" i="21"/>
  <c r="J64" i="17" s="1"/>
  <c r="AJ64" i="21"/>
  <c r="W64" i="21"/>
  <c r="H64" i="17" s="1"/>
  <c r="M64" i="21"/>
  <c r="BP63" i="21"/>
  <c r="BO63" i="21"/>
  <c r="BN63" i="21"/>
  <c r="BM63" i="21"/>
  <c r="BL63" i="21"/>
  <c r="BK63" i="21"/>
  <c r="BJ63" i="21"/>
  <c r="BI63" i="21"/>
  <c r="BH63" i="21"/>
  <c r="BF63" i="21"/>
  <c r="BE63" i="21"/>
  <c r="BD63" i="21"/>
  <c r="BC63" i="21"/>
  <c r="BB63" i="21"/>
  <c r="BA63" i="21"/>
  <c r="AZ63" i="21"/>
  <c r="AY63" i="21"/>
  <c r="AX63" i="21"/>
  <c r="AT63" i="21"/>
  <c r="J63" i="17" s="1"/>
  <c r="AJ63" i="21"/>
  <c r="W63" i="21"/>
  <c r="H63" i="17" s="1"/>
  <c r="M63" i="21"/>
  <c r="BW62" i="21"/>
  <c r="BP62" i="21"/>
  <c r="BO62" i="21"/>
  <c r="BN62" i="21"/>
  <c r="BM62" i="21"/>
  <c r="BL62" i="21"/>
  <c r="BK62" i="21"/>
  <c r="BJ62" i="21"/>
  <c r="BI62" i="21"/>
  <c r="BH62" i="21"/>
  <c r="BF62" i="21"/>
  <c r="BE62" i="21"/>
  <c r="BD62" i="21"/>
  <c r="BC62" i="21"/>
  <c r="BB62" i="21"/>
  <c r="BA62" i="21"/>
  <c r="AZ62" i="21"/>
  <c r="AY62" i="21"/>
  <c r="AX62" i="21"/>
  <c r="AT62" i="21"/>
  <c r="J62" i="17" s="1"/>
  <c r="AJ62" i="21"/>
  <c r="W62" i="21"/>
  <c r="H62" i="17" s="1"/>
  <c r="M62" i="21"/>
  <c r="BW61" i="21"/>
  <c r="BP61" i="21"/>
  <c r="BO61" i="21"/>
  <c r="BN61" i="21"/>
  <c r="BM61" i="21"/>
  <c r="BL61" i="21"/>
  <c r="BK61" i="21"/>
  <c r="BJ61" i="21"/>
  <c r="BI61" i="21"/>
  <c r="BH61" i="21"/>
  <c r="BF61" i="21"/>
  <c r="BE61" i="21"/>
  <c r="BD61" i="21"/>
  <c r="BC61" i="21"/>
  <c r="BB61" i="21"/>
  <c r="BA61" i="21"/>
  <c r="AZ61" i="21"/>
  <c r="AY61" i="21"/>
  <c r="AX61" i="21"/>
  <c r="BG61" i="21" s="1"/>
  <c r="BR61" i="21" s="1"/>
  <c r="AT61" i="21"/>
  <c r="J61" i="17" s="1"/>
  <c r="AJ61" i="21"/>
  <c r="W61" i="21"/>
  <c r="H61" i="17" s="1"/>
  <c r="M61" i="21"/>
  <c r="BW60" i="21"/>
  <c r="BP60" i="21"/>
  <c r="BO60" i="21"/>
  <c r="BN60" i="21"/>
  <c r="BM60" i="21"/>
  <c r="BL60" i="21"/>
  <c r="BK60" i="21"/>
  <c r="BJ60" i="21"/>
  <c r="BI60" i="21"/>
  <c r="BH60" i="21"/>
  <c r="BQ60" i="21" s="1"/>
  <c r="BF60" i="21"/>
  <c r="BE60" i="21"/>
  <c r="BD60" i="21"/>
  <c r="BC60" i="21"/>
  <c r="BB60" i="21"/>
  <c r="BA60" i="21"/>
  <c r="AZ60" i="21"/>
  <c r="AY60" i="21"/>
  <c r="AX60" i="21"/>
  <c r="AT60" i="21"/>
  <c r="J60" i="17" s="1"/>
  <c r="AJ60" i="21"/>
  <c r="W60" i="21"/>
  <c r="H60" i="17" s="1"/>
  <c r="M60" i="21"/>
  <c r="BP59" i="21"/>
  <c r="BO59" i="21"/>
  <c r="BN59" i="21"/>
  <c r="BM59" i="21"/>
  <c r="BL59" i="21"/>
  <c r="BK59" i="21"/>
  <c r="BJ59" i="21"/>
  <c r="BI59" i="21"/>
  <c r="BH59" i="21"/>
  <c r="BF59" i="21"/>
  <c r="BE59" i="21"/>
  <c r="BD59" i="21"/>
  <c r="BC59" i="21"/>
  <c r="BB59" i="21"/>
  <c r="BA59" i="21"/>
  <c r="AZ59" i="21"/>
  <c r="AY59" i="21"/>
  <c r="AX59" i="21"/>
  <c r="AT59" i="21"/>
  <c r="J59" i="17" s="1"/>
  <c r="AJ59" i="21"/>
  <c r="W59" i="21"/>
  <c r="H59" i="17" s="1"/>
  <c r="M59" i="21"/>
  <c r="BW58" i="21"/>
  <c r="BP58" i="21"/>
  <c r="BO58" i="21"/>
  <c r="BN58" i="21"/>
  <c r="BM58" i="21"/>
  <c r="BL58" i="21"/>
  <c r="BK58" i="21"/>
  <c r="BJ58" i="21"/>
  <c r="BI58" i="21"/>
  <c r="BH58" i="21"/>
  <c r="BF58" i="21"/>
  <c r="BE58" i="21"/>
  <c r="BD58" i="21"/>
  <c r="BC58" i="21"/>
  <c r="BB58" i="21"/>
  <c r="BA58" i="21"/>
  <c r="AZ58" i="21"/>
  <c r="AY58" i="21"/>
  <c r="AX58" i="21"/>
  <c r="AT58" i="21"/>
  <c r="J58" i="17" s="1"/>
  <c r="AJ58" i="21"/>
  <c r="W58" i="21"/>
  <c r="H58" i="17" s="1"/>
  <c r="M58" i="21"/>
  <c r="BW57" i="21"/>
  <c r="BP57" i="21"/>
  <c r="BO57" i="21"/>
  <c r="BN57" i="21"/>
  <c r="BM57" i="21"/>
  <c r="BL57" i="21"/>
  <c r="BK57" i="21"/>
  <c r="BJ57" i="21"/>
  <c r="BI57" i="21"/>
  <c r="BH57" i="21"/>
  <c r="BF57" i="21"/>
  <c r="BE57" i="21"/>
  <c r="BD57" i="21"/>
  <c r="BC57" i="21"/>
  <c r="BB57" i="21"/>
  <c r="BA57" i="21"/>
  <c r="AZ57" i="21"/>
  <c r="AY57" i="21"/>
  <c r="AX57" i="21"/>
  <c r="BG57" i="21" s="1"/>
  <c r="BR57" i="21" s="1"/>
  <c r="AT57" i="21"/>
  <c r="J57" i="17" s="1"/>
  <c r="AJ57" i="21"/>
  <c r="W57" i="21"/>
  <c r="H57" i="17" s="1"/>
  <c r="M57" i="21"/>
  <c r="BW56" i="21"/>
  <c r="BP56" i="21"/>
  <c r="BO56" i="21"/>
  <c r="BN56" i="21"/>
  <c r="BM56" i="21"/>
  <c r="BL56" i="21"/>
  <c r="BK56" i="21"/>
  <c r="BJ56" i="21"/>
  <c r="BI56" i="21"/>
  <c r="BH56" i="21"/>
  <c r="BQ56" i="21" s="1"/>
  <c r="BF56" i="21"/>
  <c r="BE56" i="21"/>
  <c r="BD56" i="21"/>
  <c r="BC56" i="21"/>
  <c r="BB56" i="21"/>
  <c r="BA56" i="21"/>
  <c r="AZ56" i="21"/>
  <c r="AY56" i="21"/>
  <c r="AX56" i="21"/>
  <c r="AT56" i="21"/>
  <c r="J56" i="17" s="1"/>
  <c r="AJ56" i="21"/>
  <c r="W56" i="21"/>
  <c r="H56" i="17" s="1"/>
  <c r="M56" i="21"/>
  <c r="BP55" i="21"/>
  <c r="BO55" i="21"/>
  <c r="BN55" i="21"/>
  <c r="BM55" i="21"/>
  <c r="BL55" i="21"/>
  <c r="BK55" i="21"/>
  <c r="BJ55" i="21"/>
  <c r="BI55" i="21"/>
  <c r="BH55" i="21"/>
  <c r="BF55" i="21"/>
  <c r="BE55" i="21"/>
  <c r="BD55" i="21"/>
  <c r="BC55" i="21"/>
  <c r="BB55" i="21"/>
  <c r="BA55" i="21"/>
  <c r="AZ55" i="21"/>
  <c r="AY55" i="21"/>
  <c r="AX55" i="21"/>
  <c r="AT55" i="21"/>
  <c r="J55" i="17" s="1"/>
  <c r="AJ55" i="21"/>
  <c r="W55" i="21"/>
  <c r="H55" i="17" s="1"/>
  <c r="M55" i="21"/>
  <c r="BW54" i="21"/>
  <c r="BP54" i="21"/>
  <c r="BO54" i="21"/>
  <c r="BN54" i="21"/>
  <c r="BM54" i="21"/>
  <c r="BL54" i="21"/>
  <c r="BK54" i="21"/>
  <c r="BJ54" i="21"/>
  <c r="BI54" i="21"/>
  <c r="BH54" i="21"/>
  <c r="BF54" i="21"/>
  <c r="BE54" i="21"/>
  <c r="BD54" i="21"/>
  <c r="BC54" i="21"/>
  <c r="BB54" i="21"/>
  <c r="BA54" i="21"/>
  <c r="AZ54" i="21"/>
  <c r="AY54" i="21"/>
  <c r="AX54" i="21"/>
  <c r="AT54" i="21"/>
  <c r="J54" i="17" s="1"/>
  <c r="AJ54" i="21"/>
  <c r="W54" i="21"/>
  <c r="H54" i="17" s="1"/>
  <c r="M54" i="21"/>
  <c r="BP53" i="21"/>
  <c r="BO53" i="21"/>
  <c r="BN53" i="21"/>
  <c r="BM53" i="21"/>
  <c r="BL53" i="21"/>
  <c r="BK53" i="21"/>
  <c r="BJ53" i="21"/>
  <c r="BI53" i="21"/>
  <c r="BH53" i="21"/>
  <c r="BF53" i="21"/>
  <c r="BE53" i="21"/>
  <c r="BD53" i="21"/>
  <c r="BC53" i="21"/>
  <c r="BB53" i="21"/>
  <c r="BA53" i="21"/>
  <c r="AZ53" i="21"/>
  <c r="AY53" i="21"/>
  <c r="AX53" i="21"/>
  <c r="BG53" i="21" s="1"/>
  <c r="BR53" i="21" s="1"/>
  <c r="AT53" i="21"/>
  <c r="J53" i="17" s="1"/>
  <c r="AJ53" i="21"/>
  <c r="W53" i="21"/>
  <c r="H53" i="17" s="1"/>
  <c r="M53" i="21"/>
  <c r="BW52" i="21"/>
  <c r="BP52" i="21"/>
  <c r="BO52" i="21"/>
  <c r="BN52" i="21"/>
  <c r="BM52" i="21"/>
  <c r="BL52" i="21"/>
  <c r="BK52" i="21"/>
  <c r="BJ52" i="21"/>
  <c r="BI52" i="21"/>
  <c r="BH52" i="21"/>
  <c r="BF52" i="21"/>
  <c r="BE52" i="21"/>
  <c r="BD52" i="21"/>
  <c r="BC52" i="21"/>
  <c r="BB52" i="21"/>
  <c r="BA52" i="21"/>
  <c r="AZ52" i="21"/>
  <c r="AY52" i="21"/>
  <c r="AX52" i="21"/>
  <c r="AT52" i="21"/>
  <c r="J52" i="17" s="1"/>
  <c r="AJ52" i="21"/>
  <c r="W52" i="21"/>
  <c r="H52" i="17" s="1"/>
  <c r="M52" i="21"/>
  <c r="BP51" i="21"/>
  <c r="BO51" i="21"/>
  <c r="BN51" i="21"/>
  <c r="BM51" i="21"/>
  <c r="BL51" i="21"/>
  <c r="BK51" i="21"/>
  <c r="BJ51" i="21"/>
  <c r="BI51" i="21"/>
  <c r="BH51" i="21"/>
  <c r="BF51" i="21"/>
  <c r="BE51" i="21"/>
  <c r="BD51" i="21"/>
  <c r="BC51" i="21"/>
  <c r="BB51" i="21"/>
  <c r="BA51" i="21"/>
  <c r="AZ51" i="21"/>
  <c r="AY51" i="21"/>
  <c r="AX51" i="21"/>
  <c r="AT51" i="21"/>
  <c r="J51" i="17" s="1"/>
  <c r="AJ51" i="21"/>
  <c r="W51" i="21"/>
  <c r="H51" i="17" s="1"/>
  <c r="M51" i="21"/>
  <c r="BW50" i="21"/>
  <c r="BP50" i="21"/>
  <c r="BO50" i="21"/>
  <c r="BN50" i="21"/>
  <c r="BM50" i="21"/>
  <c r="BL50" i="21"/>
  <c r="BK50" i="21"/>
  <c r="BJ50" i="21"/>
  <c r="BI50" i="21"/>
  <c r="BH50" i="21"/>
  <c r="BF50" i="21"/>
  <c r="BE50" i="21"/>
  <c r="BD50" i="21"/>
  <c r="BC50" i="21"/>
  <c r="BB50" i="21"/>
  <c r="BA50" i="21"/>
  <c r="AZ50" i="21"/>
  <c r="AY50" i="21"/>
  <c r="AX50" i="21"/>
  <c r="AT50" i="21"/>
  <c r="J50" i="17" s="1"/>
  <c r="AJ50" i="21"/>
  <c r="W50" i="21"/>
  <c r="H50" i="17" s="1"/>
  <c r="M50" i="21"/>
  <c r="BW49" i="21"/>
  <c r="BP49" i="21"/>
  <c r="BO49" i="21"/>
  <c r="BN49" i="21"/>
  <c r="BM49" i="21"/>
  <c r="BL49" i="21"/>
  <c r="BK49" i="21"/>
  <c r="BJ49" i="21"/>
  <c r="BI49" i="21"/>
  <c r="BH49" i="21"/>
  <c r="BF49" i="21"/>
  <c r="BE49" i="21"/>
  <c r="BD49" i="21"/>
  <c r="BC49" i="21"/>
  <c r="BB49" i="21"/>
  <c r="BA49" i="21"/>
  <c r="AZ49" i="21"/>
  <c r="AY49" i="21"/>
  <c r="AX49" i="21"/>
  <c r="BG49" i="21" s="1"/>
  <c r="BR49" i="21" s="1"/>
  <c r="AT49" i="21"/>
  <c r="J49" i="17" s="1"/>
  <c r="AJ49" i="21"/>
  <c r="W49" i="21"/>
  <c r="H49" i="17" s="1"/>
  <c r="M49" i="21"/>
  <c r="BW48" i="21"/>
  <c r="BP48" i="21"/>
  <c r="BO48" i="21"/>
  <c r="BN48" i="21"/>
  <c r="BM48" i="21"/>
  <c r="BL48" i="21"/>
  <c r="BK48" i="21"/>
  <c r="BJ48" i="21"/>
  <c r="BI48" i="21"/>
  <c r="BH48" i="21"/>
  <c r="BQ48" i="21" s="1"/>
  <c r="BF48" i="21"/>
  <c r="BE48" i="21"/>
  <c r="BD48" i="21"/>
  <c r="BC48" i="21"/>
  <c r="BB48" i="21"/>
  <c r="BA48" i="21"/>
  <c r="AZ48" i="21"/>
  <c r="AY48" i="21"/>
  <c r="AX48" i="21"/>
  <c r="AT48" i="21"/>
  <c r="J48" i="17" s="1"/>
  <c r="AJ48" i="21"/>
  <c r="W48" i="21"/>
  <c r="H48" i="17" s="1"/>
  <c r="M48" i="21"/>
  <c r="BW47" i="21"/>
  <c r="BP47" i="21"/>
  <c r="BO47" i="21"/>
  <c r="BN47" i="21"/>
  <c r="BM47" i="21"/>
  <c r="BL47" i="21"/>
  <c r="BK47" i="21"/>
  <c r="BJ47" i="21"/>
  <c r="BI47" i="21"/>
  <c r="BH47" i="21"/>
  <c r="BF47" i="21"/>
  <c r="BE47" i="21"/>
  <c r="BD47" i="21"/>
  <c r="BC47" i="21"/>
  <c r="BB47" i="21"/>
  <c r="BA47" i="21"/>
  <c r="AZ47" i="21"/>
  <c r="AY47" i="21"/>
  <c r="AX47" i="21"/>
  <c r="AT47" i="21"/>
  <c r="J47" i="17" s="1"/>
  <c r="AJ47" i="21"/>
  <c r="W47" i="21"/>
  <c r="H47" i="17" s="1"/>
  <c r="M47" i="21"/>
  <c r="BW46" i="21"/>
  <c r="BP46" i="21"/>
  <c r="BO46" i="21"/>
  <c r="BN46" i="21"/>
  <c r="BM46" i="21"/>
  <c r="BL46" i="21"/>
  <c r="BK46" i="21"/>
  <c r="BJ46" i="21"/>
  <c r="BI46" i="21"/>
  <c r="BH46" i="21"/>
  <c r="BF46" i="21"/>
  <c r="BE46" i="21"/>
  <c r="BD46" i="21"/>
  <c r="BC46" i="21"/>
  <c r="BB46" i="21"/>
  <c r="BA46" i="21"/>
  <c r="AZ46" i="21"/>
  <c r="AY46" i="21"/>
  <c r="AX46" i="21"/>
  <c r="AT46" i="21"/>
  <c r="J46" i="17" s="1"/>
  <c r="AJ46" i="21"/>
  <c r="W46" i="21"/>
  <c r="H46" i="17" s="1"/>
  <c r="M46" i="21"/>
  <c r="BW45" i="21"/>
  <c r="BP45" i="21"/>
  <c r="BO45" i="21"/>
  <c r="BN45" i="21"/>
  <c r="BM45" i="21"/>
  <c r="BL45" i="21"/>
  <c r="BK45" i="21"/>
  <c r="BJ45" i="21"/>
  <c r="BI45" i="21"/>
  <c r="BH45" i="21"/>
  <c r="BF45" i="21"/>
  <c r="BE45" i="21"/>
  <c r="BD45" i="21"/>
  <c r="BC45" i="21"/>
  <c r="BB45" i="21"/>
  <c r="BA45" i="21"/>
  <c r="AZ45" i="21"/>
  <c r="AY45" i="21"/>
  <c r="AX45" i="21"/>
  <c r="BG45" i="21" s="1"/>
  <c r="BR45" i="21" s="1"/>
  <c r="AT45" i="21"/>
  <c r="J45" i="17" s="1"/>
  <c r="AJ45" i="21"/>
  <c r="W45" i="21"/>
  <c r="H45" i="17" s="1"/>
  <c r="M45" i="21"/>
  <c r="BW44" i="21"/>
  <c r="BP44" i="21"/>
  <c r="BO44" i="21"/>
  <c r="BN44" i="21"/>
  <c r="BM44" i="21"/>
  <c r="BL44" i="21"/>
  <c r="BK44" i="21"/>
  <c r="BJ44" i="21"/>
  <c r="BI44" i="21"/>
  <c r="BH44" i="21"/>
  <c r="BF44" i="21"/>
  <c r="BE44" i="21"/>
  <c r="BD44" i="21"/>
  <c r="BC44" i="21"/>
  <c r="BB44" i="21"/>
  <c r="BA44" i="21"/>
  <c r="AZ44" i="21"/>
  <c r="AY44" i="21"/>
  <c r="AX44" i="21"/>
  <c r="AT44" i="21"/>
  <c r="J44" i="17" s="1"/>
  <c r="AJ44" i="21"/>
  <c r="W44" i="21"/>
  <c r="H44" i="17" s="1"/>
  <c r="M44" i="21"/>
  <c r="BP43" i="21"/>
  <c r="BO43" i="21"/>
  <c r="BN43" i="21"/>
  <c r="BM43" i="21"/>
  <c r="BL43" i="21"/>
  <c r="BK43" i="21"/>
  <c r="BJ43" i="21"/>
  <c r="BI43" i="21"/>
  <c r="BH43" i="21"/>
  <c r="BF43" i="21"/>
  <c r="BE43" i="21"/>
  <c r="BD43" i="21"/>
  <c r="BC43" i="21"/>
  <c r="BB43" i="21"/>
  <c r="BA43" i="21"/>
  <c r="AZ43" i="21"/>
  <c r="AY43" i="21"/>
  <c r="AX43" i="21"/>
  <c r="AT43" i="21"/>
  <c r="J43" i="17" s="1"/>
  <c r="AJ43" i="21"/>
  <c r="W43" i="21"/>
  <c r="H43" i="17" s="1"/>
  <c r="M43" i="21"/>
  <c r="BW42" i="21"/>
  <c r="BP42" i="21"/>
  <c r="BO42" i="21"/>
  <c r="BN42" i="21"/>
  <c r="BM42" i="21"/>
  <c r="BL42" i="21"/>
  <c r="BK42" i="21"/>
  <c r="BJ42" i="21"/>
  <c r="BI42" i="21"/>
  <c r="BH42" i="21"/>
  <c r="BF42" i="21"/>
  <c r="BE42" i="21"/>
  <c r="BD42" i="21"/>
  <c r="BC42" i="21"/>
  <c r="BB42" i="21"/>
  <c r="BA42" i="21"/>
  <c r="AZ42" i="21"/>
  <c r="AY42" i="21"/>
  <c r="AX42" i="21"/>
  <c r="AT42" i="21"/>
  <c r="J42" i="17" s="1"/>
  <c r="AJ42" i="21"/>
  <c r="W42" i="21"/>
  <c r="H42" i="17" s="1"/>
  <c r="M42" i="21"/>
  <c r="BW41" i="21"/>
  <c r="BP41" i="21"/>
  <c r="BO41" i="21"/>
  <c r="BN41" i="21"/>
  <c r="BM41" i="21"/>
  <c r="BL41" i="21"/>
  <c r="BK41" i="21"/>
  <c r="BJ41" i="21"/>
  <c r="BI41" i="21"/>
  <c r="BH41" i="21"/>
  <c r="BF41" i="21"/>
  <c r="BE41" i="21"/>
  <c r="BD41" i="21"/>
  <c r="BC41" i="21"/>
  <c r="BB41" i="21"/>
  <c r="BA41" i="21"/>
  <c r="AZ41" i="21"/>
  <c r="AY41" i="21"/>
  <c r="AX41" i="21"/>
  <c r="BG41" i="21" s="1"/>
  <c r="BR41" i="21" s="1"/>
  <c r="AT41" i="21"/>
  <c r="J41" i="17" s="1"/>
  <c r="AJ41" i="21"/>
  <c r="W41" i="21"/>
  <c r="H41" i="17" s="1"/>
  <c r="M41" i="21"/>
  <c r="BW40" i="21"/>
  <c r="BP40" i="21"/>
  <c r="BO40" i="21"/>
  <c r="BN40" i="21"/>
  <c r="BM40" i="21"/>
  <c r="BL40" i="21"/>
  <c r="BK40" i="21"/>
  <c r="BJ40" i="21"/>
  <c r="BI40" i="21"/>
  <c r="BH40" i="21"/>
  <c r="BF40" i="21"/>
  <c r="BE40" i="21"/>
  <c r="BD40" i="21"/>
  <c r="BC40" i="21"/>
  <c r="BB40" i="21"/>
  <c r="BA40" i="21"/>
  <c r="AZ40" i="21"/>
  <c r="AY40" i="21"/>
  <c r="AX40" i="21"/>
  <c r="AT40" i="21"/>
  <c r="J40" i="17" s="1"/>
  <c r="AJ40" i="21"/>
  <c r="W40" i="21"/>
  <c r="H40" i="17" s="1"/>
  <c r="M40" i="21"/>
  <c r="BP39" i="21"/>
  <c r="BO39" i="21"/>
  <c r="BN39" i="21"/>
  <c r="BM39" i="21"/>
  <c r="BL39" i="21"/>
  <c r="BK39" i="21"/>
  <c r="BJ39" i="21"/>
  <c r="BI39" i="21"/>
  <c r="BH39" i="21"/>
  <c r="BF39" i="21"/>
  <c r="BE39" i="21"/>
  <c r="BD39" i="21"/>
  <c r="BC39" i="21"/>
  <c r="BB39" i="21"/>
  <c r="BA39" i="21"/>
  <c r="AZ39" i="21"/>
  <c r="AY39" i="21"/>
  <c r="AX39" i="21"/>
  <c r="AT39" i="21"/>
  <c r="J39" i="17" s="1"/>
  <c r="AJ39" i="21"/>
  <c r="W39" i="21"/>
  <c r="H39" i="17" s="1"/>
  <c r="M39" i="21"/>
  <c r="BW38" i="21"/>
  <c r="BP38" i="21"/>
  <c r="BO38" i="21"/>
  <c r="BN38" i="21"/>
  <c r="BM38" i="21"/>
  <c r="BL38" i="21"/>
  <c r="BK38" i="21"/>
  <c r="BJ38" i="21"/>
  <c r="BI38" i="21"/>
  <c r="BH38" i="21"/>
  <c r="BF38" i="21"/>
  <c r="BE38" i="21"/>
  <c r="BD38" i="21"/>
  <c r="BC38" i="21"/>
  <c r="BB38" i="21"/>
  <c r="BA38" i="21"/>
  <c r="AZ38" i="21"/>
  <c r="AY38" i="21"/>
  <c r="AX38" i="21"/>
  <c r="AT38" i="21"/>
  <c r="J38" i="17" s="1"/>
  <c r="AJ38" i="21"/>
  <c r="W38" i="21"/>
  <c r="H38" i="17" s="1"/>
  <c r="M38" i="21"/>
  <c r="BP37" i="21"/>
  <c r="BO37" i="21"/>
  <c r="BN37" i="21"/>
  <c r="BM37" i="21"/>
  <c r="BL37" i="21"/>
  <c r="BK37" i="21"/>
  <c r="BJ37" i="21"/>
  <c r="BI37" i="21"/>
  <c r="BH37" i="21"/>
  <c r="BF37" i="21"/>
  <c r="BE37" i="21"/>
  <c r="BD37" i="21"/>
  <c r="BC37" i="21"/>
  <c r="BB37" i="21"/>
  <c r="BA37" i="21"/>
  <c r="AZ37" i="21"/>
  <c r="AY37" i="21"/>
  <c r="AX37" i="21"/>
  <c r="AT37" i="21"/>
  <c r="J37" i="17" s="1"/>
  <c r="AJ37" i="21"/>
  <c r="W37" i="21"/>
  <c r="H37" i="17" s="1"/>
  <c r="M37" i="21"/>
  <c r="BW36" i="21"/>
  <c r="BP36" i="21"/>
  <c r="BO36" i="21"/>
  <c r="BN36" i="21"/>
  <c r="BM36" i="21"/>
  <c r="BL36" i="21"/>
  <c r="BK36" i="21"/>
  <c r="BJ36" i="21"/>
  <c r="BI36" i="21"/>
  <c r="BH36" i="21"/>
  <c r="BF36" i="21"/>
  <c r="BE36" i="21"/>
  <c r="BD36" i="21"/>
  <c r="BC36" i="21"/>
  <c r="BB36" i="21"/>
  <c r="BA36" i="21"/>
  <c r="AZ36" i="21"/>
  <c r="AY36" i="21"/>
  <c r="AX36" i="21"/>
  <c r="AT36" i="21"/>
  <c r="J36" i="17" s="1"/>
  <c r="AJ36" i="21"/>
  <c r="W36" i="21"/>
  <c r="H36" i="17" s="1"/>
  <c r="M36" i="21"/>
  <c r="BP35" i="21"/>
  <c r="BO35" i="21"/>
  <c r="BN35" i="21"/>
  <c r="BM35" i="21"/>
  <c r="BL35" i="21"/>
  <c r="BK35" i="21"/>
  <c r="BJ35" i="21"/>
  <c r="BI35" i="21"/>
  <c r="BH35" i="21"/>
  <c r="BQ35" i="21" s="1"/>
  <c r="BF35" i="21"/>
  <c r="BE35" i="21"/>
  <c r="BD35" i="21"/>
  <c r="BC35" i="21"/>
  <c r="BB35" i="21"/>
  <c r="BA35" i="21"/>
  <c r="AZ35" i="21"/>
  <c r="AY35" i="21"/>
  <c r="AX35" i="21"/>
  <c r="BG35" i="21" s="1"/>
  <c r="BR35" i="21" s="1"/>
  <c r="AT35" i="21"/>
  <c r="J35" i="17" s="1"/>
  <c r="AJ35" i="21"/>
  <c r="W35" i="21"/>
  <c r="H35" i="17" s="1"/>
  <c r="M35" i="21"/>
  <c r="BW34" i="21"/>
  <c r="BP34" i="21"/>
  <c r="BO34" i="21"/>
  <c r="BN34" i="21"/>
  <c r="BM34" i="21"/>
  <c r="BL34" i="21"/>
  <c r="BK34" i="21"/>
  <c r="BJ34" i="21"/>
  <c r="BI34" i="21"/>
  <c r="BH34" i="21"/>
  <c r="BF34" i="21"/>
  <c r="BE34" i="21"/>
  <c r="BD34" i="21"/>
  <c r="BC34" i="21"/>
  <c r="BB34" i="21"/>
  <c r="BA34" i="21"/>
  <c r="AZ34" i="21"/>
  <c r="AY34" i="21"/>
  <c r="AX34" i="21"/>
  <c r="AT34" i="21"/>
  <c r="J34" i="17" s="1"/>
  <c r="AJ34" i="21"/>
  <c r="W34" i="21"/>
  <c r="H34" i="17" s="1"/>
  <c r="M34" i="21"/>
  <c r="BW33" i="21"/>
  <c r="BP33" i="21"/>
  <c r="BO33" i="21"/>
  <c r="BN33" i="21"/>
  <c r="BM33" i="21"/>
  <c r="BL33" i="21"/>
  <c r="BK33" i="21"/>
  <c r="BJ33" i="21"/>
  <c r="BI33" i="21"/>
  <c r="BH33" i="21"/>
  <c r="BF33" i="21"/>
  <c r="BE33" i="21"/>
  <c r="BD33" i="21"/>
  <c r="BC33" i="21"/>
  <c r="BB33" i="21"/>
  <c r="BA33" i="21"/>
  <c r="AZ33" i="21"/>
  <c r="AY33" i="21"/>
  <c r="AX33" i="21"/>
  <c r="AT33" i="21"/>
  <c r="J33" i="17" s="1"/>
  <c r="AJ33" i="21"/>
  <c r="W33" i="21"/>
  <c r="H33" i="17" s="1"/>
  <c r="M33" i="21"/>
  <c r="BW32" i="21"/>
  <c r="BP32" i="21"/>
  <c r="BO32" i="21"/>
  <c r="BN32" i="21"/>
  <c r="BM32" i="21"/>
  <c r="BL32" i="21"/>
  <c r="BK32" i="21"/>
  <c r="BJ32" i="21"/>
  <c r="BI32" i="21"/>
  <c r="BH32" i="21"/>
  <c r="BF32" i="21"/>
  <c r="BE32" i="21"/>
  <c r="BD32" i="21"/>
  <c r="BC32" i="21"/>
  <c r="BB32" i="21"/>
  <c r="BA32" i="21"/>
  <c r="AZ32" i="21"/>
  <c r="AY32" i="21"/>
  <c r="AX32" i="21"/>
  <c r="AT32" i="21"/>
  <c r="J32" i="17" s="1"/>
  <c r="AJ32" i="21"/>
  <c r="W32" i="21"/>
  <c r="H32" i="17" s="1"/>
  <c r="M32" i="21"/>
  <c r="BP31" i="21"/>
  <c r="BO31" i="21"/>
  <c r="BN31" i="21"/>
  <c r="BM31" i="21"/>
  <c r="BL31" i="21"/>
  <c r="BK31" i="21"/>
  <c r="BJ31" i="21"/>
  <c r="BI31" i="21"/>
  <c r="BH31" i="21"/>
  <c r="BQ31" i="21" s="1"/>
  <c r="BF31" i="21"/>
  <c r="BE31" i="21"/>
  <c r="BD31" i="21"/>
  <c r="BC31" i="21"/>
  <c r="BB31" i="21"/>
  <c r="BA31" i="21"/>
  <c r="AZ31" i="21"/>
  <c r="AY31" i="21"/>
  <c r="AX31" i="21"/>
  <c r="BG31" i="21" s="1"/>
  <c r="BR31" i="21" s="1"/>
  <c r="AT31" i="21"/>
  <c r="J31" i="17" s="1"/>
  <c r="AJ31" i="21"/>
  <c r="W31" i="21"/>
  <c r="H31" i="17" s="1"/>
  <c r="M31" i="21"/>
  <c r="BW30" i="21"/>
  <c r="BP30" i="21"/>
  <c r="BO30" i="21"/>
  <c r="BN30" i="21"/>
  <c r="BM30" i="21"/>
  <c r="BL30" i="21"/>
  <c r="BK30" i="21"/>
  <c r="BJ30" i="21"/>
  <c r="BI30" i="21"/>
  <c r="BH30" i="21"/>
  <c r="BQ30" i="21" s="1"/>
  <c r="BF30" i="21"/>
  <c r="BE30" i="21"/>
  <c r="BD30" i="21"/>
  <c r="BC30" i="21"/>
  <c r="BB30" i="21"/>
  <c r="BA30" i="21"/>
  <c r="AZ30" i="21"/>
  <c r="AY30" i="21"/>
  <c r="AX30" i="21"/>
  <c r="AT30" i="21"/>
  <c r="J30" i="17" s="1"/>
  <c r="AJ30" i="21"/>
  <c r="W30" i="21"/>
  <c r="H30" i="17" s="1"/>
  <c r="M30" i="21"/>
  <c r="BP29" i="21"/>
  <c r="BO29" i="21"/>
  <c r="BN29" i="21"/>
  <c r="BM29" i="21"/>
  <c r="BL29" i="21"/>
  <c r="BK29" i="21"/>
  <c r="BJ29" i="21"/>
  <c r="BI29" i="21"/>
  <c r="BH29" i="21"/>
  <c r="BF29" i="21"/>
  <c r="BE29" i="21"/>
  <c r="BD29" i="21"/>
  <c r="BC29" i="21"/>
  <c r="BB29" i="21"/>
  <c r="BA29" i="21"/>
  <c r="AZ29" i="21"/>
  <c r="AY29" i="21"/>
  <c r="AX29" i="21"/>
  <c r="AT29" i="21"/>
  <c r="J29" i="17" s="1"/>
  <c r="AJ29" i="21"/>
  <c r="W29" i="21"/>
  <c r="H29" i="17" s="1"/>
  <c r="M29" i="21"/>
  <c r="BW28" i="21"/>
  <c r="BP28" i="21"/>
  <c r="BO28" i="21"/>
  <c r="BN28" i="21"/>
  <c r="BM28" i="21"/>
  <c r="BL28" i="21"/>
  <c r="BK28" i="21"/>
  <c r="BJ28" i="21"/>
  <c r="BI28" i="21"/>
  <c r="BH28" i="21"/>
  <c r="BF28" i="21"/>
  <c r="BE28" i="21"/>
  <c r="BD28" i="21"/>
  <c r="BC28" i="21"/>
  <c r="BB28" i="21"/>
  <c r="BA28" i="21"/>
  <c r="AZ28" i="21"/>
  <c r="AY28" i="21"/>
  <c r="AX28" i="21"/>
  <c r="BG28" i="21" s="1"/>
  <c r="BR28" i="21" s="1"/>
  <c r="AT28" i="21"/>
  <c r="J28" i="17" s="1"/>
  <c r="AJ28" i="21"/>
  <c r="W28" i="21"/>
  <c r="H28" i="17" s="1"/>
  <c r="M28" i="21"/>
  <c r="BP27" i="21"/>
  <c r="BO27" i="21"/>
  <c r="BN27" i="21"/>
  <c r="BM27" i="21"/>
  <c r="BL27" i="21"/>
  <c r="BK27" i="21"/>
  <c r="BJ27" i="21"/>
  <c r="BI27" i="21"/>
  <c r="BH27" i="21"/>
  <c r="BF27" i="21"/>
  <c r="BE27" i="21"/>
  <c r="BD27" i="21"/>
  <c r="BC27" i="21"/>
  <c r="BB27" i="21"/>
  <c r="BA27" i="21"/>
  <c r="AZ27" i="21"/>
  <c r="AY27" i="21"/>
  <c r="AX27" i="21"/>
  <c r="AT27" i="21"/>
  <c r="J27" i="17" s="1"/>
  <c r="AJ27" i="21"/>
  <c r="W27" i="21"/>
  <c r="H27" i="17" s="1"/>
  <c r="M27" i="21"/>
  <c r="BW26" i="21"/>
  <c r="BP26" i="21"/>
  <c r="BO26" i="21"/>
  <c r="BN26" i="21"/>
  <c r="BM26" i="21"/>
  <c r="BL26" i="21"/>
  <c r="BK26" i="21"/>
  <c r="BJ26" i="21"/>
  <c r="BI26" i="21"/>
  <c r="BH26" i="21"/>
  <c r="BF26" i="21"/>
  <c r="BE26" i="21"/>
  <c r="BD26" i="21"/>
  <c r="BC26" i="21"/>
  <c r="BB26" i="21"/>
  <c r="BA26" i="21"/>
  <c r="AZ26" i="21"/>
  <c r="AY26" i="21"/>
  <c r="AX26" i="21"/>
  <c r="BG26" i="21" s="1"/>
  <c r="BR26" i="21" s="1"/>
  <c r="AT26" i="21"/>
  <c r="J26" i="17" s="1"/>
  <c r="AJ26" i="21"/>
  <c r="W26" i="21"/>
  <c r="H26" i="17" s="1"/>
  <c r="M26" i="21"/>
  <c r="BW25" i="21"/>
  <c r="BP25" i="21"/>
  <c r="BO25" i="21"/>
  <c r="BN25" i="21"/>
  <c r="BM25" i="21"/>
  <c r="BL25" i="21"/>
  <c r="BK25" i="21"/>
  <c r="BJ25" i="21"/>
  <c r="BI25" i="21"/>
  <c r="BH25" i="21"/>
  <c r="BQ25" i="21" s="1"/>
  <c r="BF25" i="21"/>
  <c r="BE25" i="21"/>
  <c r="BD25" i="21"/>
  <c r="BC25" i="21"/>
  <c r="BB25" i="21"/>
  <c r="BA25" i="21"/>
  <c r="AZ25" i="21"/>
  <c r="AY25" i="21"/>
  <c r="AX25" i="21"/>
  <c r="AT25" i="21"/>
  <c r="J25" i="17" s="1"/>
  <c r="AJ25" i="21"/>
  <c r="W25" i="21"/>
  <c r="H25" i="17" s="1"/>
  <c r="M25" i="21"/>
  <c r="BW24" i="21"/>
  <c r="BP24" i="21"/>
  <c r="BO24" i="21"/>
  <c r="BN24" i="21"/>
  <c r="BM24" i="21"/>
  <c r="BL24" i="21"/>
  <c r="BK24" i="21"/>
  <c r="BJ24" i="21"/>
  <c r="BI24" i="21"/>
  <c r="BH24" i="21"/>
  <c r="BF24" i="21"/>
  <c r="BE24" i="21"/>
  <c r="BD24" i="21"/>
  <c r="BC24" i="21"/>
  <c r="BB24" i="21"/>
  <c r="BA24" i="21"/>
  <c r="AZ24" i="21"/>
  <c r="AY24" i="21"/>
  <c r="AX24" i="21"/>
  <c r="BG24" i="21" s="1"/>
  <c r="BR24" i="21" s="1"/>
  <c r="AT24" i="21"/>
  <c r="J24" i="17" s="1"/>
  <c r="AJ24" i="21"/>
  <c r="W24" i="21"/>
  <c r="H24" i="17" s="1"/>
  <c r="M24" i="21"/>
  <c r="BP23" i="21"/>
  <c r="BO23" i="21"/>
  <c r="BN23" i="21"/>
  <c r="BM23" i="21"/>
  <c r="BL23" i="21"/>
  <c r="BK23" i="21"/>
  <c r="BJ23" i="21"/>
  <c r="BI23" i="21"/>
  <c r="BH23" i="21"/>
  <c r="BQ23" i="21" s="1"/>
  <c r="BF23" i="21"/>
  <c r="BE23" i="21"/>
  <c r="BD23" i="21"/>
  <c r="BC23" i="21"/>
  <c r="BB23" i="21"/>
  <c r="BA23" i="21"/>
  <c r="AZ23" i="21"/>
  <c r="AY23" i="21"/>
  <c r="AX23" i="21"/>
  <c r="AT23" i="21"/>
  <c r="J23" i="17" s="1"/>
  <c r="AJ23" i="21"/>
  <c r="W23" i="21"/>
  <c r="H23" i="17" s="1"/>
  <c r="M23" i="21"/>
  <c r="BW22" i="21"/>
  <c r="BP22" i="21"/>
  <c r="BO22" i="21"/>
  <c r="BN22" i="21"/>
  <c r="BM22" i="21"/>
  <c r="BL22" i="21"/>
  <c r="BK22" i="21"/>
  <c r="BJ22" i="21"/>
  <c r="BI22" i="21"/>
  <c r="BH22" i="21"/>
  <c r="BF22" i="21"/>
  <c r="BE22" i="21"/>
  <c r="BD22" i="21"/>
  <c r="BC22" i="21"/>
  <c r="BB22" i="21"/>
  <c r="BA22" i="21"/>
  <c r="AZ22" i="21"/>
  <c r="AY22" i="21"/>
  <c r="AX22" i="21"/>
  <c r="BG22" i="21" s="1"/>
  <c r="BR22" i="21" s="1"/>
  <c r="AT22" i="21"/>
  <c r="J22" i="17" s="1"/>
  <c r="AJ22" i="21"/>
  <c r="W22" i="21"/>
  <c r="H22" i="17" s="1"/>
  <c r="M22" i="21"/>
  <c r="BP21" i="21"/>
  <c r="BO21" i="21"/>
  <c r="BN21" i="21"/>
  <c r="BM21" i="21"/>
  <c r="BL21" i="21"/>
  <c r="BK21" i="21"/>
  <c r="BJ21" i="21"/>
  <c r="BI21" i="21"/>
  <c r="BH21" i="21"/>
  <c r="BQ21" i="21" s="1"/>
  <c r="BF21" i="21"/>
  <c r="BE21" i="21"/>
  <c r="BD21" i="21"/>
  <c r="BC21" i="21"/>
  <c r="BB21" i="21"/>
  <c r="BA21" i="21"/>
  <c r="AZ21" i="21"/>
  <c r="AY21" i="21"/>
  <c r="AX21" i="21"/>
  <c r="AT21" i="21"/>
  <c r="J21" i="17" s="1"/>
  <c r="AJ21" i="21"/>
  <c r="W21" i="21"/>
  <c r="BW20" i="21"/>
  <c r="BP20" i="21"/>
  <c r="BO20" i="21"/>
  <c r="BN20" i="21"/>
  <c r="BM20" i="21"/>
  <c r="BL20" i="21"/>
  <c r="BK20" i="21"/>
  <c r="BJ20" i="21"/>
  <c r="BI20" i="21"/>
  <c r="BH20" i="21"/>
  <c r="BF20" i="21"/>
  <c r="BE20" i="21"/>
  <c r="BD20" i="21"/>
  <c r="BC20" i="21"/>
  <c r="BB20" i="21"/>
  <c r="BA20" i="21"/>
  <c r="AZ20" i="21"/>
  <c r="AY20" i="21"/>
  <c r="AX20" i="21"/>
  <c r="BG20" i="21" s="1"/>
  <c r="BR20" i="21" s="1"/>
  <c r="AT20" i="21"/>
  <c r="J20" i="17" s="1"/>
  <c r="AJ20" i="21"/>
  <c r="W20" i="21"/>
  <c r="BP19" i="21"/>
  <c r="BO19" i="21"/>
  <c r="BN19" i="21"/>
  <c r="BM19" i="21"/>
  <c r="BL19" i="21"/>
  <c r="BK19" i="21"/>
  <c r="BJ19" i="21"/>
  <c r="BI19" i="21"/>
  <c r="BH19" i="21"/>
  <c r="BQ19" i="21" s="1"/>
  <c r="BF19" i="21"/>
  <c r="BE19" i="21"/>
  <c r="BD19" i="21"/>
  <c r="BC19" i="21"/>
  <c r="BB19" i="21"/>
  <c r="BA19" i="21"/>
  <c r="AZ19" i="21"/>
  <c r="AY19" i="21"/>
  <c r="AX19" i="21"/>
  <c r="AT19" i="21"/>
  <c r="J19" i="17" s="1"/>
  <c r="W19" i="21"/>
  <c r="BW18" i="21"/>
  <c r="BP18" i="21"/>
  <c r="BO18" i="21"/>
  <c r="BN18" i="21"/>
  <c r="BM18" i="21"/>
  <c r="BL18" i="21"/>
  <c r="BK18" i="21"/>
  <c r="BJ18" i="21"/>
  <c r="BI18" i="21"/>
  <c r="BH18" i="21"/>
  <c r="BF18" i="21"/>
  <c r="BE18" i="21"/>
  <c r="BD18" i="21"/>
  <c r="BC18" i="21"/>
  <c r="BB18" i="21"/>
  <c r="BA18" i="21"/>
  <c r="AZ18" i="21"/>
  <c r="AY18" i="21"/>
  <c r="AX18" i="21"/>
  <c r="BG18" i="21" s="1"/>
  <c r="BR18" i="21" s="1"/>
  <c r="AT18" i="21"/>
  <c r="J18" i="17" s="1"/>
  <c r="W18" i="21"/>
  <c r="BW17" i="21"/>
  <c r="BP17" i="21"/>
  <c r="BO17" i="21"/>
  <c r="BN17" i="21"/>
  <c r="BM17" i="21"/>
  <c r="BL17" i="21"/>
  <c r="BK17" i="21"/>
  <c r="BJ17" i="21"/>
  <c r="BI17" i="21"/>
  <c r="BH17" i="21"/>
  <c r="BQ17" i="21" s="1"/>
  <c r="BF17" i="21"/>
  <c r="BE17" i="21"/>
  <c r="BD17" i="21"/>
  <c r="BC17" i="21"/>
  <c r="BB17" i="21"/>
  <c r="BA17" i="21"/>
  <c r="AZ17" i="21"/>
  <c r="AY17" i="21"/>
  <c r="AX17" i="21"/>
  <c r="AT17" i="21"/>
  <c r="J17" i="17" s="1"/>
  <c r="W17" i="21"/>
  <c r="BW16" i="21"/>
  <c r="BP16" i="21"/>
  <c r="BO16" i="21"/>
  <c r="BN16" i="21"/>
  <c r="BM16" i="21"/>
  <c r="BL16" i="21"/>
  <c r="BK16" i="21"/>
  <c r="BJ16" i="21"/>
  <c r="BI16" i="21"/>
  <c r="BH16" i="21"/>
  <c r="BF16" i="21"/>
  <c r="BE16" i="21"/>
  <c r="BD16" i="21"/>
  <c r="BC16" i="21"/>
  <c r="BB16" i="21"/>
  <c r="BA16" i="21"/>
  <c r="AZ16" i="21"/>
  <c r="AY16" i="21"/>
  <c r="AX16" i="21"/>
  <c r="BG16" i="21" s="1"/>
  <c r="BR16" i="21" s="1"/>
  <c r="AT16" i="21"/>
  <c r="J16" i="17" s="1"/>
  <c r="W16" i="21"/>
  <c r="BP15" i="21"/>
  <c r="BO15" i="21"/>
  <c r="BN15" i="21"/>
  <c r="BM15" i="21"/>
  <c r="BL15" i="21"/>
  <c r="BK15" i="21"/>
  <c r="BJ15" i="21"/>
  <c r="BI15" i="21"/>
  <c r="BH15" i="21"/>
  <c r="BQ15" i="21" s="1"/>
  <c r="BF15" i="21"/>
  <c r="BE15" i="21"/>
  <c r="BD15" i="21"/>
  <c r="BC15" i="21"/>
  <c r="BB15" i="21"/>
  <c r="BA15" i="21"/>
  <c r="AZ15" i="21"/>
  <c r="AY15" i="21"/>
  <c r="AX15" i="21"/>
  <c r="AT15" i="21"/>
  <c r="J15" i="17" s="1"/>
  <c r="W15" i="21"/>
  <c r="G15" i="17"/>
  <c r="BW14" i="21"/>
  <c r="BP14" i="21"/>
  <c r="BO14" i="21"/>
  <c r="BN14" i="21"/>
  <c r="BM14" i="21"/>
  <c r="BL14" i="21"/>
  <c r="BK14" i="21"/>
  <c r="BJ14" i="21"/>
  <c r="BI14" i="21"/>
  <c r="BH14" i="21"/>
  <c r="BF14" i="21"/>
  <c r="BE14" i="21"/>
  <c r="BD14" i="21"/>
  <c r="BC14" i="21"/>
  <c r="BB14" i="21"/>
  <c r="BA14" i="21"/>
  <c r="AZ14" i="21"/>
  <c r="AY14" i="21"/>
  <c r="AX14" i="21"/>
  <c r="BG14" i="21" s="1"/>
  <c r="BR14" i="21" s="1"/>
  <c r="AT14" i="21"/>
  <c r="J14" i="17" s="1"/>
  <c r="W14" i="21"/>
  <c r="G14" i="17"/>
  <c r="BP13" i="21"/>
  <c r="BO13" i="21"/>
  <c r="BN13" i="21"/>
  <c r="BM13" i="21"/>
  <c r="BL13" i="21"/>
  <c r="BK13" i="21"/>
  <c r="BJ13" i="21"/>
  <c r="BI13" i="21"/>
  <c r="BH13" i="21"/>
  <c r="BQ13" i="21" s="1"/>
  <c r="BF13" i="21"/>
  <c r="BE13" i="21"/>
  <c r="BD13" i="21"/>
  <c r="BC13" i="21"/>
  <c r="BB13" i="21"/>
  <c r="BA13" i="21"/>
  <c r="AZ13" i="21"/>
  <c r="AY13" i="21"/>
  <c r="AX13" i="21"/>
  <c r="AT13" i="21"/>
  <c r="J13" i="17" s="1"/>
  <c r="W13" i="21"/>
  <c r="G13" i="17"/>
  <c r="BW12" i="21"/>
  <c r="BP12" i="21"/>
  <c r="BO12" i="21"/>
  <c r="BN12" i="21"/>
  <c r="BM12" i="21"/>
  <c r="BL12" i="21"/>
  <c r="BK12" i="21"/>
  <c r="BJ12" i="21"/>
  <c r="BI12" i="21"/>
  <c r="BH12" i="21"/>
  <c r="BF12" i="21"/>
  <c r="BE12" i="21"/>
  <c r="BD12" i="21"/>
  <c r="BC12" i="21"/>
  <c r="BB12" i="21"/>
  <c r="BA12" i="21"/>
  <c r="AZ12" i="21"/>
  <c r="AY12" i="21"/>
  <c r="AX12" i="21"/>
  <c r="BG12" i="21" s="1"/>
  <c r="BR12" i="21" s="1"/>
  <c r="AT12" i="21"/>
  <c r="J12" i="17" s="1"/>
  <c r="W12" i="21"/>
  <c r="G12" i="17"/>
  <c r="BP11" i="21"/>
  <c r="BO11" i="21"/>
  <c r="BN11" i="21"/>
  <c r="BM11" i="21"/>
  <c r="BL11" i="21"/>
  <c r="BK11" i="21"/>
  <c r="BJ11" i="21"/>
  <c r="BI11" i="21"/>
  <c r="BH11" i="21"/>
  <c r="BQ11" i="21" s="1"/>
  <c r="BF11" i="21"/>
  <c r="BE11" i="21"/>
  <c r="BD11" i="21"/>
  <c r="BC11" i="21"/>
  <c r="BB11" i="21"/>
  <c r="BA11" i="21"/>
  <c r="AZ11" i="21"/>
  <c r="AY11" i="21"/>
  <c r="AX11" i="21"/>
  <c r="AT11" i="21"/>
  <c r="J11" i="17" s="1"/>
  <c r="W11" i="21"/>
  <c r="G11" i="17"/>
  <c r="BW10" i="21"/>
  <c r="BP10" i="21"/>
  <c r="BO10" i="21"/>
  <c r="BN10" i="21"/>
  <c r="BM10" i="21"/>
  <c r="BL10" i="21"/>
  <c r="BK10" i="21"/>
  <c r="BJ10" i="21"/>
  <c r="BI10" i="21"/>
  <c r="BH10" i="21"/>
  <c r="BF10" i="21"/>
  <c r="BE10" i="21"/>
  <c r="BD10" i="21"/>
  <c r="BC10" i="21"/>
  <c r="BB10" i="21"/>
  <c r="BA10" i="21"/>
  <c r="AZ10" i="21"/>
  <c r="AY10" i="21"/>
  <c r="AX10" i="21"/>
  <c r="BG10" i="21" s="1"/>
  <c r="BR10" i="21" s="1"/>
  <c r="AT10" i="21"/>
  <c r="J10" i="17" s="1"/>
  <c r="W10" i="21"/>
  <c r="G10" i="17"/>
  <c r="BW9" i="21"/>
  <c r="BP9" i="21"/>
  <c r="BO9" i="21"/>
  <c r="BN9" i="21"/>
  <c r="BM9" i="21"/>
  <c r="BL9" i="21"/>
  <c r="BK9" i="21"/>
  <c r="BJ9" i="21"/>
  <c r="BI9" i="21"/>
  <c r="BH9" i="21"/>
  <c r="BQ9" i="21" s="1"/>
  <c r="BF9" i="21"/>
  <c r="BE9" i="21"/>
  <c r="BD9" i="21"/>
  <c r="BC9" i="21"/>
  <c r="BB9" i="21"/>
  <c r="BA9" i="21"/>
  <c r="AZ9" i="21"/>
  <c r="AY9" i="21"/>
  <c r="AX9" i="21"/>
  <c r="AT9" i="21"/>
  <c r="J9" i="17" s="1"/>
  <c r="W9" i="21"/>
  <c r="G9" i="17"/>
  <c r="BW8" i="21"/>
  <c r="BP8" i="21"/>
  <c r="BO8" i="21"/>
  <c r="BN8" i="21"/>
  <c r="BM8" i="21"/>
  <c r="BL8" i="21"/>
  <c r="BK8" i="21"/>
  <c r="BJ8" i="21"/>
  <c r="BI8" i="21"/>
  <c r="BH8" i="21"/>
  <c r="BF8" i="21"/>
  <c r="BE8" i="21"/>
  <c r="BD8" i="21"/>
  <c r="BC8" i="21"/>
  <c r="BB8" i="21"/>
  <c r="BA8" i="21"/>
  <c r="AZ8" i="21"/>
  <c r="AY8" i="21"/>
  <c r="AX8" i="21"/>
  <c r="BG8" i="21" s="1"/>
  <c r="BR8" i="21" s="1"/>
  <c r="AT8" i="21"/>
  <c r="J8" i="17" s="1"/>
  <c r="W8" i="21"/>
  <c r="G8" i="17"/>
  <c r="BP7" i="21"/>
  <c r="BO7" i="21"/>
  <c r="BN7" i="21"/>
  <c r="BM7" i="21"/>
  <c r="BL7" i="21"/>
  <c r="BK7" i="21"/>
  <c r="BJ7" i="21"/>
  <c r="BI7" i="21"/>
  <c r="BF7" i="21"/>
  <c r="BE7" i="21"/>
  <c r="BD7" i="21"/>
  <c r="BC7" i="21"/>
  <c r="BB7" i="21"/>
  <c r="BA7" i="21"/>
  <c r="AZ7" i="21"/>
  <c r="AY7" i="21"/>
  <c r="AX7" i="21"/>
  <c r="W7" i="21"/>
  <c r="G7" i="17"/>
  <c r="BW6" i="21"/>
  <c r="BP6" i="21"/>
  <c r="BO6" i="21"/>
  <c r="BN6" i="21"/>
  <c r="BM6" i="21"/>
  <c r="BL6" i="21"/>
  <c r="BK6" i="21"/>
  <c r="BJ6" i="21"/>
  <c r="BI6" i="21"/>
  <c r="BF6" i="21"/>
  <c r="BE6" i="21"/>
  <c r="BD6" i="21"/>
  <c r="BC6" i="21"/>
  <c r="BB6" i="21"/>
  <c r="BA6" i="21"/>
  <c r="AZ6" i="21"/>
  <c r="AY6" i="21"/>
  <c r="AX6" i="21"/>
  <c r="W6" i="21"/>
  <c r="G6" i="17"/>
  <c r="BP5" i="21"/>
  <c r="BO5" i="21"/>
  <c r="BN5" i="21"/>
  <c r="BM5" i="21"/>
  <c r="BL5" i="21"/>
  <c r="BK5" i="21"/>
  <c r="BJ5" i="21"/>
  <c r="BI5" i="21"/>
  <c r="BF5" i="21"/>
  <c r="BE5" i="21"/>
  <c r="BD5" i="21"/>
  <c r="BC5" i="21"/>
  <c r="BB5" i="21"/>
  <c r="BA5" i="21"/>
  <c r="AZ5" i="21"/>
  <c r="AY5" i="21"/>
  <c r="AX5" i="21"/>
  <c r="W5" i="21"/>
  <c r="G5" i="17"/>
  <c r="BX215" i="20"/>
  <c r="BW215" i="20"/>
  <c r="BP215" i="20"/>
  <c r="BO215" i="20"/>
  <c r="BN215" i="20"/>
  <c r="BM215" i="20"/>
  <c r="BL215" i="20"/>
  <c r="BK215" i="20"/>
  <c r="BJ215" i="20"/>
  <c r="BI215" i="20"/>
  <c r="BH215" i="20"/>
  <c r="BF215" i="20"/>
  <c r="BE215" i="20"/>
  <c r="BD215" i="20"/>
  <c r="BC215" i="20"/>
  <c r="BB215" i="20"/>
  <c r="BA215" i="20"/>
  <c r="AZ215" i="20"/>
  <c r="AY215" i="20"/>
  <c r="AX215" i="20"/>
  <c r="AT215" i="20"/>
  <c r="AJ215" i="20"/>
  <c r="AU215" i="20" s="1"/>
  <c r="AV215" i="20" s="1"/>
  <c r="W215" i="20"/>
  <c r="M215" i="20"/>
  <c r="X215" i="20" s="1"/>
  <c r="Y215" i="20" s="1"/>
  <c r="BX214" i="20"/>
  <c r="BW214" i="20"/>
  <c r="BP214" i="20"/>
  <c r="BO214" i="20"/>
  <c r="BN214" i="20"/>
  <c r="BM214" i="20"/>
  <c r="BL214" i="20"/>
  <c r="BK214" i="20"/>
  <c r="BJ214" i="20"/>
  <c r="BI214" i="20"/>
  <c r="BH214" i="20"/>
  <c r="BF214" i="20"/>
  <c r="BE214" i="20"/>
  <c r="BD214" i="20"/>
  <c r="BC214" i="20"/>
  <c r="BB214" i="20"/>
  <c r="BA214" i="20"/>
  <c r="AZ214" i="20"/>
  <c r="AY214" i="20"/>
  <c r="AX214" i="20"/>
  <c r="AT214" i="20"/>
  <c r="AJ214" i="20"/>
  <c r="AU214" i="20" s="1"/>
  <c r="AV214" i="20" s="1"/>
  <c r="W214" i="20"/>
  <c r="M214" i="20"/>
  <c r="X214" i="20" s="1"/>
  <c r="Y214" i="20" s="1"/>
  <c r="BX213" i="20"/>
  <c r="BP213" i="20"/>
  <c r="BO213" i="20"/>
  <c r="BN213" i="20"/>
  <c r="BM213" i="20"/>
  <c r="BL213" i="20"/>
  <c r="BK213" i="20"/>
  <c r="BJ213" i="20"/>
  <c r="BI213" i="20"/>
  <c r="BH213" i="20"/>
  <c r="BF213" i="20"/>
  <c r="BE213" i="20"/>
  <c r="BD213" i="20"/>
  <c r="BC213" i="20"/>
  <c r="BB213" i="20"/>
  <c r="BA213" i="20"/>
  <c r="AZ213" i="20"/>
  <c r="AY213" i="20"/>
  <c r="AX213" i="20"/>
  <c r="AT213" i="20"/>
  <c r="AJ213" i="20"/>
  <c r="AU213" i="20" s="1"/>
  <c r="AV213" i="20" s="1"/>
  <c r="W213" i="20"/>
  <c r="M213" i="20"/>
  <c r="X213" i="20" s="1"/>
  <c r="Y213" i="20" s="1"/>
  <c r="BX212" i="20"/>
  <c r="BP212" i="20"/>
  <c r="BO212" i="20"/>
  <c r="BN212" i="20"/>
  <c r="BM212" i="20"/>
  <c r="BL212" i="20"/>
  <c r="BK212" i="20"/>
  <c r="BJ212" i="20"/>
  <c r="BI212" i="20"/>
  <c r="BH212" i="20"/>
  <c r="BF212" i="20"/>
  <c r="BE212" i="20"/>
  <c r="BD212" i="20"/>
  <c r="BC212" i="20"/>
  <c r="BB212" i="20"/>
  <c r="BA212" i="20"/>
  <c r="AZ212" i="20"/>
  <c r="AY212" i="20"/>
  <c r="AX212" i="20"/>
  <c r="AT212" i="20"/>
  <c r="AJ212" i="20"/>
  <c r="AU212" i="20" s="1"/>
  <c r="AV212" i="20" s="1"/>
  <c r="W212" i="20"/>
  <c r="M212" i="20"/>
  <c r="X212" i="20" s="1"/>
  <c r="Y212" i="20" s="1"/>
  <c r="BX211" i="20"/>
  <c r="BW211" i="20"/>
  <c r="BP211" i="20"/>
  <c r="BO211" i="20"/>
  <c r="BN211" i="20"/>
  <c r="BM211" i="20"/>
  <c r="BL211" i="20"/>
  <c r="BK211" i="20"/>
  <c r="BJ211" i="20"/>
  <c r="BI211" i="20"/>
  <c r="BH211" i="20"/>
  <c r="BF211" i="20"/>
  <c r="BE211" i="20"/>
  <c r="BD211" i="20"/>
  <c r="BC211" i="20"/>
  <c r="BB211" i="20"/>
  <c r="BA211" i="20"/>
  <c r="AZ211" i="20"/>
  <c r="AY211" i="20"/>
  <c r="AX211" i="20"/>
  <c r="AT211" i="20"/>
  <c r="AJ211" i="20"/>
  <c r="AU211" i="20" s="1"/>
  <c r="AV211" i="20" s="1"/>
  <c r="W211" i="20"/>
  <c r="M211" i="20"/>
  <c r="X211" i="20" s="1"/>
  <c r="Y211" i="20" s="1"/>
  <c r="BW210" i="20"/>
  <c r="BP210" i="20"/>
  <c r="BO210" i="20"/>
  <c r="BN210" i="20"/>
  <c r="BM210" i="20"/>
  <c r="BL210" i="20"/>
  <c r="BK210" i="20"/>
  <c r="BJ210" i="20"/>
  <c r="BI210" i="20"/>
  <c r="BH210" i="20"/>
  <c r="BF210" i="20"/>
  <c r="BE210" i="20"/>
  <c r="BD210" i="20"/>
  <c r="BC210" i="20"/>
  <c r="BB210" i="20"/>
  <c r="BA210" i="20"/>
  <c r="AZ210" i="20"/>
  <c r="AY210" i="20"/>
  <c r="AX210" i="20"/>
  <c r="AT210" i="20"/>
  <c r="AJ210" i="20"/>
  <c r="AU210" i="20" s="1"/>
  <c r="AV210" i="20" s="1"/>
  <c r="W210" i="20"/>
  <c r="M210" i="20"/>
  <c r="X210" i="20" s="1"/>
  <c r="Y210" i="20" s="1"/>
  <c r="BW209" i="20"/>
  <c r="BP209" i="20"/>
  <c r="BO209" i="20"/>
  <c r="BN209" i="20"/>
  <c r="BM209" i="20"/>
  <c r="BL209" i="20"/>
  <c r="BK209" i="20"/>
  <c r="BJ209" i="20"/>
  <c r="BI209" i="20"/>
  <c r="BH209" i="20"/>
  <c r="BF209" i="20"/>
  <c r="BE209" i="20"/>
  <c r="BD209" i="20"/>
  <c r="BC209" i="20"/>
  <c r="BB209" i="20"/>
  <c r="BA209" i="20"/>
  <c r="AZ209" i="20"/>
  <c r="AY209" i="20"/>
  <c r="AX209" i="20"/>
  <c r="AT209" i="20"/>
  <c r="AJ209" i="20"/>
  <c r="AU209" i="20" s="1"/>
  <c r="AV209" i="20" s="1"/>
  <c r="W209" i="20"/>
  <c r="M209" i="20"/>
  <c r="X209" i="20" s="1"/>
  <c r="Y209" i="20" s="1"/>
  <c r="BX208" i="20"/>
  <c r="BW208" i="20"/>
  <c r="BP208" i="20"/>
  <c r="BO208" i="20"/>
  <c r="BN208" i="20"/>
  <c r="BM208" i="20"/>
  <c r="BL208" i="20"/>
  <c r="BK208" i="20"/>
  <c r="BJ208" i="20"/>
  <c r="BI208" i="20"/>
  <c r="BH208" i="20"/>
  <c r="BF208" i="20"/>
  <c r="BE208" i="20"/>
  <c r="BD208" i="20"/>
  <c r="BC208" i="20"/>
  <c r="BB208" i="20"/>
  <c r="BA208" i="20"/>
  <c r="AZ208" i="20"/>
  <c r="AY208" i="20"/>
  <c r="AX208" i="20"/>
  <c r="AT208" i="20"/>
  <c r="AJ208" i="20"/>
  <c r="AU208" i="20" s="1"/>
  <c r="AV208" i="20" s="1"/>
  <c r="W208" i="20"/>
  <c r="M208" i="20"/>
  <c r="X208" i="20" s="1"/>
  <c r="Y208" i="20" s="1"/>
  <c r="BX207" i="20"/>
  <c r="BW207" i="20"/>
  <c r="BP207" i="20"/>
  <c r="BO207" i="20"/>
  <c r="BN207" i="20"/>
  <c r="BM207" i="20"/>
  <c r="BL207" i="20"/>
  <c r="BK207" i="20"/>
  <c r="BJ207" i="20"/>
  <c r="BI207" i="20"/>
  <c r="BH207" i="20"/>
  <c r="BF207" i="20"/>
  <c r="BE207" i="20"/>
  <c r="BD207" i="20"/>
  <c r="BC207" i="20"/>
  <c r="BB207" i="20"/>
  <c r="BA207" i="20"/>
  <c r="AZ207" i="20"/>
  <c r="AY207" i="20"/>
  <c r="AX207" i="20"/>
  <c r="AT207" i="20"/>
  <c r="AJ207" i="20"/>
  <c r="AU207" i="20" s="1"/>
  <c r="AV207" i="20" s="1"/>
  <c r="W207" i="20"/>
  <c r="M207" i="20"/>
  <c r="X207" i="20" s="1"/>
  <c r="Y207" i="20" s="1"/>
  <c r="BX206" i="20"/>
  <c r="BW206" i="20"/>
  <c r="BP206" i="20"/>
  <c r="BO206" i="20"/>
  <c r="BN206" i="20"/>
  <c r="BM206" i="20"/>
  <c r="BL206" i="20"/>
  <c r="BK206" i="20"/>
  <c r="BJ206" i="20"/>
  <c r="BI206" i="20"/>
  <c r="BH206" i="20"/>
  <c r="BF206" i="20"/>
  <c r="BE206" i="20"/>
  <c r="BD206" i="20"/>
  <c r="BC206" i="20"/>
  <c r="BB206" i="20"/>
  <c r="BA206" i="20"/>
  <c r="AZ206" i="20"/>
  <c r="AY206" i="20"/>
  <c r="AX206" i="20"/>
  <c r="AT206" i="20"/>
  <c r="AJ206" i="20"/>
  <c r="AU206" i="20" s="1"/>
  <c r="AV206" i="20" s="1"/>
  <c r="W206" i="20"/>
  <c r="M206" i="20"/>
  <c r="X206" i="20" s="1"/>
  <c r="Y206" i="20" s="1"/>
  <c r="BX205" i="20"/>
  <c r="BP205" i="20"/>
  <c r="BO205" i="20"/>
  <c r="BN205" i="20"/>
  <c r="BM205" i="20"/>
  <c r="BL205" i="20"/>
  <c r="BK205" i="20"/>
  <c r="BJ205" i="20"/>
  <c r="BI205" i="20"/>
  <c r="BH205" i="20"/>
  <c r="BF205" i="20"/>
  <c r="BE205" i="20"/>
  <c r="BD205" i="20"/>
  <c r="BC205" i="20"/>
  <c r="BB205" i="20"/>
  <c r="BA205" i="20"/>
  <c r="AZ205" i="20"/>
  <c r="AY205" i="20"/>
  <c r="AX205" i="20"/>
  <c r="AT205" i="20"/>
  <c r="AJ205" i="20"/>
  <c r="AU205" i="20" s="1"/>
  <c r="AV205" i="20" s="1"/>
  <c r="W205" i="20"/>
  <c r="M205" i="20"/>
  <c r="X205" i="20" s="1"/>
  <c r="Y205" i="20" s="1"/>
  <c r="BX204" i="20"/>
  <c r="BP204" i="20"/>
  <c r="BO204" i="20"/>
  <c r="BN204" i="20"/>
  <c r="BM204" i="20"/>
  <c r="BL204" i="20"/>
  <c r="BK204" i="20"/>
  <c r="BJ204" i="20"/>
  <c r="BI204" i="20"/>
  <c r="BH204" i="20"/>
  <c r="BF204" i="20"/>
  <c r="BE204" i="20"/>
  <c r="BD204" i="20"/>
  <c r="BC204" i="20"/>
  <c r="BB204" i="20"/>
  <c r="BA204" i="20"/>
  <c r="AZ204" i="20"/>
  <c r="AY204" i="20"/>
  <c r="AX204" i="20"/>
  <c r="AT204" i="20"/>
  <c r="AJ204" i="20"/>
  <c r="AU204" i="20" s="1"/>
  <c r="AV204" i="20" s="1"/>
  <c r="W204" i="20"/>
  <c r="M204" i="20"/>
  <c r="X204" i="20" s="1"/>
  <c r="Y204" i="20" s="1"/>
  <c r="BX203" i="20"/>
  <c r="BW203" i="20"/>
  <c r="BP203" i="20"/>
  <c r="BO203" i="20"/>
  <c r="BN203" i="20"/>
  <c r="BM203" i="20"/>
  <c r="BL203" i="20"/>
  <c r="BK203" i="20"/>
  <c r="BJ203" i="20"/>
  <c r="BI203" i="20"/>
  <c r="BH203" i="20"/>
  <c r="BF203" i="20"/>
  <c r="BE203" i="20"/>
  <c r="BD203" i="20"/>
  <c r="BC203" i="20"/>
  <c r="BB203" i="20"/>
  <c r="BA203" i="20"/>
  <c r="AZ203" i="20"/>
  <c r="AY203" i="20"/>
  <c r="AX203" i="20"/>
  <c r="AT203" i="20"/>
  <c r="AJ203" i="20"/>
  <c r="AU203" i="20" s="1"/>
  <c r="AV203" i="20" s="1"/>
  <c r="W203" i="20"/>
  <c r="M203" i="20"/>
  <c r="X203" i="20" s="1"/>
  <c r="Y203" i="20" s="1"/>
  <c r="BW202" i="20"/>
  <c r="BP202" i="20"/>
  <c r="BO202" i="20"/>
  <c r="BN202" i="20"/>
  <c r="BM202" i="20"/>
  <c r="BL202" i="20"/>
  <c r="BK202" i="20"/>
  <c r="BJ202" i="20"/>
  <c r="BI202" i="20"/>
  <c r="BH202" i="20"/>
  <c r="BF202" i="20"/>
  <c r="BE202" i="20"/>
  <c r="BD202" i="20"/>
  <c r="BC202" i="20"/>
  <c r="BB202" i="20"/>
  <c r="BA202" i="20"/>
  <c r="AZ202" i="20"/>
  <c r="AY202" i="20"/>
  <c r="AX202" i="20"/>
  <c r="AT202" i="20"/>
  <c r="AJ202" i="20"/>
  <c r="AU202" i="20" s="1"/>
  <c r="AV202" i="20" s="1"/>
  <c r="W202" i="20"/>
  <c r="M202" i="20"/>
  <c r="X202" i="20" s="1"/>
  <c r="Y202" i="20" s="1"/>
  <c r="BW201" i="20"/>
  <c r="BP201" i="20"/>
  <c r="BO201" i="20"/>
  <c r="BN201" i="20"/>
  <c r="BM201" i="20"/>
  <c r="BL201" i="20"/>
  <c r="BK201" i="20"/>
  <c r="BJ201" i="20"/>
  <c r="BI201" i="20"/>
  <c r="BH201" i="20"/>
  <c r="BF201" i="20"/>
  <c r="BE201" i="20"/>
  <c r="BD201" i="20"/>
  <c r="BC201" i="20"/>
  <c r="BB201" i="20"/>
  <c r="BA201" i="20"/>
  <c r="AZ201" i="20"/>
  <c r="AY201" i="20"/>
  <c r="AX201" i="20"/>
  <c r="AT201" i="20"/>
  <c r="AJ201" i="20"/>
  <c r="AU201" i="20" s="1"/>
  <c r="AV201" i="20" s="1"/>
  <c r="W201" i="20"/>
  <c r="M201" i="20"/>
  <c r="X201" i="20" s="1"/>
  <c r="Y201" i="20" s="1"/>
  <c r="BX200" i="20"/>
  <c r="BW200" i="20"/>
  <c r="BP200" i="20"/>
  <c r="BO200" i="20"/>
  <c r="BN200" i="20"/>
  <c r="BM200" i="20"/>
  <c r="BL200" i="20"/>
  <c r="BK200" i="20"/>
  <c r="BJ200" i="20"/>
  <c r="BI200" i="20"/>
  <c r="BH200" i="20"/>
  <c r="BF200" i="20"/>
  <c r="BE200" i="20"/>
  <c r="BD200" i="20"/>
  <c r="BC200" i="20"/>
  <c r="BB200" i="20"/>
  <c r="BA200" i="20"/>
  <c r="AZ200" i="20"/>
  <c r="AY200" i="20"/>
  <c r="AX200" i="20"/>
  <c r="AT200" i="20"/>
  <c r="AJ200" i="20"/>
  <c r="AU200" i="20" s="1"/>
  <c r="AV200" i="20" s="1"/>
  <c r="W200" i="20"/>
  <c r="M200" i="20"/>
  <c r="X200" i="20" s="1"/>
  <c r="Y200" i="20" s="1"/>
  <c r="BX199" i="20"/>
  <c r="BW199" i="20"/>
  <c r="BP199" i="20"/>
  <c r="BO199" i="20"/>
  <c r="BN199" i="20"/>
  <c r="BM199" i="20"/>
  <c r="BL199" i="20"/>
  <c r="BK199" i="20"/>
  <c r="BJ199" i="20"/>
  <c r="BI199" i="20"/>
  <c r="BH199" i="20"/>
  <c r="BF199" i="20"/>
  <c r="BE199" i="20"/>
  <c r="BD199" i="20"/>
  <c r="BC199" i="20"/>
  <c r="BB199" i="20"/>
  <c r="BA199" i="20"/>
  <c r="AZ199" i="20"/>
  <c r="AY199" i="20"/>
  <c r="AX199" i="20"/>
  <c r="AT199" i="20"/>
  <c r="AJ199" i="20"/>
  <c r="AU199" i="20" s="1"/>
  <c r="AV199" i="20" s="1"/>
  <c r="W199" i="20"/>
  <c r="M199" i="20"/>
  <c r="X199" i="20" s="1"/>
  <c r="Y199" i="20" s="1"/>
  <c r="BX198" i="20"/>
  <c r="BW198" i="20"/>
  <c r="BP198" i="20"/>
  <c r="BO198" i="20"/>
  <c r="BN198" i="20"/>
  <c r="BM198" i="20"/>
  <c r="BL198" i="20"/>
  <c r="BK198" i="20"/>
  <c r="BJ198" i="20"/>
  <c r="BI198" i="20"/>
  <c r="BH198" i="20"/>
  <c r="BF198" i="20"/>
  <c r="BE198" i="20"/>
  <c r="BD198" i="20"/>
  <c r="BC198" i="20"/>
  <c r="BB198" i="20"/>
  <c r="BA198" i="20"/>
  <c r="AZ198" i="20"/>
  <c r="AY198" i="20"/>
  <c r="AX198" i="20"/>
  <c r="AT198" i="20"/>
  <c r="AJ198" i="20"/>
  <c r="AU198" i="20" s="1"/>
  <c r="AV198" i="20" s="1"/>
  <c r="W198" i="20"/>
  <c r="M198" i="20"/>
  <c r="X198" i="20" s="1"/>
  <c r="Y198" i="20" s="1"/>
  <c r="BX197" i="20"/>
  <c r="BP197" i="20"/>
  <c r="BO197" i="20"/>
  <c r="BN197" i="20"/>
  <c r="BM197" i="20"/>
  <c r="BL197" i="20"/>
  <c r="BK197" i="20"/>
  <c r="BJ197" i="20"/>
  <c r="BI197" i="20"/>
  <c r="BH197" i="20"/>
  <c r="BF197" i="20"/>
  <c r="BE197" i="20"/>
  <c r="BD197" i="20"/>
  <c r="BC197" i="20"/>
  <c r="BB197" i="20"/>
  <c r="BA197" i="20"/>
  <c r="AZ197" i="20"/>
  <c r="AY197" i="20"/>
  <c r="AX197" i="20"/>
  <c r="AT197" i="20"/>
  <c r="AJ197" i="20"/>
  <c r="AU197" i="20" s="1"/>
  <c r="AV197" i="20" s="1"/>
  <c r="W197" i="20"/>
  <c r="M197" i="20"/>
  <c r="X197" i="20" s="1"/>
  <c r="Y197" i="20" s="1"/>
  <c r="BX196" i="20"/>
  <c r="BP196" i="20"/>
  <c r="BO196" i="20"/>
  <c r="BN196" i="20"/>
  <c r="BM196" i="20"/>
  <c r="BL196" i="20"/>
  <c r="BK196" i="20"/>
  <c r="BJ196" i="20"/>
  <c r="BI196" i="20"/>
  <c r="BH196" i="20"/>
  <c r="BF196" i="20"/>
  <c r="BE196" i="20"/>
  <c r="BD196" i="20"/>
  <c r="BC196" i="20"/>
  <c r="BB196" i="20"/>
  <c r="BA196" i="20"/>
  <c r="AZ196" i="20"/>
  <c r="AY196" i="20"/>
  <c r="AX196" i="20"/>
  <c r="AT196" i="20"/>
  <c r="AJ196" i="20"/>
  <c r="AU196" i="20" s="1"/>
  <c r="AV196" i="20" s="1"/>
  <c r="W196" i="20"/>
  <c r="M196" i="20"/>
  <c r="X196" i="20" s="1"/>
  <c r="Y196" i="20" s="1"/>
  <c r="BX195" i="20"/>
  <c r="BW195" i="20"/>
  <c r="BP195" i="20"/>
  <c r="BO195" i="20"/>
  <c r="BN195" i="20"/>
  <c r="BM195" i="20"/>
  <c r="BL195" i="20"/>
  <c r="BK195" i="20"/>
  <c r="BJ195" i="20"/>
  <c r="BI195" i="20"/>
  <c r="BH195" i="20"/>
  <c r="BF195" i="20"/>
  <c r="BE195" i="20"/>
  <c r="BD195" i="20"/>
  <c r="BC195" i="20"/>
  <c r="BB195" i="20"/>
  <c r="BA195" i="20"/>
  <c r="AZ195" i="20"/>
  <c r="AY195" i="20"/>
  <c r="AX195" i="20"/>
  <c r="AT195" i="20"/>
  <c r="AJ195" i="20"/>
  <c r="AU195" i="20" s="1"/>
  <c r="AV195" i="20" s="1"/>
  <c r="W195" i="20"/>
  <c r="M195" i="20"/>
  <c r="X195" i="20" s="1"/>
  <c r="Y195" i="20" s="1"/>
  <c r="BW194" i="20"/>
  <c r="BP194" i="20"/>
  <c r="BO194" i="20"/>
  <c r="BN194" i="20"/>
  <c r="BM194" i="20"/>
  <c r="BL194" i="20"/>
  <c r="BK194" i="20"/>
  <c r="BJ194" i="20"/>
  <c r="BI194" i="20"/>
  <c r="BH194" i="20"/>
  <c r="BF194" i="20"/>
  <c r="BE194" i="20"/>
  <c r="BD194" i="20"/>
  <c r="BC194" i="20"/>
  <c r="BB194" i="20"/>
  <c r="BA194" i="20"/>
  <c r="AZ194" i="20"/>
  <c r="AY194" i="20"/>
  <c r="AX194" i="20"/>
  <c r="AT194" i="20"/>
  <c r="AJ194" i="20"/>
  <c r="AU194" i="20" s="1"/>
  <c r="AV194" i="20" s="1"/>
  <c r="W194" i="20"/>
  <c r="M194" i="20"/>
  <c r="X194" i="20" s="1"/>
  <c r="Y194" i="20" s="1"/>
  <c r="BW193" i="20"/>
  <c r="BP193" i="20"/>
  <c r="BO193" i="20"/>
  <c r="BN193" i="20"/>
  <c r="BM193" i="20"/>
  <c r="BL193" i="20"/>
  <c r="BK193" i="20"/>
  <c r="BJ193" i="20"/>
  <c r="BI193" i="20"/>
  <c r="BH193" i="20"/>
  <c r="BF193" i="20"/>
  <c r="BE193" i="20"/>
  <c r="BD193" i="20"/>
  <c r="BC193" i="20"/>
  <c r="BB193" i="20"/>
  <c r="BA193" i="20"/>
  <c r="AZ193" i="20"/>
  <c r="AY193" i="20"/>
  <c r="AX193" i="20"/>
  <c r="AT193" i="20"/>
  <c r="AJ193" i="20"/>
  <c r="AU193" i="20" s="1"/>
  <c r="AV193" i="20" s="1"/>
  <c r="W193" i="20"/>
  <c r="M193" i="20"/>
  <c r="X193" i="20" s="1"/>
  <c r="Y193" i="20" s="1"/>
  <c r="BX192" i="20"/>
  <c r="BW192" i="20"/>
  <c r="BP192" i="20"/>
  <c r="BO192" i="20"/>
  <c r="BN192" i="20"/>
  <c r="BM192" i="20"/>
  <c r="BL192" i="20"/>
  <c r="BK192" i="20"/>
  <c r="BJ192" i="20"/>
  <c r="BI192" i="20"/>
  <c r="BH192" i="20"/>
  <c r="BF192" i="20"/>
  <c r="BE192" i="20"/>
  <c r="BD192" i="20"/>
  <c r="BC192" i="20"/>
  <c r="BB192" i="20"/>
  <c r="BA192" i="20"/>
  <c r="AZ192" i="20"/>
  <c r="AY192" i="20"/>
  <c r="AX192" i="20"/>
  <c r="AT192" i="20"/>
  <c r="AJ192" i="20"/>
  <c r="AU192" i="20" s="1"/>
  <c r="AV192" i="20" s="1"/>
  <c r="W192" i="20"/>
  <c r="M192" i="20"/>
  <c r="X192" i="20" s="1"/>
  <c r="Y192" i="20" s="1"/>
  <c r="BX191" i="20"/>
  <c r="BW191" i="20"/>
  <c r="BP191" i="20"/>
  <c r="BO191" i="20"/>
  <c r="BN191" i="20"/>
  <c r="BM191" i="20"/>
  <c r="BL191" i="20"/>
  <c r="BK191" i="20"/>
  <c r="BJ191" i="20"/>
  <c r="BI191" i="20"/>
  <c r="BH191" i="20"/>
  <c r="BF191" i="20"/>
  <c r="BE191" i="20"/>
  <c r="BD191" i="20"/>
  <c r="BC191" i="20"/>
  <c r="BB191" i="20"/>
  <c r="BA191" i="20"/>
  <c r="AZ191" i="20"/>
  <c r="AY191" i="20"/>
  <c r="AX191" i="20"/>
  <c r="AT191" i="20"/>
  <c r="AJ191" i="20"/>
  <c r="AU191" i="20" s="1"/>
  <c r="AV191" i="20" s="1"/>
  <c r="W191" i="20"/>
  <c r="M191" i="20"/>
  <c r="X191" i="20" s="1"/>
  <c r="Y191" i="20" s="1"/>
  <c r="BX190" i="20"/>
  <c r="BW190" i="20"/>
  <c r="BP190" i="20"/>
  <c r="BO190" i="20"/>
  <c r="BN190" i="20"/>
  <c r="BM190" i="20"/>
  <c r="BL190" i="20"/>
  <c r="BK190" i="20"/>
  <c r="BJ190" i="20"/>
  <c r="BI190" i="20"/>
  <c r="BH190" i="20"/>
  <c r="BF190" i="20"/>
  <c r="BE190" i="20"/>
  <c r="BD190" i="20"/>
  <c r="BC190" i="20"/>
  <c r="BB190" i="20"/>
  <c r="BA190" i="20"/>
  <c r="AZ190" i="20"/>
  <c r="AY190" i="20"/>
  <c r="AX190" i="20"/>
  <c r="AT190" i="20"/>
  <c r="AJ190" i="20"/>
  <c r="AU190" i="20" s="1"/>
  <c r="AV190" i="20" s="1"/>
  <c r="W190" i="20"/>
  <c r="M190" i="20"/>
  <c r="X190" i="20" s="1"/>
  <c r="Y190" i="20" s="1"/>
  <c r="BX189" i="20"/>
  <c r="BP189" i="20"/>
  <c r="BO189" i="20"/>
  <c r="BN189" i="20"/>
  <c r="BM189" i="20"/>
  <c r="BL189" i="20"/>
  <c r="BK189" i="20"/>
  <c r="BJ189" i="20"/>
  <c r="BI189" i="20"/>
  <c r="BH189" i="20"/>
  <c r="BF189" i="20"/>
  <c r="BE189" i="20"/>
  <c r="BD189" i="20"/>
  <c r="BC189" i="20"/>
  <c r="BB189" i="20"/>
  <c r="BA189" i="20"/>
  <c r="AZ189" i="20"/>
  <c r="AY189" i="20"/>
  <c r="AX189" i="20"/>
  <c r="AT189" i="20"/>
  <c r="AJ189" i="20"/>
  <c r="AU189" i="20" s="1"/>
  <c r="AV189" i="20" s="1"/>
  <c r="W189" i="20"/>
  <c r="M189" i="20"/>
  <c r="X189" i="20" s="1"/>
  <c r="Y189" i="20" s="1"/>
  <c r="BX188" i="20"/>
  <c r="BP188" i="20"/>
  <c r="BO188" i="20"/>
  <c r="BN188" i="20"/>
  <c r="BM188" i="20"/>
  <c r="BL188" i="20"/>
  <c r="BK188" i="20"/>
  <c r="BJ188" i="20"/>
  <c r="BI188" i="20"/>
  <c r="BH188" i="20"/>
  <c r="BF188" i="20"/>
  <c r="BE188" i="20"/>
  <c r="BD188" i="20"/>
  <c r="BC188" i="20"/>
  <c r="BB188" i="20"/>
  <c r="BA188" i="20"/>
  <c r="AZ188" i="20"/>
  <c r="AY188" i="20"/>
  <c r="AX188" i="20"/>
  <c r="AT188" i="20"/>
  <c r="AJ188" i="20"/>
  <c r="AU188" i="20" s="1"/>
  <c r="AV188" i="20" s="1"/>
  <c r="W188" i="20"/>
  <c r="M188" i="20"/>
  <c r="X188" i="20" s="1"/>
  <c r="Y188" i="20" s="1"/>
  <c r="BX187" i="20"/>
  <c r="BW187" i="20"/>
  <c r="BP187" i="20"/>
  <c r="BO187" i="20"/>
  <c r="BN187" i="20"/>
  <c r="BM187" i="20"/>
  <c r="BL187" i="20"/>
  <c r="BK187" i="20"/>
  <c r="BJ187" i="20"/>
  <c r="BI187" i="20"/>
  <c r="BH187" i="20"/>
  <c r="BF187" i="20"/>
  <c r="BE187" i="20"/>
  <c r="BD187" i="20"/>
  <c r="BC187" i="20"/>
  <c r="BB187" i="20"/>
  <c r="BA187" i="20"/>
  <c r="AZ187" i="20"/>
  <c r="AY187" i="20"/>
  <c r="AX187" i="20"/>
  <c r="AT187" i="20"/>
  <c r="AJ187" i="20"/>
  <c r="AU187" i="20" s="1"/>
  <c r="AV187" i="20" s="1"/>
  <c r="W187" i="20"/>
  <c r="M187" i="20"/>
  <c r="X187" i="20" s="1"/>
  <c r="Y187" i="20" s="1"/>
  <c r="BW186" i="20"/>
  <c r="BP186" i="20"/>
  <c r="BO186" i="20"/>
  <c r="BN186" i="20"/>
  <c r="BM186" i="20"/>
  <c r="BL186" i="20"/>
  <c r="BK186" i="20"/>
  <c r="BJ186" i="20"/>
  <c r="BI186" i="20"/>
  <c r="BH186" i="20"/>
  <c r="BF186" i="20"/>
  <c r="BE186" i="20"/>
  <c r="BD186" i="20"/>
  <c r="BC186" i="20"/>
  <c r="BB186" i="20"/>
  <c r="BA186" i="20"/>
  <c r="AZ186" i="20"/>
  <c r="AY186" i="20"/>
  <c r="AX186" i="20"/>
  <c r="AT186" i="20"/>
  <c r="AJ186" i="20"/>
  <c r="AU186" i="20" s="1"/>
  <c r="AV186" i="20" s="1"/>
  <c r="W186" i="20"/>
  <c r="M186" i="20"/>
  <c r="X186" i="20" s="1"/>
  <c r="Y186" i="20" s="1"/>
  <c r="BW185" i="20"/>
  <c r="BP185" i="20"/>
  <c r="BO185" i="20"/>
  <c r="BN185" i="20"/>
  <c r="BM185" i="20"/>
  <c r="BL185" i="20"/>
  <c r="BK185" i="20"/>
  <c r="BJ185" i="20"/>
  <c r="BI185" i="20"/>
  <c r="BH185" i="20"/>
  <c r="BF185" i="20"/>
  <c r="BE185" i="20"/>
  <c r="BD185" i="20"/>
  <c r="BC185" i="20"/>
  <c r="BB185" i="20"/>
  <c r="BA185" i="20"/>
  <c r="AZ185" i="20"/>
  <c r="AY185" i="20"/>
  <c r="AX185" i="20"/>
  <c r="AT185" i="20"/>
  <c r="AJ185" i="20"/>
  <c r="AU185" i="20" s="1"/>
  <c r="AV185" i="20" s="1"/>
  <c r="W185" i="20"/>
  <c r="M185" i="20"/>
  <c r="X185" i="20" s="1"/>
  <c r="Y185" i="20" s="1"/>
  <c r="BX184" i="20"/>
  <c r="BW184" i="20"/>
  <c r="BP184" i="20"/>
  <c r="BO184" i="20"/>
  <c r="BN184" i="20"/>
  <c r="BM184" i="20"/>
  <c r="BL184" i="20"/>
  <c r="BK184" i="20"/>
  <c r="BJ184" i="20"/>
  <c r="BI184" i="20"/>
  <c r="BH184" i="20"/>
  <c r="BF184" i="20"/>
  <c r="BE184" i="20"/>
  <c r="BD184" i="20"/>
  <c r="BC184" i="20"/>
  <c r="BB184" i="20"/>
  <c r="BA184" i="20"/>
  <c r="AZ184" i="20"/>
  <c r="AY184" i="20"/>
  <c r="AX184" i="20"/>
  <c r="AT184" i="20"/>
  <c r="AJ184" i="20"/>
  <c r="AU184" i="20" s="1"/>
  <c r="AV184" i="20" s="1"/>
  <c r="W184" i="20"/>
  <c r="M184" i="20"/>
  <c r="X184" i="20" s="1"/>
  <c r="Y184" i="20" s="1"/>
  <c r="BX183" i="20"/>
  <c r="BW183" i="20"/>
  <c r="BP183" i="20"/>
  <c r="BO183" i="20"/>
  <c r="BN183" i="20"/>
  <c r="BM183" i="20"/>
  <c r="BL183" i="20"/>
  <c r="BK183" i="20"/>
  <c r="BJ183" i="20"/>
  <c r="BI183" i="20"/>
  <c r="BH183" i="20"/>
  <c r="BF183" i="20"/>
  <c r="BE183" i="20"/>
  <c r="BD183" i="20"/>
  <c r="BC183" i="20"/>
  <c r="BB183" i="20"/>
  <c r="BA183" i="20"/>
  <c r="AZ183" i="20"/>
  <c r="AY183" i="20"/>
  <c r="AX183" i="20"/>
  <c r="AT183" i="20"/>
  <c r="AJ183" i="20"/>
  <c r="AU183" i="20" s="1"/>
  <c r="AV183" i="20" s="1"/>
  <c r="W183" i="20"/>
  <c r="M183" i="20"/>
  <c r="X183" i="20" s="1"/>
  <c r="Y183" i="20" s="1"/>
  <c r="BX182" i="20"/>
  <c r="BW182" i="20"/>
  <c r="BP182" i="20"/>
  <c r="BO182" i="20"/>
  <c r="BN182" i="20"/>
  <c r="BM182" i="20"/>
  <c r="BL182" i="20"/>
  <c r="BK182" i="20"/>
  <c r="BJ182" i="20"/>
  <c r="BI182" i="20"/>
  <c r="BH182" i="20"/>
  <c r="BF182" i="20"/>
  <c r="BE182" i="20"/>
  <c r="BD182" i="20"/>
  <c r="BC182" i="20"/>
  <c r="BB182" i="20"/>
  <c r="BA182" i="20"/>
  <c r="AZ182" i="20"/>
  <c r="AY182" i="20"/>
  <c r="AX182" i="20"/>
  <c r="AT182" i="20"/>
  <c r="AJ182" i="20"/>
  <c r="AU182" i="20" s="1"/>
  <c r="AV182" i="20" s="1"/>
  <c r="W182" i="20"/>
  <c r="M182" i="20"/>
  <c r="X182" i="20" s="1"/>
  <c r="Y182" i="20" s="1"/>
  <c r="BX181" i="20"/>
  <c r="BP181" i="20"/>
  <c r="BO181" i="20"/>
  <c r="BN181" i="20"/>
  <c r="BM181" i="20"/>
  <c r="BL181" i="20"/>
  <c r="BK181" i="20"/>
  <c r="BJ181" i="20"/>
  <c r="BI181" i="20"/>
  <c r="BH181" i="20"/>
  <c r="BF181" i="20"/>
  <c r="BE181" i="20"/>
  <c r="BD181" i="20"/>
  <c r="BC181" i="20"/>
  <c r="BB181" i="20"/>
  <c r="BA181" i="20"/>
  <c r="AZ181" i="20"/>
  <c r="AY181" i="20"/>
  <c r="AX181" i="20"/>
  <c r="AT181" i="20"/>
  <c r="AJ181" i="20"/>
  <c r="AU181" i="20" s="1"/>
  <c r="AV181" i="20" s="1"/>
  <c r="W181" i="20"/>
  <c r="M181" i="20"/>
  <c r="X181" i="20" s="1"/>
  <c r="Y181" i="20" s="1"/>
  <c r="BX180" i="20"/>
  <c r="BP180" i="20"/>
  <c r="BO180" i="20"/>
  <c r="BN180" i="20"/>
  <c r="BM180" i="20"/>
  <c r="BL180" i="20"/>
  <c r="BK180" i="20"/>
  <c r="BJ180" i="20"/>
  <c r="BI180" i="20"/>
  <c r="BH180" i="20"/>
  <c r="BF180" i="20"/>
  <c r="BE180" i="20"/>
  <c r="BD180" i="20"/>
  <c r="BC180" i="20"/>
  <c r="BB180" i="20"/>
  <c r="BA180" i="20"/>
  <c r="AZ180" i="20"/>
  <c r="AY180" i="20"/>
  <c r="AX180" i="20"/>
  <c r="AT180" i="20"/>
  <c r="AJ180" i="20"/>
  <c r="AU180" i="20" s="1"/>
  <c r="AV180" i="20" s="1"/>
  <c r="W180" i="20"/>
  <c r="M180" i="20"/>
  <c r="X180" i="20" s="1"/>
  <c r="Y180" i="20" s="1"/>
  <c r="BX179" i="20"/>
  <c r="BW179" i="20"/>
  <c r="BP179" i="20"/>
  <c r="BO179" i="20"/>
  <c r="BN179" i="20"/>
  <c r="BM179" i="20"/>
  <c r="BL179" i="20"/>
  <c r="BK179" i="20"/>
  <c r="BJ179" i="20"/>
  <c r="BI179" i="20"/>
  <c r="BH179" i="20"/>
  <c r="BF179" i="20"/>
  <c r="BE179" i="20"/>
  <c r="BD179" i="20"/>
  <c r="BC179" i="20"/>
  <c r="BB179" i="20"/>
  <c r="BA179" i="20"/>
  <c r="AZ179" i="20"/>
  <c r="AY179" i="20"/>
  <c r="AX179" i="20"/>
  <c r="AT179" i="20"/>
  <c r="AJ179" i="20"/>
  <c r="AU179" i="20" s="1"/>
  <c r="AV179" i="20" s="1"/>
  <c r="W179" i="20"/>
  <c r="M179" i="20"/>
  <c r="X179" i="20" s="1"/>
  <c r="Y179" i="20" s="1"/>
  <c r="BW178" i="20"/>
  <c r="BP178" i="20"/>
  <c r="BO178" i="20"/>
  <c r="BN178" i="20"/>
  <c r="BM178" i="20"/>
  <c r="BL178" i="20"/>
  <c r="BK178" i="20"/>
  <c r="BJ178" i="20"/>
  <c r="BI178" i="20"/>
  <c r="BH178" i="20"/>
  <c r="BF178" i="20"/>
  <c r="BE178" i="20"/>
  <c r="BD178" i="20"/>
  <c r="BC178" i="20"/>
  <c r="BB178" i="20"/>
  <c r="BA178" i="20"/>
  <c r="AZ178" i="20"/>
  <c r="AY178" i="20"/>
  <c r="AX178" i="20"/>
  <c r="AT178" i="20"/>
  <c r="AJ178" i="20"/>
  <c r="AU178" i="20" s="1"/>
  <c r="AV178" i="20" s="1"/>
  <c r="W178" i="20"/>
  <c r="M178" i="20"/>
  <c r="X178" i="20" s="1"/>
  <c r="Y178" i="20" s="1"/>
  <c r="BW177" i="20"/>
  <c r="BP177" i="20"/>
  <c r="BO177" i="20"/>
  <c r="BN177" i="20"/>
  <c r="BM177" i="20"/>
  <c r="BL177" i="20"/>
  <c r="BK177" i="20"/>
  <c r="BJ177" i="20"/>
  <c r="BI177" i="20"/>
  <c r="BH177" i="20"/>
  <c r="BF177" i="20"/>
  <c r="BE177" i="20"/>
  <c r="BD177" i="20"/>
  <c r="BC177" i="20"/>
  <c r="BB177" i="20"/>
  <c r="BA177" i="20"/>
  <c r="AZ177" i="20"/>
  <c r="AY177" i="20"/>
  <c r="AX177" i="20"/>
  <c r="AT177" i="20"/>
  <c r="AJ177" i="20"/>
  <c r="AU177" i="20" s="1"/>
  <c r="AV177" i="20" s="1"/>
  <c r="W177" i="20"/>
  <c r="M177" i="20"/>
  <c r="X177" i="20" s="1"/>
  <c r="Y177" i="20" s="1"/>
  <c r="BX176" i="20"/>
  <c r="BW176" i="20"/>
  <c r="BP176" i="20"/>
  <c r="BO176" i="20"/>
  <c r="BN176" i="20"/>
  <c r="BM176" i="20"/>
  <c r="BL176" i="20"/>
  <c r="BK176" i="20"/>
  <c r="BJ176" i="20"/>
  <c r="BI176" i="20"/>
  <c r="BH176" i="20"/>
  <c r="BF176" i="20"/>
  <c r="BE176" i="20"/>
  <c r="BD176" i="20"/>
  <c r="BC176" i="20"/>
  <c r="BB176" i="20"/>
  <c r="BA176" i="20"/>
  <c r="AZ176" i="20"/>
  <c r="AY176" i="20"/>
  <c r="AX176" i="20"/>
  <c r="AT176" i="20"/>
  <c r="AJ176" i="20"/>
  <c r="AU176" i="20" s="1"/>
  <c r="AV176" i="20" s="1"/>
  <c r="W176" i="20"/>
  <c r="M176" i="20"/>
  <c r="X176" i="20" s="1"/>
  <c r="Y176" i="20" s="1"/>
  <c r="BX175" i="20"/>
  <c r="BW175" i="20"/>
  <c r="BP175" i="20"/>
  <c r="BO175" i="20"/>
  <c r="BN175" i="20"/>
  <c r="BM175" i="20"/>
  <c r="BL175" i="20"/>
  <c r="BK175" i="20"/>
  <c r="BJ175" i="20"/>
  <c r="BI175" i="20"/>
  <c r="BH175" i="20"/>
  <c r="BF175" i="20"/>
  <c r="BE175" i="20"/>
  <c r="BD175" i="20"/>
  <c r="BC175" i="20"/>
  <c r="BB175" i="20"/>
  <c r="BA175" i="20"/>
  <c r="AZ175" i="20"/>
  <c r="AY175" i="20"/>
  <c r="AX175" i="20"/>
  <c r="AT175" i="20"/>
  <c r="AJ175" i="20"/>
  <c r="AU175" i="20" s="1"/>
  <c r="AV175" i="20" s="1"/>
  <c r="W175" i="20"/>
  <c r="M175" i="20"/>
  <c r="X175" i="20" s="1"/>
  <c r="Y175" i="20" s="1"/>
  <c r="BX174" i="20"/>
  <c r="BW174" i="20"/>
  <c r="BP174" i="20"/>
  <c r="BO174" i="20"/>
  <c r="BN174" i="20"/>
  <c r="BM174" i="20"/>
  <c r="BL174" i="20"/>
  <c r="BK174" i="20"/>
  <c r="BJ174" i="20"/>
  <c r="BI174" i="20"/>
  <c r="BH174" i="20"/>
  <c r="BF174" i="20"/>
  <c r="BE174" i="20"/>
  <c r="BD174" i="20"/>
  <c r="BC174" i="20"/>
  <c r="BB174" i="20"/>
  <c r="BA174" i="20"/>
  <c r="AZ174" i="20"/>
  <c r="AY174" i="20"/>
  <c r="AX174" i="20"/>
  <c r="AT174" i="20"/>
  <c r="AJ174" i="20"/>
  <c r="AU174" i="20" s="1"/>
  <c r="AV174" i="20" s="1"/>
  <c r="W174" i="20"/>
  <c r="M174" i="20"/>
  <c r="X174" i="20" s="1"/>
  <c r="Y174" i="20" s="1"/>
  <c r="BX173" i="20"/>
  <c r="BP173" i="20"/>
  <c r="BO173" i="20"/>
  <c r="BN173" i="20"/>
  <c r="BM173" i="20"/>
  <c r="BL173" i="20"/>
  <c r="BK173" i="20"/>
  <c r="BJ173" i="20"/>
  <c r="BI173" i="20"/>
  <c r="BH173" i="20"/>
  <c r="BF173" i="20"/>
  <c r="BE173" i="20"/>
  <c r="BD173" i="20"/>
  <c r="BC173" i="20"/>
  <c r="BB173" i="20"/>
  <c r="BA173" i="20"/>
  <c r="AZ173" i="20"/>
  <c r="AY173" i="20"/>
  <c r="AX173" i="20"/>
  <c r="AT173" i="20"/>
  <c r="AJ173" i="20"/>
  <c r="AU173" i="20" s="1"/>
  <c r="AV173" i="20" s="1"/>
  <c r="W173" i="20"/>
  <c r="M173" i="20"/>
  <c r="X173" i="20" s="1"/>
  <c r="Y173" i="20" s="1"/>
  <c r="BX172" i="20"/>
  <c r="BP172" i="20"/>
  <c r="BO172" i="20"/>
  <c r="BN172" i="20"/>
  <c r="BM172" i="20"/>
  <c r="BL172" i="20"/>
  <c r="BK172" i="20"/>
  <c r="BJ172" i="20"/>
  <c r="BI172" i="20"/>
  <c r="BH172" i="20"/>
  <c r="BF172" i="20"/>
  <c r="BE172" i="20"/>
  <c r="BD172" i="20"/>
  <c r="BC172" i="20"/>
  <c r="BB172" i="20"/>
  <c r="BA172" i="20"/>
  <c r="AZ172" i="20"/>
  <c r="AY172" i="20"/>
  <c r="AX172" i="20"/>
  <c r="AT172" i="20"/>
  <c r="AJ172" i="20"/>
  <c r="AU172" i="20" s="1"/>
  <c r="AV172" i="20" s="1"/>
  <c r="W172" i="20"/>
  <c r="M172" i="20"/>
  <c r="X172" i="20" s="1"/>
  <c r="Y172" i="20" s="1"/>
  <c r="BX171" i="20"/>
  <c r="BW171" i="20"/>
  <c r="BP171" i="20"/>
  <c r="BO171" i="20"/>
  <c r="BN171" i="20"/>
  <c r="BM171" i="20"/>
  <c r="BL171" i="20"/>
  <c r="BK171" i="20"/>
  <c r="BJ171" i="20"/>
  <c r="BI171" i="20"/>
  <c r="BH171" i="20"/>
  <c r="BF171" i="20"/>
  <c r="BE171" i="20"/>
  <c r="BD171" i="20"/>
  <c r="BC171" i="20"/>
  <c r="BB171" i="20"/>
  <c r="BA171" i="20"/>
  <c r="AZ171" i="20"/>
  <c r="AY171" i="20"/>
  <c r="AX171" i="20"/>
  <c r="AT171" i="20"/>
  <c r="AJ171" i="20"/>
  <c r="AU171" i="20" s="1"/>
  <c r="AV171" i="20" s="1"/>
  <c r="W171" i="20"/>
  <c r="M171" i="20"/>
  <c r="X171" i="20" s="1"/>
  <c r="Y171" i="20" s="1"/>
  <c r="BW170" i="20"/>
  <c r="BP170" i="20"/>
  <c r="BO170" i="20"/>
  <c r="BN170" i="20"/>
  <c r="BM170" i="20"/>
  <c r="BL170" i="20"/>
  <c r="BK170" i="20"/>
  <c r="BJ170" i="20"/>
  <c r="BI170" i="20"/>
  <c r="BH170" i="20"/>
  <c r="BF170" i="20"/>
  <c r="BE170" i="20"/>
  <c r="BD170" i="20"/>
  <c r="BC170" i="20"/>
  <c r="BB170" i="20"/>
  <c r="BA170" i="20"/>
  <c r="AZ170" i="20"/>
  <c r="AY170" i="20"/>
  <c r="AX170" i="20"/>
  <c r="AT170" i="20"/>
  <c r="AJ170" i="20"/>
  <c r="AU170" i="20" s="1"/>
  <c r="AV170" i="20" s="1"/>
  <c r="W170" i="20"/>
  <c r="M170" i="20"/>
  <c r="X170" i="20" s="1"/>
  <c r="Y170" i="20" s="1"/>
  <c r="BW169" i="20"/>
  <c r="BP169" i="20"/>
  <c r="BO169" i="20"/>
  <c r="BN169" i="20"/>
  <c r="BM169" i="20"/>
  <c r="BL169" i="20"/>
  <c r="BK169" i="20"/>
  <c r="BJ169" i="20"/>
  <c r="BI169" i="20"/>
  <c r="BH169" i="20"/>
  <c r="BF169" i="20"/>
  <c r="BE169" i="20"/>
  <c r="BD169" i="20"/>
  <c r="BC169" i="20"/>
  <c r="BB169" i="20"/>
  <c r="BA169" i="20"/>
  <c r="AZ169" i="20"/>
  <c r="AY169" i="20"/>
  <c r="AX169" i="20"/>
  <c r="AT169" i="20"/>
  <c r="AJ169" i="20"/>
  <c r="AU169" i="20" s="1"/>
  <c r="AV169" i="20" s="1"/>
  <c r="W169" i="20"/>
  <c r="M169" i="20"/>
  <c r="X169" i="20" s="1"/>
  <c r="Y169" i="20" s="1"/>
  <c r="BX168" i="20"/>
  <c r="BW168" i="20"/>
  <c r="BP168" i="20"/>
  <c r="BO168" i="20"/>
  <c r="BN168" i="20"/>
  <c r="BM168" i="20"/>
  <c r="BL168" i="20"/>
  <c r="BK168" i="20"/>
  <c r="BJ168" i="20"/>
  <c r="BI168" i="20"/>
  <c r="BH168" i="20"/>
  <c r="BF168" i="20"/>
  <c r="BE168" i="20"/>
  <c r="BD168" i="20"/>
  <c r="BC168" i="20"/>
  <c r="BB168" i="20"/>
  <c r="BA168" i="20"/>
  <c r="AZ168" i="20"/>
  <c r="AY168" i="20"/>
  <c r="AX168" i="20"/>
  <c r="AT168" i="20"/>
  <c r="AJ168" i="20"/>
  <c r="AU168" i="20" s="1"/>
  <c r="AV168" i="20" s="1"/>
  <c r="W168" i="20"/>
  <c r="M168" i="20"/>
  <c r="X168" i="20" s="1"/>
  <c r="Y168" i="20" s="1"/>
  <c r="BX167" i="20"/>
  <c r="BW167" i="20"/>
  <c r="BP167" i="20"/>
  <c r="BO167" i="20"/>
  <c r="BN167" i="20"/>
  <c r="BM167" i="20"/>
  <c r="BL167" i="20"/>
  <c r="BK167" i="20"/>
  <c r="BJ167" i="20"/>
  <c r="BI167" i="20"/>
  <c r="BH167" i="20"/>
  <c r="BF167" i="20"/>
  <c r="BE167" i="20"/>
  <c r="BD167" i="20"/>
  <c r="BC167" i="20"/>
  <c r="BB167" i="20"/>
  <c r="BA167" i="20"/>
  <c r="AZ167" i="20"/>
  <c r="AY167" i="20"/>
  <c r="AX167" i="20"/>
  <c r="AT167" i="20"/>
  <c r="AJ167" i="20"/>
  <c r="AU167" i="20" s="1"/>
  <c r="AV167" i="20" s="1"/>
  <c r="W167" i="20"/>
  <c r="M167" i="20"/>
  <c r="X167" i="20" s="1"/>
  <c r="Y167" i="20" s="1"/>
  <c r="BX166" i="20"/>
  <c r="BW166" i="20"/>
  <c r="BP166" i="20"/>
  <c r="BO166" i="20"/>
  <c r="BN166" i="20"/>
  <c r="BM166" i="20"/>
  <c r="BL166" i="20"/>
  <c r="BK166" i="20"/>
  <c r="BJ166" i="20"/>
  <c r="BI166" i="20"/>
  <c r="BH166" i="20"/>
  <c r="BQ166" i="20" s="1"/>
  <c r="BF166" i="20"/>
  <c r="BE166" i="20"/>
  <c r="BD166" i="20"/>
  <c r="BC166" i="20"/>
  <c r="BB166" i="20"/>
  <c r="BA166" i="20"/>
  <c r="AZ166" i="20"/>
  <c r="AY166" i="20"/>
  <c r="AX166" i="20"/>
  <c r="AT166" i="20"/>
  <c r="AJ166" i="20"/>
  <c r="AU166" i="20" s="1"/>
  <c r="AV166" i="20" s="1"/>
  <c r="W166" i="20"/>
  <c r="M166" i="20"/>
  <c r="X166" i="20" s="1"/>
  <c r="Y166" i="20" s="1"/>
  <c r="BX165" i="20"/>
  <c r="BP165" i="20"/>
  <c r="BO165" i="20"/>
  <c r="BN165" i="20"/>
  <c r="BM165" i="20"/>
  <c r="BL165" i="20"/>
  <c r="BK165" i="20"/>
  <c r="BJ165" i="20"/>
  <c r="BI165" i="20"/>
  <c r="BH165" i="20"/>
  <c r="BF165" i="20"/>
  <c r="BE165" i="20"/>
  <c r="BD165" i="20"/>
  <c r="BC165" i="20"/>
  <c r="BB165" i="20"/>
  <c r="BA165" i="20"/>
  <c r="AZ165" i="20"/>
  <c r="AY165" i="20"/>
  <c r="AX165" i="20"/>
  <c r="AT165" i="20"/>
  <c r="AJ165" i="20"/>
  <c r="AU165" i="20" s="1"/>
  <c r="AV165" i="20" s="1"/>
  <c r="W165" i="20"/>
  <c r="M165" i="20"/>
  <c r="X165" i="20" s="1"/>
  <c r="Y165" i="20" s="1"/>
  <c r="BX164" i="20"/>
  <c r="BP164" i="20"/>
  <c r="BO164" i="20"/>
  <c r="BN164" i="20"/>
  <c r="BM164" i="20"/>
  <c r="BL164" i="20"/>
  <c r="BK164" i="20"/>
  <c r="BJ164" i="20"/>
  <c r="BI164" i="20"/>
  <c r="BH164" i="20"/>
  <c r="BQ164" i="20" s="1"/>
  <c r="BF164" i="20"/>
  <c r="BE164" i="20"/>
  <c r="BD164" i="20"/>
  <c r="BC164" i="20"/>
  <c r="BB164" i="20"/>
  <c r="BA164" i="20"/>
  <c r="AZ164" i="20"/>
  <c r="AY164" i="20"/>
  <c r="AX164" i="20"/>
  <c r="AT164" i="20"/>
  <c r="AJ164" i="20"/>
  <c r="AU164" i="20" s="1"/>
  <c r="AV164" i="20" s="1"/>
  <c r="W164" i="20"/>
  <c r="M164" i="20"/>
  <c r="X164" i="20" s="1"/>
  <c r="Y164" i="20" s="1"/>
  <c r="BX163" i="20"/>
  <c r="BW163" i="20"/>
  <c r="BP163" i="20"/>
  <c r="BO163" i="20"/>
  <c r="BN163" i="20"/>
  <c r="BM163" i="20"/>
  <c r="BL163" i="20"/>
  <c r="BK163" i="20"/>
  <c r="BJ163" i="20"/>
  <c r="BI163" i="20"/>
  <c r="BH163" i="20"/>
  <c r="BF163" i="20"/>
  <c r="BE163" i="20"/>
  <c r="BD163" i="20"/>
  <c r="BC163" i="20"/>
  <c r="BB163" i="20"/>
  <c r="BA163" i="20"/>
  <c r="AZ163" i="20"/>
  <c r="AY163" i="20"/>
  <c r="AX163" i="20"/>
  <c r="AT163" i="20"/>
  <c r="AJ163" i="20"/>
  <c r="AU163" i="20" s="1"/>
  <c r="AV163" i="20" s="1"/>
  <c r="W163" i="20"/>
  <c r="M163" i="20"/>
  <c r="X163" i="20" s="1"/>
  <c r="Y163" i="20" s="1"/>
  <c r="BW162" i="20"/>
  <c r="BP162" i="20"/>
  <c r="BO162" i="20"/>
  <c r="BN162" i="20"/>
  <c r="BM162" i="20"/>
  <c r="BL162" i="20"/>
  <c r="BK162" i="20"/>
  <c r="BJ162" i="20"/>
  <c r="BI162" i="20"/>
  <c r="BH162" i="20"/>
  <c r="BF162" i="20"/>
  <c r="BE162" i="20"/>
  <c r="BD162" i="20"/>
  <c r="BC162" i="20"/>
  <c r="BB162" i="20"/>
  <c r="BA162" i="20"/>
  <c r="AZ162" i="20"/>
  <c r="AY162" i="20"/>
  <c r="AX162" i="20"/>
  <c r="AT162" i="20"/>
  <c r="AJ162" i="20"/>
  <c r="AU162" i="20" s="1"/>
  <c r="AV162" i="20" s="1"/>
  <c r="W162" i="20"/>
  <c r="M162" i="20"/>
  <c r="X162" i="20" s="1"/>
  <c r="Y162" i="20" s="1"/>
  <c r="BW161" i="20"/>
  <c r="BP161" i="20"/>
  <c r="BO161" i="20"/>
  <c r="BN161" i="20"/>
  <c r="BM161" i="20"/>
  <c r="BL161" i="20"/>
  <c r="BK161" i="20"/>
  <c r="BJ161" i="20"/>
  <c r="BI161" i="20"/>
  <c r="BH161" i="20"/>
  <c r="BF161" i="20"/>
  <c r="BE161" i="20"/>
  <c r="BD161" i="20"/>
  <c r="BC161" i="20"/>
  <c r="BB161" i="20"/>
  <c r="BA161" i="20"/>
  <c r="AZ161" i="20"/>
  <c r="AY161" i="20"/>
  <c r="AX161" i="20"/>
  <c r="AT161" i="20"/>
  <c r="AJ161" i="20"/>
  <c r="AU161" i="20" s="1"/>
  <c r="AV161" i="20" s="1"/>
  <c r="W161" i="20"/>
  <c r="M161" i="20"/>
  <c r="X161" i="20" s="1"/>
  <c r="Y161" i="20" s="1"/>
  <c r="BX160" i="20"/>
  <c r="BW160" i="20"/>
  <c r="BP160" i="20"/>
  <c r="BO160" i="20"/>
  <c r="BN160" i="20"/>
  <c r="BM160" i="20"/>
  <c r="BL160" i="20"/>
  <c r="BK160" i="20"/>
  <c r="BJ160" i="20"/>
  <c r="BI160" i="20"/>
  <c r="BH160" i="20"/>
  <c r="BF160" i="20"/>
  <c r="BE160" i="20"/>
  <c r="BD160" i="20"/>
  <c r="BC160" i="20"/>
  <c r="BB160" i="20"/>
  <c r="BA160" i="20"/>
  <c r="AZ160" i="20"/>
  <c r="AY160" i="20"/>
  <c r="AX160" i="20"/>
  <c r="AT160" i="20"/>
  <c r="AJ160" i="20"/>
  <c r="AU160" i="20" s="1"/>
  <c r="AV160" i="20" s="1"/>
  <c r="W160" i="20"/>
  <c r="M160" i="20"/>
  <c r="X160" i="20" s="1"/>
  <c r="Y160" i="20" s="1"/>
  <c r="BX159" i="20"/>
  <c r="BW159" i="20"/>
  <c r="BP159" i="20"/>
  <c r="BO159" i="20"/>
  <c r="BN159" i="20"/>
  <c r="BM159" i="20"/>
  <c r="BL159" i="20"/>
  <c r="BK159" i="20"/>
  <c r="BJ159" i="20"/>
  <c r="BI159" i="20"/>
  <c r="BH159" i="20"/>
  <c r="BF159" i="20"/>
  <c r="BE159" i="20"/>
  <c r="BD159" i="20"/>
  <c r="BC159" i="20"/>
  <c r="BB159" i="20"/>
  <c r="BA159" i="20"/>
  <c r="AZ159" i="20"/>
  <c r="AY159" i="20"/>
  <c r="AX159" i="20"/>
  <c r="AT159" i="20"/>
  <c r="AJ159" i="20"/>
  <c r="AU159" i="20" s="1"/>
  <c r="AV159" i="20" s="1"/>
  <c r="W159" i="20"/>
  <c r="M159" i="20"/>
  <c r="X159" i="20" s="1"/>
  <c r="Y159" i="20" s="1"/>
  <c r="BX158" i="20"/>
  <c r="BW158" i="20"/>
  <c r="BP158" i="20"/>
  <c r="BO158" i="20"/>
  <c r="BN158" i="20"/>
  <c r="BM158" i="20"/>
  <c r="BL158" i="20"/>
  <c r="BK158" i="20"/>
  <c r="BJ158" i="20"/>
  <c r="BI158" i="20"/>
  <c r="BH158" i="20"/>
  <c r="BF158" i="20"/>
  <c r="BE158" i="20"/>
  <c r="BD158" i="20"/>
  <c r="BC158" i="20"/>
  <c r="BB158" i="20"/>
  <c r="BA158" i="20"/>
  <c r="AZ158" i="20"/>
  <c r="AY158" i="20"/>
  <c r="AX158" i="20"/>
  <c r="AT158" i="20"/>
  <c r="AJ158" i="20"/>
  <c r="AU158" i="20" s="1"/>
  <c r="AV158" i="20" s="1"/>
  <c r="W158" i="20"/>
  <c r="M158" i="20"/>
  <c r="X158" i="20" s="1"/>
  <c r="Y158" i="20" s="1"/>
  <c r="BX157" i="20"/>
  <c r="BP157" i="20"/>
  <c r="BO157" i="20"/>
  <c r="BN157" i="20"/>
  <c r="BM157" i="20"/>
  <c r="BL157" i="20"/>
  <c r="BK157" i="20"/>
  <c r="BJ157" i="20"/>
  <c r="BI157" i="20"/>
  <c r="BH157" i="20"/>
  <c r="BF157" i="20"/>
  <c r="BE157" i="20"/>
  <c r="BD157" i="20"/>
  <c r="BC157" i="20"/>
  <c r="BB157" i="20"/>
  <c r="BA157" i="20"/>
  <c r="AZ157" i="20"/>
  <c r="AY157" i="20"/>
  <c r="AX157" i="20"/>
  <c r="AT157" i="20"/>
  <c r="AJ157" i="20"/>
  <c r="AU157" i="20" s="1"/>
  <c r="AV157" i="20" s="1"/>
  <c r="W157" i="20"/>
  <c r="M157" i="20"/>
  <c r="X157" i="20" s="1"/>
  <c r="Y157" i="20" s="1"/>
  <c r="BX156" i="20"/>
  <c r="BP156" i="20"/>
  <c r="BO156" i="20"/>
  <c r="BN156" i="20"/>
  <c r="BM156" i="20"/>
  <c r="BL156" i="20"/>
  <c r="BK156" i="20"/>
  <c r="BJ156" i="20"/>
  <c r="BI156" i="20"/>
  <c r="BH156" i="20"/>
  <c r="BF156" i="20"/>
  <c r="BE156" i="20"/>
  <c r="BD156" i="20"/>
  <c r="BC156" i="20"/>
  <c r="BB156" i="20"/>
  <c r="BA156" i="20"/>
  <c r="AZ156" i="20"/>
  <c r="AY156" i="20"/>
  <c r="AX156" i="20"/>
  <c r="AT156" i="20"/>
  <c r="AJ156" i="20"/>
  <c r="AU156" i="20" s="1"/>
  <c r="AV156" i="20" s="1"/>
  <c r="W156" i="20"/>
  <c r="M156" i="20"/>
  <c r="X156" i="20" s="1"/>
  <c r="Y156" i="20" s="1"/>
  <c r="BX155" i="20"/>
  <c r="BW155" i="20"/>
  <c r="BP155" i="20"/>
  <c r="BO155" i="20"/>
  <c r="BN155" i="20"/>
  <c r="BM155" i="20"/>
  <c r="BL155" i="20"/>
  <c r="BK155" i="20"/>
  <c r="BJ155" i="20"/>
  <c r="BI155" i="20"/>
  <c r="BH155" i="20"/>
  <c r="BF155" i="20"/>
  <c r="BE155" i="20"/>
  <c r="BD155" i="20"/>
  <c r="BC155" i="20"/>
  <c r="BB155" i="20"/>
  <c r="BA155" i="20"/>
  <c r="AZ155" i="20"/>
  <c r="AY155" i="20"/>
  <c r="AX155" i="20"/>
  <c r="AT155" i="20"/>
  <c r="AJ155" i="20"/>
  <c r="AU155" i="20" s="1"/>
  <c r="AV155" i="20" s="1"/>
  <c r="W155" i="20"/>
  <c r="M155" i="20"/>
  <c r="X155" i="20" s="1"/>
  <c r="Y155" i="20" s="1"/>
  <c r="BW154" i="20"/>
  <c r="BP154" i="20"/>
  <c r="BO154" i="20"/>
  <c r="BN154" i="20"/>
  <c r="BM154" i="20"/>
  <c r="BL154" i="20"/>
  <c r="BK154" i="20"/>
  <c r="BJ154" i="20"/>
  <c r="BI154" i="20"/>
  <c r="BH154" i="20"/>
  <c r="BF154" i="20"/>
  <c r="BE154" i="20"/>
  <c r="BD154" i="20"/>
  <c r="BC154" i="20"/>
  <c r="BB154" i="20"/>
  <c r="BA154" i="20"/>
  <c r="AZ154" i="20"/>
  <c r="AY154" i="20"/>
  <c r="AX154" i="20"/>
  <c r="AT154" i="20"/>
  <c r="AJ154" i="20"/>
  <c r="AU154" i="20" s="1"/>
  <c r="AV154" i="20" s="1"/>
  <c r="W154" i="20"/>
  <c r="M154" i="20"/>
  <c r="X154" i="20" s="1"/>
  <c r="Y154" i="20" s="1"/>
  <c r="BW153" i="20"/>
  <c r="BP153" i="20"/>
  <c r="BO153" i="20"/>
  <c r="BN153" i="20"/>
  <c r="BM153" i="20"/>
  <c r="BL153" i="20"/>
  <c r="BK153" i="20"/>
  <c r="BJ153" i="20"/>
  <c r="BI153" i="20"/>
  <c r="BH153" i="20"/>
  <c r="BF153" i="20"/>
  <c r="BE153" i="20"/>
  <c r="BD153" i="20"/>
  <c r="BC153" i="20"/>
  <c r="BB153" i="20"/>
  <c r="BA153" i="20"/>
  <c r="AZ153" i="20"/>
  <c r="AY153" i="20"/>
  <c r="AX153" i="20"/>
  <c r="AT153" i="20"/>
  <c r="AJ153" i="20"/>
  <c r="AU153" i="20" s="1"/>
  <c r="AV153" i="20" s="1"/>
  <c r="W153" i="20"/>
  <c r="M153" i="20"/>
  <c r="X153" i="20" s="1"/>
  <c r="Y153" i="20" s="1"/>
  <c r="BX152" i="20"/>
  <c r="BW152" i="20"/>
  <c r="BP152" i="20"/>
  <c r="BO152" i="20"/>
  <c r="BN152" i="20"/>
  <c r="BM152" i="20"/>
  <c r="BL152" i="20"/>
  <c r="BK152" i="20"/>
  <c r="BJ152" i="20"/>
  <c r="BI152" i="20"/>
  <c r="BH152" i="20"/>
  <c r="BF152" i="20"/>
  <c r="BE152" i="20"/>
  <c r="BD152" i="20"/>
  <c r="BC152" i="20"/>
  <c r="BB152" i="20"/>
  <c r="BA152" i="20"/>
  <c r="AZ152" i="20"/>
  <c r="AY152" i="20"/>
  <c r="AX152" i="20"/>
  <c r="AT152" i="20"/>
  <c r="AJ152" i="20"/>
  <c r="AU152" i="20" s="1"/>
  <c r="AV152" i="20" s="1"/>
  <c r="W152" i="20"/>
  <c r="M152" i="20"/>
  <c r="X152" i="20" s="1"/>
  <c r="Y152" i="20" s="1"/>
  <c r="BX151" i="20"/>
  <c r="BW151" i="20"/>
  <c r="BP151" i="20"/>
  <c r="BO151" i="20"/>
  <c r="BN151" i="20"/>
  <c r="BM151" i="20"/>
  <c r="BL151" i="20"/>
  <c r="BK151" i="20"/>
  <c r="BJ151" i="20"/>
  <c r="BI151" i="20"/>
  <c r="BH151" i="20"/>
  <c r="BF151" i="20"/>
  <c r="BE151" i="20"/>
  <c r="BD151" i="20"/>
  <c r="BC151" i="20"/>
  <c r="BB151" i="20"/>
  <c r="BA151" i="20"/>
  <c r="AZ151" i="20"/>
  <c r="AY151" i="20"/>
  <c r="AX151" i="20"/>
  <c r="AT151" i="20"/>
  <c r="AJ151" i="20"/>
  <c r="AU151" i="20" s="1"/>
  <c r="AV151" i="20" s="1"/>
  <c r="W151" i="20"/>
  <c r="M151" i="20"/>
  <c r="X151" i="20" s="1"/>
  <c r="Y151" i="20" s="1"/>
  <c r="BX150" i="20"/>
  <c r="BW150" i="20"/>
  <c r="BP150" i="20"/>
  <c r="BO150" i="20"/>
  <c r="BN150" i="20"/>
  <c r="BM150" i="20"/>
  <c r="BL150" i="20"/>
  <c r="BK150" i="20"/>
  <c r="BJ150" i="20"/>
  <c r="BI150" i="20"/>
  <c r="BH150" i="20"/>
  <c r="BF150" i="20"/>
  <c r="BE150" i="20"/>
  <c r="BD150" i="20"/>
  <c r="BC150" i="20"/>
  <c r="BB150" i="20"/>
  <c r="BA150" i="20"/>
  <c r="AZ150" i="20"/>
  <c r="AY150" i="20"/>
  <c r="AX150" i="20"/>
  <c r="AT150" i="20"/>
  <c r="AJ150" i="20"/>
  <c r="AU150" i="20" s="1"/>
  <c r="AV150" i="20" s="1"/>
  <c r="W150" i="20"/>
  <c r="M150" i="20"/>
  <c r="X150" i="20" s="1"/>
  <c r="Y150" i="20" s="1"/>
  <c r="BX149" i="20"/>
  <c r="BP149" i="20"/>
  <c r="BO149" i="20"/>
  <c r="BN149" i="20"/>
  <c r="BM149" i="20"/>
  <c r="BL149" i="20"/>
  <c r="BK149" i="20"/>
  <c r="BJ149" i="20"/>
  <c r="BI149" i="20"/>
  <c r="BH149" i="20"/>
  <c r="BF149" i="20"/>
  <c r="BE149" i="20"/>
  <c r="BD149" i="20"/>
  <c r="BC149" i="20"/>
  <c r="BB149" i="20"/>
  <c r="BA149" i="20"/>
  <c r="AZ149" i="20"/>
  <c r="AY149" i="20"/>
  <c r="AX149" i="20"/>
  <c r="AT149" i="20"/>
  <c r="AJ149" i="20"/>
  <c r="AU149" i="20" s="1"/>
  <c r="AV149" i="20" s="1"/>
  <c r="W149" i="20"/>
  <c r="M149" i="20"/>
  <c r="X149" i="20" s="1"/>
  <c r="Y149" i="20" s="1"/>
  <c r="BX148" i="20"/>
  <c r="BP148" i="20"/>
  <c r="BO148" i="20"/>
  <c r="BN148" i="20"/>
  <c r="BM148" i="20"/>
  <c r="BL148" i="20"/>
  <c r="BK148" i="20"/>
  <c r="BJ148" i="20"/>
  <c r="BI148" i="20"/>
  <c r="BH148" i="20"/>
  <c r="BF148" i="20"/>
  <c r="BE148" i="20"/>
  <c r="BD148" i="20"/>
  <c r="BC148" i="20"/>
  <c r="BB148" i="20"/>
  <c r="BA148" i="20"/>
  <c r="AZ148" i="20"/>
  <c r="AY148" i="20"/>
  <c r="AX148" i="20"/>
  <c r="AT148" i="20"/>
  <c r="AJ148" i="20"/>
  <c r="AU148" i="20" s="1"/>
  <c r="AV148" i="20" s="1"/>
  <c r="W148" i="20"/>
  <c r="M148" i="20"/>
  <c r="X148" i="20" s="1"/>
  <c r="Y148" i="20" s="1"/>
  <c r="BX147" i="20"/>
  <c r="BW147" i="20"/>
  <c r="BP147" i="20"/>
  <c r="BO147" i="20"/>
  <c r="BN147" i="20"/>
  <c r="BM147" i="20"/>
  <c r="BL147" i="20"/>
  <c r="BK147" i="20"/>
  <c r="BJ147" i="20"/>
  <c r="BI147" i="20"/>
  <c r="BH147" i="20"/>
  <c r="BF147" i="20"/>
  <c r="BE147" i="20"/>
  <c r="BD147" i="20"/>
  <c r="BC147" i="20"/>
  <c r="BB147" i="20"/>
  <c r="BA147" i="20"/>
  <c r="AZ147" i="20"/>
  <c r="AY147" i="20"/>
  <c r="AX147" i="20"/>
  <c r="AT147" i="20"/>
  <c r="AJ147" i="20"/>
  <c r="AU147" i="20" s="1"/>
  <c r="AV147" i="20" s="1"/>
  <c r="W147" i="20"/>
  <c r="M147" i="20"/>
  <c r="X147" i="20" s="1"/>
  <c r="Y147" i="20" s="1"/>
  <c r="BW146" i="20"/>
  <c r="BP146" i="20"/>
  <c r="BO146" i="20"/>
  <c r="BN146" i="20"/>
  <c r="BM146" i="20"/>
  <c r="BL146" i="20"/>
  <c r="BK146" i="20"/>
  <c r="BJ146" i="20"/>
  <c r="BI146" i="20"/>
  <c r="BH146" i="20"/>
  <c r="BF146" i="20"/>
  <c r="BE146" i="20"/>
  <c r="BD146" i="20"/>
  <c r="BC146" i="20"/>
  <c r="BB146" i="20"/>
  <c r="BA146" i="20"/>
  <c r="AZ146" i="20"/>
  <c r="AY146" i="20"/>
  <c r="AX146" i="20"/>
  <c r="AT146" i="20"/>
  <c r="AJ146" i="20"/>
  <c r="AU146" i="20" s="1"/>
  <c r="AV146" i="20" s="1"/>
  <c r="W146" i="20"/>
  <c r="M146" i="20"/>
  <c r="X146" i="20" s="1"/>
  <c r="Y146" i="20" s="1"/>
  <c r="BW145" i="20"/>
  <c r="BP145" i="20"/>
  <c r="BO145" i="20"/>
  <c r="BN145" i="20"/>
  <c r="BM145" i="20"/>
  <c r="BL145" i="20"/>
  <c r="BK145" i="20"/>
  <c r="BJ145" i="20"/>
  <c r="BI145" i="20"/>
  <c r="BH145" i="20"/>
  <c r="BF145" i="20"/>
  <c r="BE145" i="20"/>
  <c r="BD145" i="20"/>
  <c r="BC145" i="20"/>
  <c r="BB145" i="20"/>
  <c r="BA145" i="20"/>
  <c r="AZ145" i="20"/>
  <c r="AY145" i="20"/>
  <c r="AX145" i="20"/>
  <c r="AT145" i="20"/>
  <c r="AJ145" i="20"/>
  <c r="AU145" i="20" s="1"/>
  <c r="AV145" i="20" s="1"/>
  <c r="W145" i="20"/>
  <c r="M145" i="20"/>
  <c r="X145" i="20" s="1"/>
  <c r="Y145" i="20" s="1"/>
  <c r="BX144" i="20"/>
  <c r="BW144" i="20"/>
  <c r="BP144" i="20"/>
  <c r="BO144" i="20"/>
  <c r="BN144" i="20"/>
  <c r="BM144" i="20"/>
  <c r="BL144" i="20"/>
  <c r="BK144" i="20"/>
  <c r="BJ144" i="20"/>
  <c r="BI144" i="20"/>
  <c r="BH144" i="20"/>
  <c r="BF144" i="20"/>
  <c r="BE144" i="20"/>
  <c r="BD144" i="20"/>
  <c r="BC144" i="20"/>
  <c r="BB144" i="20"/>
  <c r="BA144" i="20"/>
  <c r="AZ144" i="20"/>
  <c r="AY144" i="20"/>
  <c r="AX144" i="20"/>
  <c r="AT144" i="20"/>
  <c r="AJ144" i="20"/>
  <c r="AU144" i="20" s="1"/>
  <c r="AV144" i="20" s="1"/>
  <c r="W144" i="20"/>
  <c r="M144" i="20"/>
  <c r="X144" i="20" s="1"/>
  <c r="Y144" i="20" s="1"/>
  <c r="BX143" i="20"/>
  <c r="BW143" i="20"/>
  <c r="BP143" i="20"/>
  <c r="BO143" i="20"/>
  <c r="BN143" i="20"/>
  <c r="BM143" i="20"/>
  <c r="BL143" i="20"/>
  <c r="BK143" i="20"/>
  <c r="BJ143" i="20"/>
  <c r="BI143" i="20"/>
  <c r="BH143" i="20"/>
  <c r="BF143" i="20"/>
  <c r="BE143" i="20"/>
  <c r="BD143" i="20"/>
  <c r="BC143" i="20"/>
  <c r="BB143" i="20"/>
  <c r="BA143" i="20"/>
  <c r="AZ143" i="20"/>
  <c r="AY143" i="20"/>
  <c r="AX143" i="20"/>
  <c r="AT143" i="20"/>
  <c r="AJ143" i="20"/>
  <c r="AU143" i="20" s="1"/>
  <c r="AV143" i="20" s="1"/>
  <c r="W143" i="20"/>
  <c r="M143" i="20"/>
  <c r="X143" i="20" s="1"/>
  <c r="Y143" i="20" s="1"/>
  <c r="BX142" i="20"/>
  <c r="BW142" i="20"/>
  <c r="BP142" i="20"/>
  <c r="BO142" i="20"/>
  <c r="BN142" i="20"/>
  <c r="BM142" i="20"/>
  <c r="BL142" i="20"/>
  <c r="BK142" i="20"/>
  <c r="BJ142" i="20"/>
  <c r="BI142" i="20"/>
  <c r="BH142" i="20"/>
  <c r="BF142" i="20"/>
  <c r="BE142" i="20"/>
  <c r="BD142" i="20"/>
  <c r="BC142" i="20"/>
  <c r="BB142" i="20"/>
  <c r="BA142" i="20"/>
  <c r="AZ142" i="20"/>
  <c r="AY142" i="20"/>
  <c r="AX142" i="20"/>
  <c r="AT142" i="20"/>
  <c r="AJ142" i="20"/>
  <c r="AU142" i="20" s="1"/>
  <c r="AV142" i="20" s="1"/>
  <c r="W142" i="20"/>
  <c r="M142" i="20"/>
  <c r="X142" i="20" s="1"/>
  <c r="Y142" i="20" s="1"/>
  <c r="BX141" i="20"/>
  <c r="BP141" i="20"/>
  <c r="BO141" i="20"/>
  <c r="BN141" i="20"/>
  <c r="BM141" i="20"/>
  <c r="BL141" i="20"/>
  <c r="BK141" i="20"/>
  <c r="BJ141" i="20"/>
  <c r="BI141" i="20"/>
  <c r="BH141" i="20"/>
  <c r="BF141" i="20"/>
  <c r="BE141" i="20"/>
  <c r="BD141" i="20"/>
  <c r="BC141" i="20"/>
  <c r="BB141" i="20"/>
  <c r="BA141" i="20"/>
  <c r="AZ141" i="20"/>
  <c r="AY141" i="20"/>
  <c r="AX141" i="20"/>
  <c r="AT141" i="20"/>
  <c r="AJ141" i="20"/>
  <c r="AU141" i="20" s="1"/>
  <c r="AV141" i="20" s="1"/>
  <c r="W141" i="20"/>
  <c r="M141" i="20"/>
  <c r="X141" i="20" s="1"/>
  <c r="Y141" i="20" s="1"/>
  <c r="BX140" i="20"/>
  <c r="BP140" i="20"/>
  <c r="BO140" i="20"/>
  <c r="BN140" i="20"/>
  <c r="BM140" i="20"/>
  <c r="BL140" i="20"/>
  <c r="BK140" i="20"/>
  <c r="BJ140" i="20"/>
  <c r="BI140" i="20"/>
  <c r="BH140" i="20"/>
  <c r="BF140" i="20"/>
  <c r="BE140" i="20"/>
  <c r="BD140" i="20"/>
  <c r="BC140" i="20"/>
  <c r="BB140" i="20"/>
  <c r="BA140" i="20"/>
  <c r="AZ140" i="20"/>
  <c r="AY140" i="20"/>
  <c r="AX140" i="20"/>
  <c r="AT140" i="20"/>
  <c r="AJ140" i="20"/>
  <c r="AU140" i="20" s="1"/>
  <c r="AV140" i="20" s="1"/>
  <c r="W140" i="20"/>
  <c r="M140" i="20"/>
  <c r="X140" i="20" s="1"/>
  <c r="Y140" i="20" s="1"/>
  <c r="BX139" i="20"/>
  <c r="BW139" i="20"/>
  <c r="BP139" i="20"/>
  <c r="BO139" i="20"/>
  <c r="BN139" i="20"/>
  <c r="BM139" i="20"/>
  <c r="BL139" i="20"/>
  <c r="BK139" i="20"/>
  <c r="BJ139" i="20"/>
  <c r="BI139" i="20"/>
  <c r="BH139" i="20"/>
  <c r="BF139" i="20"/>
  <c r="BE139" i="20"/>
  <c r="BD139" i="20"/>
  <c r="BC139" i="20"/>
  <c r="BB139" i="20"/>
  <c r="BA139" i="20"/>
  <c r="AZ139" i="20"/>
  <c r="AY139" i="20"/>
  <c r="AX139" i="20"/>
  <c r="AT139" i="20"/>
  <c r="AJ139" i="20"/>
  <c r="AU139" i="20" s="1"/>
  <c r="AV139" i="20" s="1"/>
  <c r="W139" i="20"/>
  <c r="M139" i="20"/>
  <c r="X139" i="20" s="1"/>
  <c r="Y139" i="20" s="1"/>
  <c r="BW138" i="20"/>
  <c r="BP138" i="20"/>
  <c r="BO138" i="20"/>
  <c r="BN138" i="20"/>
  <c r="BM138" i="20"/>
  <c r="BL138" i="20"/>
  <c r="BK138" i="20"/>
  <c r="BJ138" i="20"/>
  <c r="BI138" i="20"/>
  <c r="BH138" i="20"/>
  <c r="BF138" i="20"/>
  <c r="BE138" i="20"/>
  <c r="BD138" i="20"/>
  <c r="BC138" i="20"/>
  <c r="BB138" i="20"/>
  <c r="BA138" i="20"/>
  <c r="AZ138" i="20"/>
  <c r="AY138" i="20"/>
  <c r="AX138" i="20"/>
  <c r="AT138" i="20"/>
  <c r="AJ138" i="20"/>
  <c r="AU138" i="20" s="1"/>
  <c r="AV138" i="20" s="1"/>
  <c r="W138" i="20"/>
  <c r="M138" i="20"/>
  <c r="X138" i="20" s="1"/>
  <c r="Y138" i="20" s="1"/>
  <c r="BW137" i="20"/>
  <c r="BP137" i="20"/>
  <c r="BO137" i="20"/>
  <c r="BN137" i="20"/>
  <c r="BM137" i="20"/>
  <c r="BL137" i="20"/>
  <c r="BK137" i="20"/>
  <c r="BJ137" i="20"/>
  <c r="BI137" i="20"/>
  <c r="BH137" i="20"/>
  <c r="BF137" i="20"/>
  <c r="BE137" i="20"/>
  <c r="BD137" i="20"/>
  <c r="BC137" i="20"/>
  <c r="BB137" i="20"/>
  <c r="BA137" i="20"/>
  <c r="AZ137" i="20"/>
  <c r="AY137" i="20"/>
  <c r="AX137" i="20"/>
  <c r="AT137" i="20"/>
  <c r="AJ137" i="20"/>
  <c r="AU137" i="20" s="1"/>
  <c r="AV137" i="20" s="1"/>
  <c r="W137" i="20"/>
  <c r="M137" i="20"/>
  <c r="X137" i="20" s="1"/>
  <c r="Y137" i="20" s="1"/>
  <c r="BX136" i="20"/>
  <c r="BW136" i="20"/>
  <c r="BP136" i="20"/>
  <c r="BO136" i="20"/>
  <c r="BN136" i="20"/>
  <c r="BM136" i="20"/>
  <c r="BL136" i="20"/>
  <c r="BK136" i="20"/>
  <c r="BJ136" i="20"/>
  <c r="BI136" i="20"/>
  <c r="BH136" i="20"/>
  <c r="BF136" i="20"/>
  <c r="BE136" i="20"/>
  <c r="BD136" i="20"/>
  <c r="BC136" i="20"/>
  <c r="BB136" i="20"/>
  <c r="BA136" i="20"/>
  <c r="AZ136" i="20"/>
  <c r="AY136" i="20"/>
  <c r="AX136" i="20"/>
  <c r="AT136" i="20"/>
  <c r="AJ136" i="20"/>
  <c r="AU136" i="20" s="1"/>
  <c r="AV136" i="20" s="1"/>
  <c r="W136" i="20"/>
  <c r="M136" i="20"/>
  <c r="X136" i="20" s="1"/>
  <c r="Y136" i="20" s="1"/>
  <c r="BX135" i="20"/>
  <c r="BW135" i="20"/>
  <c r="BP135" i="20"/>
  <c r="BO135" i="20"/>
  <c r="BN135" i="20"/>
  <c r="BM135" i="20"/>
  <c r="BL135" i="20"/>
  <c r="BK135" i="20"/>
  <c r="BJ135" i="20"/>
  <c r="BI135" i="20"/>
  <c r="BH135" i="20"/>
  <c r="BF135" i="20"/>
  <c r="BE135" i="20"/>
  <c r="BD135" i="20"/>
  <c r="BC135" i="20"/>
  <c r="BB135" i="20"/>
  <c r="BA135" i="20"/>
  <c r="AZ135" i="20"/>
  <c r="AY135" i="20"/>
  <c r="AX135" i="20"/>
  <c r="AT135" i="20"/>
  <c r="AJ135" i="20"/>
  <c r="AU135" i="20" s="1"/>
  <c r="AV135" i="20" s="1"/>
  <c r="W135" i="20"/>
  <c r="M135" i="20"/>
  <c r="X135" i="20" s="1"/>
  <c r="Y135" i="20" s="1"/>
  <c r="BX134" i="20"/>
  <c r="BW134" i="20"/>
  <c r="BP134" i="20"/>
  <c r="BO134" i="20"/>
  <c r="BN134" i="20"/>
  <c r="BM134" i="20"/>
  <c r="BL134" i="20"/>
  <c r="BK134" i="20"/>
  <c r="BJ134" i="20"/>
  <c r="BI134" i="20"/>
  <c r="BH134" i="20"/>
  <c r="BF134" i="20"/>
  <c r="BE134" i="20"/>
  <c r="BD134" i="20"/>
  <c r="BC134" i="20"/>
  <c r="BB134" i="20"/>
  <c r="BA134" i="20"/>
  <c r="AZ134" i="20"/>
  <c r="AY134" i="20"/>
  <c r="AX134" i="20"/>
  <c r="AT134" i="20"/>
  <c r="AJ134" i="20"/>
  <c r="AU134" i="20" s="1"/>
  <c r="AV134" i="20" s="1"/>
  <c r="W134" i="20"/>
  <c r="M134" i="20"/>
  <c r="X134" i="20" s="1"/>
  <c r="Y134" i="20" s="1"/>
  <c r="BX133" i="20"/>
  <c r="BP133" i="20"/>
  <c r="BO133" i="20"/>
  <c r="BN133" i="20"/>
  <c r="BM133" i="20"/>
  <c r="BL133" i="20"/>
  <c r="BK133" i="20"/>
  <c r="BJ133" i="20"/>
  <c r="BI133" i="20"/>
  <c r="BH133" i="20"/>
  <c r="BF133" i="20"/>
  <c r="BE133" i="20"/>
  <c r="BD133" i="20"/>
  <c r="BC133" i="20"/>
  <c r="BB133" i="20"/>
  <c r="BA133" i="20"/>
  <c r="AZ133" i="20"/>
  <c r="AY133" i="20"/>
  <c r="AX133" i="20"/>
  <c r="AT133" i="20"/>
  <c r="AJ133" i="20"/>
  <c r="AU133" i="20" s="1"/>
  <c r="AV133" i="20" s="1"/>
  <c r="W133" i="20"/>
  <c r="M133" i="20"/>
  <c r="X133" i="20" s="1"/>
  <c r="Y133" i="20" s="1"/>
  <c r="BX132" i="20"/>
  <c r="BP132" i="20"/>
  <c r="BO132" i="20"/>
  <c r="BN132" i="20"/>
  <c r="BM132" i="20"/>
  <c r="BL132" i="20"/>
  <c r="BK132" i="20"/>
  <c r="BJ132" i="20"/>
  <c r="BI132" i="20"/>
  <c r="BH132" i="20"/>
  <c r="BF132" i="20"/>
  <c r="BE132" i="20"/>
  <c r="BD132" i="20"/>
  <c r="BC132" i="20"/>
  <c r="BB132" i="20"/>
  <c r="BA132" i="20"/>
  <c r="AZ132" i="20"/>
  <c r="AY132" i="20"/>
  <c r="AX132" i="20"/>
  <c r="AT132" i="20"/>
  <c r="AJ132" i="20"/>
  <c r="AU132" i="20" s="1"/>
  <c r="AV132" i="20" s="1"/>
  <c r="W132" i="20"/>
  <c r="M132" i="20"/>
  <c r="X132" i="20" s="1"/>
  <c r="Y132" i="20" s="1"/>
  <c r="BX131" i="20"/>
  <c r="BW131" i="20"/>
  <c r="BP131" i="20"/>
  <c r="BO131" i="20"/>
  <c r="BN131" i="20"/>
  <c r="BM131" i="20"/>
  <c r="BL131" i="20"/>
  <c r="BK131" i="20"/>
  <c r="BJ131" i="20"/>
  <c r="BI131" i="20"/>
  <c r="BH131" i="20"/>
  <c r="BF131" i="20"/>
  <c r="BE131" i="20"/>
  <c r="BD131" i="20"/>
  <c r="BC131" i="20"/>
  <c r="BB131" i="20"/>
  <c r="BA131" i="20"/>
  <c r="AZ131" i="20"/>
  <c r="AY131" i="20"/>
  <c r="AX131" i="20"/>
  <c r="AT131" i="20"/>
  <c r="AJ131" i="20"/>
  <c r="AU131" i="20" s="1"/>
  <c r="AV131" i="20" s="1"/>
  <c r="W131" i="20"/>
  <c r="M131" i="20"/>
  <c r="X131" i="20" s="1"/>
  <c r="Y131" i="20" s="1"/>
  <c r="BW130" i="20"/>
  <c r="BP130" i="20"/>
  <c r="BO130" i="20"/>
  <c r="BN130" i="20"/>
  <c r="BM130" i="20"/>
  <c r="BL130" i="20"/>
  <c r="BK130" i="20"/>
  <c r="BJ130" i="20"/>
  <c r="BI130" i="20"/>
  <c r="BH130" i="20"/>
  <c r="BF130" i="20"/>
  <c r="BE130" i="20"/>
  <c r="BD130" i="20"/>
  <c r="BC130" i="20"/>
  <c r="BB130" i="20"/>
  <c r="BA130" i="20"/>
  <c r="AZ130" i="20"/>
  <c r="AY130" i="20"/>
  <c r="AX130" i="20"/>
  <c r="AT130" i="20"/>
  <c r="AJ130" i="20"/>
  <c r="AU130" i="20" s="1"/>
  <c r="AV130" i="20" s="1"/>
  <c r="W130" i="20"/>
  <c r="M130" i="20"/>
  <c r="X130" i="20" s="1"/>
  <c r="Y130" i="20" s="1"/>
  <c r="BW129" i="20"/>
  <c r="BP129" i="20"/>
  <c r="BO129" i="20"/>
  <c r="BN129" i="20"/>
  <c r="BM129" i="20"/>
  <c r="BL129" i="20"/>
  <c r="BK129" i="20"/>
  <c r="BJ129" i="20"/>
  <c r="BI129" i="20"/>
  <c r="BH129" i="20"/>
  <c r="BQ129" i="20" s="1"/>
  <c r="BF129" i="20"/>
  <c r="BE129" i="20"/>
  <c r="BD129" i="20"/>
  <c r="BC129" i="20"/>
  <c r="BB129" i="20"/>
  <c r="BA129" i="20"/>
  <c r="AZ129" i="20"/>
  <c r="AY129" i="20"/>
  <c r="AX129" i="20"/>
  <c r="AT129" i="20"/>
  <c r="AJ129" i="20"/>
  <c r="AU129" i="20" s="1"/>
  <c r="AV129" i="20" s="1"/>
  <c r="W129" i="20"/>
  <c r="M129" i="20"/>
  <c r="X129" i="20" s="1"/>
  <c r="Y129" i="20" s="1"/>
  <c r="BX128" i="20"/>
  <c r="BW128" i="20"/>
  <c r="BP128" i="20"/>
  <c r="BO128" i="20"/>
  <c r="BN128" i="20"/>
  <c r="BM128" i="20"/>
  <c r="BL128" i="20"/>
  <c r="BK128" i="20"/>
  <c r="BJ128" i="20"/>
  <c r="BI128" i="20"/>
  <c r="BH128" i="20"/>
  <c r="BQ128" i="20" s="1"/>
  <c r="BF128" i="20"/>
  <c r="BE128" i="20"/>
  <c r="BD128" i="20"/>
  <c r="BC128" i="20"/>
  <c r="BB128" i="20"/>
  <c r="BA128" i="20"/>
  <c r="AZ128" i="20"/>
  <c r="AY128" i="20"/>
  <c r="AX128" i="20"/>
  <c r="AT128" i="20"/>
  <c r="AJ128" i="20"/>
  <c r="AU128" i="20" s="1"/>
  <c r="AV128" i="20" s="1"/>
  <c r="W128" i="20"/>
  <c r="M128" i="20"/>
  <c r="X128" i="20" s="1"/>
  <c r="Y128" i="20" s="1"/>
  <c r="BX127" i="20"/>
  <c r="BW127" i="20"/>
  <c r="BP127" i="20"/>
  <c r="BO127" i="20"/>
  <c r="BN127" i="20"/>
  <c r="BM127" i="20"/>
  <c r="BL127" i="20"/>
  <c r="BK127" i="20"/>
  <c r="BJ127" i="20"/>
  <c r="BI127" i="20"/>
  <c r="BH127" i="20"/>
  <c r="BF127" i="20"/>
  <c r="BE127" i="20"/>
  <c r="BD127" i="20"/>
  <c r="BC127" i="20"/>
  <c r="BB127" i="20"/>
  <c r="BA127" i="20"/>
  <c r="AZ127" i="20"/>
  <c r="AY127" i="20"/>
  <c r="AX127" i="20"/>
  <c r="AT127" i="20"/>
  <c r="AJ127" i="20"/>
  <c r="AU127" i="20" s="1"/>
  <c r="AV127" i="20" s="1"/>
  <c r="W127" i="20"/>
  <c r="M127" i="20"/>
  <c r="X127" i="20" s="1"/>
  <c r="Y127" i="20" s="1"/>
  <c r="BX126" i="20"/>
  <c r="BW126" i="20"/>
  <c r="BP126" i="20"/>
  <c r="BO126" i="20"/>
  <c r="BN126" i="20"/>
  <c r="BM126" i="20"/>
  <c r="BL126" i="20"/>
  <c r="BK126" i="20"/>
  <c r="BJ126" i="20"/>
  <c r="BI126" i="20"/>
  <c r="BH126" i="20"/>
  <c r="BQ126" i="20" s="1"/>
  <c r="BF126" i="20"/>
  <c r="BE126" i="20"/>
  <c r="BD126" i="20"/>
  <c r="BC126" i="20"/>
  <c r="BB126" i="20"/>
  <c r="BA126" i="20"/>
  <c r="AZ126" i="20"/>
  <c r="AY126" i="20"/>
  <c r="AX126" i="20"/>
  <c r="AT126" i="20"/>
  <c r="AJ126" i="20"/>
  <c r="AU126" i="20" s="1"/>
  <c r="AV126" i="20" s="1"/>
  <c r="W126" i="20"/>
  <c r="M126" i="20"/>
  <c r="X126" i="20" s="1"/>
  <c r="Y126" i="20" s="1"/>
  <c r="BX125" i="20"/>
  <c r="BP125" i="20"/>
  <c r="BO125" i="20"/>
  <c r="BN125" i="20"/>
  <c r="BM125" i="20"/>
  <c r="BL125" i="20"/>
  <c r="BK125" i="20"/>
  <c r="BJ125" i="20"/>
  <c r="BI125" i="20"/>
  <c r="BH125" i="20"/>
  <c r="BQ125" i="20" s="1"/>
  <c r="BF125" i="20"/>
  <c r="BE125" i="20"/>
  <c r="BD125" i="20"/>
  <c r="BC125" i="20"/>
  <c r="BB125" i="20"/>
  <c r="BA125" i="20"/>
  <c r="AZ125" i="20"/>
  <c r="AY125" i="20"/>
  <c r="AX125" i="20"/>
  <c r="AT125" i="20"/>
  <c r="AJ125" i="20"/>
  <c r="AU125" i="20" s="1"/>
  <c r="AV125" i="20" s="1"/>
  <c r="W125" i="20"/>
  <c r="M125" i="20"/>
  <c r="X125" i="20" s="1"/>
  <c r="Y125" i="20" s="1"/>
  <c r="BX124" i="20"/>
  <c r="BP124" i="20"/>
  <c r="BO124" i="20"/>
  <c r="BN124" i="20"/>
  <c r="BM124" i="20"/>
  <c r="BL124" i="20"/>
  <c r="BK124" i="20"/>
  <c r="BJ124" i="20"/>
  <c r="BI124" i="20"/>
  <c r="BH124" i="20"/>
  <c r="BQ124" i="20" s="1"/>
  <c r="BF124" i="20"/>
  <c r="BE124" i="20"/>
  <c r="BD124" i="20"/>
  <c r="BC124" i="20"/>
  <c r="BB124" i="20"/>
  <c r="BA124" i="20"/>
  <c r="AZ124" i="20"/>
  <c r="AY124" i="20"/>
  <c r="AX124" i="20"/>
  <c r="AT124" i="20"/>
  <c r="AJ124" i="20"/>
  <c r="AU124" i="20" s="1"/>
  <c r="AV124" i="20" s="1"/>
  <c r="W124" i="20"/>
  <c r="M124" i="20"/>
  <c r="X124" i="20" s="1"/>
  <c r="Y124" i="20" s="1"/>
  <c r="BX123" i="20"/>
  <c r="BW123" i="20"/>
  <c r="BP123" i="20"/>
  <c r="BO123" i="20"/>
  <c r="BN123" i="20"/>
  <c r="BM123" i="20"/>
  <c r="BL123" i="20"/>
  <c r="BK123" i="20"/>
  <c r="BJ123" i="20"/>
  <c r="BI123" i="20"/>
  <c r="BH123" i="20"/>
  <c r="BQ123" i="20" s="1"/>
  <c r="BF123" i="20"/>
  <c r="BE123" i="20"/>
  <c r="BD123" i="20"/>
  <c r="BC123" i="20"/>
  <c r="BB123" i="20"/>
  <c r="BA123" i="20"/>
  <c r="AZ123" i="20"/>
  <c r="AY123" i="20"/>
  <c r="AX123" i="20"/>
  <c r="AT123" i="20"/>
  <c r="AJ123" i="20"/>
  <c r="AU123" i="20" s="1"/>
  <c r="AV123" i="20" s="1"/>
  <c r="W123" i="20"/>
  <c r="M123" i="20"/>
  <c r="X123" i="20" s="1"/>
  <c r="Y123" i="20" s="1"/>
  <c r="BW122" i="20"/>
  <c r="BP122" i="20"/>
  <c r="BO122" i="20"/>
  <c r="BN122" i="20"/>
  <c r="BM122" i="20"/>
  <c r="BL122" i="20"/>
  <c r="BK122" i="20"/>
  <c r="BJ122" i="20"/>
  <c r="BI122" i="20"/>
  <c r="BH122" i="20"/>
  <c r="BF122" i="20"/>
  <c r="BE122" i="20"/>
  <c r="BD122" i="20"/>
  <c r="BC122" i="20"/>
  <c r="BB122" i="20"/>
  <c r="BA122" i="20"/>
  <c r="AZ122" i="20"/>
  <c r="AY122" i="20"/>
  <c r="AX122" i="20"/>
  <c r="AT122" i="20"/>
  <c r="AJ122" i="20"/>
  <c r="AU122" i="20" s="1"/>
  <c r="AV122" i="20" s="1"/>
  <c r="W122" i="20"/>
  <c r="M122" i="20"/>
  <c r="X122" i="20" s="1"/>
  <c r="Y122" i="20" s="1"/>
  <c r="BW121" i="20"/>
  <c r="BP121" i="20"/>
  <c r="BO121" i="20"/>
  <c r="BN121" i="20"/>
  <c r="BM121" i="20"/>
  <c r="BL121" i="20"/>
  <c r="BK121" i="20"/>
  <c r="BJ121" i="20"/>
  <c r="BI121" i="20"/>
  <c r="BH121" i="20"/>
  <c r="BQ121" i="20" s="1"/>
  <c r="BF121" i="20"/>
  <c r="BE121" i="20"/>
  <c r="BD121" i="20"/>
  <c r="BC121" i="20"/>
  <c r="BB121" i="20"/>
  <c r="BA121" i="20"/>
  <c r="AZ121" i="20"/>
  <c r="AY121" i="20"/>
  <c r="AX121" i="20"/>
  <c r="AT121" i="20"/>
  <c r="AJ121" i="20"/>
  <c r="AU121" i="20" s="1"/>
  <c r="AV121" i="20" s="1"/>
  <c r="W121" i="20"/>
  <c r="M121" i="20"/>
  <c r="X121" i="20" s="1"/>
  <c r="Y121" i="20" s="1"/>
  <c r="BX120" i="20"/>
  <c r="BW120" i="20"/>
  <c r="BP120" i="20"/>
  <c r="BO120" i="20"/>
  <c r="BN120" i="20"/>
  <c r="BM120" i="20"/>
  <c r="BL120" i="20"/>
  <c r="BK120" i="20"/>
  <c r="BJ120" i="20"/>
  <c r="BI120" i="20"/>
  <c r="BH120" i="20"/>
  <c r="BQ120" i="20" s="1"/>
  <c r="BF120" i="20"/>
  <c r="BE120" i="20"/>
  <c r="BD120" i="20"/>
  <c r="BC120" i="20"/>
  <c r="BB120" i="20"/>
  <c r="BA120" i="20"/>
  <c r="AZ120" i="20"/>
  <c r="AY120" i="20"/>
  <c r="AX120" i="20"/>
  <c r="AT120" i="20"/>
  <c r="AJ120" i="20"/>
  <c r="AU120" i="20" s="1"/>
  <c r="AV120" i="20" s="1"/>
  <c r="W120" i="20"/>
  <c r="M120" i="20"/>
  <c r="X120" i="20" s="1"/>
  <c r="Y120" i="20" s="1"/>
  <c r="BX119" i="20"/>
  <c r="BW119" i="20"/>
  <c r="BP119" i="20"/>
  <c r="BO119" i="20"/>
  <c r="BN119" i="20"/>
  <c r="BM119" i="20"/>
  <c r="BL119" i="20"/>
  <c r="BK119" i="20"/>
  <c r="BJ119" i="20"/>
  <c r="BI119" i="20"/>
  <c r="BH119" i="20"/>
  <c r="BF119" i="20"/>
  <c r="BE119" i="20"/>
  <c r="BD119" i="20"/>
  <c r="BC119" i="20"/>
  <c r="BB119" i="20"/>
  <c r="BA119" i="20"/>
  <c r="AZ119" i="20"/>
  <c r="AY119" i="20"/>
  <c r="AX119" i="20"/>
  <c r="AT119" i="20"/>
  <c r="AJ119" i="20"/>
  <c r="AU119" i="20" s="1"/>
  <c r="AV119" i="20" s="1"/>
  <c r="W119" i="20"/>
  <c r="M119" i="20"/>
  <c r="X119" i="20" s="1"/>
  <c r="Y119" i="20" s="1"/>
  <c r="BX118" i="20"/>
  <c r="BW118" i="20"/>
  <c r="BP118" i="20"/>
  <c r="BO118" i="20"/>
  <c r="BN118" i="20"/>
  <c r="BM118" i="20"/>
  <c r="BL118" i="20"/>
  <c r="BK118" i="20"/>
  <c r="BJ118" i="20"/>
  <c r="BI118" i="20"/>
  <c r="BH118" i="20"/>
  <c r="BQ118" i="20" s="1"/>
  <c r="BF118" i="20"/>
  <c r="BE118" i="20"/>
  <c r="BD118" i="20"/>
  <c r="BC118" i="20"/>
  <c r="BB118" i="20"/>
  <c r="BA118" i="20"/>
  <c r="AZ118" i="20"/>
  <c r="AY118" i="20"/>
  <c r="AX118" i="20"/>
  <c r="AT118" i="20"/>
  <c r="AJ118" i="20"/>
  <c r="AU118" i="20" s="1"/>
  <c r="AV118" i="20" s="1"/>
  <c r="W118" i="20"/>
  <c r="M118" i="20"/>
  <c r="X118" i="20" s="1"/>
  <c r="Y118" i="20" s="1"/>
  <c r="BX117" i="20"/>
  <c r="BP117" i="20"/>
  <c r="BO117" i="20"/>
  <c r="BN117" i="20"/>
  <c r="BM117" i="20"/>
  <c r="BL117" i="20"/>
  <c r="BK117" i="20"/>
  <c r="BJ117" i="20"/>
  <c r="BI117" i="20"/>
  <c r="BH117" i="20"/>
  <c r="BQ117" i="20" s="1"/>
  <c r="BF117" i="20"/>
  <c r="BE117" i="20"/>
  <c r="BD117" i="20"/>
  <c r="BC117" i="20"/>
  <c r="BB117" i="20"/>
  <c r="BA117" i="20"/>
  <c r="AZ117" i="20"/>
  <c r="AY117" i="20"/>
  <c r="AX117" i="20"/>
  <c r="AT117" i="20"/>
  <c r="AJ117" i="20"/>
  <c r="AU117" i="20" s="1"/>
  <c r="AV117" i="20" s="1"/>
  <c r="W117" i="20"/>
  <c r="M117" i="20"/>
  <c r="X117" i="20" s="1"/>
  <c r="Y117" i="20" s="1"/>
  <c r="BX116" i="20"/>
  <c r="BP116" i="20"/>
  <c r="BO116" i="20"/>
  <c r="BN116" i="20"/>
  <c r="BM116" i="20"/>
  <c r="BL116" i="20"/>
  <c r="BK116" i="20"/>
  <c r="BJ116" i="20"/>
  <c r="BI116" i="20"/>
  <c r="BH116" i="20"/>
  <c r="BQ116" i="20" s="1"/>
  <c r="BF116" i="20"/>
  <c r="BE116" i="20"/>
  <c r="BD116" i="20"/>
  <c r="BC116" i="20"/>
  <c r="BB116" i="20"/>
  <c r="BA116" i="20"/>
  <c r="AZ116" i="20"/>
  <c r="AY116" i="20"/>
  <c r="AX116" i="20"/>
  <c r="AT116" i="20"/>
  <c r="AJ116" i="20"/>
  <c r="AU116" i="20" s="1"/>
  <c r="AV116" i="20" s="1"/>
  <c r="W116" i="20"/>
  <c r="M116" i="20"/>
  <c r="X116" i="20" s="1"/>
  <c r="Y116" i="20" s="1"/>
  <c r="BX115" i="20"/>
  <c r="BW115" i="20"/>
  <c r="BP115" i="20"/>
  <c r="BO115" i="20"/>
  <c r="BN115" i="20"/>
  <c r="BM115" i="20"/>
  <c r="BL115" i="20"/>
  <c r="BK115" i="20"/>
  <c r="BJ115" i="20"/>
  <c r="BI115" i="20"/>
  <c r="BH115" i="20"/>
  <c r="BQ115" i="20" s="1"/>
  <c r="BF115" i="20"/>
  <c r="BE115" i="20"/>
  <c r="BD115" i="20"/>
  <c r="BC115" i="20"/>
  <c r="BB115" i="20"/>
  <c r="BA115" i="20"/>
  <c r="AZ115" i="20"/>
  <c r="AY115" i="20"/>
  <c r="AX115" i="20"/>
  <c r="AT115" i="20"/>
  <c r="AJ115" i="20"/>
  <c r="AU115" i="20" s="1"/>
  <c r="AV115" i="20" s="1"/>
  <c r="W115" i="20"/>
  <c r="M115" i="20"/>
  <c r="X115" i="20" s="1"/>
  <c r="Y115" i="20" s="1"/>
  <c r="BW114" i="20"/>
  <c r="BP114" i="20"/>
  <c r="BO114" i="20"/>
  <c r="BN114" i="20"/>
  <c r="BM114" i="20"/>
  <c r="BL114" i="20"/>
  <c r="BK114" i="20"/>
  <c r="BJ114" i="20"/>
  <c r="BI114" i="20"/>
  <c r="BH114" i="20"/>
  <c r="BF114" i="20"/>
  <c r="BE114" i="20"/>
  <c r="BD114" i="20"/>
  <c r="BC114" i="20"/>
  <c r="BB114" i="20"/>
  <c r="BA114" i="20"/>
  <c r="AZ114" i="20"/>
  <c r="AY114" i="20"/>
  <c r="AX114" i="20"/>
  <c r="AT114" i="20"/>
  <c r="AJ114" i="20"/>
  <c r="AU114" i="20" s="1"/>
  <c r="AV114" i="20" s="1"/>
  <c r="W114" i="20"/>
  <c r="M114" i="20"/>
  <c r="X114" i="20" s="1"/>
  <c r="Y114" i="20" s="1"/>
  <c r="BW113" i="20"/>
  <c r="BP113" i="20"/>
  <c r="BO113" i="20"/>
  <c r="BN113" i="20"/>
  <c r="BM113" i="20"/>
  <c r="BL113" i="20"/>
  <c r="BK113" i="20"/>
  <c r="BJ113" i="20"/>
  <c r="BI113" i="20"/>
  <c r="BH113" i="20"/>
  <c r="BQ113" i="20" s="1"/>
  <c r="BF113" i="20"/>
  <c r="BE113" i="20"/>
  <c r="BD113" i="20"/>
  <c r="BC113" i="20"/>
  <c r="BB113" i="20"/>
  <c r="BA113" i="20"/>
  <c r="AZ113" i="20"/>
  <c r="AY113" i="20"/>
  <c r="AX113" i="20"/>
  <c r="AT113" i="20"/>
  <c r="AJ113" i="20"/>
  <c r="AU113" i="20" s="1"/>
  <c r="AV113" i="20" s="1"/>
  <c r="W113" i="20"/>
  <c r="M113" i="20"/>
  <c r="X113" i="20" s="1"/>
  <c r="Y113" i="20" s="1"/>
  <c r="BX112" i="20"/>
  <c r="BW112" i="20"/>
  <c r="BP112" i="20"/>
  <c r="BO112" i="20"/>
  <c r="BN112" i="20"/>
  <c r="BM112" i="20"/>
  <c r="BL112" i="20"/>
  <c r="BK112" i="20"/>
  <c r="BJ112" i="20"/>
  <c r="BI112" i="20"/>
  <c r="BH112" i="20"/>
  <c r="BQ112" i="20" s="1"/>
  <c r="BF112" i="20"/>
  <c r="BE112" i="20"/>
  <c r="BD112" i="20"/>
  <c r="BC112" i="20"/>
  <c r="BB112" i="20"/>
  <c r="BA112" i="20"/>
  <c r="AZ112" i="20"/>
  <c r="AY112" i="20"/>
  <c r="AX112" i="20"/>
  <c r="AT112" i="20"/>
  <c r="AJ112" i="20"/>
  <c r="AU112" i="20" s="1"/>
  <c r="AV112" i="20" s="1"/>
  <c r="W112" i="20"/>
  <c r="M112" i="20"/>
  <c r="X112" i="20" s="1"/>
  <c r="Y112" i="20" s="1"/>
  <c r="BX111" i="20"/>
  <c r="BW111" i="20"/>
  <c r="BP111" i="20"/>
  <c r="BO111" i="20"/>
  <c r="BN111" i="20"/>
  <c r="BM111" i="20"/>
  <c r="BL111" i="20"/>
  <c r="BK111" i="20"/>
  <c r="BJ111" i="20"/>
  <c r="BI111" i="20"/>
  <c r="BH111" i="20"/>
  <c r="BF111" i="20"/>
  <c r="BE111" i="20"/>
  <c r="BD111" i="20"/>
  <c r="BC111" i="20"/>
  <c r="BB111" i="20"/>
  <c r="BA111" i="20"/>
  <c r="AZ111" i="20"/>
  <c r="AY111" i="20"/>
  <c r="AX111" i="20"/>
  <c r="AT111" i="20"/>
  <c r="AJ111" i="20"/>
  <c r="AU111" i="20" s="1"/>
  <c r="AV111" i="20" s="1"/>
  <c r="W111" i="20"/>
  <c r="M111" i="20"/>
  <c r="X111" i="20" s="1"/>
  <c r="Y111" i="20" s="1"/>
  <c r="BX110" i="20"/>
  <c r="BW110" i="20"/>
  <c r="BP110" i="20"/>
  <c r="BO110" i="20"/>
  <c r="BN110" i="20"/>
  <c r="BM110" i="20"/>
  <c r="BL110" i="20"/>
  <c r="BK110" i="20"/>
  <c r="BJ110" i="20"/>
  <c r="BI110" i="20"/>
  <c r="BH110" i="20"/>
  <c r="BQ110" i="20" s="1"/>
  <c r="BF110" i="20"/>
  <c r="BE110" i="20"/>
  <c r="BD110" i="20"/>
  <c r="BC110" i="20"/>
  <c r="BB110" i="20"/>
  <c r="BA110" i="20"/>
  <c r="AZ110" i="20"/>
  <c r="AY110" i="20"/>
  <c r="AX110" i="20"/>
  <c r="AT110" i="20"/>
  <c r="AJ110" i="20"/>
  <c r="AU110" i="20" s="1"/>
  <c r="AV110" i="20" s="1"/>
  <c r="W110" i="20"/>
  <c r="M110" i="20"/>
  <c r="X110" i="20" s="1"/>
  <c r="Y110" i="20" s="1"/>
  <c r="BX109" i="20"/>
  <c r="BP109" i="20"/>
  <c r="BO109" i="20"/>
  <c r="BN109" i="20"/>
  <c r="BM109" i="20"/>
  <c r="BL109" i="20"/>
  <c r="BK109" i="20"/>
  <c r="BJ109" i="20"/>
  <c r="BI109" i="20"/>
  <c r="BH109" i="20"/>
  <c r="BF109" i="20"/>
  <c r="BE109" i="20"/>
  <c r="BD109" i="20"/>
  <c r="BC109" i="20"/>
  <c r="BB109" i="20"/>
  <c r="BA109" i="20"/>
  <c r="AZ109" i="20"/>
  <c r="AY109" i="20"/>
  <c r="AX109" i="20"/>
  <c r="AT109" i="20"/>
  <c r="AJ109" i="20"/>
  <c r="AU109" i="20" s="1"/>
  <c r="AV109" i="20" s="1"/>
  <c r="W109" i="20"/>
  <c r="M109" i="20"/>
  <c r="X109" i="20" s="1"/>
  <c r="Y109" i="20" s="1"/>
  <c r="BX108" i="20"/>
  <c r="BP108" i="20"/>
  <c r="BO108" i="20"/>
  <c r="BN108" i="20"/>
  <c r="BM108" i="20"/>
  <c r="BL108" i="20"/>
  <c r="BK108" i="20"/>
  <c r="BJ108" i="20"/>
  <c r="BI108" i="20"/>
  <c r="BH108" i="20"/>
  <c r="BF108" i="20"/>
  <c r="BE108" i="20"/>
  <c r="BD108" i="20"/>
  <c r="BC108" i="20"/>
  <c r="BB108" i="20"/>
  <c r="BA108" i="20"/>
  <c r="AZ108" i="20"/>
  <c r="AY108" i="20"/>
  <c r="AX108" i="20"/>
  <c r="AT108" i="20"/>
  <c r="AJ108" i="20"/>
  <c r="AU108" i="20" s="1"/>
  <c r="AV108" i="20" s="1"/>
  <c r="W108" i="20"/>
  <c r="M108" i="20"/>
  <c r="X108" i="20" s="1"/>
  <c r="Y108" i="20" s="1"/>
  <c r="BX107" i="20"/>
  <c r="BW107" i="20"/>
  <c r="BP107" i="20"/>
  <c r="BO107" i="20"/>
  <c r="BN107" i="20"/>
  <c r="BM107" i="20"/>
  <c r="BL107" i="20"/>
  <c r="BK107" i="20"/>
  <c r="BJ107" i="20"/>
  <c r="BI107" i="20"/>
  <c r="BH107" i="20"/>
  <c r="BQ107" i="20" s="1"/>
  <c r="BF107" i="20"/>
  <c r="BE107" i="20"/>
  <c r="BD107" i="20"/>
  <c r="BC107" i="20"/>
  <c r="BB107" i="20"/>
  <c r="BA107" i="20"/>
  <c r="AZ107" i="20"/>
  <c r="AY107" i="20"/>
  <c r="AX107" i="20"/>
  <c r="AT107" i="20"/>
  <c r="AJ107" i="20"/>
  <c r="AU107" i="20" s="1"/>
  <c r="AV107" i="20" s="1"/>
  <c r="W107" i="20"/>
  <c r="M107" i="20"/>
  <c r="X107" i="20" s="1"/>
  <c r="Y107" i="20" s="1"/>
  <c r="BW106" i="20"/>
  <c r="BP106" i="20"/>
  <c r="BO106" i="20"/>
  <c r="BN106" i="20"/>
  <c r="BM106" i="20"/>
  <c r="BL106" i="20"/>
  <c r="BK106" i="20"/>
  <c r="BJ106" i="20"/>
  <c r="BI106" i="20"/>
  <c r="BH106" i="20"/>
  <c r="BQ106" i="20" s="1"/>
  <c r="BF106" i="20"/>
  <c r="BE106" i="20"/>
  <c r="BD106" i="20"/>
  <c r="BC106" i="20"/>
  <c r="BB106" i="20"/>
  <c r="BA106" i="20"/>
  <c r="AZ106" i="20"/>
  <c r="AY106" i="20"/>
  <c r="AX106" i="20"/>
  <c r="AT106" i="20"/>
  <c r="AJ106" i="20"/>
  <c r="AU106" i="20" s="1"/>
  <c r="AV106" i="20" s="1"/>
  <c r="W106" i="20"/>
  <c r="M106" i="20"/>
  <c r="X106" i="20" s="1"/>
  <c r="Y106" i="20" s="1"/>
  <c r="BW105" i="20"/>
  <c r="BP105" i="20"/>
  <c r="BO105" i="20"/>
  <c r="BN105" i="20"/>
  <c r="BM105" i="20"/>
  <c r="BL105" i="20"/>
  <c r="BK105" i="20"/>
  <c r="BJ105" i="20"/>
  <c r="BI105" i="20"/>
  <c r="BH105" i="20"/>
  <c r="BF105" i="20"/>
  <c r="BE105" i="20"/>
  <c r="BD105" i="20"/>
  <c r="BC105" i="20"/>
  <c r="BB105" i="20"/>
  <c r="BA105" i="20"/>
  <c r="AZ105" i="20"/>
  <c r="AY105" i="20"/>
  <c r="AX105" i="20"/>
  <c r="AT105" i="20"/>
  <c r="AJ105" i="20"/>
  <c r="AU105" i="20" s="1"/>
  <c r="AV105" i="20" s="1"/>
  <c r="W105" i="20"/>
  <c r="M105" i="20"/>
  <c r="X105" i="20" s="1"/>
  <c r="Y105" i="20" s="1"/>
  <c r="BW104" i="20"/>
  <c r="BP104" i="20"/>
  <c r="BO104" i="20"/>
  <c r="BN104" i="20"/>
  <c r="BM104" i="20"/>
  <c r="BL104" i="20"/>
  <c r="BK104" i="20"/>
  <c r="BJ104" i="20"/>
  <c r="BI104" i="20"/>
  <c r="BH104" i="20"/>
  <c r="BQ104" i="20" s="1"/>
  <c r="BF104" i="20"/>
  <c r="BE104" i="20"/>
  <c r="BD104" i="20"/>
  <c r="BC104" i="20"/>
  <c r="BB104" i="20"/>
  <c r="BA104" i="20"/>
  <c r="AZ104" i="20"/>
  <c r="AY104" i="20"/>
  <c r="AX104" i="20"/>
  <c r="AT104" i="20"/>
  <c r="J104" i="16" s="1"/>
  <c r="AJ104" i="20"/>
  <c r="W104" i="20"/>
  <c r="H104" i="16" s="1"/>
  <c r="M104" i="20"/>
  <c r="BW103" i="20"/>
  <c r="BP103" i="20"/>
  <c r="BO103" i="20"/>
  <c r="BN103" i="20"/>
  <c r="BM103" i="20"/>
  <c r="BL103" i="20"/>
  <c r="BK103" i="20"/>
  <c r="BJ103" i="20"/>
  <c r="BI103" i="20"/>
  <c r="BH103" i="20"/>
  <c r="BF103" i="20"/>
  <c r="BE103" i="20"/>
  <c r="BD103" i="20"/>
  <c r="BC103" i="20"/>
  <c r="BB103" i="20"/>
  <c r="BA103" i="20"/>
  <c r="AZ103" i="20"/>
  <c r="AY103" i="20"/>
  <c r="AX103" i="20"/>
  <c r="AT103" i="20"/>
  <c r="J103" i="16" s="1"/>
  <c r="AJ103" i="20"/>
  <c r="W103" i="20"/>
  <c r="H103" i="16" s="1"/>
  <c r="M103" i="20"/>
  <c r="BW102" i="20"/>
  <c r="BP102" i="20"/>
  <c r="BO102" i="20"/>
  <c r="BN102" i="20"/>
  <c r="BM102" i="20"/>
  <c r="BL102" i="20"/>
  <c r="BK102" i="20"/>
  <c r="BJ102" i="20"/>
  <c r="BI102" i="20"/>
  <c r="BH102" i="20"/>
  <c r="BF102" i="20"/>
  <c r="BE102" i="20"/>
  <c r="BD102" i="20"/>
  <c r="BC102" i="20"/>
  <c r="BB102" i="20"/>
  <c r="BA102" i="20"/>
  <c r="AZ102" i="20"/>
  <c r="AY102" i="20"/>
  <c r="AX102" i="20"/>
  <c r="AT102" i="20"/>
  <c r="J102" i="16" s="1"/>
  <c r="AJ102" i="20"/>
  <c r="W102" i="20"/>
  <c r="H102" i="16" s="1"/>
  <c r="M102" i="20"/>
  <c r="BP101" i="20"/>
  <c r="BO101" i="20"/>
  <c r="BN101" i="20"/>
  <c r="BM101" i="20"/>
  <c r="BL101" i="20"/>
  <c r="BK101" i="20"/>
  <c r="BJ101" i="20"/>
  <c r="BI101" i="20"/>
  <c r="BH101" i="20"/>
  <c r="BF101" i="20"/>
  <c r="BE101" i="20"/>
  <c r="BD101" i="20"/>
  <c r="BC101" i="20"/>
  <c r="BB101" i="20"/>
  <c r="BA101" i="20"/>
  <c r="AZ101" i="20"/>
  <c r="AY101" i="20"/>
  <c r="AX101" i="20"/>
  <c r="AT101" i="20"/>
  <c r="J101" i="16" s="1"/>
  <c r="AJ101" i="20"/>
  <c r="W101" i="20"/>
  <c r="H101" i="16" s="1"/>
  <c r="M101" i="20"/>
  <c r="BP100" i="20"/>
  <c r="BO100" i="20"/>
  <c r="BN100" i="20"/>
  <c r="BM100" i="20"/>
  <c r="BL100" i="20"/>
  <c r="BK100" i="20"/>
  <c r="BJ100" i="20"/>
  <c r="BI100" i="20"/>
  <c r="BH100" i="20"/>
  <c r="BF100" i="20"/>
  <c r="BE100" i="20"/>
  <c r="BD100" i="20"/>
  <c r="BC100" i="20"/>
  <c r="BB100" i="20"/>
  <c r="BA100" i="20"/>
  <c r="AZ100" i="20"/>
  <c r="AY100" i="20"/>
  <c r="AX100" i="20"/>
  <c r="AT100" i="20"/>
  <c r="J100" i="16" s="1"/>
  <c r="AJ100" i="20"/>
  <c r="W100" i="20"/>
  <c r="H100" i="16" s="1"/>
  <c r="M100" i="20"/>
  <c r="BW99" i="20"/>
  <c r="BP99" i="20"/>
  <c r="BO99" i="20"/>
  <c r="BN99" i="20"/>
  <c r="BM99" i="20"/>
  <c r="BL99" i="20"/>
  <c r="BK99" i="20"/>
  <c r="BJ99" i="20"/>
  <c r="BI99" i="20"/>
  <c r="BH99" i="20"/>
  <c r="BF99" i="20"/>
  <c r="BE99" i="20"/>
  <c r="BD99" i="20"/>
  <c r="BC99" i="20"/>
  <c r="BB99" i="20"/>
  <c r="BA99" i="20"/>
  <c r="AZ99" i="20"/>
  <c r="AY99" i="20"/>
  <c r="AX99" i="20"/>
  <c r="BG99" i="20" s="1"/>
  <c r="BR99" i="20" s="1"/>
  <c r="AT99" i="20"/>
  <c r="J99" i="16" s="1"/>
  <c r="AJ99" i="20"/>
  <c r="W99" i="20"/>
  <c r="H99" i="16" s="1"/>
  <c r="M99" i="20"/>
  <c r="BW98" i="20"/>
  <c r="BP98" i="20"/>
  <c r="BO98" i="20"/>
  <c r="BN98" i="20"/>
  <c r="BM98" i="20"/>
  <c r="BL98" i="20"/>
  <c r="BK98" i="20"/>
  <c r="BJ98" i="20"/>
  <c r="BI98" i="20"/>
  <c r="BH98" i="20"/>
  <c r="BQ98" i="20" s="1"/>
  <c r="BF98" i="20"/>
  <c r="BE98" i="20"/>
  <c r="BD98" i="20"/>
  <c r="BC98" i="20"/>
  <c r="BB98" i="20"/>
  <c r="BA98" i="20"/>
  <c r="AZ98" i="20"/>
  <c r="AY98" i="20"/>
  <c r="AX98" i="20"/>
  <c r="AT98" i="20"/>
  <c r="J98" i="16" s="1"/>
  <c r="AJ98" i="20"/>
  <c r="W98" i="20"/>
  <c r="H98" i="16" s="1"/>
  <c r="M98" i="20"/>
  <c r="BW97" i="20"/>
  <c r="BP97" i="20"/>
  <c r="BO97" i="20"/>
  <c r="BN97" i="20"/>
  <c r="BM97" i="20"/>
  <c r="BL97" i="20"/>
  <c r="BK97" i="20"/>
  <c r="BJ97" i="20"/>
  <c r="BI97" i="20"/>
  <c r="BH97" i="20"/>
  <c r="BQ97" i="20" s="1"/>
  <c r="BF97" i="20"/>
  <c r="BE97" i="20"/>
  <c r="BD97" i="20"/>
  <c r="BC97" i="20"/>
  <c r="BB97" i="20"/>
  <c r="BA97" i="20"/>
  <c r="AZ97" i="20"/>
  <c r="AY97" i="20"/>
  <c r="AX97" i="20"/>
  <c r="AT97" i="20"/>
  <c r="J97" i="16" s="1"/>
  <c r="AJ97" i="20"/>
  <c r="W97" i="20"/>
  <c r="H97" i="16" s="1"/>
  <c r="M97" i="20"/>
  <c r="BW96" i="20"/>
  <c r="BP96" i="20"/>
  <c r="BO96" i="20"/>
  <c r="BN96" i="20"/>
  <c r="BM96" i="20"/>
  <c r="BL96" i="20"/>
  <c r="BK96" i="20"/>
  <c r="BJ96" i="20"/>
  <c r="BI96" i="20"/>
  <c r="BH96" i="20"/>
  <c r="BF96" i="20"/>
  <c r="BE96" i="20"/>
  <c r="BD96" i="20"/>
  <c r="BC96" i="20"/>
  <c r="BB96" i="20"/>
  <c r="BA96" i="20"/>
  <c r="AZ96" i="20"/>
  <c r="AY96" i="20"/>
  <c r="AX96" i="20"/>
  <c r="AT96" i="20"/>
  <c r="J96" i="16" s="1"/>
  <c r="AJ96" i="20"/>
  <c r="W96" i="20"/>
  <c r="H96" i="16" s="1"/>
  <c r="M96" i="20"/>
  <c r="BW95" i="20"/>
  <c r="BP95" i="20"/>
  <c r="BO95" i="20"/>
  <c r="BN95" i="20"/>
  <c r="BM95" i="20"/>
  <c r="BL95" i="20"/>
  <c r="BK95" i="20"/>
  <c r="BJ95" i="20"/>
  <c r="BI95" i="20"/>
  <c r="BH95" i="20"/>
  <c r="BF95" i="20"/>
  <c r="BE95" i="20"/>
  <c r="BD95" i="20"/>
  <c r="BC95" i="20"/>
  <c r="BB95" i="20"/>
  <c r="BA95" i="20"/>
  <c r="AZ95" i="20"/>
  <c r="AY95" i="20"/>
  <c r="AX95" i="20"/>
  <c r="AT95" i="20"/>
  <c r="J95" i="16" s="1"/>
  <c r="AJ95" i="20"/>
  <c r="W95" i="20"/>
  <c r="H95" i="16" s="1"/>
  <c r="M95" i="20"/>
  <c r="BW94" i="20"/>
  <c r="BP94" i="20"/>
  <c r="BO94" i="20"/>
  <c r="BN94" i="20"/>
  <c r="BM94" i="20"/>
  <c r="BL94" i="20"/>
  <c r="BK94" i="20"/>
  <c r="BJ94" i="20"/>
  <c r="BI94" i="20"/>
  <c r="BH94" i="20"/>
  <c r="BF94" i="20"/>
  <c r="BE94" i="20"/>
  <c r="BD94" i="20"/>
  <c r="BC94" i="20"/>
  <c r="BB94" i="20"/>
  <c r="BA94" i="20"/>
  <c r="AZ94" i="20"/>
  <c r="AY94" i="20"/>
  <c r="AX94" i="20"/>
  <c r="AT94" i="20"/>
  <c r="J94" i="16" s="1"/>
  <c r="AJ94" i="20"/>
  <c r="W94" i="20"/>
  <c r="H94" i="16" s="1"/>
  <c r="M94" i="20"/>
  <c r="BP93" i="20"/>
  <c r="BO93" i="20"/>
  <c r="BN93" i="20"/>
  <c r="BM93" i="20"/>
  <c r="BL93" i="20"/>
  <c r="BK93" i="20"/>
  <c r="BJ93" i="20"/>
  <c r="BI93" i="20"/>
  <c r="BH93" i="20"/>
  <c r="BQ93" i="20" s="1"/>
  <c r="BF93" i="20"/>
  <c r="BE93" i="20"/>
  <c r="BD93" i="20"/>
  <c r="BC93" i="20"/>
  <c r="BB93" i="20"/>
  <c r="BA93" i="20"/>
  <c r="AZ93" i="20"/>
  <c r="AY93" i="20"/>
  <c r="AX93" i="20"/>
  <c r="AT93" i="20"/>
  <c r="J93" i="16" s="1"/>
  <c r="AJ93" i="20"/>
  <c r="W93" i="20"/>
  <c r="H93" i="16" s="1"/>
  <c r="M93" i="20"/>
  <c r="BP92" i="20"/>
  <c r="BO92" i="20"/>
  <c r="BN92" i="20"/>
  <c r="BM92" i="20"/>
  <c r="BL92" i="20"/>
  <c r="BK92" i="20"/>
  <c r="BJ92" i="20"/>
  <c r="BI92" i="20"/>
  <c r="BH92" i="20"/>
  <c r="BF92" i="20"/>
  <c r="BE92" i="20"/>
  <c r="BD92" i="20"/>
  <c r="BC92" i="20"/>
  <c r="BB92" i="20"/>
  <c r="BA92" i="20"/>
  <c r="AZ92" i="20"/>
  <c r="AY92" i="20"/>
  <c r="AX92" i="20"/>
  <c r="AT92" i="20"/>
  <c r="J92" i="16" s="1"/>
  <c r="AJ92" i="20"/>
  <c r="W92" i="20"/>
  <c r="H92" i="16" s="1"/>
  <c r="M92" i="20"/>
  <c r="BW91" i="20"/>
  <c r="BP91" i="20"/>
  <c r="BO91" i="20"/>
  <c r="BN91" i="20"/>
  <c r="BM91" i="20"/>
  <c r="BL91" i="20"/>
  <c r="BK91" i="20"/>
  <c r="BJ91" i="20"/>
  <c r="BI91" i="20"/>
  <c r="BH91" i="20"/>
  <c r="BF91" i="20"/>
  <c r="BE91" i="20"/>
  <c r="BD91" i="20"/>
  <c r="BC91" i="20"/>
  <c r="BB91" i="20"/>
  <c r="BA91" i="20"/>
  <c r="AZ91" i="20"/>
  <c r="AY91" i="20"/>
  <c r="AX91" i="20"/>
  <c r="AT91" i="20"/>
  <c r="J91" i="16" s="1"/>
  <c r="AJ91" i="20"/>
  <c r="W91" i="20"/>
  <c r="H91" i="16" s="1"/>
  <c r="M91" i="20"/>
  <c r="BW90" i="20"/>
  <c r="BP90" i="20"/>
  <c r="BO90" i="20"/>
  <c r="BN90" i="20"/>
  <c r="BM90" i="20"/>
  <c r="BL90" i="20"/>
  <c r="BK90" i="20"/>
  <c r="BJ90" i="20"/>
  <c r="BI90" i="20"/>
  <c r="BH90" i="20"/>
  <c r="BF90" i="20"/>
  <c r="BE90" i="20"/>
  <c r="BD90" i="20"/>
  <c r="BC90" i="20"/>
  <c r="BB90" i="20"/>
  <c r="BA90" i="20"/>
  <c r="AZ90" i="20"/>
  <c r="AY90" i="20"/>
  <c r="AX90" i="20"/>
  <c r="AT90" i="20"/>
  <c r="J90" i="16" s="1"/>
  <c r="AJ90" i="20"/>
  <c r="W90" i="20"/>
  <c r="H90" i="16" s="1"/>
  <c r="M90" i="20"/>
  <c r="BW89" i="20"/>
  <c r="BP89" i="20"/>
  <c r="BO89" i="20"/>
  <c r="BN89" i="20"/>
  <c r="BM89" i="20"/>
  <c r="BL89" i="20"/>
  <c r="BK89" i="20"/>
  <c r="BJ89" i="20"/>
  <c r="BI89" i="20"/>
  <c r="BH89" i="20"/>
  <c r="BQ89" i="20" s="1"/>
  <c r="BF89" i="20"/>
  <c r="BE89" i="20"/>
  <c r="BD89" i="20"/>
  <c r="BC89" i="20"/>
  <c r="BB89" i="20"/>
  <c r="BA89" i="20"/>
  <c r="AZ89" i="20"/>
  <c r="AY89" i="20"/>
  <c r="AX89" i="20"/>
  <c r="AT89" i="20"/>
  <c r="J89" i="16" s="1"/>
  <c r="AJ89" i="20"/>
  <c r="W89" i="20"/>
  <c r="H89" i="16" s="1"/>
  <c r="M89" i="20"/>
  <c r="BW88" i="20"/>
  <c r="BP88" i="20"/>
  <c r="BO88" i="20"/>
  <c r="BN88" i="20"/>
  <c r="BM88" i="20"/>
  <c r="BL88" i="20"/>
  <c r="BK88" i="20"/>
  <c r="BJ88" i="20"/>
  <c r="BI88" i="20"/>
  <c r="BH88" i="20"/>
  <c r="BF88" i="20"/>
  <c r="BE88" i="20"/>
  <c r="BD88" i="20"/>
  <c r="BC88" i="20"/>
  <c r="BB88" i="20"/>
  <c r="BA88" i="20"/>
  <c r="AZ88" i="20"/>
  <c r="AY88" i="20"/>
  <c r="AX88" i="20"/>
  <c r="AT88" i="20"/>
  <c r="J88" i="16" s="1"/>
  <c r="AJ88" i="20"/>
  <c r="W88" i="20"/>
  <c r="H88" i="16" s="1"/>
  <c r="M88" i="20"/>
  <c r="BW87" i="20"/>
  <c r="BP87" i="20"/>
  <c r="BO87" i="20"/>
  <c r="BN87" i="20"/>
  <c r="BM87" i="20"/>
  <c r="BL87" i="20"/>
  <c r="BK87" i="20"/>
  <c r="BJ87" i="20"/>
  <c r="BI87" i="20"/>
  <c r="BH87" i="20"/>
  <c r="BQ87" i="20" s="1"/>
  <c r="BF87" i="20"/>
  <c r="BE87" i="20"/>
  <c r="BD87" i="20"/>
  <c r="BC87" i="20"/>
  <c r="BB87" i="20"/>
  <c r="BA87" i="20"/>
  <c r="AZ87" i="20"/>
  <c r="AY87" i="20"/>
  <c r="AX87" i="20"/>
  <c r="AT87" i="20"/>
  <c r="J87" i="16" s="1"/>
  <c r="AJ87" i="20"/>
  <c r="W87" i="20"/>
  <c r="H87" i="16" s="1"/>
  <c r="M87" i="20"/>
  <c r="BW86" i="20"/>
  <c r="BP86" i="20"/>
  <c r="BO86" i="20"/>
  <c r="BN86" i="20"/>
  <c r="BM86" i="20"/>
  <c r="BL86" i="20"/>
  <c r="BK86" i="20"/>
  <c r="BJ86" i="20"/>
  <c r="BI86" i="20"/>
  <c r="BH86" i="20"/>
  <c r="BF86" i="20"/>
  <c r="BE86" i="20"/>
  <c r="BD86" i="20"/>
  <c r="BC86" i="20"/>
  <c r="BB86" i="20"/>
  <c r="BA86" i="20"/>
  <c r="AZ86" i="20"/>
  <c r="AY86" i="20"/>
  <c r="AX86" i="20"/>
  <c r="AT86" i="20"/>
  <c r="J86" i="16" s="1"/>
  <c r="AJ86" i="20"/>
  <c r="W86" i="20"/>
  <c r="H86" i="16" s="1"/>
  <c r="M86" i="20"/>
  <c r="BP85" i="20"/>
  <c r="BO85" i="20"/>
  <c r="BN85" i="20"/>
  <c r="BM85" i="20"/>
  <c r="BL85" i="20"/>
  <c r="BK85" i="20"/>
  <c r="BJ85" i="20"/>
  <c r="BI85" i="20"/>
  <c r="BH85" i="20"/>
  <c r="BF85" i="20"/>
  <c r="BE85" i="20"/>
  <c r="BD85" i="20"/>
  <c r="BC85" i="20"/>
  <c r="BB85" i="20"/>
  <c r="BA85" i="20"/>
  <c r="AZ85" i="20"/>
  <c r="AY85" i="20"/>
  <c r="AX85" i="20"/>
  <c r="AT85" i="20"/>
  <c r="J85" i="16" s="1"/>
  <c r="AJ85" i="20"/>
  <c r="W85" i="20"/>
  <c r="H85" i="16" s="1"/>
  <c r="M85" i="20"/>
  <c r="BP84" i="20"/>
  <c r="BO84" i="20"/>
  <c r="BN84" i="20"/>
  <c r="BM84" i="20"/>
  <c r="BL84" i="20"/>
  <c r="BK84" i="20"/>
  <c r="BJ84" i="20"/>
  <c r="BI84" i="20"/>
  <c r="BH84" i="20"/>
  <c r="BF84" i="20"/>
  <c r="BE84" i="20"/>
  <c r="BD84" i="20"/>
  <c r="BC84" i="20"/>
  <c r="BB84" i="20"/>
  <c r="BA84" i="20"/>
  <c r="AZ84" i="20"/>
  <c r="AY84" i="20"/>
  <c r="AX84" i="20"/>
  <c r="AT84" i="20"/>
  <c r="J84" i="16" s="1"/>
  <c r="AJ84" i="20"/>
  <c r="W84" i="20"/>
  <c r="H84" i="16" s="1"/>
  <c r="M84" i="20"/>
  <c r="BW83" i="20"/>
  <c r="BP83" i="20"/>
  <c r="BO83" i="20"/>
  <c r="BN83" i="20"/>
  <c r="BM83" i="20"/>
  <c r="BL83" i="20"/>
  <c r="BK83" i="20"/>
  <c r="BJ83" i="20"/>
  <c r="BI83" i="20"/>
  <c r="BH83" i="20"/>
  <c r="BQ83" i="20" s="1"/>
  <c r="BF83" i="20"/>
  <c r="BE83" i="20"/>
  <c r="BD83" i="20"/>
  <c r="BC83" i="20"/>
  <c r="BB83" i="20"/>
  <c r="BA83" i="20"/>
  <c r="AZ83" i="20"/>
  <c r="AY83" i="20"/>
  <c r="AX83" i="20"/>
  <c r="AT83" i="20"/>
  <c r="J83" i="16" s="1"/>
  <c r="AJ83" i="20"/>
  <c r="W83" i="20"/>
  <c r="H83" i="16" s="1"/>
  <c r="M83" i="20"/>
  <c r="BW82" i="20"/>
  <c r="BP82" i="20"/>
  <c r="BO82" i="20"/>
  <c r="BN82" i="20"/>
  <c r="BM82" i="20"/>
  <c r="BL82" i="20"/>
  <c r="BK82" i="20"/>
  <c r="BJ82" i="20"/>
  <c r="BI82" i="20"/>
  <c r="BH82" i="20"/>
  <c r="BF82" i="20"/>
  <c r="BE82" i="20"/>
  <c r="BD82" i="20"/>
  <c r="BC82" i="20"/>
  <c r="BB82" i="20"/>
  <c r="BA82" i="20"/>
  <c r="AZ82" i="20"/>
  <c r="AY82" i="20"/>
  <c r="AX82" i="20"/>
  <c r="AT82" i="20"/>
  <c r="J82" i="16" s="1"/>
  <c r="AJ82" i="20"/>
  <c r="W82" i="20"/>
  <c r="H82" i="16" s="1"/>
  <c r="M82" i="20"/>
  <c r="BW81" i="20"/>
  <c r="BP81" i="20"/>
  <c r="BO81" i="20"/>
  <c r="BN81" i="20"/>
  <c r="BM81" i="20"/>
  <c r="BL81" i="20"/>
  <c r="BK81" i="20"/>
  <c r="BJ81" i="20"/>
  <c r="BI81" i="20"/>
  <c r="BH81" i="20"/>
  <c r="BQ81" i="20" s="1"/>
  <c r="BF81" i="20"/>
  <c r="BE81" i="20"/>
  <c r="BD81" i="20"/>
  <c r="BC81" i="20"/>
  <c r="BB81" i="20"/>
  <c r="BA81" i="20"/>
  <c r="AZ81" i="20"/>
  <c r="AY81" i="20"/>
  <c r="AX81" i="20"/>
  <c r="AT81" i="20"/>
  <c r="J81" i="16" s="1"/>
  <c r="AJ81" i="20"/>
  <c r="W81" i="20"/>
  <c r="H81" i="16" s="1"/>
  <c r="M81" i="20"/>
  <c r="BW80" i="20"/>
  <c r="BP80" i="20"/>
  <c r="BO80" i="20"/>
  <c r="BN80" i="20"/>
  <c r="BM80" i="20"/>
  <c r="BL80" i="20"/>
  <c r="BK80" i="20"/>
  <c r="BJ80" i="20"/>
  <c r="BI80" i="20"/>
  <c r="BH80" i="20"/>
  <c r="BF80" i="20"/>
  <c r="BE80" i="20"/>
  <c r="BD80" i="20"/>
  <c r="BC80" i="20"/>
  <c r="BB80" i="20"/>
  <c r="BA80" i="20"/>
  <c r="AZ80" i="20"/>
  <c r="AY80" i="20"/>
  <c r="AX80" i="20"/>
  <c r="AT80" i="20"/>
  <c r="J80" i="16" s="1"/>
  <c r="AJ80" i="20"/>
  <c r="W80" i="20"/>
  <c r="H80" i="16" s="1"/>
  <c r="M80" i="20"/>
  <c r="BW79" i="20"/>
  <c r="BP79" i="20"/>
  <c r="BO79" i="20"/>
  <c r="BN79" i="20"/>
  <c r="BM79" i="20"/>
  <c r="BL79" i="20"/>
  <c r="BK79" i="20"/>
  <c r="BJ79" i="20"/>
  <c r="BI79" i="20"/>
  <c r="BH79" i="20"/>
  <c r="BF79" i="20"/>
  <c r="BE79" i="20"/>
  <c r="BD79" i="20"/>
  <c r="BC79" i="20"/>
  <c r="BB79" i="20"/>
  <c r="BA79" i="20"/>
  <c r="AZ79" i="20"/>
  <c r="AY79" i="20"/>
  <c r="AX79" i="20"/>
  <c r="AT79" i="20"/>
  <c r="J79" i="16" s="1"/>
  <c r="AJ79" i="20"/>
  <c r="W79" i="20"/>
  <c r="H79" i="16" s="1"/>
  <c r="M79" i="20"/>
  <c r="BW78" i="20"/>
  <c r="BP78" i="20"/>
  <c r="BO78" i="20"/>
  <c r="BN78" i="20"/>
  <c r="BM78" i="20"/>
  <c r="BL78" i="20"/>
  <c r="BK78" i="20"/>
  <c r="BJ78" i="20"/>
  <c r="BI78" i="20"/>
  <c r="BH78" i="20"/>
  <c r="BF78" i="20"/>
  <c r="BE78" i="20"/>
  <c r="BD78" i="20"/>
  <c r="BC78" i="20"/>
  <c r="BB78" i="20"/>
  <c r="BA78" i="20"/>
  <c r="AZ78" i="20"/>
  <c r="AY78" i="20"/>
  <c r="AX78" i="20"/>
  <c r="AT78" i="20"/>
  <c r="J78" i="16" s="1"/>
  <c r="AJ78" i="20"/>
  <c r="W78" i="20"/>
  <c r="H78" i="16" s="1"/>
  <c r="M78" i="20"/>
  <c r="BP77" i="20"/>
  <c r="BO77" i="20"/>
  <c r="BN77" i="20"/>
  <c r="BM77" i="20"/>
  <c r="BL77" i="20"/>
  <c r="BK77" i="20"/>
  <c r="BJ77" i="20"/>
  <c r="BI77" i="20"/>
  <c r="BH77" i="20"/>
  <c r="BQ77" i="20" s="1"/>
  <c r="BF77" i="20"/>
  <c r="BE77" i="20"/>
  <c r="BD77" i="20"/>
  <c r="BC77" i="20"/>
  <c r="BB77" i="20"/>
  <c r="BA77" i="20"/>
  <c r="AZ77" i="20"/>
  <c r="AY77" i="20"/>
  <c r="AX77" i="20"/>
  <c r="AT77" i="20"/>
  <c r="J77" i="16" s="1"/>
  <c r="AJ77" i="20"/>
  <c r="W77" i="20"/>
  <c r="H77" i="16" s="1"/>
  <c r="M77" i="20"/>
  <c r="BP76" i="20"/>
  <c r="BO76" i="20"/>
  <c r="BN76" i="20"/>
  <c r="BM76" i="20"/>
  <c r="BL76" i="20"/>
  <c r="BK76" i="20"/>
  <c r="BJ76" i="20"/>
  <c r="BI76" i="20"/>
  <c r="BH76" i="20"/>
  <c r="BF76" i="20"/>
  <c r="BE76" i="20"/>
  <c r="BD76" i="20"/>
  <c r="BC76" i="20"/>
  <c r="BB76" i="20"/>
  <c r="BA76" i="20"/>
  <c r="AZ76" i="20"/>
  <c r="AY76" i="20"/>
  <c r="AX76" i="20"/>
  <c r="AT76" i="20"/>
  <c r="J76" i="16" s="1"/>
  <c r="AJ76" i="20"/>
  <c r="W76" i="20"/>
  <c r="H76" i="16" s="1"/>
  <c r="M76" i="20"/>
  <c r="BW75" i="20"/>
  <c r="BP75" i="20"/>
  <c r="BO75" i="20"/>
  <c r="BN75" i="20"/>
  <c r="BM75" i="20"/>
  <c r="BL75" i="20"/>
  <c r="BK75" i="20"/>
  <c r="BJ75" i="20"/>
  <c r="BI75" i="20"/>
  <c r="BH75" i="20"/>
  <c r="BF75" i="20"/>
  <c r="BE75" i="20"/>
  <c r="BD75" i="20"/>
  <c r="BC75" i="20"/>
  <c r="BB75" i="20"/>
  <c r="BA75" i="20"/>
  <c r="AZ75" i="20"/>
  <c r="AY75" i="20"/>
  <c r="AX75" i="20"/>
  <c r="AT75" i="20"/>
  <c r="J75" i="16" s="1"/>
  <c r="AJ75" i="20"/>
  <c r="W75" i="20"/>
  <c r="H75" i="16" s="1"/>
  <c r="M75" i="20"/>
  <c r="BW74" i="20"/>
  <c r="BP74" i="20"/>
  <c r="BO74" i="20"/>
  <c r="BN74" i="20"/>
  <c r="BM74" i="20"/>
  <c r="BL74" i="20"/>
  <c r="BK74" i="20"/>
  <c r="BJ74" i="20"/>
  <c r="BI74" i="20"/>
  <c r="BH74" i="20"/>
  <c r="BF74" i="20"/>
  <c r="BE74" i="20"/>
  <c r="BD74" i="20"/>
  <c r="BC74" i="20"/>
  <c r="BB74" i="20"/>
  <c r="BA74" i="20"/>
  <c r="AZ74" i="20"/>
  <c r="AY74" i="20"/>
  <c r="AX74" i="20"/>
  <c r="AT74" i="20"/>
  <c r="J74" i="16" s="1"/>
  <c r="AJ74" i="20"/>
  <c r="W74" i="20"/>
  <c r="H74" i="16" s="1"/>
  <c r="M74" i="20"/>
  <c r="BW73" i="20"/>
  <c r="BP73" i="20"/>
  <c r="BO73" i="20"/>
  <c r="BN73" i="20"/>
  <c r="BM73" i="20"/>
  <c r="BL73" i="20"/>
  <c r="BK73" i="20"/>
  <c r="BJ73" i="20"/>
  <c r="BI73" i="20"/>
  <c r="BH73" i="20"/>
  <c r="BF73" i="20"/>
  <c r="BE73" i="20"/>
  <c r="BD73" i="20"/>
  <c r="BC73" i="20"/>
  <c r="BB73" i="20"/>
  <c r="BA73" i="20"/>
  <c r="AZ73" i="20"/>
  <c r="AY73" i="20"/>
  <c r="AX73" i="20"/>
  <c r="AT73" i="20"/>
  <c r="J73" i="16" s="1"/>
  <c r="AJ73" i="20"/>
  <c r="W73" i="20"/>
  <c r="H73" i="16" s="1"/>
  <c r="M73" i="20"/>
  <c r="BW72" i="20"/>
  <c r="BP72" i="20"/>
  <c r="BO72" i="20"/>
  <c r="BN72" i="20"/>
  <c r="BM72" i="20"/>
  <c r="BL72" i="20"/>
  <c r="BK72" i="20"/>
  <c r="BJ72" i="20"/>
  <c r="BI72" i="20"/>
  <c r="BH72" i="20"/>
  <c r="BF72" i="20"/>
  <c r="BE72" i="20"/>
  <c r="BD72" i="20"/>
  <c r="BC72" i="20"/>
  <c r="BB72" i="20"/>
  <c r="BA72" i="20"/>
  <c r="AZ72" i="20"/>
  <c r="AY72" i="20"/>
  <c r="AX72" i="20"/>
  <c r="AT72" i="20"/>
  <c r="J72" i="16" s="1"/>
  <c r="AJ72" i="20"/>
  <c r="W72" i="20"/>
  <c r="H72" i="16" s="1"/>
  <c r="M72" i="20"/>
  <c r="BW71" i="20"/>
  <c r="BP71" i="20"/>
  <c r="BO71" i="20"/>
  <c r="BN71" i="20"/>
  <c r="BM71" i="20"/>
  <c r="BL71" i="20"/>
  <c r="BK71" i="20"/>
  <c r="BJ71" i="20"/>
  <c r="BI71" i="20"/>
  <c r="BH71" i="20"/>
  <c r="BF71" i="20"/>
  <c r="BE71" i="20"/>
  <c r="BD71" i="20"/>
  <c r="BC71" i="20"/>
  <c r="BB71" i="20"/>
  <c r="BA71" i="20"/>
  <c r="AZ71" i="20"/>
  <c r="AY71" i="20"/>
  <c r="AX71" i="20"/>
  <c r="AT71" i="20"/>
  <c r="J71" i="16" s="1"/>
  <c r="AJ71" i="20"/>
  <c r="W71" i="20"/>
  <c r="H71" i="16" s="1"/>
  <c r="M71" i="20"/>
  <c r="BW70" i="20"/>
  <c r="BP70" i="20"/>
  <c r="BO70" i="20"/>
  <c r="BN70" i="20"/>
  <c r="BM70" i="20"/>
  <c r="BL70" i="20"/>
  <c r="BK70" i="20"/>
  <c r="BJ70" i="20"/>
  <c r="BI70" i="20"/>
  <c r="BH70" i="20"/>
  <c r="BF70" i="20"/>
  <c r="BE70" i="20"/>
  <c r="BD70" i="20"/>
  <c r="BC70" i="20"/>
  <c r="BB70" i="20"/>
  <c r="BA70" i="20"/>
  <c r="AZ70" i="20"/>
  <c r="AY70" i="20"/>
  <c r="AX70" i="20"/>
  <c r="AT70" i="20"/>
  <c r="J70" i="16" s="1"/>
  <c r="AJ70" i="20"/>
  <c r="W70" i="20"/>
  <c r="H70" i="16" s="1"/>
  <c r="M70" i="20"/>
  <c r="BP69" i="20"/>
  <c r="BO69" i="20"/>
  <c r="BN69" i="20"/>
  <c r="BM69" i="20"/>
  <c r="BL69" i="20"/>
  <c r="BK69" i="20"/>
  <c r="BJ69" i="20"/>
  <c r="BI69" i="20"/>
  <c r="BH69" i="20"/>
  <c r="BF69" i="20"/>
  <c r="BE69" i="20"/>
  <c r="BD69" i="20"/>
  <c r="BC69" i="20"/>
  <c r="BB69" i="20"/>
  <c r="BA69" i="20"/>
  <c r="AZ69" i="20"/>
  <c r="AY69" i="20"/>
  <c r="AX69" i="20"/>
  <c r="AT69" i="20"/>
  <c r="J69" i="16" s="1"/>
  <c r="AJ69" i="20"/>
  <c r="W69" i="20"/>
  <c r="H69" i="16" s="1"/>
  <c r="M69" i="20"/>
  <c r="BP68" i="20"/>
  <c r="BO68" i="20"/>
  <c r="BN68" i="20"/>
  <c r="BM68" i="20"/>
  <c r="BL68" i="20"/>
  <c r="BK68" i="20"/>
  <c r="BJ68" i="20"/>
  <c r="BI68" i="20"/>
  <c r="BH68" i="20"/>
  <c r="BQ68" i="20" s="1"/>
  <c r="BF68" i="20"/>
  <c r="BE68" i="20"/>
  <c r="BD68" i="20"/>
  <c r="BC68" i="20"/>
  <c r="BB68" i="20"/>
  <c r="BA68" i="20"/>
  <c r="AZ68" i="20"/>
  <c r="AY68" i="20"/>
  <c r="AX68" i="20"/>
  <c r="AT68" i="20"/>
  <c r="J68" i="16" s="1"/>
  <c r="AJ68" i="20"/>
  <c r="W68" i="20"/>
  <c r="H68" i="16" s="1"/>
  <c r="M68" i="20"/>
  <c r="BW67" i="20"/>
  <c r="BP67" i="20"/>
  <c r="BO67" i="20"/>
  <c r="BN67" i="20"/>
  <c r="BM67" i="20"/>
  <c r="BL67" i="20"/>
  <c r="BK67" i="20"/>
  <c r="BJ67" i="20"/>
  <c r="BI67" i="20"/>
  <c r="BH67" i="20"/>
  <c r="BQ67" i="20" s="1"/>
  <c r="BF67" i="20"/>
  <c r="BE67" i="20"/>
  <c r="BD67" i="20"/>
  <c r="BC67" i="20"/>
  <c r="BB67" i="20"/>
  <c r="BA67" i="20"/>
  <c r="AZ67" i="20"/>
  <c r="AY67" i="20"/>
  <c r="AX67" i="20"/>
  <c r="AT67" i="20"/>
  <c r="J67" i="16" s="1"/>
  <c r="AJ67" i="20"/>
  <c r="W67" i="20"/>
  <c r="H67" i="16" s="1"/>
  <c r="M67" i="20"/>
  <c r="BW66" i="20"/>
  <c r="BP66" i="20"/>
  <c r="BO66" i="20"/>
  <c r="BN66" i="20"/>
  <c r="BM66" i="20"/>
  <c r="BL66" i="20"/>
  <c r="BK66" i="20"/>
  <c r="BJ66" i="20"/>
  <c r="BI66" i="20"/>
  <c r="BH66" i="20"/>
  <c r="BF66" i="20"/>
  <c r="BE66" i="20"/>
  <c r="BD66" i="20"/>
  <c r="BC66" i="20"/>
  <c r="BB66" i="20"/>
  <c r="BA66" i="20"/>
  <c r="AZ66" i="20"/>
  <c r="AY66" i="20"/>
  <c r="AX66" i="20"/>
  <c r="AT66" i="20"/>
  <c r="J66" i="16" s="1"/>
  <c r="AJ66" i="20"/>
  <c r="W66" i="20"/>
  <c r="H66" i="16" s="1"/>
  <c r="M66" i="20"/>
  <c r="BW65" i="20"/>
  <c r="BP65" i="20"/>
  <c r="BO65" i="20"/>
  <c r="BN65" i="20"/>
  <c r="BM65" i="20"/>
  <c r="BL65" i="20"/>
  <c r="BK65" i="20"/>
  <c r="BJ65" i="20"/>
  <c r="BI65" i="20"/>
  <c r="BH65" i="20"/>
  <c r="BF65" i="20"/>
  <c r="BE65" i="20"/>
  <c r="BD65" i="20"/>
  <c r="BC65" i="20"/>
  <c r="BB65" i="20"/>
  <c r="BA65" i="20"/>
  <c r="AZ65" i="20"/>
  <c r="AY65" i="20"/>
  <c r="AX65" i="20"/>
  <c r="AT65" i="20"/>
  <c r="J65" i="16" s="1"/>
  <c r="AJ65" i="20"/>
  <c r="W65" i="20"/>
  <c r="H65" i="16" s="1"/>
  <c r="M65" i="20"/>
  <c r="BW64" i="20"/>
  <c r="BP64" i="20"/>
  <c r="BO64" i="20"/>
  <c r="BN64" i="20"/>
  <c r="BM64" i="20"/>
  <c r="BL64" i="20"/>
  <c r="BK64" i="20"/>
  <c r="BJ64" i="20"/>
  <c r="BI64" i="20"/>
  <c r="BH64" i="20"/>
  <c r="BF64" i="20"/>
  <c r="BE64" i="20"/>
  <c r="BD64" i="20"/>
  <c r="BC64" i="20"/>
  <c r="BB64" i="20"/>
  <c r="BA64" i="20"/>
  <c r="AZ64" i="20"/>
  <c r="AY64" i="20"/>
  <c r="AX64" i="20"/>
  <c r="AT64" i="20"/>
  <c r="J64" i="16" s="1"/>
  <c r="AJ64" i="20"/>
  <c r="W64" i="20"/>
  <c r="H64" i="16" s="1"/>
  <c r="M64" i="20"/>
  <c r="BW63" i="20"/>
  <c r="BP63" i="20"/>
  <c r="BO63" i="20"/>
  <c r="BN63" i="20"/>
  <c r="BM63" i="20"/>
  <c r="BL63" i="20"/>
  <c r="BK63" i="20"/>
  <c r="BJ63" i="20"/>
  <c r="BI63" i="20"/>
  <c r="BH63" i="20"/>
  <c r="BF63" i="20"/>
  <c r="BE63" i="20"/>
  <c r="BD63" i="20"/>
  <c r="BC63" i="20"/>
  <c r="BB63" i="20"/>
  <c r="BA63" i="20"/>
  <c r="AZ63" i="20"/>
  <c r="AY63" i="20"/>
  <c r="AX63" i="20"/>
  <c r="BG63" i="20" s="1"/>
  <c r="BR63" i="20" s="1"/>
  <c r="AT63" i="20"/>
  <c r="J63" i="16" s="1"/>
  <c r="AJ63" i="20"/>
  <c r="W63" i="20"/>
  <c r="H63" i="16" s="1"/>
  <c r="M63" i="20"/>
  <c r="BW62" i="20"/>
  <c r="BP62" i="20"/>
  <c r="BO62" i="20"/>
  <c r="BN62" i="20"/>
  <c r="BM62" i="20"/>
  <c r="BL62" i="20"/>
  <c r="BK62" i="20"/>
  <c r="BJ62" i="20"/>
  <c r="BI62" i="20"/>
  <c r="BH62" i="20"/>
  <c r="BF62" i="20"/>
  <c r="BE62" i="20"/>
  <c r="BD62" i="20"/>
  <c r="BC62" i="20"/>
  <c r="BB62" i="20"/>
  <c r="BA62" i="20"/>
  <c r="AZ62" i="20"/>
  <c r="AY62" i="20"/>
  <c r="AX62" i="20"/>
  <c r="AT62" i="20"/>
  <c r="J62" i="16" s="1"/>
  <c r="AJ62" i="20"/>
  <c r="W62" i="20"/>
  <c r="H62" i="16" s="1"/>
  <c r="M62" i="20"/>
  <c r="BP61" i="20"/>
  <c r="BO61" i="20"/>
  <c r="BN61" i="20"/>
  <c r="BM61" i="20"/>
  <c r="BL61" i="20"/>
  <c r="BK61" i="20"/>
  <c r="BJ61" i="20"/>
  <c r="BI61" i="20"/>
  <c r="BH61" i="20"/>
  <c r="BF61" i="20"/>
  <c r="BE61" i="20"/>
  <c r="BD61" i="20"/>
  <c r="BC61" i="20"/>
  <c r="BB61" i="20"/>
  <c r="BA61" i="20"/>
  <c r="AZ61" i="20"/>
  <c r="AY61" i="20"/>
  <c r="AX61" i="20"/>
  <c r="AT61" i="20"/>
  <c r="J61" i="16" s="1"/>
  <c r="AJ61" i="20"/>
  <c r="W61" i="20"/>
  <c r="H61" i="16" s="1"/>
  <c r="M61" i="20"/>
  <c r="BP60" i="20"/>
  <c r="BO60" i="20"/>
  <c r="BN60" i="20"/>
  <c r="BM60" i="20"/>
  <c r="BL60" i="20"/>
  <c r="BK60" i="20"/>
  <c r="BJ60" i="20"/>
  <c r="BI60" i="20"/>
  <c r="BH60" i="20"/>
  <c r="BF60" i="20"/>
  <c r="BE60" i="20"/>
  <c r="BD60" i="20"/>
  <c r="BC60" i="20"/>
  <c r="BB60" i="20"/>
  <c r="BA60" i="20"/>
  <c r="AZ60" i="20"/>
  <c r="AY60" i="20"/>
  <c r="AX60" i="20"/>
  <c r="AT60" i="20"/>
  <c r="J60" i="16" s="1"/>
  <c r="AJ60" i="20"/>
  <c r="W60" i="20"/>
  <c r="H60" i="16" s="1"/>
  <c r="M60" i="20"/>
  <c r="BW59" i="20"/>
  <c r="BP59" i="20"/>
  <c r="BO59" i="20"/>
  <c r="BN59" i="20"/>
  <c r="BM59" i="20"/>
  <c r="BL59" i="20"/>
  <c r="BK59" i="20"/>
  <c r="BJ59" i="20"/>
  <c r="BI59" i="20"/>
  <c r="BH59" i="20"/>
  <c r="BF59" i="20"/>
  <c r="BE59" i="20"/>
  <c r="BD59" i="20"/>
  <c r="BC59" i="20"/>
  <c r="BB59" i="20"/>
  <c r="BA59" i="20"/>
  <c r="AZ59" i="20"/>
  <c r="AY59" i="20"/>
  <c r="AX59" i="20"/>
  <c r="BG59" i="20" s="1"/>
  <c r="BR59" i="20" s="1"/>
  <c r="AT59" i="20"/>
  <c r="J59" i="16" s="1"/>
  <c r="AJ59" i="20"/>
  <c r="W59" i="20"/>
  <c r="H59" i="16" s="1"/>
  <c r="M59" i="20"/>
  <c r="BW58" i="20"/>
  <c r="BP58" i="20"/>
  <c r="BO58" i="20"/>
  <c r="BN58" i="20"/>
  <c r="BM58" i="20"/>
  <c r="BL58" i="20"/>
  <c r="BK58" i="20"/>
  <c r="BJ58" i="20"/>
  <c r="BI58" i="20"/>
  <c r="BH58" i="20"/>
  <c r="BF58" i="20"/>
  <c r="BE58" i="20"/>
  <c r="BD58" i="20"/>
  <c r="BC58" i="20"/>
  <c r="BB58" i="20"/>
  <c r="BA58" i="20"/>
  <c r="AZ58" i="20"/>
  <c r="AY58" i="20"/>
  <c r="AX58" i="20"/>
  <c r="AT58" i="20"/>
  <c r="J58" i="16" s="1"/>
  <c r="AJ58" i="20"/>
  <c r="W58" i="20"/>
  <c r="H58" i="16" s="1"/>
  <c r="M58" i="20"/>
  <c r="BW57" i="20"/>
  <c r="BP57" i="20"/>
  <c r="BO57" i="20"/>
  <c r="BN57" i="20"/>
  <c r="BM57" i="20"/>
  <c r="BL57" i="20"/>
  <c r="BK57" i="20"/>
  <c r="BJ57" i="20"/>
  <c r="BI57" i="20"/>
  <c r="BH57" i="20"/>
  <c r="BF57" i="20"/>
  <c r="BE57" i="20"/>
  <c r="BD57" i="20"/>
  <c r="BC57" i="20"/>
  <c r="BB57" i="20"/>
  <c r="BA57" i="20"/>
  <c r="AZ57" i="20"/>
  <c r="AY57" i="20"/>
  <c r="AX57" i="20"/>
  <c r="AT57" i="20"/>
  <c r="J57" i="16" s="1"/>
  <c r="AJ57" i="20"/>
  <c r="W57" i="20"/>
  <c r="H57" i="16" s="1"/>
  <c r="M57" i="20"/>
  <c r="BW56" i="20"/>
  <c r="BP56" i="20"/>
  <c r="BO56" i="20"/>
  <c r="BN56" i="20"/>
  <c r="BM56" i="20"/>
  <c r="BL56" i="20"/>
  <c r="BK56" i="20"/>
  <c r="BJ56" i="20"/>
  <c r="BI56" i="20"/>
  <c r="BH56" i="20"/>
  <c r="BF56" i="20"/>
  <c r="BE56" i="20"/>
  <c r="BD56" i="20"/>
  <c r="BC56" i="20"/>
  <c r="BB56" i="20"/>
  <c r="BA56" i="20"/>
  <c r="AZ56" i="20"/>
  <c r="AY56" i="20"/>
  <c r="AX56" i="20"/>
  <c r="AT56" i="20"/>
  <c r="J56" i="16" s="1"/>
  <c r="AJ56" i="20"/>
  <c r="W56" i="20"/>
  <c r="H56" i="16" s="1"/>
  <c r="M56" i="20"/>
  <c r="BW55" i="20"/>
  <c r="BP55" i="20"/>
  <c r="BO55" i="20"/>
  <c r="BN55" i="20"/>
  <c r="BM55" i="20"/>
  <c r="BL55" i="20"/>
  <c r="BK55" i="20"/>
  <c r="BJ55" i="20"/>
  <c r="BI55" i="20"/>
  <c r="BH55" i="20"/>
  <c r="BF55" i="20"/>
  <c r="BE55" i="20"/>
  <c r="BD55" i="20"/>
  <c r="BC55" i="20"/>
  <c r="BB55" i="20"/>
  <c r="BA55" i="20"/>
  <c r="AZ55" i="20"/>
  <c r="AY55" i="20"/>
  <c r="AX55" i="20"/>
  <c r="BG55" i="20" s="1"/>
  <c r="BR55" i="20" s="1"/>
  <c r="AT55" i="20"/>
  <c r="J55" i="16" s="1"/>
  <c r="AJ55" i="20"/>
  <c r="W55" i="20"/>
  <c r="H55" i="16" s="1"/>
  <c r="M55" i="20"/>
  <c r="BW54" i="20"/>
  <c r="BP54" i="20"/>
  <c r="BO54" i="20"/>
  <c r="BN54" i="20"/>
  <c r="BM54" i="20"/>
  <c r="BL54" i="20"/>
  <c r="BK54" i="20"/>
  <c r="BJ54" i="20"/>
  <c r="BI54" i="20"/>
  <c r="BH54" i="20"/>
  <c r="BF54" i="20"/>
  <c r="BE54" i="20"/>
  <c r="BD54" i="20"/>
  <c r="BC54" i="20"/>
  <c r="BB54" i="20"/>
  <c r="BA54" i="20"/>
  <c r="AZ54" i="20"/>
  <c r="AY54" i="20"/>
  <c r="AX54" i="20"/>
  <c r="AT54" i="20"/>
  <c r="J54" i="16" s="1"/>
  <c r="AJ54" i="20"/>
  <c r="W54" i="20"/>
  <c r="H54" i="16" s="1"/>
  <c r="M54" i="20"/>
  <c r="BP53" i="20"/>
  <c r="BO53" i="20"/>
  <c r="BN53" i="20"/>
  <c r="BM53" i="20"/>
  <c r="BL53" i="20"/>
  <c r="BK53" i="20"/>
  <c r="BJ53" i="20"/>
  <c r="BI53" i="20"/>
  <c r="BH53" i="20"/>
  <c r="BF53" i="20"/>
  <c r="BE53" i="20"/>
  <c r="BD53" i="20"/>
  <c r="BC53" i="20"/>
  <c r="BB53" i="20"/>
  <c r="BA53" i="20"/>
  <c r="AZ53" i="20"/>
  <c r="AY53" i="20"/>
  <c r="AX53" i="20"/>
  <c r="AT53" i="20"/>
  <c r="J53" i="16" s="1"/>
  <c r="AJ53" i="20"/>
  <c r="W53" i="20"/>
  <c r="H53" i="16" s="1"/>
  <c r="M53" i="20"/>
  <c r="BP52" i="20"/>
  <c r="BO52" i="20"/>
  <c r="BN52" i="20"/>
  <c r="BM52" i="20"/>
  <c r="BL52" i="20"/>
  <c r="BK52" i="20"/>
  <c r="BJ52" i="20"/>
  <c r="BI52" i="20"/>
  <c r="BH52" i="20"/>
  <c r="BF52" i="20"/>
  <c r="BE52" i="20"/>
  <c r="BD52" i="20"/>
  <c r="BC52" i="20"/>
  <c r="BB52" i="20"/>
  <c r="BA52" i="20"/>
  <c r="AZ52" i="20"/>
  <c r="AY52" i="20"/>
  <c r="AX52" i="20"/>
  <c r="AT52" i="20"/>
  <c r="J52" i="16" s="1"/>
  <c r="AJ52" i="20"/>
  <c r="W52" i="20"/>
  <c r="H52" i="16" s="1"/>
  <c r="M52" i="20"/>
  <c r="BW51" i="20"/>
  <c r="BP51" i="20"/>
  <c r="BO51" i="20"/>
  <c r="BN51" i="20"/>
  <c r="BM51" i="20"/>
  <c r="BL51" i="20"/>
  <c r="BK51" i="20"/>
  <c r="BJ51" i="20"/>
  <c r="BI51" i="20"/>
  <c r="BH51" i="20"/>
  <c r="BF51" i="20"/>
  <c r="BE51" i="20"/>
  <c r="BD51" i="20"/>
  <c r="BC51" i="20"/>
  <c r="BB51" i="20"/>
  <c r="BA51" i="20"/>
  <c r="AZ51" i="20"/>
  <c r="AY51" i="20"/>
  <c r="AX51" i="20"/>
  <c r="AT51" i="20"/>
  <c r="J51" i="16" s="1"/>
  <c r="AJ51" i="20"/>
  <c r="W51" i="20"/>
  <c r="H51" i="16" s="1"/>
  <c r="M51" i="20"/>
  <c r="BW50" i="20"/>
  <c r="BP50" i="20"/>
  <c r="BO50" i="20"/>
  <c r="BN50" i="20"/>
  <c r="BM50" i="20"/>
  <c r="BL50" i="20"/>
  <c r="BK50" i="20"/>
  <c r="BJ50" i="20"/>
  <c r="BI50" i="20"/>
  <c r="BH50" i="20"/>
  <c r="BF50" i="20"/>
  <c r="BE50" i="20"/>
  <c r="BD50" i="20"/>
  <c r="BC50" i="20"/>
  <c r="BB50" i="20"/>
  <c r="BA50" i="20"/>
  <c r="AZ50" i="20"/>
  <c r="AY50" i="20"/>
  <c r="AX50" i="20"/>
  <c r="AT50" i="20"/>
  <c r="J50" i="16" s="1"/>
  <c r="AJ50" i="20"/>
  <c r="W50" i="20"/>
  <c r="H50" i="16" s="1"/>
  <c r="M50" i="20"/>
  <c r="BW49" i="20"/>
  <c r="BP49" i="20"/>
  <c r="BO49" i="20"/>
  <c r="BN49" i="20"/>
  <c r="BM49" i="20"/>
  <c r="BL49" i="20"/>
  <c r="BK49" i="20"/>
  <c r="BJ49" i="20"/>
  <c r="BI49" i="20"/>
  <c r="BH49" i="20"/>
  <c r="BF49" i="20"/>
  <c r="BE49" i="20"/>
  <c r="BD49" i="20"/>
  <c r="BC49" i="20"/>
  <c r="BB49" i="20"/>
  <c r="BA49" i="20"/>
  <c r="AZ49" i="20"/>
  <c r="AY49" i="20"/>
  <c r="AX49" i="20"/>
  <c r="AT49" i="20"/>
  <c r="J49" i="16" s="1"/>
  <c r="AJ49" i="20"/>
  <c r="W49" i="20"/>
  <c r="H49" i="16" s="1"/>
  <c r="M49" i="20"/>
  <c r="BW48" i="20"/>
  <c r="BP48" i="20"/>
  <c r="BO48" i="20"/>
  <c r="BN48" i="20"/>
  <c r="BM48" i="20"/>
  <c r="BL48" i="20"/>
  <c r="BK48" i="20"/>
  <c r="BJ48" i="20"/>
  <c r="BI48" i="20"/>
  <c r="BH48" i="20"/>
  <c r="BF48" i="20"/>
  <c r="BE48" i="20"/>
  <c r="BD48" i="20"/>
  <c r="BC48" i="20"/>
  <c r="BB48" i="20"/>
  <c r="BA48" i="20"/>
  <c r="AZ48" i="20"/>
  <c r="AY48" i="20"/>
  <c r="AX48" i="20"/>
  <c r="AT48" i="20"/>
  <c r="J48" i="16" s="1"/>
  <c r="AJ48" i="20"/>
  <c r="W48" i="20"/>
  <c r="H48" i="16" s="1"/>
  <c r="M48" i="20"/>
  <c r="BW47" i="20"/>
  <c r="BP47" i="20"/>
  <c r="BO47" i="20"/>
  <c r="BN47" i="20"/>
  <c r="BM47" i="20"/>
  <c r="BL47" i="20"/>
  <c r="BK47" i="20"/>
  <c r="BJ47" i="20"/>
  <c r="BI47" i="20"/>
  <c r="BH47" i="20"/>
  <c r="BF47" i="20"/>
  <c r="BE47" i="20"/>
  <c r="BD47" i="20"/>
  <c r="BC47" i="20"/>
  <c r="BB47" i="20"/>
  <c r="BA47" i="20"/>
  <c r="AZ47" i="20"/>
  <c r="AY47" i="20"/>
  <c r="AX47" i="20"/>
  <c r="AT47" i="20"/>
  <c r="J47" i="16" s="1"/>
  <c r="AJ47" i="20"/>
  <c r="W47" i="20"/>
  <c r="H47" i="16" s="1"/>
  <c r="M47" i="20"/>
  <c r="BW46" i="20"/>
  <c r="BP46" i="20"/>
  <c r="BO46" i="20"/>
  <c r="BN46" i="20"/>
  <c r="BM46" i="20"/>
  <c r="BL46" i="20"/>
  <c r="BK46" i="20"/>
  <c r="BJ46" i="20"/>
  <c r="BI46" i="20"/>
  <c r="BH46" i="20"/>
  <c r="BF46" i="20"/>
  <c r="BE46" i="20"/>
  <c r="BD46" i="20"/>
  <c r="BC46" i="20"/>
  <c r="BB46" i="20"/>
  <c r="BA46" i="20"/>
  <c r="AZ46" i="20"/>
  <c r="AY46" i="20"/>
  <c r="AX46" i="20"/>
  <c r="AT46" i="20"/>
  <c r="J46" i="16" s="1"/>
  <c r="AJ46" i="20"/>
  <c r="W46" i="20"/>
  <c r="H46" i="16" s="1"/>
  <c r="M46" i="20"/>
  <c r="BP45" i="20"/>
  <c r="BO45" i="20"/>
  <c r="BN45" i="20"/>
  <c r="BM45" i="20"/>
  <c r="BL45" i="20"/>
  <c r="BK45" i="20"/>
  <c r="BJ45" i="20"/>
  <c r="BI45" i="20"/>
  <c r="BH45" i="20"/>
  <c r="BF45" i="20"/>
  <c r="BE45" i="20"/>
  <c r="BD45" i="20"/>
  <c r="BC45" i="20"/>
  <c r="BB45" i="20"/>
  <c r="BA45" i="20"/>
  <c r="AZ45" i="20"/>
  <c r="AY45" i="20"/>
  <c r="AX45" i="20"/>
  <c r="AT45" i="20"/>
  <c r="J45" i="16" s="1"/>
  <c r="AJ45" i="20"/>
  <c r="W45" i="20"/>
  <c r="H45" i="16" s="1"/>
  <c r="M45" i="20"/>
  <c r="BP44" i="20"/>
  <c r="BO44" i="20"/>
  <c r="BN44" i="20"/>
  <c r="BM44" i="20"/>
  <c r="BL44" i="20"/>
  <c r="BK44" i="20"/>
  <c r="BJ44" i="20"/>
  <c r="BI44" i="20"/>
  <c r="BH44" i="20"/>
  <c r="BF44" i="20"/>
  <c r="BE44" i="20"/>
  <c r="BD44" i="20"/>
  <c r="BC44" i="20"/>
  <c r="BB44" i="20"/>
  <c r="BA44" i="20"/>
  <c r="AZ44" i="20"/>
  <c r="AY44" i="20"/>
  <c r="AX44" i="20"/>
  <c r="AT44" i="20"/>
  <c r="J44" i="16" s="1"/>
  <c r="AJ44" i="20"/>
  <c r="W44" i="20"/>
  <c r="H44" i="16" s="1"/>
  <c r="M44" i="20"/>
  <c r="BW43" i="20"/>
  <c r="BP43" i="20"/>
  <c r="BO43" i="20"/>
  <c r="BN43" i="20"/>
  <c r="BM43" i="20"/>
  <c r="BL43" i="20"/>
  <c r="BK43" i="20"/>
  <c r="BJ43" i="20"/>
  <c r="BI43" i="20"/>
  <c r="BH43" i="20"/>
  <c r="BF43" i="20"/>
  <c r="BE43" i="20"/>
  <c r="BD43" i="20"/>
  <c r="BC43" i="20"/>
  <c r="BB43" i="20"/>
  <c r="BA43" i="20"/>
  <c r="AZ43" i="20"/>
  <c r="AY43" i="20"/>
  <c r="AX43" i="20"/>
  <c r="AT43" i="20"/>
  <c r="J43" i="16" s="1"/>
  <c r="AJ43" i="20"/>
  <c r="W43" i="20"/>
  <c r="H43" i="16" s="1"/>
  <c r="M43" i="20"/>
  <c r="BW42" i="20"/>
  <c r="BP42" i="20"/>
  <c r="BO42" i="20"/>
  <c r="BN42" i="20"/>
  <c r="BM42" i="20"/>
  <c r="BL42" i="20"/>
  <c r="BK42" i="20"/>
  <c r="BJ42" i="20"/>
  <c r="BI42" i="20"/>
  <c r="BH42" i="20"/>
  <c r="BF42" i="20"/>
  <c r="BE42" i="20"/>
  <c r="BD42" i="20"/>
  <c r="BC42" i="20"/>
  <c r="BB42" i="20"/>
  <c r="BA42" i="20"/>
  <c r="AZ42" i="20"/>
  <c r="AY42" i="20"/>
  <c r="AX42" i="20"/>
  <c r="AT42" i="20"/>
  <c r="J42" i="16" s="1"/>
  <c r="AJ42" i="20"/>
  <c r="W42" i="20"/>
  <c r="H42" i="16" s="1"/>
  <c r="M42" i="20"/>
  <c r="BW41" i="20"/>
  <c r="BP41" i="20"/>
  <c r="BO41" i="20"/>
  <c r="BN41" i="20"/>
  <c r="BM41" i="20"/>
  <c r="BL41" i="20"/>
  <c r="BK41" i="20"/>
  <c r="BJ41" i="20"/>
  <c r="BI41" i="20"/>
  <c r="BH41" i="20"/>
  <c r="BF41" i="20"/>
  <c r="BE41" i="20"/>
  <c r="BD41" i="20"/>
  <c r="BC41" i="20"/>
  <c r="BB41" i="20"/>
  <c r="BA41" i="20"/>
  <c r="AZ41" i="20"/>
  <c r="AY41" i="20"/>
  <c r="AX41" i="20"/>
  <c r="AT41" i="20"/>
  <c r="J41" i="16" s="1"/>
  <c r="AJ41" i="20"/>
  <c r="W41" i="20"/>
  <c r="H41" i="16" s="1"/>
  <c r="M41" i="20"/>
  <c r="BW40" i="20"/>
  <c r="BP40" i="20"/>
  <c r="BO40" i="20"/>
  <c r="BN40" i="20"/>
  <c r="BM40" i="20"/>
  <c r="BL40" i="20"/>
  <c r="BK40" i="20"/>
  <c r="BJ40" i="20"/>
  <c r="BI40" i="20"/>
  <c r="BH40" i="20"/>
  <c r="BQ40" i="20" s="1"/>
  <c r="BF40" i="20"/>
  <c r="BE40" i="20"/>
  <c r="BD40" i="20"/>
  <c r="BC40" i="20"/>
  <c r="BB40" i="20"/>
  <c r="BA40" i="20"/>
  <c r="AZ40" i="20"/>
  <c r="AY40" i="20"/>
  <c r="AX40" i="20"/>
  <c r="AT40" i="20"/>
  <c r="J40" i="16" s="1"/>
  <c r="AJ40" i="20"/>
  <c r="W40" i="20"/>
  <c r="H40" i="16" s="1"/>
  <c r="M40" i="20"/>
  <c r="BW39" i="20"/>
  <c r="BP39" i="20"/>
  <c r="BO39" i="20"/>
  <c r="BN39" i="20"/>
  <c r="BM39" i="20"/>
  <c r="BL39" i="20"/>
  <c r="BK39" i="20"/>
  <c r="BJ39" i="20"/>
  <c r="BI39" i="20"/>
  <c r="BH39" i="20"/>
  <c r="BF39" i="20"/>
  <c r="BE39" i="20"/>
  <c r="BD39" i="20"/>
  <c r="BC39" i="20"/>
  <c r="BB39" i="20"/>
  <c r="BA39" i="20"/>
  <c r="AZ39" i="20"/>
  <c r="AY39" i="20"/>
  <c r="AX39" i="20"/>
  <c r="AT39" i="20"/>
  <c r="J39" i="16" s="1"/>
  <c r="AJ39" i="20"/>
  <c r="W39" i="20"/>
  <c r="H39" i="16" s="1"/>
  <c r="M39" i="20"/>
  <c r="BW38" i="20"/>
  <c r="BP38" i="20"/>
  <c r="BO38" i="20"/>
  <c r="BN38" i="20"/>
  <c r="BM38" i="20"/>
  <c r="BL38" i="20"/>
  <c r="BK38" i="20"/>
  <c r="BJ38" i="20"/>
  <c r="BI38" i="20"/>
  <c r="BH38" i="20"/>
  <c r="BF38" i="20"/>
  <c r="BE38" i="20"/>
  <c r="BD38" i="20"/>
  <c r="BC38" i="20"/>
  <c r="BB38" i="20"/>
  <c r="BA38" i="20"/>
  <c r="AZ38" i="20"/>
  <c r="AY38" i="20"/>
  <c r="AX38" i="20"/>
  <c r="AT38" i="20"/>
  <c r="J38" i="16" s="1"/>
  <c r="AJ38" i="20"/>
  <c r="W38" i="20"/>
  <c r="H38" i="16" s="1"/>
  <c r="M38" i="20"/>
  <c r="BP37" i="20"/>
  <c r="BO37" i="20"/>
  <c r="BN37" i="20"/>
  <c r="BM37" i="20"/>
  <c r="BL37" i="20"/>
  <c r="BK37" i="20"/>
  <c r="BJ37" i="20"/>
  <c r="BI37" i="20"/>
  <c r="BH37" i="20"/>
  <c r="BF37" i="20"/>
  <c r="BE37" i="20"/>
  <c r="BD37" i="20"/>
  <c r="BC37" i="20"/>
  <c r="BB37" i="20"/>
  <c r="BA37" i="20"/>
  <c r="AZ37" i="20"/>
  <c r="AY37" i="20"/>
  <c r="AX37" i="20"/>
  <c r="AT37" i="20"/>
  <c r="J37" i="16" s="1"/>
  <c r="AJ37" i="20"/>
  <c r="W37" i="20"/>
  <c r="H37" i="16" s="1"/>
  <c r="M37" i="20"/>
  <c r="BP36" i="20"/>
  <c r="BO36" i="20"/>
  <c r="BN36" i="20"/>
  <c r="BM36" i="20"/>
  <c r="BL36" i="20"/>
  <c r="BK36" i="20"/>
  <c r="BJ36" i="20"/>
  <c r="BI36" i="20"/>
  <c r="BH36" i="20"/>
  <c r="BQ36" i="20" s="1"/>
  <c r="BF36" i="20"/>
  <c r="BE36" i="20"/>
  <c r="BD36" i="20"/>
  <c r="BC36" i="20"/>
  <c r="BB36" i="20"/>
  <c r="BA36" i="20"/>
  <c r="AZ36" i="20"/>
  <c r="AY36" i="20"/>
  <c r="AX36" i="20"/>
  <c r="AT36" i="20"/>
  <c r="J36" i="16" s="1"/>
  <c r="AJ36" i="20"/>
  <c r="W36" i="20"/>
  <c r="H36" i="16" s="1"/>
  <c r="M36" i="20"/>
  <c r="BW35" i="20"/>
  <c r="BP35" i="20"/>
  <c r="BO35" i="20"/>
  <c r="BN35" i="20"/>
  <c r="BM35" i="20"/>
  <c r="BL35" i="20"/>
  <c r="BK35" i="20"/>
  <c r="BJ35" i="20"/>
  <c r="BI35" i="20"/>
  <c r="BH35" i="20"/>
  <c r="BF35" i="20"/>
  <c r="BE35" i="20"/>
  <c r="BD35" i="20"/>
  <c r="BC35" i="20"/>
  <c r="BB35" i="20"/>
  <c r="BA35" i="20"/>
  <c r="AZ35" i="20"/>
  <c r="AY35" i="20"/>
  <c r="AX35" i="20"/>
  <c r="AT35" i="20"/>
  <c r="J35" i="16" s="1"/>
  <c r="AJ35" i="20"/>
  <c r="W35" i="20"/>
  <c r="H35" i="16" s="1"/>
  <c r="M35" i="20"/>
  <c r="BW34" i="20"/>
  <c r="BP34" i="20"/>
  <c r="BO34" i="20"/>
  <c r="BN34" i="20"/>
  <c r="BM34" i="20"/>
  <c r="BL34" i="20"/>
  <c r="BK34" i="20"/>
  <c r="BJ34" i="20"/>
  <c r="BI34" i="20"/>
  <c r="BH34" i="20"/>
  <c r="BF34" i="20"/>
  <c r="BE34" i="20"/>
  <c r="BD34" i="20"/>
  <c r="BC34" i="20"/>
  <c r="BB34" i="20"/>
  <c r="BA34" i="20"/>
  <c r="AZ34" i="20"/>
  <c r="AY34" i="20"/>
  <c r="AX34" i="20"/>
  <c r="AT34" i="20"/>
  <c r="J34" i="16" s="1"/>
  <c r="AJ34" i="20"/>
  <c r="W34" i="20"/>
  <c r="H34" i="16" s="1"/>
  <c r="M34" i="20"/>
  <c r="BW33" i="20"/>
  <c r="BP33" i="20"/>
  <c r="BO33" i="20"/>
  <c r="BN33" i="20"/>
  <c r="BM33" i="20"/>
  <c r="BL33" i="20"/>
  <c r="BK33" i="20"/>
  <c r="BJ33" i="20"/>
  <c r="BI33" i="20"/>
  <c r="BH33" i="20"/>
  <c r="BF33" i="20"/>
  <c r="BE33" i="20"/>
  <c r="BD33" i="20"/>
  <c r="BC33" i="20"/>
  <c r="BB33" i="20"/>
  <c r="BA33" i="20"/>
  <c r="AZ33" i="20"/>
  <c r="AY33" i="20"/>
  <c r="AX33" i="20"/>
  <c r="AT33" i="20"/>
  <c r="J33" i="16" s="1"/>
  <c r="AJ33" i="20"/>
  <c r="W33" i="20"/>
  <c r="H33" i="16" s="1"/>
  <c r="M33" i="20"/>
  <c r="BW32" i="20"/>
  <c r="BP32" i="20"/>
  <c r="BO32" i="20"/>
  <c r="BN32" i="20"/>
  <c r="BM32" i="20"/>
  <c r="BL32" i="20"/>
  <c r="BK32" i="20"/>
  <c r="BJ32" i="20"/>
  <c r="BI32" i="20"/>
  <c r="BH32" i="20"/>
  <c r="BF32" i="20"/>
  <c r="BE32" i="20"/>
  <c r="BD32" i="20"/>
  <c r="BC32" i="20"/>
  <c r="BB32" i="20"/>
  <c r="BA32" i="20"/>
  <c r="AZ32" i="20"/>
  <c r="AY32" i="20"/>
  <c r="AX32" i="20"/>
  <c r="AT32" i="20"/>
  <c r="J32" i="16" s="1"/>
  <c r="AJ32" i="20"/>
  <c r="W32" i="20"/>
  <c r="H32" i="16" s="1"/>
  <c r="M32" i="20"/>
  <c r="BW31" i="20"/>
  <c r="BP31" i="20"/>
  <c r="BO31" i="20"/>
  <c r="BN31" i="20"/>
  <c r="BM31" i="20"/>
  <c r="BL31" i="20"/>
  <c r="BK31" i="20"/>
  <c r="BJ31" i="20"/>
  <c r="BI31" i="20"/>
  <c r="BH31" i="20"/>
  <c r="BF31" i="20"/>
  <c r="BE31" i="20"/>
  <c r="BD31" i="20"/>
  <c r="BC31" i="20"/>
  <c r="BB31" i="20"/>
  <c r="BA31" i="20"/>
  <c r="AZ31" i="20"/>
  <c r="AY31" i="20"/>
  <c r="AX31" i="20"/>
  <c r="AT31" i="20"/>
  <c r="J31" i="16" s="1"/>
  <c r="AJ31" i="20"/>
  <c r="W31" i="20"/>
  <c r="H31" i="16" s="1"/>
  <c r="M31" i="20"/>
  <c r="BW30" i="20"/>
  <c r="BP30" i="20"/>
  <c r="BO30" i="20"/>
  <c r="BN30" i="20"/>
  <c r="BM30" i="20"/>
  <c r="BL30" i="20"/>
  <c r="BK30" i="20"/>
  <c r="BJ30" i="20"/>
  <c r="BI30" i="20"/>
  <c r="BH30" i="20"/>
  <c r="BQ30" i="20" s="1"/>
  <c r="BF30" i="20"/>
  <c r="BE30" i="20"/>
  <c r="BD30" i="20"/>
  <c r="BC30" i="20"/>
  <c r="BB30" i="20"/>
  <c r="BA30" i="20"/>
  <c r="AZ30" i="20"/>
  <c r="AY30" i="20"/>
  <c r="AX30" i="20"/>
  <c r="AT30" i="20"/>
  <c r="J30" i="16" s="1"/>
  <c r="AJ30" i="20"/>
  <c r="W30" i="20"/>
  <c r="H30" i="16" s="1"/>
  <c r="M30" i="20"/>
  <c r="BP29" i="20"/>
  <c r="BO29" i="20"/>
  <c r="BN29" i="20"/>
  <c r="BM29" i="20"/>
  <c r="BL29" i="20"/>
  <c r="BK29" i="20"/>
  <c r="BJ29" i="20"/>
  <c r="BI29" i="20"/>
  <c r="BH29" i="20"/>
  <c r="BF29" i="20"/>
  <c r="BE29" i="20"/>
  <c r="BD29" i="20"/>
  <c r="BC29" i="20"/>
  <c r="BB29" i="20"/>
  <c r="BA29" i="20"/>
  <c r="AZ29" i="20"/>
  <c r="AY29" i="20"/>
  <c r="AX29" i="20"/>
  <c r="AT29" i="20"/>
  <c r="J29" i="16" s="1"/>
  <c r="AJ29" i="20"/>
  <c r="W29" i="20"/>
  <c r="H29" i="16" s="1"/>
  <c r="M29" i="20"/>
  <c r="BP28" i="20"/>
  <c r="BO28" i="20"/>
  <c r="BN28" i="20"/>
  <c r="BM28" i="20"/>
  <c r="BL28" i="20"/>
  <c r="BK28" i="20"/>
  <c r="BJ28" i="20"/>
  <c r="BI28" i="20"/>
  <c r="BH28" i="20"/>
  <c r="BF28" i="20"/>
  <c r="BE28" i="20"/>
  <c r="BD28" i="20"/>
  <c r="BC28" i="20"/>
  <c r="BB28" i="20"/>
  <c r="BA28" i="20"/>
  <c r="AZ28" i="20"/>
  <c r="AY28" i="20"/>
  <c r="AX28" i="20"/>
  <c r="AT28" i="20"/>
  <c r="J28" i="16" s="1"/>
  <c r="AJ28" i="20"/>
  <c r="W28" i="20"/>
  <c r="H28" i="16" s="1"/>
  <c r="M28" i="20"/>
  <c r="BW27" i="20"/>
  <c r="BP27" i="20"/>
  <c r="BO27" i="20"/>
  <c r="BN27" i="20"/>
  <c r="BM27" i="20"/>
  <c r="BL27" i="20"/>
  <c r="BK27" i="20"/>
  <c r="BJ27" i="20"/>
  <c r="BI27" i="20"/>
  <c r="BH27" i="20"/>
  <c r="BF27" i="20"/>
  <c r="BE27" i="20"/>
  <c r="BD27" i="20"/>
  <c r="BC27" i="20"/>
  <c r="BB27" i="20"/>
  <c r="BA27" i="20"/>
  <c r="AZ27" i="20"/>
  <c r="AY27" i="20"/>
  <c r="AX27" i="20"/>
  <c r="AT27" i="20"/>
  <c r="J27" i="16" s="1"/>
  <c r="AJ27" i="20"/>
  <c r="W27" i="20"/>
  <c r="H27" i="16" s="1"/>
  <c r="M27" i="20"/>
  <c r="BW26" i="20"/>
  <c r="BP26" i="20"/>
  <c r="BO26" i="20"/>
  <c r="BN26" i="20"/>
  <c r="BM26" i="20"/>
  <c r="BL26" i="20"/>
  <c r="BK26" i="20"/>
  <c r="BJ26" i="20"/>
  <c r="BI26" i="20"/>
  <c r="BH26" i="20"/>
  <c r="BQ26" i="20" s="1"/>
  <c r="BF26" i="20"/>
  <c r="BE26" i="20"/>
  <c r="BD26" i="20"/>
  <c r="BC26" i="20"/>
  <c r="BB26" i="20"/>
  <c r="BA26" i="20"/>
  <c r="AZ26" i="20"/>
  <c r="AY26" i="20"/>
  <c r="AX26" i="20"/>
  <c r="AT26" i="20"/>
  <c r="J26" i="16" s="1"/>
  <c r="AJ26" i="20"/>
  <c r="W26" i="20"/>
  <c r="H26" i="16" s="1"/>
  <c r="M26" i="20"/>
  <c r="BW25" i="20"/>
  <c r="BP25" i="20"/>
  <c r="BO25" i="20"/>
  <c r="BN25" i="20"/>
  <c r="BM25" i="20"/>
  <c r="BL25" i="20"/>
  <c r="BK25" i="20"/>
  <c r="BJ25" i="20"/>
  <c r="BI25" i="20"/>
  <c r="BH25" i="20"/>
  <c r="BF25" i="20"/>
  <c r="BE25" i="20"/>
  <c r="BD25" i="20"/>
  <c r="BC25" i="20"/>
  <c r="BB25" i="20"/>
  <c r="BA25" i="20"/>
  <c r="AZ25" i="20"/>
  <c r="AY25" i="20"/>
  <c r="AX25" i="20"/>
  <c r="BG25" i="20" s="1"/>
  <c r="BR25" i="20" s="1"/>
  <c r="AT25" i="20"/>
  <c r="J25" i="16" s="1"/>
  <c r="AJ25" i="20"/>
  <c r="W25" i="20"/>
  <c r="H25" i="16" s="1"/>
  <c r="M25" i="20"/>
  <c r="BW24" i="20"/>
  <c r="BP24" i="20"/>
  <c r="BO24" i="20"/>
  <c r="BN24" i="20"/>
  <c r="BM24" i="20"/>
  <c r="BL24" i="20"/>
  <c r="BK24" i="20"/>
  <c r="BJ24" i="20"/>
  <c r="BI24" i="20"/>
  <c r="BH24" i="20"/>
  <c r="BF24" i="20"/>
  <c r="BE24" i="20"/>
  <c r="BD24" i="20"/>
  <c r="BC24" i="20"/>
  <c r="BB24" i="20"/>
  <c r="BA24" i="20"/>
  <c r="AZ24" i="20"/>
  <c r="AY24" i="20"/>
  <c r="AX24" i="20"/>
  <c r="AT24" i="20"/>
  <c r="J24" i="16" s="1"/>
  <c r="AJ24" i="20"/>
  <c r="W24" i="20"/>
  <c r="H24" i="16" s="1"/>
  <c r="M24" i="20"/>
  <c r="BW23" i="20"/>
  <c r="BP23" i="20"/>
  <c r="BO23" i="20"/>
  <c r="BN23" i="20"/>
  <c r="BM23" i="20"/>
  <c r="BL23" i="20"/>
  <c r="BK23" i="20"/>
  <c r="BJ23" i="20"/>
  <c r="BI23" i="20"/>
  <c r="BH23" i="20"/>
  <c r="BQ23" i="20" s="1"/>
  <c r="BF23" i="20"/>
  <c r="BE23" i="20"/>
  <c r="BD23" i="20"/>
  <c r="BC23" i="20"/>
  <c r="BB23" i="20"/>
  <c r="BA23" i="20"/>
  <c r="AZ23" i="20"/>
  <c r="AY23" i="20"/>
  <c r="AX23" i="20"/>
  <c r="BG23" i="20" s="1"/>
  <c r="BR23" i="20" s="1"/>
  <c r="AT23" i="20"/>
  <c r="J23" i="16" s="1"/>
  <c r="AJ23" i="20"/>
  <c r="W23" i="20"/>
  <c r="H23" i="16" s="1"/>
  <c r="M23" i="20"/>
  <c r="BW22" i="20"/>
  <c r="BP22" i="20"/>
  <c r="BO22" i="20"/>
  <c r="BN22" i="20"/>
  <c r="BM22" i="20"/>
  <c r="BL22" i="20"/>
  <c r="BK22" i="20"/>
  <c r="BJ22" i="20"/>
  <c r="BI22" i="20"/>
  <c r="BH22" i="20"/>
  <c r="BF22" i="20"/>
  <c r="BE22" i="20"/>
  <c r="BD22" i="20"/>
  <c r="BC22" i="20"/>
  <c r="BB22" i="20"/>
  <c r="BA22" i="20"/>
  <c r="AZ22" i="20"/>
  <c r="AY22" i="20"/>
  <c r="AX22" i="20"/>
  <c r="AT22" i="20"/>
  <c r="J22" i="16" s="1"/>
  <c r="AJ22" i="20"/>
  <c r="W22" i="20"/>
  <c r="H22" i="16" s="1"/>
  <c r="M22" i="20"/>
  <c r="BP21" i="20"/>
  <c r="BO21" i="20"/>
  <c r="BN21" i="20"/>
  <c r="BM21" i="20"/>
  <c r="BL21" i="20"/>
  <c r="BK21" i="20"/>
  <c r="BJ21" i="20"/>
  <c r="BI21" i="20"/>
  <c r="BH21" i="20"/>
  <c r="BF21" i="20"/>
  <c r="BE21" i="20"/>
  <c r="BD21" i="20"/>
  <c r="BC21" i="20"/>
  <c r="BB21" i="20"/>
  <c r="BA21" i="20"/>
  <c r="AZ21" i="20"/>
  <c r="AY21" i="20"/>
  <c r="AX21" i="20"/>
  <c r="BG21" i="20" s="1"/>
  <c r="BR21" i="20" s="1"/>
  <c r="AT21" i="20"/>
  <c r="J21" i="16" s="1"/>
  <c r="AJ21" i="20"/>
  <c r="W21" i="20"/>
  <c r="H21" i="16" s="1"/>
  <c r="M21" i="20"/>
  <c r="BP20" i="20"/>
  <c r="BO20" i="20"/>
  <c r="BN20" i="20"/>
  <c r="BM20" i="20"/>
  <c r="BL20" i="20"/>
  <c r="BK20" i="20"/>
  <c r="BJ20" i="20"/>
  <c r="BI20" i="20"/>
  <c r="BH20" i="20"/>
  <c r="BQ20" i="20" s="1"/>
  <c r="BF20" i="20"/>
  <c r="BE20" i="20"/>
  <c r="BD20" i="20"/>
  <c r="BC20" i="20"/>
  <c r="BB20" i="20"/>
  <c r="BA20" i="20"/>
  <c r="AZ20" i="20"/>
  <c r="AY20" i="20"/>
  <c r="AX20" i="20"/>
  <c r="AT20" i="20"/>
  <c r="J20" i="16" s="1"/>
  <c r="AJ20" i="20"/>
  <c r="W20" i="20"/>
  <c r="H20" i="16" s="1"/>
  <c r="M20" i="20"/>
  <c r="BW19" i="20"/>
  <c r="BP19" i="20"/>
  <c r="BO19" i="20"/>
  <c r="BN19" i="20"/>
  <c r="BM19" i="20"/>
  <c r="BL19" i="20"/>
  <c r="BK19" i="20"/>
  <c r="BJ19" i="20"/>
  <c r="BI19" i="20"/>
  <c r="BH19" i="20"/>
  <c r="BF19" i="20"/>
  <c r="BE19" i="20"/>
  <c r="BD19" i="20"/>
  <c r="BC19" i="20"/>
  <c r="BB19" i="20"/>
  <c r="BA19" i="20"/>
  <c r="AZ19" i="20"/>
  <c r="AY19" i="20"/>
  <c r="AX19" i="20"/>
  <c r="BG19" i="20" s="1"/>
  <c r="BR19" i="20" s="1"/>
  <c r="AT19" i="20"/>
  <c r="J19" i="16" s="1"/>
  <c r="AJ19" i="20"/>
  <c r="W19" i="20"/>
  <c r="H19" i="16" s="1"/>
  <c r="M19" i="20"/>
  <c r="BW18" i="20"/>
  <c r="BP18" i="20"/>
  <c r="BO18" i="20"/>
  <c r="BN18" i="20"/>
  <c r="BM18" i="20"/>
  <c r="BL18" i="20"/>
  <c r="BK18" i="20"/>
  <c r="BJ18" i="20"/>
  <c r="BI18" i="20"/>
  <c r="BH18" i="20"/>
  <c r="BQ18" i="20" s="1"/>
  <c r="BF18" i="20"/>
  <c r="BE18" i="20"/>
  <c r="BD18" i="20"/>
  <c r="BC18" i="20"/>
  <c r="BB18" i="20"/>
  <c r="BA18" i="20"/>
  <c r="AZ18" i="20"/>
  <c r="AY18" i="20"/>
  <c r="AX18" i="20"/>
  <c r="BG18" i="20" s="1"/>
  <c r="BR18" i="20" s="1"/>
  <c r="AT18" i="20"/>
  <c r="J18" i="16" s="1"/>
  <c r="AJ18" i="20"/>
  <c r="W18" i="20"/>
  <c r="H18" i="16" s="1"/>
  <c r="M18" i="20"/>
  <c r="BW17" i="20"/>
  <c r="BP17" i="20"/>
  <c r="BO17" i="20"/>
  <c r="BN17" i="20"/>
  <c r="BM17" i="20"/>
  <c r="BL17" i="20"/>
  <c r="BK17" i="20"/>
  <c r="BJ17" i="20"/>
  <c r="BI17" i="20"/>
  <c r="BH17" i="20"/>
  <c r="BF17" i="20"/>
  <c r="BE17" i="20"/>
  <c r="BD17" i="20"/>
  <c r="BC17" i="20"/>
  <c r="BB17" i="20"/>
  <c r="BA17" i="20"/>
  <c r="AZ17" i="20"/>
  <c r="AY17" i="20"/>
  <c r="AX17" i="20"/>
  <c r="BG17" i="20" s="1"/>
  <c r="BR17" i="20" s="1"/>
  <c r="AT17" i="20"/>
  <c r="J17" i="16" s="1"/>
  <c r="AJ17" i="20"/>
  <c r="W17" i="20"/>
  <c r="H17" i="16" s="1"/>
  <c r="M17" i="20"/>
  <c r="BW16" i="20"/>
  <c r="BP16" i="20"/>
  <c r="BO16" i="20"/>
  <c r="BN16" i="20"/>
  <c r="BM16" i="20"/>
  <c r="BL16" i="20"/>
  <c r="BK16" i="20"/>
  <c r="BJ16" i="20"/>
  <c r="BI16" i="20"/>
  <c r="BH16" i="20"/>
  <c r="BQ16" i="20" s="1"/>
  <c r="BF16" i="20"/>
  <c r="BE16" i="20"/>
  <c r="BD16" i="20"/>
  <c r="BC16" i="20"/>
  <c r="BB16" i="20"/>
  <c r="BA16" i="20"/>
  <c r="AZ16" i="20"/>
  <c r="AY16" i="20"/>
  <c r="AX16" i="20"/>
  <c r="BG16" i="20" s="1"/>
  <c r="BR16" i="20" s="1"/>
  <c r="AT16" i="20"/>
  <c r="J16" i="16" s="1"/>
  <c r="AJ16" i="20"/>
  <c r="W16" i="20"/>
  <c r="H16" i="16" s="1"/>
  <c r="M16" i="20"/>
  <c r="BW15" i="20"/>
  <c r="BP15" i="20"/>
  <c r="BO15" i="20"/>
  <c r="BN15" i="20"/>
  <c r="BM15" i="20"/>
  <c r="BL15" i="20"/>
  <c r="BK15" i="20"/>
  <c r="BJ15" i="20"/>
  <c r="BI15" i="20"/>
  <c r="BH15" i="20"/>
  <c r="BF15" i="20"/>
  <c r="BE15" i="20"/>
  <c r="BD15" i="20"/>
  <c r="BC15" i="20"/>
  <c r="BB15" i="20"/>
  <c r="BA15" i="20"/>
  <c r="AZ15" i="20"/>
  <c r="AY15" i="20"/>
  <c r="AX15" i="20"/>
  <c r="AT15" i="20"/>
  <c r="J15" i="16" s="1"/>
  <c r="AJ15" i="20"/>
  <c r="W15" i="20"/>
  <c r="H15" i="16" s="1"/>
  <c r="M15" i="20"/>
  <c r="BW14" i="20"/>
  <c r="BP14" i="20"/>
  <c r="BO14" i="20"/>
  <c r="BN14" i="20"/>
  <c r="BM14" i="20"/>
  <c r="BL14" i="20"/>
  <c r="BK14" i="20"/>
  <c r="BJ14" i="20"/>
  <c r="BI14" i="20"/>
  <c r="BH14" i="20"/>
  <c r="BQ14" i="20" s="1"/>
  <c r="BF14" i="20"/>
  <c r="BE14" i="20"/>
  <c r="BD14" i="20"/>
  <c r="BC14" i="20"/>
  <c r="BB14" i="20"/>
  <c r="BA14" i="20"/>
  <c r="AZ14" i="20"/>
  <c r="AY14" i="20"/>
  <c r="AX14" i="20"/>
  <c r="BG14" i="20" s="1"/>
  <c r="BR14" i="20" s="1"/>
  <c r="AT14" i="20"/>
  <c r="J14" i="16" s="1"/>
  <c r="AJ14" i="20"/>
  <c r="W14" i="20"/>
  <c r="H14" i="16" s="1"/>
  <c r="M14" i="20"/>
  <c r="BP13" i="20"/>
  <c r="BO13" i="20"/>
  <c r="BN13" i="20"/>
  <c r="BM13" i="20"/>
  <c r="BL13" i="20"/>
  <c r="BK13" i="20"/>
  <c r="BJ13" i="20"/>
  <c r="BI13" i="20"/>
  <c r="BH13" i="20"/>
  <c r="BF13" i="20"/>
  <c r="BE13" i="20"/>
  <c r="BD13" i="20"/>
  <c r="BC13" i="20"/>
  <c r="BB13" i="20"/>
  <c r="BA13" i="20"/>
  <c r="AZ13" i="20"/>
  <c r="AY13" i="20"/>
  <c r="AX13" i="20"/>
  <c r="AT13" i="20"/>
  <c r="J13" i="16" s="1"/>
  <c r="AJ13" i="20"/>
  <c r="W13" i="20"/>
  <c r="H13" i="16" s="1"/>
  <c r="M13" i="20"/>
  <c r="BP12" i="20"/>
  <c r="BO12" i="20"/>
  <c r="BN12" i="20"/>
  <c r="BM12" i="20"/>
  <c r="BL12" i="20"/>
  <c r="BK12" i="20"/>
  <c r="BJ12" i="20"/>
  <c r="BI12" i="20"/>
  <c r="BH12" i="20"/>
  <c r="BQ12" i="20" s="1"/>
  <c r="BF12" i="20"/>
  <c r="BE12" i="20"/>
  <c r="BD12" i="20"/>
  <c r="BC12" i="20"/>
  <c r="BB12" i="20"/>
  <c r="BA12" i="20"/>
  <c r="AZ12" i="20"/>
  <c r="AY12" i="20"/>
  <c r="AX12" i="20"/>
  <c r="BG12" i="20" s="1"/>
  <c r="BR12" i="20" s="1"/>
  <c r="AT12" i="20"/>
  <c r="J12" i="16" s="1"/>
  <c r="AJ12" i="20"/>
  <c r="W12" i="20"/>
  <c r="H12" i="16" s="1"/>
  <c r="M12" i="20"/>
  <c r="BW11" i="20"/>
  <c r="BP11" i="20"/>
  <c r="BO11" i="20"/>
  <c r="BN11" i="20"/>
  <c r="BM11" i="20"/>
  <c r="BL11" i="20"/>
  <c r="BK11" i="20"/>
  <c r="BJ11" i="20"/>
  <c r="BI11" i="20"/>
  <c r="BH11" i="20"/>
  <c r="BF11" i="20"/>
  <c r="BE11" i="20"/>
  <c r="BD11" i="20"/>
  <c r="BC11" i="20"/>
  <c r="BB11" i="20"/>
  <c r="BA11" i="20"/>
  <c r="AZ11" i="20"/>
  <c r="AY11" i="20"/>
  <c r="AX11" i="20"/>
  <c r="AT11" i="20"/>
  <c r="J11" i="16" s="1"/>
  <c r="AJ11" i="20"/>
  <c r="W11" i="20"/>
  <c r="H11" i="16" s="1"/>
  <c r="M11" i="20"/>
  <c r="BW10" i="20"/>
  <c r="BP10" i="20"/>
  <c r="BO10" i="20"/>
  <c r="BN10" i="20"/>
  <c r="BM10" i="20"/>
  <c r="BL10" i="20"/>
  <c r="BK10" i="20"/>
  <c r="BJ10" i="20"/>
  <c r="BI10" i="20"/>
  <c r="BH10" i="20"/>
  <c r="BQ10" i="20" s="1"/>
  <c r="BF10" i="20"/>
  <c r="BE10" i="20"/>
  <c r="BD10" i="20"/>
  <c r="BC10" i="20"/>
  <c r="BB10" i="20"/>
  <c r="BA10" i="20"/>
  <c r="AZ10" i="20"/>
  <c r="AY10" i="20"/>
  <c r="AX10" i="20"/>
  <c r="BG10" i="20" s="1"/>
  <c r="BR10" i="20" s="1"/>
  <c r="AT10" i="20"/>
  <c r="J10" i="16" s="1"/>
  <c r="AJ10" i="20"/>
  <c r="W10" i="20"/>
  <c r="H10" i="16" s="1"/>
  <c r="M10" i="20"/>
  <c r="BP9" i="20"/>
  <c r="BO9" i="20"/>
  <c r="BN9" i="20"/>
  <c r="BM9" i="20"/>
  <c r="BL9" i="20"/>
  <c r="BK9" i="20"/>
  <c r="BJ9" i="20"/>
  <c r="BI9" i="20"/>
  <c r="BH9" i="20"/>
  <c r="BF9" i="20"/>
  <c r="BE9" i="20"/>
  <c r="BD9" i="20"/>
  <c r="BC9" i="20"/>
  <c r="BB9" i="20"/>
  <c r="BA9" i="20"/>
  <c r="AZ9" i="20"/>
  <c r="AY9" i="20"/>
  <c r="AX9" i="20"/>
  <c r="AT9" i="20"/>
  <c r="J9" i="16" s="1"/>
  <c r="AJ9" i="20"/>
  <c r="W9" i="20"/>
  <c r="H9" i="16" s="1"/>
  <c r="M9" i="20"/>
  <c r="BW8" i="20"/>
  <c r="BP8" i="20"/>
  <c r="BO8" i="20"/>
  <c r="BN8" i="20"/>
  <c r="BM8" i="20"/>
  <c r="BL8" i="20"/>
  <c r="BK8" i="20"/>
  <c r="BJ8" i="20"/>
  <c r="BI8" i="20"/>
  <c r="BH8" i="20"/>
  <c r="BF8" i="20"/>
  <c r="BE8" i="20"/>
  <c r="BD8" i="20"/>
  <c r="BC8" i="20"/>
  <c r="BB8" i="20"/>
  <c r="BA8" i="20"/>
  <c r="AZ8" i="20"/>
  <c r="AY8" i="20"/>
  <c r="AX8" i="20"/>
  <c r="AT8" i="20"/>
  <c r="J8" i="16" s="1"/>
  <c r="AJ8" i="20"/>
  <c r="W8" i="20"/>
  <c r="H8" i="16" s="1"/>
  <c r="M8" i="20"/>
  <c r="BW7" i="20"/>
  <c r="BP7" i="20"/>
  <c r="BO7" i="20"/>
  <c r="BN7" i="20"/>
  <c r="BM7" i="20"/>
  <c r="BL7" i="20"/>
  <c r="BK7" i="20"/>
  <c r="BJ7" i="20"/>
  <c r="BI7" i="20"/>
  <c r="BF7" i="20"/>
  <c r="BE7" i="20"/>
  <c r="BD7" i="20"/>
  <c r="BC7" i="20"/>
  <c r="BB7" i="20"/>
  <c r="BA7" i="20"/>
  <c r="AZ7" i="20"/>
  <c r="AY7" i="20"/>
  <c r="AX7" i="20"/>
  <c r="AJ7" i="20"/>
  <c r="W7" i="20"/>
  <c r="H7" i="16" s="1"/>
  <c r="M7" i="20"/>
  <c r="BW6" i="20"/>
  <c r="BP6" i="20"/>
  <c r="BO6" i="20"/>
  <c r="BN6" i="20"/>
  <c r="BM6" i="20"/>
  <c r="BL6" i="20"/>
  <c r="BK6" i="20"/>
  <c r="BJ6" i="20"/>
  <c r="BI6" i="20"/>
  <c r="BF6" i="20"/>
  <c r="BE6" i="20"/>
  <c r="BD6" i="20"/>
  <c r="BC6" i="20"/>
  <c r="BB6" i="20"/>
  <c r="BA6" i="20"/>
  <c r="AZ6" i="20"/>
  <c r="AY6" i="20"/>
  <c r="AX6" i="20"/>
  <c r="BG6" i="20" s="1"/>
  <c r="BR6" i="20" s="1"/>
  <c r="AJ6" i="20"/>
  <c r="W6" i="20"/>
  <c r="H6" i="16" s="1"/>
  <c r="M6" i="20"/>
  <c r="BW5" i="20"/>
  <c r="BP5" i="20"/>
  <c r="BO5" i="20"/>
  <c r="BN5" i="20"/>
  <c r="BM5" i="20"/>
  <c r="BL5" i="20"/>
  <c r="BK5" i="20"/>
  <c r="BJ5" i="20"/>
  <c r="BI5" i="20"/>
  <c r="BH5" i="20"/>
  <c r="BF5" i="20"/>
  <c r="BE5" i="20"/>
  <c r="BD5" i="20"/>
  <c r="BC5" i="20"/>
  <c r="BB5" i="20"/>
  <c r="BA5" i="20"/>
  <c r="AZ5" i="20"/>
  <c r="AX5" i="20"/>
  <c r="W5" i="20"/>
  <c r="G5" i="16"/>
  <c r="E16" i="17"/>
  <c r="C16" i="21" s="1"/>
  <c r="BX16" i="21" s="1"/>
  <c r="E17" i="17"/>
  <c r="C17" i="21" s="1"/>
  <c r="BX17" i="21" s="1"/>
  <c r="E18" i="17"/>
  <c r="C18" i="21" s="1"/>
  <c r="BX18" i="21" s="1"/>
  <c r="E19" i="17"/>
  <c r="C19" i="21" s="1"/>
  <c r="BX19" i="21" s="1"/>
  <c r="E20" i="17"/>
  <c r="C20" i="21" s="1"/>
  <c r="BX20" i="21" s="1"/>
  <c r="E21" i="17"/>
  <c r="C21" i="21" s="1"/>
  <c r="BX21" i="21" s="1"/>
  <c r="E22" i="17"/>
  <c r="C22" i="21" s="1"/>
  <c r="BX22" i="21" s="1"/>
  <c r="E23" i="17"/>
  <c r="C23" i="21" s="1"/>
  <c r="BX23" i="21" s="1"/>
  <c r="E24" i="17"/>
  <c r="C24" i="21" s="1"/>
  <c r="BX24" i="21" s="1"/>
  <c r="E25" i="17"/>
  <c r="C25" i="21" s="1"/>
  <c r="BX25" i="21" s="1"/>
  <c r="E26" i="17"/>
  <c r="C26" i="21" s="1"/>
  <c r="BX26" i="21" s="1"/>
  <c r="E27" i="17"/>
  <c r="C27" i="21" s="1"/>
  <c r="BX27" i="21" s="1"/>
  <c r="E28" i="17"/>
  <c r="C28" i="21" s="1"/>
  <c r="BX28" i="21" s="1"/>
  <c r="E29" i="17"/>
  <c r="C29" i="21" s="1"/>
  <c r="BX29" i="21" s="1"/>
  <c r="E30" i="17"/>
  <c r="C30" i="21" s="1"/>
  <c r="BX30" i="21" s="1"/>
  <c r="E31" i="17"/>
  <c r="C31" i="21" s="1"/>
  <c r="BX31" i="21" s="1"/>
  <c r="E32" i="17"/>
  <c r="C32" i="21" s="1"/>
  <c r="BX32" i="21" s="1"/>
  <c r="E33" i="17"/>
  <c r="C33" i="21" s="1"/>
  <c r="BX33" i="21" s="1"/>
  <c r="E34" i="17"/>
  <c r="C34" i="21" s="1"/>
  <c r="BX34" i="21" s="1"/>
  <c r="E35" i="17"/>
  <c r="C35" i="21" s="1"/>
  <c r="BX35" i="21" s="1"/>
  <c r="E36" i="17"/>
  <c r="C36" i="21" s="1"/>
  <c r="BX36" i="21" s="1"/>
  <c r="E37" i="17"/>
  <c r="C37" i="21" s="1"/>
  <c r="BX37" i="21" s="1"/>
  <c r="E38" i="17"/>
  <c r="C38" i="21" s="1"/>
  <c r="BX38" i="21" s="1"/>
  <c r="E39" i="17"/>
  <c r="C39" i="21" s="1"/>
  <c r="BX39" i="21" s="1"/>
  <c r="E40" i="17"/>
  <c r="C40" i="21" s="1"/>
  <c r="BX40" i="21" s="1"/>
  <c r="E41" i="17"/>
  <c r="C41" i="21" s="1"/>
  <c r="BX41" i="21" s="1"/>
  <c r="E42" i="17"/>
  <c r="C42" i="21" s="1"/>
  <c r="BX42" i="21" s="1"/>
  <c r="E43" i="17"/>
  <c r="C43" i="21" s="1"/>
  <c r="BX43" i="21" s="1"/>
  <c r="E44" i="17"/>
  <c r="C44" i="21" s="1"/>
  <c r="BX44" i="21" s="1"/>
  <c r="E45" i="17"/>
  <c r="C45" i="21" s="1"/>
  <c r="BX45" i="21" s="1"/>
  <c r="E46" i="17"/>
  <c r="C46" i="21" s="1"/>
  <c r="BX46" i="21" s="1"/>
  <c r="E47" i="17"/>
  <c r="C47" i="21" s="1"/>
  <c r="BX47" i="21" s="1"/>
  <c r="E48" i="17"/>
  <c r="C48" i="21" s="1"/>
  <c r="BX48" i="21" s="1"/>
  <c r="E49" i="17"/>
  <c r="C49" i="21" s="1"/>
  <c r="BX49" i="21" s="1"/>
  <c r="E50" i="17"/>
  <c r="C50" i="21" s="1"/>
  <c r="BX50" i="21" s="1"/>
  <c r="E51" i="17"/>
  <c r="C51" i="21" s="1"/>
  <c r="BX51" i="21" s="1"/>
  <c r="E52" i="17"/>
  <c r="C52" i="21" s="1"/>
  <c r="BX52" i="21" s="1"/>
  <c r="E53" i="17"/>
  <c r="C53" i="21" s="1"/>
  <c r="BX53" i="21" s="1"/>
  <c r="E54" i="17"/>
  <c r="C54" i="21" s="1"/>
  <c r="BX54" i="21" s="1"/>
  <c r="E55" i="17"/>
  <c r="C55" i="21" s="1"/>
  <c r="BX55" i="21" s="1"/>
  <c r="E56" i="17"/>
  <c r="C56" i="21" s="1"/>
  <c r="BX56" i="21" s="1"/>
  <c r="E57" i="17"/>
  <c r="C57" i="21" s="1"/>
  <c r="BX57" i="21" s="1"/>
  <c r="E58" i="17"/>
  <c r="C58" i="21" s="1"/>
  <c r="BX58" i="21" s="1"/>
  <c r="E59" i="17"/>
  <c r="C59" i="21" s="1"/>
  <c r="BX59" i="21" s="1"/>
  <c r="E60" i="17"/>
  <c r="C60" i="21" s="1"/>
  <c r="BX60" i="21" s="1"/>
  <c r="E61" i="17"/>
  <c r="C61" i="21" s="1"/>
  <c r="BX61" i="21" s="1"/>
  <c r="E62" i="17"/>
  <c r="C62" i="21" s="1"/>
  <c r="BX62" i="21" s="1"/>
  <c r="E63" i="17"/>
  <c r="C63" i="21" s="1"/>
  <c r="BX63" i="21" s="1"/>
  <c r="E64" i="17"/>
  <c r="C64" i="21" s="1"/>
  <c r="BX64" i="21" s="1"/>
  <c r="E65" i="17"/>
  <c r="C65" i="21" s="1"/>
  <c r="BX65" i="21" s="1"/>
  <c r="E66" i="17"/>
  <c r="C66" i="21" s="1"/>
  <c r="BX66" i="21" s="1"/>
  <c r="E67" i="17"/>
  <c r="C67" i="21" s="1"/>
  <c r="BX67" i="21" s="1"/>
  <c r="E68" i="17"/>
  <c r="C68" i="21" s="1"/>
  <c r="BX68" i="21" s="1"/>
  <c r="E69" i="17"/>
  <c r="C69" i="21" s="1"/>
  <c r="BX69" i="21" s="1"/>
  <c r="E70" i="17"/>
  <c r="C70" i="21" s="1"/>
  <c r="BX70" i="21" s="1"/>
  <c r="E71" i="17"/>
  <c r="C71" i="21" s="1"/>
  <c r="BX71" i="21" s="1"/>
  <c r="E72" i="17"/>
  <c r="C72" i="21" s="1"/>
  <c r="BX72" i="21" s="1"/>
  <c r="E73" i="17"/>
  <c r="C73" i="21" s="1"/>
  <c r="BX73" i="21" s="1"/>
  <c r="E74" i="17"/>
  <c r="C74" i="21" s="1"/>
  <c r="BX74" i="21" s="1"/>
  <c r="E75" i="17"/>
  <c r="C75" i="21" s="1"/>
  <c r="BX75" i="21" s="1"/>
  <c r="E76" i="17"/>
  <c r="C76" i="21" s="1"/>
  <c r="BX76" i="21" s="1"/>
  <c r="E77" i="17"/>
  <c r="C77" i="21" s="1"/>
  <c r="BX77" i="21" s="1"/>
  <c r="E78" i="17"/>
  <c r="C78" i="21" s="1"/>
  <c r="BX78" i="21" s="1"/>
  <c r="E79" i="17"/>
  <c r="C79" i="21" s="1"/>
  <c r="BX79" i="21" s="1"/>
  <c r="E80" i="17"/>
  <c r="C80" i="21" s="1"/>
  <c r="BX80" i="21" s="1"/>
  <c r="E81" i="17"/>
  <c r="C81" i="21" s="1"/>
  <c r="BX81" i="21" s="1"/>
  <c r="E82" i="17"/>
  <c r="C82" i="21" s="1"/>
  <c r="BX82" i="21" s="1"/>
  <c r="E83" i="17"/>
  <c r="C83" i="21" s="1"/>
  <c r="BX83" i="21" s="1"/>
  <c r="E84" i="17"/>
  <c r="C84" i="21" s="1"/>
  <c r="BX84" i="21" s="1"/>
  <c r="E85" i="17"/>
  <c r="C85" i="21" s="1"/>
  <c r="BX85" i="21" s="1"/>
  <c r="E86" i="17"/>
  <c r="C86" i="21" s="1"/>
  <c r="BX86" i="21" s="1"/>
  <c r="E87" i="17"/>
  <c r="C87" i="21" s="1"/>
  <c r="BX87" i="21" s="1"/>
  <c r="E88" i="17"/>
  <c r="C88" i="21" s="1"/>
  <c r="BX88" i="21" s="1"/>
  <c r="E89" i="17"/>
  <c r="C89" i="21" s="1"/>
  <c r="BX89" i="21" s="1"/>
  <c r="E90" i="17"/>
  <c r="C90" i="21" s="1"/>
  <c r="BX90" i="21" s="1"/>
  <c r="E91" i="17"/>
  <c r="C91" i="21" s="1"/>
  <c r="BX91" i="21" s="1"/>
  <c r="E92" i="17"/>
  <c r="C92" i="21" s="1"/>
  <c r="BX92" i="21" s="1"/>
  <c r="E93" i="17"/>
  <c r="C93" i="21" s="1"/>
  <c r="BX93" i="21" s="1"/>
  <c r="E94" i="17"/>
  <c r="C94" i="21" s="1"/>
  <c r="BX94" i="21" s="1"/>
  <c r="E95" i="17"/>
  <c r="C95" i="21" s="1"/>
  <c r="BX95" i="21" s="1"/>
  <c r="E96" i="17"/>
  <c r="C96" i="21" s="1"/>
  <c r="BX96" i="21" s="1"/>
  <c r="E97" i="17"/>
  <c r="C97" i="21" s="1"/>
  <c r="BX97" i="21" s="1"/>
  <c r="E98" i="17"/>
  <c r="C98" i="21" s="1"/>
  <c r="BX98" i="21" s="1"/>
  <c r="E99" i="17"/>
  <c r="C99" i="21" s="1"/>
  <c r="BX99" i="21" s="1"/>
  <c r="E100" i="17"/>
  <c r="C100" i="21" s="1"/>
  <c r="BX100" i="21" s="1"/>
  <c r="E101" i="17"/>
  <c r="C101" i="21" s="1"/>
  <c r="BX101" i="21" s="1"/>
  <c r="E102" i="17"/>
  <c r="C102" i="21" s="1"/>
  <c r="BX102" i="21" s="1"/>
  <c r="E103" i="17"/>
  <c r="C103" i="21" s="1"/>
  <c r="BX103" i="21" s="1"/>
  <c r="E104" i="17"/>
  <c r="C104" i="21" s="1"/>
  <c r="BX104" i="21" s="1"/>
  <c r="C10" i="20"/>
  <c r="BX10" i="20" s="1"/>
  <c r="C11" i="20"/>
  <c r="BX11" i="20" s="1"/>
  <c r="C12" i="20"/>
  <c r="BX12" i="20" s="1"/>
  <c r="C13" i="20"/>
  <c r="BX13" i="20" s="1"/>
  <c r="C14" i="20"/>
  <c r="BX14" i="20" s="1"/>
  <c r="C15" i="20"/>
  <c r="BX15" i="20" s="1"/>
  <c r="C16" i="20"/>
  <c r="BX16" i="20" s="1"/>
  <c r="C17" i="20"/>
  <c r="BX17" i="20" s="1"/>
  <c r="C18" i="20"/>
  <c r="BX18" i="20" s="1"/>
  <c r="C19" i="20"/>
  <c r="BX19" i="20" s="1"/>
  <c r="C20" i="20"/>
  <c r="BX20" i="20" s="1"/>
  <c r="C21" i="20"/>
  <c r="BX21" i="20" s="1"/>
  <c r="C22" i="20"/>
  <c r="BX22" i="20" s="1"/>
  <c r="C23" i="20"/>
  <c r="BX23" i="20" s="1"/>
  <c r="C24" i="20"/>
  <c r="BX24" i="20" s="1"/>
  <c r="C25" i="20"/>
  <c r="BX25" i="20" s="1"/>
  <c r="C26" i="20"/>
  <c r="BX26" i="20" s="1"/>
  <c r="C27" i="20"/>
  <c r="BX27" i="20" s="1"/>
  <c r="C28" i="20"/>
  <c r="BX28" i="20" s="1"/>
  <c r="C29" i="20"/>
  <c r="BX29" i="20" s="1"/>
  <c r="C30" i="20"/>
  <c r="BX30" i="20" s="1"/>
  <c r="C31" i="20"/>
  <c r="BX31" i="20" s="1"/>
  <c r="C32" i="20"/>
  <c r="BX32" i="20" s="1"/>
  <c r="C33" i="20"/>
  <c r="BX33" i="20" s="1"/>
  <c r="C34" i="20"/>
  <c r="BX34" i="20" s="1"/>
  <c r="C35" i="20"/>
  <c r="BX35" i="20" s="1"/>
  <c r="C36" i="20"/>
  <c r="BX36" i="20" s="1"/>
  <c r="C37" i="20"/>
  <c r="BX37" i="20" s="1"/>
  <c r="C38" i="20"/>
  <c r="BX38" i="20" s="1"/>
  <c r="C39" i="20"/>
  <c r="BX39" i="20" s="1"/>
  <c r="C40" i="20"/>
  <c r="BX40" i="20" s="1"/>
  <c r="C41" i="20"/>
  <c r="BX41" i="20" s="1"/>
  <c r="C42" i="20"/>
  <c r="BX42" i="20" s="1"/>
  <c r="C43" i="20"/>
  <c r="BX43" i="20" s="1"/>
  <c r="C44" i="20"/>
  <c r="BX44" i="20" s="1"/>
  <c r="C45" i="20"/>
  <c r="BX45" i="20" s="1"/>
  <c r="C46" i="20"/>
  <c r="BX46" i="20" s="1"/>
  <c r="C47" i="20"/>
  <c r="BX47" i="20" s="1"/>
  <c r="C48" i="20"/>
  <c r="BX48" i="20" s="1"/>
  <c r="C49" i="20"/>
  <c r="BX49" i="20" s="1"/>
  <c r="C50" i="20"/>
  <c r="BX50" i="20" s="1"/>
  <c r="C51" i="20"/>
  <c r="BX51" i="20" s="1"/>
  <c r="C52" i="20"/>
  <c r="BX52" i="20" s="1"/>
  <c r="C53" i="20"/>
  <c r="BX53" i="20" s="1"/>
  <c r="C54" i="20"/>
  <c r="BX54" i="20" s="1"/>
  <c r="C55" i="20"/>
  <c r="BX55" i="20" s="1"/>
  <c r="C56" i="20"/>
  <c r="BX56" i="20" s="1"/>
  <c r="C57" i="20"/>
  <c r="BX57" i="20" s="1"/>
  <c r="C58" i="20"/>
  <c r="BX58" i="20" s="1"/>
  <c r="C59" i="20"/>
  <c r="BX59" i="20" s="1"/>
  <c r="C60" i="20"/>
  <c r="BX60" i="20" s="1"/>
  <c r="C61" i="20"/>
  <c r="BX61" i="20" s="1"/>
  <c r="C62" i="20"/>
  <c r="BX62" i="20" s="1"/>
  <c r="C63" i="20"/>
  <c r="BX63" i="20" s="1"/>
  <c r="C64" i="20"/>
  <c r="BX64" i="20" s="1"/>
  <c r="C65" i="20"/>
  <c r="BX65" i="20" s="1"/>
  <c r="C66" i="20"/>
  <c r="BX66" i="20" s="1"/>
  <c r="C67" i="20"/>
  <c r="BX67" i="20" s="1"/>
  <c r="C68" i="20"/>
  <c r="BX68" i="20" s="1"/>
  <c r="C69" i="20"/>
  <c r="BX69" i="20" s="1"/>
  <c r="C70" i="20"/>
  <c r="BX70" i="20" s="1"/>
  <c r="C71" i="20"/>
  <c r="BX71" i="20" s="1"/>
  <c r="C72" i="20"/>
  <c r="BX72" i="20" s="1"/>
  <c r="C73" i="20"/>
  <c r="BX73" i="20" s="1"/>
  <c r="C74" i="20"/>
  <c r="BX74" i="20" s="1"/>
  <c r="C75" i="20"/>
  <c r="BX75" i="20" s="1"/>
  <c r="C76" i="20"/>
  <c r="BX76" i="20" s="1"/>
  <c r="C77" i="20"/>
  <c r="BX77" i="20" s="1"/>
  <c r="C78" i="20"/>
  <c r="BX78" i="20" s="1"/>
  <c r="C79" i="20"/>
  <c r="BX79" i="20" s="1"/>
  <c r="C80" i="20"/>
  <c r="BX80" i="20" s="1"/>
  <c r="C81" i="20"/>
  <c r="BX81" i="20" s="1"/>
  <c r="C82" i="20"/>
  <c r="BX82" i="20" s="1"/>
  <c r="C83" i="20"/>
  <c r="BX83" i="20" s="1"/>
  <c r="C84" i="20"/>
  <c r="BX84" i="20" s="1"/>
  <c r="C85" i="20"/>
  <c r="BX85" i="20" s="1"/>
  <c r="C86" i="20"/>
  <c r="BX86" i="20" s="1"/>
  <c r="C87" i="20"/>
  <c r="BX87" i="20" s="1"/>
  <c r="C88" i="20"/>
  <c r="BX88" i="20" s="1"/>
  <c r="C89" i="20"/>
  <c r="BX89" i="20" s="1"/>
  <c r="C90" i="20"/>
  <c r="BX90" i="20" s="1"/>
  <c r="C91" i="20"/>
  <c r="BX91" i="20" s="1"/>
  <c r="C92" i="20"/>
  <c r="BX92" i="20" s="1"/>
  <c r="C93" i="20"/>
  <c r="BX93" i="20" s="1"/>
  <c r="C94" i="20"/>
  <c r="BX94" i="20" s="1"/>
  <c r="C95" i="20"/>
  <c r="BX95" i="20" s="1"/>
  <c r="C96" i="20"/>
  <c r="BX96" i="20" s="1"/>
  <c r="C97" i="20"/>
  <c r="BX97" i="20" s="1"/>
  <c r="C98" i="20"/>
  <c r="BX98" i="20" s="1"/>
  <c r="C99" i="20"/>
  <c r="BX99" i="20" s="1"/>
  <c r="C100" i="20"/>
  <c r="BX100" i="20" s="1"/>
  <c r="C101" i="20"/>
  <c r="BX101" i="20" s="1"/>
  <c r="C102" i="20"/>
  <c r="BX102" i="20" s="1"/>
  <c r="C103" i="20"/>
  <c r="BX103" i="20" s="1"/>
  <c r="C104" i="20"/>
  <c r="BX104" i="20" s="1"/>
  <c r="BW6" i="18"/>
  <c r="BW7" i="18"/>
  <c r="BW8" i="18"/>
  <c r="BW9" i="18"/>
  <c r="BW10" i="18"/>
  <c r="BW11" i="18"/>
  <c r="BW12" i="18"/>
  <c r="BW13" i="18"/>
  <c r="BW14" i="18"/>
  <c r="BW15" i="18"/>
  <c r="BW16" i="18"/>
  <c r="BW17" i="18"/>
  <c r="BW18" i="18"/>
  <c r="BW19" i="18"/>
  <c r="BW20" i="18"/>
  <c r="BW21" i="18"/>
  <c r="BW22" i="18"/>
  <c r="BW23" i="18"/>
  <c r="BW24" i="18"/>
  <c r="BW25" i="18"/>
  <c r="BW26" i="18"/>
  <c r="BW27" i="18"/>
  <c r="BW28" i="18"/>
  <c r="BW29" i="18"/>
  <c r="BW30" i="18"/>
  <c r="BW31" i="18"/>
  <c r="BW32" i="18"/>
  <c r="BW33" i="18"/>
  <c r="BW34" i="18"/>
  <c r="BW35" i="18"/>
  <c r="BW36" i="18"/>
  <c r="BW37" i="18"/>
  <c r="BW38" i="18"/>
  <c r="BW39" i="18"/>
  <c r="BW40" i="18"/>
  <c r="BW41" i="18"/>
  <c r="BW42" i="18"/>
  <c r="BW43" i="18"/>
  <c r="BW44" i="18"/>
  <c r="BW45" i="18"/>
  <c r="BW46" i="18"/>
  <c r="BW47" i="18"/>
  <c r="BW48" i="18"/>
  <c r="BW49" i="18"/>
  <c r="BW50" i="18"/>
  <c r="BW51" i="18"/>
  <c r="BW52" i="18"/>
  <c r="BW53" i="18"/>
  <c r="BW54" i="18"/>
  <c r="BW55" i="18"/>
  <c r="BW56" i="18"/>
  <c r="BW57" i="18"/>
  <c r="BW58" i="18"/>
  <c r="BW59" i="18"/>
  <c r="BW60" i="18"/>
  <c r="BW61" i="18"/>
  <c r="BW62" i="18"/>
  <c r="BW63" i="18"/>
  <c r="BW64" i="18"/>
  <c r="BW65" i="18"/>
  <c r="BW66" i="18"/>
  <c r="BW67" i="18"/>
  <c r="BW68" i="18"/>
  <c r="BW69" i="18"/>
  <c r="BW70" i="18"/>
  <c r="BW71" i="18"/>
  <c r="BW72" i="18"/>
  <c r="BW73" i="18"/>
  <c r="BW74" i="18"/>
  <c r="BW75" i="18"/>
  <c r="BW76" i="18"/>
  <c r="BW77" i="18"/>
  <c r="BW78" i="18"/>
  <c r="BW79" i="18"/>
  <c r="BW80" i="18"/>
  <c r="BW81" i="18"/>
  <c r="BW82" i="18"/>
  <c r="BW83" i="18"/>
  <c r="BW84" i="18"/>
  <c r="BW85" i="18"/>
  <c r="BW86" i="18"/>
  <c r="BW87" i="18"/>
  <c r="BW88" i="18"/>
  <c r="BW89" i="18"/>
  <c r="BW90" i="18"/>
  <c r="BW91" i="18"/>
  <c r="BW92" i="18"/>
  <c r="BW93" i="18"/>
  <c r="BW94" i="18"/>
  <c r="BW95" i="18"/>
  <c r="BW96" i="18"/>
  <c r="BW97" i="18"/>
  <c r="BW98" i="18"/>
  <c r="BW99" i="18"/>
  <c r="BW100" i="18"/>
  <c r="BW101" i="18"/>
  <c r="BW102" i="18"/>
  <c r="BW103" i="18"/>
  <c r="BW104" i="18"/>
  <c r="BW105" i="18"/>
  <c r="BX105" i="18"/>
  <c r="BW106" i="18"/>
  <c r="BX106" i="18"/>
  <c r="BW107" i="18"/>
  <c r="BX107" i="18"/>
  <c r="BW108" i="18"/>
  <c r="BX108" i="18"/>
  <c r="BW109" i="18"/>
  <c r="BX109" i="18"/>
  <c r="BW110" i="18"/>
  <c r="BX110" i="18"/>
  <c r="BW111" i="18"/>
  <c r="BX111" i="18"/>
  <c r="BW112" i="18"/>
  <c r="BX112" i="18"/>
  <c r="BW113" i="18"/>
  <c r="BX113" i="18"/>
  <c r="BW114" i="18"/>
  <c r="BX114" i="18"/>
  <c r="BW115" i="18"/>
  <c r="BX115" i="18"/>
  <c r="BW116" i="18"/>
  <c r="BX116" i="18"/>
  <c r="BW117" i="18"/>
  <c r="BX117" i="18"/>
  <c r="BW118" i="18"/>
  <c r="BX118" i="18"/>
  <c r="BW119" i="18"/>
  <c r="BX119" i="18"/>
  <c r="BW120" i="18"/>
  <c r="BX120" i="18"/>
  <c r="BW121" i="18"/>
  <c r="BX121" i="18"/>
  <c r="BW122" i="18"/>
  <c r="BX122" i="18"/>
  <c r="BW123" i="18"/>
  <c r="BX123" i="18"/>
  <c r="BW124" i="18"/>
  <c r="BX124" i="18"/>
  <c r="BW125" i="18"/>
  <c r="BX125" i="18"/>
  <c r="BW126" i="18"/>
  <c r="BX126" i="18"/>
  <c r="BW127" i="18"/>
  <c r="BX127" i="18"/>
  <c r="BW128" i="18"/>
  <c r="BX128" i="18"/>
  <c r="BW129" i="18"/>
  <c r="BX129" i="18"/>
  <c r="BW130" i="18"/>
  <c r="BX130" i="18"/>
  <c r="BW131" i="18"/>
  <c r="BX131" i="18"/>
  <c r="BW132" i="18"/>
  <c r="BX132" i="18"/>
  <c r="BW133" i="18"/>
  <c r="BX133" i="18"/>
  <c r="BW134" i="18"/>
  <c r="BX134" i="18"/>
  <c r="BW135" i="18"/>
  <c r="BX135" i="18"/>
  <c r="BW136" i="18"/>
  <c r="BX136" i="18"/>
  <c r="BW137" i="18"/>
  <c r="BX137" i="18"/>
  <c r="BW138" i="18"/>
  <c r="BX138" i="18"/>
  <c r="BW139" i="18"/>
  <c r="BX139" i="18"/>
  <c r="BW140" i="18"/>
  <c r="BX140" i="18"/>
  <c r="BW141" i="18"/>
  <c r="BX141" i="18"/>
  <c r="BW142" i="18"/>
  <c r="BX142" i="18"/>
  <c r="BW143" i="18"/>
  <c r="BX143" i="18"/>
  <c r="BW144" i="18"/>
  <c r="BX144" i="18"/>
  <c r="BW145" i="18"/>
  <c r="BX145" i="18"/>
  <c r="BW146" i="18"/>
  <c r="BX146" i="18"/>
  <c r="BW147" i="18"/>
  <c r="BX147" i="18"/>
  <c r="BW148" i="18"/>
  <c r="BX148" i="18"/>
  <c r="BW149" i="18"/>
  <c r="BX149" i="18"/>
  <c r="BW150" i="18"/>
  <c r="BX150" i="18"/>
  <c r="BW151" i="18"/>
  <c r="BX151" i="18"/>
  <c r="BW152" i="18"/>
  <c r="BX152" i="18"/>
  <c r="BW153" i="18"/>
  <c r="BX153" i="18"/>
  <c r="BW154" i="18"/>
  <c r="BX154" i="18"/>
  <c r="BW155" i="18"/>
  <c r="BX155" i="18"/>
  <c r="BW156" i="18"/>
  <c r="BX156" i="18"/>
  <c r="BW157" i="18"/>
  <c r="BX157" i="18"/>
  <c r="BW158" i="18"/>
  <c r="BX158" i="18"/>
  <c r="BW159" i="18"/>
  <c r="BX159" i="18"/>
  <c r="BW160" i="18"/>
  <c r="BX160" i="18"/>
  <c r="BW161" i="18"/>
  <c r="BX161" i="18"/>
  <c r="BW162" i="18"/>
  <c r="BX162" i="18"/>
  <c r="BW163" i="18"/>
  <c r="BX163" i="18"/>
  <c r="BW164" i="18"/>
  <c r="BX164" i="18"/>
  <c r="BW165" i="18"/>
  <c r="BX165" i="18"/>
  <c r="BW166" i="18"/>
  <c r="BX166" i="18"/>
  <c r="BW167" i="18"/>
  <c r="BX167" i="18"/>
  <c r="BW168" i="18"/>
  <c r="BX168" i="18"/>
  <c r="BW169" i="18"/>
  <c r="BX169" i="18"/>
  <c r="BW170" i="18"/>
  <c r="BX170" i="18"/>
  <c r="BW171" i="18"/>
  <c r="BX171" i="18"/>
  <c r="BW172" i="18"/>
  <c r="BX172" i="18"/>
  <c r="BW173" i="18"/>
  <c r="BX173" i="18"/>
  <c r="BW174" i="18"/>
  <c r="BX174" i="18"/>
  <c r="BW175" i="18"/>
  <c r="BX175" i="18"/>
  <c r="BW176" i="18"/>
  <c r="BX176" i="18"/>
  <c r="BW177" i="18"/>
  <c r="BX177" i="18"/>
  <c r="BW178" i="18"/>
  <c r="BX178" i="18"/>
  <c r="BW179" i="18"/>
  <c r="BX179" i="18"/>
  <c r="BW180" i="18"/>
  <c r="BX180" i="18"/>
  <c r="BW181" i="18"/>
  <c r="BX181" i="18"/>
  <c r="BW182" i="18"/>
  <c r="BX182" i="18"/>
  <c r="BW183" i="18"/>
  <c r="BX183" i="18"/>
  <c r="BW184" i="18"/>
  <c r="BX184" i="18"/>
  <c r="BW185" i="18"/>
  <c r="BX185" i="18"/>
  <c r="BW186" i="18"/>
  <c r="BX186" i="18"/>
  <c r="BW187" i="18"/>
  <c r="BX187" i="18"/>
  <c r="BW188" i="18"/>
  <c r="BX188" i="18"/>
  <c r="BW189" i="18"/>
  <c r="BX189" i="18"/>
  <c r="BW190" i="18"/>
  <c r="BX190" i="18"/>
  <c r="BW191" i="18"/>
  <c r="BX191" i="18"/>
  <c r="BW192" i="18"/>
  <c r="BX192" i="18"/>
  <c r="BW193" i="18"/>
  <c r="BX193" i="18"/>
  <c r="BW194" i="18"/>
  <c r="BX194" i="18"/>
  <c r="BW195" i="18"/>
  <c r="BX195" i="18"/>
  <c r="BW196" i="18"/>
  <c r="BX196" i="18"/>
  <c r="BW197" i="18"/>
  <c r="BX197" i="18"/>
  <c r="BW198" i="18"/>
  <c r="BX198" i="18"/>
  <c r="BW199" i="18"/>
  <c r="BX199" i="18"/>
  <c r="BW200" i="18"/>
  <c r="BX200" i="18"/>
  <c r="BW201" i="18"/>
  <c r="BX201" i="18"/>
  <c r="BW202" i="18"/>
  <c r="BX202" i="18"/>
  <c r="BW203" i="18"/>
  <c r="BX203" i="18"/>
  <c r="BW204" i="18"/>
  <c r="BX204" i="18"/>
  <c r="BW205" i="18"/>
  <c r="BX205" i="18"/>
  <c r="BW206" i="18"/>
  <c r="BX206" i="18"/>
  <c r="BW207" i="18"/>
  <c r="BX207" i="18"/>
  <c r="BW208" i="18"/>
  <c r="BX208" i="18"/>
  <c r="BW209" i="18"/>
  <c r="BX209" i="18"/>
  <c r="BW210" i="18"/>
  <c r="BX210" i="18"/>
  <c r="BW211" i="18"/>
  <c r="BX211" i="18"/>
  <c r="BW212" i="18"/>
  <c r="BX212" i="18"/>
  <c r="BW213" i="18"/>
  <c r="BX213" i="18"/>
  <c r="BW214" i="18"/>
  <c r="BX214" i="18"/>
  <c r="BW215" i="18"/>
  <c r="BX215" i="18"/>
  <c r="BW5" i="18"/>
  <c r="BI6" i="18"/>
  <c r="BJ6" i="18"/>
  <c r="BK6" i="18"/>
  <c r="BL6" i="18"/>
  <c r="BM6" i="18"/>
  <c r="BN6" i="18"/>
  <c r="BO6" i="18"/>
  <c r="BP6" i="18"/>
  <c r="BI7" i="18"/>
  <c r="BJ7" i="18"/>
  <c r="BK7" i="18"/>
  <c r="BL7" i="18"/>
  <c r="BM7" i="18"/>
  <c r="BN7" i="18"/>
  <c r="BO7" i="18"/>
  <c r="BP7" i="18"/>
  <c r="BH8" i="18"/>
  <c r="BI8" i="18"/>
  <c r="BJ8" i="18"/>
  <c r="BK8" i="18"/>
  <c r="BL8" i="18"/>
  <c r="BM8" i="18"/>
  <c r="BN8" i="18"/>
  <c r="BO8" i="18"/>
  <c r="BP8" i="18"/>
  <c r="BH9" i="18"/>
  <c r="BI9" i="18"/>
  <c r="BJ9" i="18"/>
  <c r="BK9" i="18"/>
  <c r="BL9" i="18"/>
  <c r="BM9" i="18"/>
  <c r="BN9" i="18"/>
  <c r="BO9" i="18"/>
  <c r="BP9" i="18"/>
  <c r="BH10" i="18"/>
  <c r="BI10" i="18"/>
  <c r="BJ10" i="18"/>
  <c r="BK10" i="18"/>
  <c r="BL10" i="18"/>
  <c r="BM10" i="18"/>
  <c r="BN10" i="18"/>
  <c r="BO10" i="18"/>
  <c r="BP10" i="18"/>
  <c r="BH11" i="18"/>
  <c r="BI11" i="18"/>
  <c r="BJ11" i="18"/>
  <c r="BK11" i="18"/>
  <c r="BL11" i="18"/>
  <c r="BM11" i="18"/>
  <c r="BN11" i="18"/>
  <c r="BO11" i="18"/>
  <c r="BP11" i="18"/>
  <c r="BH12" i="18"/>
  <c r="BI12" i="18"/>
  <c r="BJ12" i="18"/>
  <c r="BK12" i="18"/>
  <c r="BL12" i="18"/>
  <c r="BM12" i="18"/>
  <c r="BN12" i="18"/>
  <c r="BO12" i="18"/>
  <c r="BP12" i="18"/>
  <c r="BH13" i="18"/>
  <c r="BI13" i="18"/>
  <c r="BJ13" i="18"/>
  <c r="BK13" i="18"/>
  <c r="BL13" i="18"/>
  <c r="BM13" i="18"/>
  <c r="BN13" i="18"/>
  <c r="BO13" i="18"/>
  <c r="BP13" i="18"/>
  <c r="BH14" i="18"/>
  <c r="BI14" i="18"/>
  <c r="BJ14" i="18"/>
  <c r="BK14" i="18"/>
  <c r="BL14" i="18"/>
  <c r="BM14" i="18"/>
  <c r="BN14" i="18"/>
  <c r="BO14" i="18"/>
  <c r="BP14" i="18"/>
  <c r="BH15" i="18"/>
  <c r="BI15" i="18"/>
  <c r="BJ15" i="18"/>
  <c r="BK15" i="18"/>
  <c r="BL15" i="18"/>
  <c r="BM15" i="18"/>
  <c r="BN15" i="18"/>
  <c r="BO15" i="18"/>
  <c r="BP15" i="18"/>
  <c r="BH16" i="18"/>
  <c r="BI16" i="18"/>
  <c r="BJ16" i="18"/>
  <c r="BK16" i="18"/>
  <c r="BL16" i="18"/>
  <c r="BM16" i="18"/>
  <c r="BN16" i="18"/>
  <c r="BO16" i="18"/>
  <c r="BP16" i="18"/>
  <c r="BH17" i="18"/>
  <c r="BI17" i="18"/>
  <c r="BJ17" i="18"/>
  <c r="BK17" i="18"/>
  <c r="BL17" i="18"/>
  <c r="BM17" i="18"/>
  <c r="BN17" i="18"/>
  <c r="BO17" i="18"/>
  <c r="BP17" i="18"/>
  <c r="BH18" i="18"/>
  <c r="BI18" i="18"/>
  <c r="BJ18" i="18"/>
  <c r="BK18" i="18"/>
  <c r="BL18" i="18"/>
  <c r="BM18" i="18"/>
  <c r="BN18" i="18"/>
  <c r="BO18" i="18"/>
  <c r="BP18" i="18"/>
  <c r="BH19" i="18"/>
  <c r="BI19" i="18"/>
  <c r="BJ19" i="18"/>
  <c r="BK19" i="18"/>
  <c r="BL19" i="18"/>
  <c r="BM19" i="18"/>
  <c r="BN19" i="18"/>
  <c r="BO19" i="18"/>
  <c r="BP19" i="18"/>
  <c r="BH20" i="18"/>
  <c r="BI20" i="18"/>
  <c r="BJ20" i="18"/>
  <c r="BK20" i="18"/>
  <c r="BL20" i="18"/>
  <c r="BM20" i="18"/>
  <c r="BN20" i="18"/>
  <c r="BO20" i="18"/>
  <c r="BP20" i="18"/>
  <c r="BH21" i="18"/>
  <c r="BI21" i="18"/>
  <c r="BJ21" i="18"/>
  <c r="BK21" i="18"/>
  <c r="BL21" i="18"/>
  <c r="BM21" i="18"/>
  <c r="BN21" i="18"/>
  <c r="BO21" i="18"/>
  <c r="BP21" i="18"/>
  <c r="BH22" i="18"/>
  <c r="BI22" i="18"/>
  <c r="BJ22" i="18"/>
  <c r="BK22" i="18"/>
  <c r="BL22" i="18"/>
  <c r="BM22" i="18"/>
  <c r="BN22" i="18"/>
  <c r="BO22" i="18"/>
  <c r="BP22" i="18"/>
  <c r="BH23" i="18"/>
  <c r="BI23" i="18"/>
  <c r="BJ23" i="18"/>
  <c r="BK23" i="18"/>
  <c r="BL23" i="18"/>
  <c r="BM23" i="18"/>
  <c r="BN23" i="18"/>
  <c r="BO23" i="18"/>
  <c r="BP23" i="18"/>
  <c r="BH24" i="18"/>
  <c r="BI24" i="18"/>
  <c r="BJ24" i="18"/>
  <c r="BK24" i="18"/>
  <c r="BL24" i="18"/>
  <c r="BM24" i="18"/>
  <c r="BN24" i="18"/>
  <c r="BO24" i="18"/>
  <c r="BP24" i="18"/>
  <c r="BH25" i="18"/>
  <c r="BI25" i="18"/>
  <c r="BJ25" i="18"/>
  <c r="BK25" i="18"/>
  <c r="BL25" i="18"/>
  <c r="BM25" i="18"/>
  <c r="BN25" i="18"/>
  <c r="BO25" i="18"/>
  <c r="BP25" i="18"/>
  <c r="BH26" i="18"/>
  <c r="BI26" i="18"/>
  <c r="BJ26" i="18"/>
  <c r="BK26" i="18"/>
  <c r="BL26" i="18"/>
  <c r="BM26" i="18"/>
  <c r="BN26" i="18"/>
  <c r="BO26" i="18"/>
  <c r="BP26" i="18"/>
  <c r="BH27" i="18"/>
  <c r="BI27" i="18"/>
  <c r="BJ27" i="18"/>
  <c r="BK27" i="18"/>
  <c r="BL27" i="18"/>
  <c r="BM27" i="18"/>
  <c r="BN27" i="18"/>
  <c r="BO27" i="18"/>
  <c r="BP27" i="18"/>
  <c r="BH28" i="18"/>
  <c r="BI28" i="18"/>
  <c r="BJ28" i="18"/>
  <c r="BK28" i="18"/>
  <c r="BL28" i="18"/>
  <c r="BM28" i="18"/>
  <c r="BN28" i="18"/>
  <c r="BO28" i="18"/>
  <c r="BP28" i="18"/>
  <c r="BH29" i="18"/>
  <c r="BI29" i="18"/>
  <c r="BJ29" i="18"/>
  <c r="BK29" i="18"/>
  <c r="BL29" i="18"/>
  <c r="BM29" i="18"/>
  <c r="BN29" i="18"/>
  <c r="BO29" i="18"/>
  <c r="BP29" i="18"/>
  <c r="BH30" i="18"/>
  <c r="BI30" i="18"/>
  <c r="BJ30" i="18"/>
  <c r="BK30" i="18"/>
  <c r="BL30" i="18"/>
  <c r="BM30" i="18"/>
  <c r="BN30" i="18"/>
  <c r="BO30" i="18"/>
  <c r="BP30" i="18"/>
  <c r="BH31" i="18"/>
  <c r="BI31" i="18"/>
  <c r="BJ31" i="18"/>
  <c r="BK31" i="18"/>
  <c r="BL31" i="18"/>
  <c r="BM31" i="18"/>
  <c r="BN31" i="18"/>
  <c r="BO31" i="18"/>
  <c r="BP31" i="18"/>
  <c r="BH32" i="18"/>
  <c r="BI32" i="18"/>
  <c r="BJ32" i="18"/>
  <c r="BK32" i="18"/>
  <c r="BL32" i="18"/>
  <c r="BM32" i="18"/>
  <c r="BN32" i="18"/>
  <c r="BO32" i="18"/>
  <c r="BP32" i="18"/>
  <c r="BH33" i="18"/>
  <c r="BI33" i="18"/>
  <c r="BJ33" i="18"/>
  <c r="BK33" i="18"/>
  <c r="BL33" i="18"/>
  <c r="BM33" i="18"/>
  <c r="BN33" i="18"/>
  <c r="BO33" i="18"/>
  <c r="BP33" i="18"/>
  <c r="BH34" i="18"/>
  <c r="BI34" i="18"/>
  <c r="BJ34" i="18"/>
  <c r="BK34" i="18"/>
  <c r="BL34" i="18"/>
  <c r="BM34" i="18"/>
  <c r="BN34" i="18"/>
  <c r="BO34" i="18"/>
  <c r="BP34" i="18"/>
  <c r="BH35" i="18"/>
  <c r="BI35" i="18"/>
  <c r="BJ35" i="18"/>
  <c r="BK35" i="18"/>
  <c r="BL35" i="18"/>
  <c r="BM35" i="18"/>
  <c r="BN35" i="18"/>
  <c r="BO35" i="18"/>
  <c r="BP35" i="18"/>
  <c r="BH36" i="18"/>
  <c r="BI36" i="18"/>
  <c r="BJ36" i="18"/>
  <c r="BK36" i="18"/>
  <c r="BL36" i="18"/>
  <c r="BM36" i="18"/>
  <c r="BN36" i="18"/>
  <c r="BO36" i="18"/>
  <c r="BP36" i="18"/>
  <c r="BH37" i="18"/>
  <c r="BI37" i="18"/>
  <c r="BJ37" i="18"/>
  <c r="BK37" i="18"/>
  <c r="BL37" i="18"/>
  <c r="BM37" i="18"/>
  <c r="BN37" i="18"/>
  <c r="BO37" i="18"/>
  <c r="BP37" i="18"/>
  <c r="BH38" i="18"/>
  <c r="BI38" i="18"/>
  <c r="BJ38" i="18"/>
  <c r="BK38" i="18"/>
  <c r="BL38" i="18"/>
  <c r="BM38" i="18"/>
  <c r="BN38" i="18"/>
  <c r="BO38" i="18"/>
  <c r="BP38" i="18"/>
  <c r="BH39" i="18"/>
  <c r="BI39" i="18"/>
  <c r="BJ39" i="18"/>
  <c r="BK39" i="18"/>
  <c r="BL39" i="18"/>
  <c r="BM39" i="18"/>
  <c r="BN39" i="18"/>
  <c r="BO39" i="18"/>
  <c r="BP39" i="18"/>
  <c r="BH40" i="18"/>
  <c r="BI40" i="18"/>
  <c r="BJ40" i="18"/>
  <c r="BK40" i="18"/>
  <c r="BL40" i="18"/>
  <c r="BM40" i="18"/>
  <c r="BN40" i="18"/>
  <c r="BO40" i="18"/>
  <c r="BP40" i="18"/>
  <c r="BH41" i="18"/>
  <c r="BI41" i="18"/>
  <c r="BJ41" i="18"/>
  <c r="BK41" i="18"/>
  <c r="BL41" i="18"/>
  <c r="BM41" i="18"/>
  <c r="BN41" i="18"/>
  <c r="BO41" i="18"/>
  <c r="BP41" i="18"/>
  <c r="BH42" i="18"/>
  <c r="BI42" i="18"/>
  <c r="BJ42" i="18"/>
  <c r="BK42" i="18"/>
  <c r="BL42" i="18"/>
  <c r="BM42" i="18"/>
  <c r="BN42" i="18"/>
  <c r="BO42" i="18"/>
  <c r="BP42" i="18"/>
  <c r="BH43" i="18"/>
  <c r="BI43" i="18"/>
  <c r="BJ43" i="18"/>
  <c r="BK43" i="18"/>
  <c r="BL43" i="18"/>
  <c r="BM43" i="18"/>
  <c r="BN43" i="18"/>
  <c r="BO43" i="18"/>
  <c r="BP43" i="18"/>
  <c r="BH44" i="18"/>
  <c r="BI44" i="18"/>
  <c r="BJ44" i="18"/>
  <c r="BK44" i="18"/>
  <c r="BL44" i="18"/>
  <c r="BM44" i="18"/>
  <c r="BN44" i="18"/>
  <c r="BO44" i="18"/>
  <c r="BP44" i="18"/>
  <c r="BH45" i="18"/>
  <c r="BI45" i="18"/>
  <c r="BJ45" i="18"/>
  <c r="BK45" i="18"/>
  <c r="BL45" i="18"/>
  <c r="BM45" i="18"/>
  <c r="BN45" i="18"/>
  <c r="BO45" i="18"/>
  <c r="BP45" i="18"/>
  <c r="BH46" i="18"/>
  <c r="BI46" i="18"/>
  <c r="BJ46" i="18"/>
  <c r="BK46" i="18"/>
  <c r="BL46" i="18"/>
  <c r="BM46" i="18"/>
  <c r="BN46" i="18"/>
  <c r="BO46" i="18"/>
  <c r="BP46" i="18"/>
  <c r="BH47" i="18"/>
  <c r="BI47" i="18"/>
  <c r="BJ47" i="18"/>
  <c r="BK47" i="18"/>
  <c r="BL47" i="18"/>
  <c r="BM47" i="18"/>
  <c r="BN47" i="18"/>
  <c r="BO47" i="18"/>
  <c r="BP47" i="18"/>
  <c r="BH48" i="18"/>
  <c r="BI48" i="18"/>
  <c r="BJ48" i="18"/>
  <c r="BK48" i="18"/>
  <c r="BL48" i="18"/>
  <c r="BM48" i="18"/>
  <c r="BN48" i="18"/>
  <c r="BO48" i="18"/>
  <c r="BP48" i="18"/>
  <c r="BH49" i="18"/>
  <c r="BI49" i="18"/>
  <c r="BJ49" i="18"/>
  <c r="BK49" i="18"/>
  <c r="BL49" i="18"/>
  <c r="BM49" i="18"/>
  <c r="BN49" i="18"/>
  <c r="BO49" i="18"/>
  <c r="BP49" i="18"/>
  <c r="BH50" i="18"/>
  <c r="BI50" i="18"/>
  <c r="BJ50" i="18"/>
  <c r="BK50" i="18"/>
  <c r="BL50" i="18"/>
  <c r="BM50" i="18"/>
  <c r="BN50" i="18"/>
  <c r="BO50" i="18"/>
  <c r="BP50" i="18"/>
  <c r="BH51" i="18"/>
  <c r="BI51" i="18"/>
  <c r="BJ51" i="18"/>
  <c r="BK51" i="18"/>
  <c r="BL51" i="18"/>
  <c r="BM51" i="18"/>
  <c r="BN51" i="18"/>
  <c r="BO51" i="18"/>
  <c r="BP51" i="18"/>
  <c r="BH52" i="18"/>
  <c r="BI52" i="18"/>
  <c r="BJ52" i="18"/>
  <c r="BK52" i="18"/>
  <c r="BL52" i="18"/>
  <c r="BM52" i="18"/>
  <c r="BN52" i="18"/>
  <c r="BO52" i="18"/>
  <c r="BP52" i="18"/>
  <c r="BH53" i="18"/>
  <c r="BI53" i="18"/>
  <c r="BJ53" i="18"/>
  <c r="BK53" i="18"/>
  <c r="BL53" i="18"/>
  <c r="BM53" i="18"/>
  <c r="BN53" i="18"/>
  <c r="BO53" i="18"/>
  <c r="BP53" i="18"/>
  <c r="BH54" i="18"/>
  <c r="BI54" i="18"/>
  <c r="BJ54" i="18"/>
  <c r="BK54" i="18"/>
  <c r="BL54" i="18"/>
  <c r="BM54" i="18"/>
  <c r="BN54" i="18"/>
  <c r="BO54" i="18"/>
  <c r="BP54" i="18"/>
  <c r="BH55" i="18"/>
  <c r="BI55" i="18"/>
  <c r="BJ55" i="18"/>
  <c r="BK55" i="18"/>
  <c r="BL55" i="18"/>
  <c r="BM55" i="18"/>
  <c r="BN55" i="18"/>
  <c r="BO55" i="18"/>
  <c r="BP55" i="18"/>
  <c r="BH56" i="18"/>
  <c r="BI56" i="18"/>
  <c r="BJ56" i="18"/>
  <c r="BK56" i="18"/>
  <c r="BL56" i="18"/>
  <c r="BM56" i="18"/>
  <c r="BN56" i="18"/>
  <c r="BO56" i="18"/>
  <c r="BP56" i="18"/>
  <c r="BH57" i="18"/>
  <c r="BI57" i="18"/>
  <c r="BJ57" i="18"/>
  <c r="BK57" i="18"/>
  <c r="BL57" i="18"/>
  <c r="BM57" i="18"/>
  <c r="BN57" i="18"/>
  <c r="BO57" i="18"/>
  <c r="BP57" i="18"/>
  <c r="BH58" i="18"/>
  <c r="BI58" i="18"/>
  <c r="BJ58" i="18"/>
  <c r="BK58" i="18"/>
  <c r="BL58" i="18"/>
  <c r="BM58" i="18"/>
  <c r="BN58" i="18"/>
  <c r="BO58" i="18"/>
  <c r="BP58" i="18"/>
  <c r="BH59" i="18"/>
  <c r="BI59" i="18"/>
  <c r="BJ59" i="18"/>
  <c r="BK59" i="18"/>
  <c r="BL59" i="18"/>
  <c r="BM59" i="18"/>
  <c r="BN59" i="18"/>
  <c r="BO59" i="18"/>
  <c r="BP59" i="18"/>
  <c r="BH60" i="18"/>
  <c r="BI60" i="18"/>
  <c r="BJ60" i="18"/>
  <c r="BK60" i="18"/>
  <c r="BL60" i="18"/>
  <c r="BM60" i="18"/>
  <c r="BN60" i="18"/>
  <c r="BO60" i="18"/>
  <c r="BP60" i="18"/>
  <c r="BH61" i="18"/>
  <c r="BI61" i="18"/>
  <c r="BJ61" i="18"/>
  <c r="BK61" i="18"/>
  <c r="BL61" i="18"/>
  <c r="BM61" i="18"/>
  <c r="BN61" i="18"/>
  <c r="BO61" i="18"/>
  <c r="BP61" i="18"/>
  <c r="BH62" i="18"/>
  <c r="BI62" i="18"/>
  <c r="BJ62" i="18"/>
  <c r="BK62" i="18"/>
  <c r="BL62" i="18"/>
  <c r="BM62" i="18"/>
  <c r="BN62" i="18"/>
  <c r="BO62" i="18"/>
  <c r="BP62" i="18"/>
  <c r="BH63" i="18"/>
  <c r="BI63" i="18"/>
  <c r="BJ63" i="18"/>
  <c r="BK63" i="18"/>
  <c r="BL63" i="18"/>
  <c r="BM63" i="18"/>
  <c r="BN63" i="18"/>
  <c r="BO63" i="18"/>
  <c r="BP63" i="18"/>
  <c r="BH64" i="18"/>
  <c r="BI64" i="18"/>
  <c r="BJ64" i="18"/>
  <c r="BK64" i="18"/>
  <c r="BL64" i="18"/>
  <c r="BM64" i="18"/>
  <c r="BN64" i="18"/>
  <c r="BO64" i="18"/>
  <c r="BP64" i="18"/>
  <c r="BH65" i="18"/>
  <c r="BI65" i="18"/>
  <c r="BJ65" i="18"/>
  <c r="BK65" i="18"/>
  <c r="BL65" i="18"/>
  <c r="BM65" i="18"/>
  <c r="BN65" i="18"/>
  <c r="BO65" i="18"/>
  <c r="BP65" i="18"/>
  <c r="BH66" i="18"/>
  <c r="BI66" i="18"/>
  <c r="BJ66" i="18"/>
  <c r="BK66" i="18"/>
  <c r="BL66" i="18"/>
  <c r="BM66" i="18"/>
  <c r="BN66" i="18"/>
  <c r="BO66" i="18"/>
  <c r="BP66" i="18"/>
  <c r="BH67" i="18"/>
  <c r="BI67" i="18"/>
  <c r="BJ67" i="18"/>
  <c r="BK67" i="18"/>
  <c r="BL67" i="18"/>
  <c r="BM67" i="18"/>
  <c r="BN67" i="18"/>
  <c r="BO67" i="18"/>
  <c r="BP67" i="18"/>
  <c r="BH68" i="18"/>
  <c r="BI68" i="18"/>
  <c r="BJ68" i="18"/>
  <c r="BK68" i="18"/>
  <c r="BL68" i="18"/>
  <c r="BM68" i="18"/>
  <c r="BN68" i="18"/>
  <c r="BO68" i="18"/>
  <c r="BP68" i="18"/>
  <c r="BH69" i="18"/>
  <c r="BI69" i="18"/>
  <c r="BJ69" i="18"/>
  <c r="BK69" i="18"/>
  <c r="BL69" i="18"/>
  <c r="BM69" i="18"/>
  <c r="BN69" i="18"/>
  <c r="BO69" i="18"/>
  <c r="BP69" i="18"/>
  <c r="BH70" i="18"/>
  <c r="BI70" i="18"/>
  <c r="BJ70" i="18"/>
  <c r="BK70" i="18"/>
  <c r="BL70" i="18"/>
  <c r="BM70" i="18"/>
  <c r="BN70" i="18"/>
  <c r="BO70" i="18"/>
  <c r="BP70" i="18"/>
  <c r="BH71" i="18"/>
  <c r="BI71" i="18"/>
  <c r="BJ71" i="18"/>
  <c r="BK71" i="18"/>
  <c r="BL71" i="18"/>
  <c r="BM71" i="18"/>
  <c r="BN71" i="18"/>
  <c r="BO71" i="18"/>
  <c r="BP71" i="18"/>
  <c r="BH72" i="18"/>
  <c r="BI72" i="18"/>
  <c r="BJ72" i="18"/>
  <c r="BK72" i="18"/>
  <c r="BL72" i="18"/>
  <c r="BM72" i="18"/>
  <c r="BN72" i="18"/>
  <c r="BO72" i="18"/>
  <c r="BP72" i="18"/>
  <c r="BH73" i="18"/>
  <c r="BI73" i="18"/>
  <c r="BJ73" i="18"/>
  <c r="BK73" i="18"/>
  <c r="BL73" i="18"/>
  <c r="BM73" i="18"/>
  <c r="BN73" i="18"/>
  <c r="BO73" i="18"/>
  <c r="BP73" i="18"/>
  <c r="BH74" i="18"/>
  <c r="BI74" i="18"/>
  <c r="BJ74" i="18"/>
  <c r="BK74" i="18"/>
  <c r="BL74" i="18"/>
  <c r="BM74" i="18"/>
  <c r="BN74" i="18"/>
  <c r="BO74" i="18"/>
  <c r="BP74" i="18"/>
  <c r="BH75" i="18"/>
  <c r="BI75" i="18"/>
  <c r="BJ75" i="18"/>
  <c r="BK75" i="18"/>
  <c r="BL75" i="18"/>
  <c r="BM75" i="18"/>
  <c r="BN75" i="18"/>
  <c r="BO75" i="18"/>
  <c r="BP75" i="18"/>
  <c r="BH76" i="18"/>
  <c r="BI76" i="18"/>
  <c r="BJ76" i="18"/>
  <c r="BK76" i="18"/>
  <c r="BL76" i="18"/>
  <c r="BM76" i="18"/>
  <c r="BN76" i="18"/>
  <c r="BO76" i="18"/>
  <c r="BP76" i="18"/>
  <c r="BH77" i="18"/>
  <c r="BI77" i="18"/>
  <c r="BJ77" i="18"/>
  <c r="BK77" i="18"/>
  <c r="BL77" i="18"/>
  <c r="BM77" i="18"/>
  <c r="BN77" i="18"/>
  <c r="BO77" i="18"/>
  <c r="BP77" i="18"/>
  <c r="BH78" i="18"/>
  <c r="BI78" i="18"/>
  <c r="BJ78" i="18"/>
  <c r="BK78" i="18"/>
  <c r="BL78" i="18"/>
  <c r="BM78" i="18"/>
  <c r="BN78" i="18"/>
  <c r="BO78" i="18"/>
  <c r="BP78" i="18"/>
  <c r="BH79" i="18"/>
  <c r="BI79" i="18"/>
  <c r="BJ79" i="18"/>
  <c r="BK79" i="18"/>
  <c r="BL79" i="18"/>
  <c r="BM79" i="18"/>
  <c r="BN79" i="18"/>
  <c r="BO79" i="18"/>
  <c r="BP79" i="18"/>
  <c r="BH80" i="18"/>
  <c r="BI80" i="18"/>
  <c r="BJ80" i="18"/>
  <c r="BK80" i="18"/>
  <c r="BL80" i="18"/>
  <c r="BM80" i="18"/>
  <c r="BN80" i="18"/>
  <c r="BO80" i="18"/>
  <c r="BP80" i="18"/>
  <c r="BH81" i="18"/>
  <c r="BI81" i="18"/>
  <c r="BJ81" i="18"/>
  <c r="BK81" i="18"/>
  <c r="BL81" i="18"/>
  <c r="BM81" i="18"/>
  <c r="BN81" i="18"/>
  <c r="BO81" i="18"/>
  <c r="BP81" i="18"/>
  <c r="BH82" i="18"/>
  <c r="BI82" i="18"/>
  <c r="BJ82" i="18"/>
  <c r="BK82" i="18"/>
  <c r="BL82" i="18"/>
  <c r="BM82" i="18"/>
  <c r="BN82" i="18"/>
  <c r="BO82" i="18"/>
  <c r="BP82" i="18"/>
  <c r="BH83" i="18"/>
  <c r="BI83" i="18"/>
  <c r="BJ83" i="18"/>
  <c r="BK83" i="18"/>
  <c r="BL83" i="18"/>
  <c r="BM83" i="18"/>
  <c r="BN83" i="18"/>
  <c r="BO83" i="18"/>
  <c r="BP83" i="18"/>
  <c r="BH84" i="18"/>
  <c r="BI84" i="18"/>
  <c r="BJ84" i="18"/>
  <c r="BK84" i="18"/>
  <c r="BL84" i="18"/>
  <c r="BM84" i="18"/>
  <c r="BN84" i="18"/>
  <c r="BO84" i="18"/>
  <c r="BP84" i="18"/>
  <c r="BH85" i="18"/>
  <c r="BI85" i="18"/>
  <c r="BJ85" i="18"/>
  <c r="BK85" i="18"/>
  <c r="BL85" i="18"/>
  <c r="BM85" i="18"/>
  <c r="BN85" i="18"/>
  <c r="BO85" i="18"/>
  <c r="BP85" i="18"/>
  <c r="BH86" i="18"/>
  <c r="BI86" i="18"/>
  <c r="BJ86" i="18"/>
  <c r="BK86" i="18"/>
  <c r="BL86" i="18"/>
  <c r="BM86" i="18"/>
  <c r="BN86" i="18"/>
  <c r="BO86" i="18"/>
  <c r="BP86" i="18"/>
  <c r="BH87" i="18"/>
  <c r="BI87" i="18"/>
  <c r="BJ87" i="18"/>
  <c r="BK87" i="18"/>
  <c r="BL87" i="18"/>
  <c r="BM87" i="18"/>
  <c r="BN87" i="18"/>
  <c r="BO87" i="18"/>
  <c r="BP87" i="18"/>
  <c r="BH88" i="18"/>
  <c r="BI88" i="18"/>
  <c r="BJ88" i="18"/>
  <c r="BK88" i="18"/>
  <c r="BL88" i="18"/>
  <c r="BM88" i="18"/>
  <c r="BN88" i="18"/>
  <c r="BO88" i="18"/>
  <c r="BP88" i="18"/>
  <c r="BH89" i="18"/>
  <c r="BI89" i="18"/>
  <c r="BJ89" i="18"/>
  <c r="BK89" i="18"/>
  <c r="BL89" i="18"/>
  <c r="BM89" i="18"/>
  <c r="BN89" i="18"/>
  <c r="BO89" i="18"/>
  <c r="BP89" i="18"/>
  <c r="BH90" i="18"/>
  <c r="BI90" i="18"/>
  <c r="BJ90" i="18"/>
  <c r="BK90" i="18"/>
  <c r="BL90" i="18"/>
  <c r="BM90" i="18"/>
  <c r="BN90" i="18"/>
  <c r="BO90" i="18"/>
  <c r="BP90" i="18"/>
  <c r="BH91" i="18"/>
  <c r="BI91" i="18"/>
  <c r="BJ91" i="18"/>
  <c r="BK91" i="18"/>
  <c r="BL91" i="18"/>
  <c r="BM91" i="18"/>
  <c r="BN91" i="18"/>
  <c r="BO91" i="18"/>
  <c r="BP91" i="18"/>
  <c r="BH92" i="18"/>
  <c r="BI92" i="18"/>
  <c r="BJ92" i="18"/>
  <c r="BK92" i="18"/>
  <c r="BL92" i="18"/>
  <c r="BM92" i="18"/>
  <c r="BN92" i="18"/>
  <c r="BO92" i="18"/>
  <c r="BP92" i="18"/>
  <c r="BH93" i="18"/>
  <c r="BI93" i="18"/>
  <c r="BJ93" i="18"/>
  <c r="BK93" i="18"/>
  <c r="BL93" i="18"/>
  <c r="BM93" i="18"/>
  <c r="BN93" i="18"/>
  <c r="BO93" i="18"/>
  <c r="BP93" i="18"/>
  <c r="BH94" i="18"/>
  <c r="BI94" i="18"/>
  <c r="BJ94" i="18"/>
  <c r="BK94" i="18"/>
  <c r="BL94" i="18"/>
  <c r="BM94" i="18"/>
  <c r="BN94" i="18"/>
  <c r="BO94" i="18"/>
  <c r="BP94" i="18"/>
  <c r="BH95" i="18"/>
  <c r="BI95" i="18"/>
  <c r="BJ95" i="18"/>
  <c r="BK95" i="18"/>
  <c r="BL95" i="18"/>
  <c r="BM95" i="18"/>
  <c r="BN95" i="18"/>
  <c r="BO95" i="18"/>
  <c r="BP95" i="18"/>
  <c r="BH96" i="18"/>
  <c r="BI96" i="18"/>
  <c r="BJ96" i="18"/>
  <c r="BK96" i="18"/>
  <c r="BL96" i="18"/>
  <c r="BM96" i="18"/>
  <c r="BN96" i="18"/>
  <c r="BO96" i="18"/>
  <c r="BP96" i="18"/>
  <c r="BH97" i="18"/>
  <c r="BI97" i="18"/>
  <c r="BJ97" i="18"/>
  <c r="BK97" i="18"/>
  <c r="BL97" i="18"/>
  <c r="BM97" i="18"/>
  <c r="BN97" i="18"/>
  <c r="BO97" i="18"/>
  <c r="BP97" i="18"/>
  <c r="BH98" i="18"/>
  <c r="BI98" i="18"/>
  <c r="BJ98" i="18"/>
  <c r="BK98" i="18"/>
  <c r="BL98" i="18"/>
  <c r="BM98" i="18"/>
  <c r="BN98" i="18"/>
  <c r="BO98" i="18"/>
  <c r="BP98" i="18"/>
  <c r="BH99" i="18"/>
  <c r="BI99" i="18"/>
  <c r="BJ99" i="18"/>
  <c r="BK99" i="18"/>
  <c r="BL99" i="18"/>
  <c r="BM99" i="18"/>
  <c r="BN99" i="18"/>
  <c r="BO99" i="18"/>
  <c r="BP99" i="18"/>
  <c r="BH100" i="18"/>
  <c r="BI100" i="18"/>
  <c r="BJ100" i="18"/>
  <c r="BK100" i="18"/>
  <c r="BL100" i="18"/>
  <c r="BM100" i="18"/>
  <c r="BN100" i="18"/>
  <c r="BO100" i="18"/>
  <c r="BP100" i="18"/>
  <c r="BH101" i="18"/>
  <c r="BI101" i="18"/>
  <c r="BJ101" i="18"/>
  <c r="BK101" i="18"/>
  <c r="BL101" i="18"/>
  <c r="BM101" i="18"/>
  <c r="BN101" i="18"/>
  <c r="BO101" i="18"/>
  <c r="BP101" i="18"/>
  <c r="BH102" i="18"/>
  <c r="BI102" i="18"/>
  <c r="BJ102" i="18"/>
  <c r="BK102" i="18"/>
  <c r="BL102" i="18"/>
  <c r="BM102" i="18"/>
  <c r="BN102" i="18"/>
  <c r="BO102" i="18"/>
  <c r="BP102" i="18"/>
  <c r="BH103" i="18"/>
  <c r="BI103" i="18"/>
  <c r="BJ103" i="18"/>
  <c r="BK103" i="18"/>
  <c r="BL103" i="18"/>
  <c r="BM103" i="18"/>
  <c r="BN103" i="18"/>
  <c r="BO103" i="18"/>
  <c r="BP103" i="18"/>
  <c r="BH104" i="18"/>
  <c r="BI104" i="18"/>
  <c r="BJ104" i="18"/>
  <c r="BK104" i="18"/>
  <c r="BL104" i="18"/>
  <c r="BM104" i="18"/>
  <c r="BN104" i="18"/>
  <c r="BO104" i="18"/>
  <c r="BP104" i="18"/>
  <c r="BH105" i="18"/>
  <c r="BI105" i="18"/>
  <c r="BJ105" i="18"/>
  <c r="BK105" i="18"/>
  <c r="BL105" i="18"/>
  <c r="BM105" i="18"/>
  <c r="BN105" i="18"/>
  <c r="BO105" i="18"/>
  <c r="BP105" i="18"/>
  <c r="BH106" i="18"/>
  <c r="BI106" i="18"/>
  <c r="BJ106" i="18"/>
  <c r="BK106" i="18"/>
  <c r="BL106" i="18"/>
  <c r="BM106" i="18"/>
  <c r="BN106" i="18"/>
  <c r="BO106" i="18"/>
  <c r="BP106" i="18"/>
  <c r="BH107" i="18"/>
  <c r="BI107" i="18"/>
  <c r="BJ107" i="18"/>
  <c r="BK107" i="18"/>
  <c r="BL107" i="18"/>
  <c r="BM107" i="18"/>
  <c r="BN107" i="18"/>
  <c r="BO107" i="18"/>
  <c r="BP107" i="18"/>
  <c r="BH108" i="18"/>
  <c r="BI108" i="18"/>
  <c r="BJ108" i="18"/>
  <c r="BK108" i="18"/>
  <c r="BL108" i="18"/>
  <c r="BM108" i="18"/>
  <c r="BN108" i="18"/>
  <c r="BO108" i="18"/>
  <c r="BP108" i="18"/>
  <c r="BH109" i="18"/>
  <c r="BI109" i="18"/>
  <c r="BJ109" i="18"/>
  <c r="BK109" i="18"/>
  <c r="BL109" i="18"/>
  <c r="BM109" i="18"/>
  <c r="BN109" i="18"/>
  <c r="BO109" i="18"/>
  <c r="BP109" i="18"/>
  <c r="BH110" i="18"/>
  <c r="BI110" i="18"/>
  <c r="BJ110" i="18"/>
  <c r="BK110" i="18"/>
  <c r="BL110" i="18"/>
  <c r="BM110" i="18"/>
  <c r="BN110" i="18"/>
  <c r="BO110" i="18"/>
  <c r="BP110" i="18"/>
  <c r="BH111" i="18"/>
  <c r="BI111" i="18"/>
  <c r="BJ111" i="18"/>
  <c r="BK111" i="18"/>
  <c r="BL111" i="18"/>
  <c r="BM111" i="18"/>
  <c r="BN111" i="18"/>
  <c r="BO111" i="18"/>
  <c r="BP111" i="18"/>
  <c r="BH112" i="18"/>
  <c r="BI112" i="18"/>
  <c r="BJ112" i="18"/>
  <c r="BK112" i="18"/>
  <c r="BL112" i="18"/>
  <c r="BM112" i="18"/>
  <c r="BN112" i="18"/>
  <c r="BO112" i="18"/>
  <c r="BP112" i="18"/>
  <c r="BH113" i="18"/>
  <c r="BI113" i="18"/>
  <c r="BJ113" i="18"/>
  <c r="BK113" i="18"/>
  <c r="BL113" i="18"/>
  <c r="BM113" i="18"/>
  <c r="BN113" i="18"/>
  <c r="BO113" i="18"/>
  <c r="BP113" i="18"/>
  <c r="BH114" i="18"/>
  <c r="BI114" i="18"/>
  <c r="BJ114" i="18"/>
  <c r="BK114" i="18"/>
  <c r="BL114" i="18"/>
  <c r="BM114" i="18"/>
  <c r="BN114" i="18"/>
  <c r="BO114" i="18"/>
  <c r="BP114" i="18"/>
  <c r="BH115" i="18"/>
  <c r="BI115" i="18"/>
  <c r="BJ115" i="18"/>
  <c r="BK115" i="18"/>
  <c r="BL115" i="18"/>
  <c r="BM115" i="18"/>
  <c r="BN115" i="18"/>
  <c r="BO115" i="18"/>
  <c r="BP115" i="18"/>
  <c r="BH116" i="18"/>
  <c r="BI116" i="18"/>
  <c r="BJ116" i="18"/>
  <c r="BK116" i="18"/>
  <c r="BL116" i="18"/>
  <c r="BM116" i="18"/>
  <c r="BN116" i="18"/>
  <c r="BO116" i="18"/>
  <c r="BP116" i="18"/>
  <c r="BH117" i="18"/>
  <c r="BI117" i="18"/>
  <c r="BJ117" i="18"/>
  <c r="BK117" i="18"/>
  <c r="BL117" i="18"/>
  <c r="BM117" i="18"/>
  <c r="BN117" i="18"/>
  <c r="BO117" i="18"/>
  <c r="BP117" i="18"/>
  <c r="BH118" i="18"/>
  <c r="BI118" i="18"/>
  <c r="BJ118" i="18"/>
  <c r="BK118" i="18"/>
  <c r="BL118" i="18"/>
  <c r="BM118" i="18"/>
  <c r="BN118" i="18"/>
  <c r="BO118" i="18"/>
  <c r="BP118" i="18"/>
  <c r="BH119" i="18"/>
  <c r="BI119" i="18"/>
  <c r="BJ119" i="18"/>
  <c r="BK119" i="18"/>
  <c r="BL119" i="18"/>
  <c r="BM119" i="18"/>
  <c r="BN119" i="18"/>
  <c r="BO119" i="18"/>
  <c r="BP119" i="18"/>
  <c r="BH120" i="18"/>
  <c r="BI120" i="18"/>
  <c r="BJ120" i="18"/>
  <c r="BK120" i="18"/>
  <c r="BL120" i="18"/>
  <c r="BM120" i="18"/>
  <c r="BN120" i="18"/>
  <c r="BO120" i="18"/>
  <c r="BP120" i="18"/>
  <c r="BH121" i="18"/>
  <c r="BI121" i="18"/>
  <c r="BJ121" i="18"/>
  <c r="BK121" i="18"/>
  <c r="BL121" i="18"/>
  <c r="BM121" i="18"/>
  <c r="BN121" i="18"/>
  <c r="BO121" i="18"/>
  <c r="BP121" i="18"/>
  <c r="BH122" i="18"/>
  <c r="BI122" i="18"/>
  <c r="BJ122" i="18"/>
  <c r="BK122" i="18"/>
  <c r="BL122" i="18"/>
  <c r="BM122" i="18"/>
  <c r="BN122" i="18"/>
  <c r="BO122" i="18"/>
  <c r="BP122" i="18"/>
  <c r="BH123" i="18"/>
  <c r="BI123" i="18"/>
  <c r="BJ123" i="18"/>
  <c r="BK123" i="18"/>
  <c r="BL123" i="18"/>
  <c r="BM123" i="18"/>
  <c r="BN123" i="18"/>
  <c r="BO123" i="18"/>
  <c r="BP123" i="18"/>
  <c r="BH124" i="18"/>
  <c r="BI124" i="18"/>
  <c r="BJ124" i="18"/>
  <c r="BK124" i="18"/>
  <c r="BL124" i="18"/>
  <c r="BM124" i="18"/>
  <c r="BN124" i="18"/>
  <c r="BO124" i="18"/>
  <c r="BP124" i="18"/>
  <c r="BH125" i="18"/>
  <c r="BI125" i="18"/>
  <c r="BJ125" i="18"/>
  <c r="BK125" i="18"/>
  <c r="BL125" i="18"/>
  <c r="BM125" i="18"/>
  <c r="BN125" i="18"/>
  <c r="BO125" i="18"/>
  <c r="BP125" i="18"/>
  <c r="BH126" i="18"/>
  <c r="BI126" i="18"/>
  <c r="BJ126" i="18"/>
  <c r="BK126" i="18"/>
  <c r="BL126" i="18"/>
  <c r="BM126" i="18"/>
  <c r="BN126" i="18"/>
  <c r="BO126" i="18"/>
  <c r="BP126" i="18"/>
  <c r="BH127" i="18"/>
  <c r="BI127" i="18"/>
  <c r="BJ127" i="18"/>
  <c r="BK127" i="18"/>
  <c r="BL127" i="18"/>
  <c r="BM127" i="18"/>
  <c r="BN127" i="18"/>
  <c r="BO127" i="18"/>
  <c r="BP127" i="18"/>
  <c r="BH128" i="18"/>
  <c r="BI128" i="18"/>
  <c r="BJ128" i="18"/>
  <c r="BK128" i="18"/>
  <c r="BL128" i="18"/>
  <c r="BM128" i="18"/>
  <c r="BN128" i="18"/>
  <c r="BO128" i="18"/>
  <c r="BP128" i="18"/>
  <c r="BH129" i="18"/>
  <c r="BI129" i="18"/>
  <c r="BJ129" i="18"/>
  <c r="BK129" i="18"/>
  <c r="BL129" i="18"/>
  <c r="BM129" i="18"/>
  <c r="BN129" i="18"/>
  <c r="BO129" i="18"/>
  <c r="BP129" i="18"/>
  <c r="BH130" i="18"/>
  <c r="BI130" i="18"/>
  <c r="BJ130" i="18"/>
  <c r="BK130" i="18"/>
  <c r="BL130" i="18"/>
  <c r="BM130" i="18"/>
  <c r="BN130" i="18"/>
  <c r="BO130" i="18"/>
  <c r="BP130" i="18"/>
  <c r="BH131" i="18"/>
  <c r="BI131" i="18"/>
  <c r="BJ131" i="18"/>
  <c r="BK131" i="18"/>
  <c r="BL131" i="18"/>
  <c r="BM131" i="18"/>
  <c r="BN131" i="18"/>
  <c r="BO131" i="18"/>
  <c r="BP131" i="18"/>
  <c r="BH132" i="18"/>
  <c r="BI132" i="18"/>
  <c r="BJ132" i="18"/>
  <c r="BK132" i="18"/>
  <c r="BL132" i="18"/>
  <c r="BM132" i="18"/>
  <c r="BN132" i="18"/>
  <c r="BO132" i="18"/>
  <c r="BP132" i="18"/>
  <c r="BH133" i="18"/>
  <c r="BI133" i="18"/>
  <c r="BJ133" i="18"/>
  <c r="BK133" i="18"/>
  <c r="BL133" i="18"/>
  <c r="BM133" i="18"/>
  <c r="BN133" i="18"/>
  <c r="BO133" i="18"/>
  <c r="BP133" i="18"/>
  <c r="BH134" i="18"/>
  <c r="BI134" i="18"/>
  <c r="BJ134" i="18"/>
  <c r="BK134" i="18"/>
  <c r="BL134" i="18"/>
  <c r="BM134" i="18"/>
  <c r="BN134" i="18"/>
  <c r="BO134" i="18"/>
  <c r="BP134" i="18"/>
  <c r="BH135" i="18"/>
  <c r="BI135" i="18"/>
  <c r="BJ135" i="18"/>
  <c r="BK135" i="18"/>
  <c r="BL135" i="18"/>
  <c r="BM135" i="18"/>
  <c r="BN135" i="18"/>
  <c r="BO135" i="18"/>
  <c r="BP135" i="18"/>
  <c r="BH136" i="18"/>
  <c r="BI136" i="18"/>
  <c r="BJ136" i="18"/>
  <c r="BK136" i="18"/>
  <c r="BL136" i="18"/>
  <c r="BM136" i="18"/>
  <c r="BN136" i="18"/>
  <c r="BO136" i="18"/>
  <c r="BP136" i="18"/>
  <c r="BH137" i="18"/>
  <c r="BI137" i="18"/>
  <c r="BJ137" i="18"/>
  <c r="BK137" i="18"/>
  <c r="BL137" i="18"/>
  <c r="BM137" i="18"/>
  <c r="BN137" i="18"/>
  <c r="BO137" i="18"/>
  <c r="BP137" i="18"/>
  <c r="BH138" i="18"/>
  <c r="BI138" i="18"/>
  <c r="BJ138" i="18"/>
  <c r="BK138" i="18"/>
  <c r="BL138" i="18"/>
  <c r="BM138" i="18"/>
  <c r="BN138" i="18"/>
  <c r="BO138" i="18"/>
  <c r="BP138" i="18"/>
  <c r="BH139" i="18"/>
  <c r="BI139" i="18"/>
  <c r="BJ139" i="18"/>
  <c r="BK139" i="18"/>
  <c r="BL139" i="18"/>
  <c r="BM139" i="18"/>
  <c r="BN139" i="18"/>
  <c r="BO139" i="18"/>
  <c r="BP139" i="18"/>
  <c r="BH140" i="18"/>
  <c r="BI140" i="18"/>
  <c r="BJ140" i="18"/>
  <c r="BK140" i="18"/>
  <c r="BL140" i="18"/>
  <c r="BM140" i="18"/>
  <c r="BN140" i="18"/>
  <c r="BO140" i="18"/>
  <c r="BP140" i="18"/>
  <c r="BH141" i="18"/>
  <c r="BI141" i="18"/>
  <c r="BJ141" i="18"/>
  <c r="BK141" i="18"/>
  <c r="BL141" i="18"/>
  <c r="BM141" i="18"/>
  <c r="BN141" i="18"/>
  <c r="BO141" i="18"/>
  <c r="BP141" i="18"/>
  <c r="BH142" i="18"/>
  <c r="BI142" i="18"/>
  <c r="BJ142" i="18"/>
  <c r="BK142" i="18"/>
  <c r="BL142" i="18"/>
  <c r="BM142" i="18"/>
  <c r="BN142" i="18"/>
  <c r="BO142" i="18"/>
  <c r="BP142" i="18"/>
  <c r="BH143" i="18"/>
  <c r="BI143" i="18"/>
  <c r="BJ143" i="18"/>
  <c r="BK143" i="18"/>
  <c r="BL143" i="18"/>
  <c r="BM143" i="18"/>
  <c r="BN143" i="18"/>
  <c r="BO143" i="18"/>
  <c r="BP143" i="18"/>
  <c r="BH144" i="18"/>
  <c r="BI144" i="18"/>
  <c r="BJ144" i="18"/>
  <c r="BK144" i="18"/>
  <c r="BL144" i="18"/>
  <c r="BM144" i="18"/>
  <c r="BN144" i="18"/>
  <c r="BO144" i="18"/>
  <c r="BP144" i="18"/>
  <c r="BH145" i="18"/>
  <c r="BI145" i="18"/>
  <c r="BJ145" i="18"/>
  <c r="BK145" i="18"/>
  <c r="BL145" i="18"/>
  <c r="BM145" i="18"/>
  <c r="BN145" i="18"/>
  <c r="BO145" i="18"/>
  <c r="BP145" i="18"/>
  <c r="BH146" i="18"/>
  <c r="BI146" i="18"/>
  <c r="BJ146" i="18"/>
  <c r="BK146" i="18"/>
  <c r="BL146" i="18"/>
  <c r="BM146" i="18"/>
  <c r="BN146" i="18"/>
  <c r="BO146" i="18"/>
  <c r="BP146" i="18"/>
  <c r="BH147" i="18"/>
  <c r="BI147" i="18"/>
  <c r="BJ147" i="18"/>
  <c r="BK147" i="18"/>
  <c r="BL147" i="18"/>
  <c r="BM147" i="18"/>
  <c r="BN147" i="18"/>
  <c r="BO147" i="18"/>
  <c r="BP147" i="18"/>
  <c r="BH148" i="18"/>
  <c r="BI148" i="18"/>
  <c r="BJ148" i="18"/>
  <c r="BK148" i="18"/>
  <c r="BL148" i="18"/>
  <c r="BM148" i="18"/>
  <c r="BN148" i="18"/>
  <c r="BO148" i="18"/>
  <c r="BP148" i="18"/>
  <c r="BH149" i="18"/>
  <c r="BI149" i="18"/>
  <c r="BJ149" i="18"/>
  <c r="BK149" i="18"/>
  <c r="BL149" i="18"/>
  <c r="BM149" i="18"/>
  <c r="BN149" i="18"/>
  <c r="BO149" i="18"/>
  <c r="BP149" i="18"/>
  <c r="BH150" i="18"/>
  <c r="BI150" i="18"/>
  <c r="BJ150" i="18"/>
  <c r="BK150" i="18"/>
  <c r="BL150" i="18"/>
  <c r="BM150" i="18"/>
  <c r="BN150" i="18"/>
  <c r="BO150" i="18"/>
  <c r="BP150" i="18"/>
  <c r="BH151" i="18"/>
  <c r="BI151" i="18"/>
  <c r="BJ151" i="18"/>
  <c r="BK151" i="18"/>
  <c r="BL151" i="18"/>
  <c r="BM151" i="18"/>
  <c r="BN151" i="18"/>
  <c r="BO151" i="18"/>
  <c r="BP151" i="18"/>
  <c r="BH152" i="18"/>
  <c r="BI152" i="18"/>
  <c r="BJ152" i="18"/>
  <c r="BK152" i="18"/>
  <c r="BL152" i="18"/>
  <c r="BM152" i="18"/>
  <c r="BN152" i="18"/>
  <c r="BO152" i="18"/>
  <c r="BP152" i="18"/>
  <c r="BH153" i="18"/>
  <c r="BI153" i="18"/>
  <c r="BJ153" i="18"/>
  <c r="BK153" i="18"/>
  <c r="BL153" i="18"/>
  <c r="BM153" i="18"/>
  <c r="BN153" i="18"/>
  <c r="BO153" i="18"/>
  <c r="BP153" i="18"/>
  <c r="BH154" i="18"/>
  <c r="BI154" i="18"/>
  <c r="BJ154" i="18"/>
  <c r="BK154" i="18"/>
  <c r="BL154" i="18"/>
  <c r="BM154" i="18"/>
  <c r="BN154" i="18"/>
  <c r="BO154" i="18"/>
  <c r="BP154" i="18"/>
  <c r="BH155" i="18"/>
  <c r="BI155" i="18"/>
  <c r="BJ155" i="18"/>
  <c r="BK155" i="18"/>
  <c r="BL155" i="18"/>
  <c r="BM155" i="18"/>
  <c r="BN155" i="18"/>
  <c r="BO155" i="18"/>
  <c r="BP155" i="18"/>
  <c r="BH156" i="18"/>
  <c r="BI156" i="18"/>
  <c r="BJ156" i="18"/>
  <c r="BK156" i="18"/>
  <c r="BL156" i="18"/>
  <c r="BM156" i="18"/>
  <c r="BN156" i="18"/>
  <c r="BO156" i="18"/>
  <c r="BP156" i="18"/>
  <c r="BH157" i="18"/>
  <c r="BI157" i="18"/>
  <c r="BJ157" i="18"/>
  <c r="BK157" i="18"/>
  <c r="BL157" i="18"/>
  <c r="BM157" i="18"/>
  <c r="BN157" i="18"/>
  <c r="BO157" i="18"/>
  <c r="BP157" i="18"/>
  <c r="BH158" i="18"/>
  <c r="BI158" i="18"/>
  <c r="BJ158" i="18"/>
  <c r="BK158" i="18"/>
  <c r="BL158" i="18"/>
  <c r="BM158" i="18"/>
  <c r="BN158" i="18"/>
  <c r="BO158" i="18"/>
  <c r="BP158" i="18"/>
  <c r="BH159" i="18"/>
  <c r="BI159" i="18"/>
  <c r="BJ159" i="18"/>
  <c r="BK159" i="18"/>
  <c r="BL159" i="18"/>
  <c r="BM159" i="18"/>
  <c r="BN159" i="18"/>
  <c r="BO159" i="18"/>
  <c r="BP159" i="18"/>
  <c r="BH160" i="18"/>
  <c r="BI160" i="18"/>
  <c r="BJ160" i="18"/>
  <c r="BK160" i="18"/>
  <c r="BL160" i="18"/>
  <c r="BM160" i="18"/>
  <c r="BN160" i="18"/>
  <c r="BO160" i="18"/>
  <c r="BP160" i="18"/>
  <c r="BH161" i="18"/>
  <c r="BI161" i="18"/>
  <c r="BJ161" i="18"/>
  <c r="BK161" i="18"/>
  <c r="BL161" i="18"/>
  <c r="BM161" i="18"/>
  <c r="BN161" i="18"/>
  <c r="BO161" i="18"/>
  <c r="BP161" i="18"/>
  <c r="BH162" i="18"/>
  <c r="BI162" i="18"/>
  <c r="BJ162" i="18"/>
  <c r="BK162" i="18"/>
  <c r="BL162" i="18"/>
  <c r="BM162" i="18"/>
  <c r="BN162" i="18"/>
  <c r="BO162" i="18"/>
  <c r="BP162" i="18"/>
  <c r="BH163" i="18"/>
  <c r="BI163" i="18"/>
  <c r="BJ163" i="18"/>
  <c r="BK163" i="18"/>
  <c r="BL163" i="18"/>
  <c r="BM163" i="18"/>
  <c r="BN163" i="18"/>
  <c r="BO163" i="18"/>
  <c r="BP163" i="18"/>
  <c r="BH164" i="18"/>
  <c r="BI164" i="18"/>
  <c r="BJ164" i="18"/>
  <c r="BK164" i="18"/>
  <c r="BL164" i="18"/>
  <c r="BM164" i="18"/>
  <c r="BN164" i="18"/>
  <c r="BO164" i="18"/>
  <c r="BP164" i="18"/>
  <c r="BH165" i="18"/>
  <c r="BI165" i="18"/>
  <c r="BJ165" i="18"/>
  <c r="BK165" i="18"/>
  <c r="BL165" i="18"/>
  <c r="BM165" i="18"/>
  <c r="BN165" i="18"/>
  <c r="BO165" i="18"/>
  <c r="BP165" i="18"/>
  <c r="BH166" i="18"/>
  <c r="BI166" i="18"/>
  <c r="BJ166" i="18"/>
  <c r="BK166" i="18"/>
  <c r="BL166" i="18"/>
  <c r="BM166" i="18"/>
  <c r="BN166" i="18"/>
  <c r="BO166" i="18"/>
  <c r="BP166" i="18"/>
  <c r="BH167" i="18"/>
  <c r="BI167" i="18"/>
  <c r="BJ167" i="18"/>
  <c r="BK167" i="18"/>
  <c r="BL167" i="18"/>
  <c r="BM167" i="18"/>
  <c r="BN167" i="18"/>
  <c r="BO167" i="18"/>
  <c r="BP167" i="18"/>
  <c r="BH168" i="18"/>
  <c r="BI168" i="18"/>
  <c r="BJ168" i="18"/>
  <c r="BK168" i="18"/>
  <c r="BL168" i="18"/>
  <c r="BM168" i="18"/>
  <c r="BN168" i="18"/>
  <c r="BO168" i="18"/>
  <c r="BP168" i="18"/>
  <c r="BH169" i="18"/>
  <c r="BI169" i="18"/>
  <c r="BJ169" i="18"/>
  <c r="BK169" i="18"/>
  <c r="BL169" i="18"/>
  <c r="BM169" i="18"/>
  <c r="BN169" i="18"/>
  <c r="BO169" i="18"/>
  <c r="BP169" i="18"/>
  <c r="BH170" i="18"/>
  <c r="BI170" i="18"/>
  <c r="BJ170" i="18"/>
  <c r="BK170" i="18"/>
  <c r="BL170" i="18"/>
  <c r="BM170" i="18"/>
  <c r="BN170" i="18"/>
  <c r="BO170" i="18"/>
  <c r="BP170" i="18"/>
  <c r="BH171" i="18"/>
  <c r="BI171" i="18"/>
  <c r="BJ171" i="18"/>
  <c r="BK171" i="18"/>
  <c r="BL171" i="18"/>
  <c r="BM171" i="18"/>
  <c r="BN171" i="18"/>
  <c r="BO171" i="18"/>
  <c r="BP171" i="18"/>
  <c r="BH172" i="18"/>
  <c r="BI172" i="18"/>
  <c r="BJ172" i="18"/>
  <c r="BK172" i="18"/>
  <c r="BL172" i="18"/>
  <c r="BM172" i="18"/>
  <c r="BN172" i="18"/>
  <c r="BO172" i="18"/>
  <c r="BP172" i="18"/>
  <c r="BH173" i="18"/>
  <c r="BI173" i="18"/>
  <c r="BJ173" i="18"/>
  <c r="BK173" i="18"/>
  <c r="BL173" i="18"/>
  <c r="BM173" i="18"/>
  <c r="BN173" i="18"/>
  <c r="BO173" i="18"/>
  <c r="BP173" i="18"/>
  <c r="BH174" i="18"/>
  <c r="BI174" i="18"/>
  <c r="BJ174" i="18"/>
  <c r="BK174" i="18"/>
  <c r="BL174" i="18"/>
  <c r="BM174" i="18"/>
  <c r="BN174" i="18"/>
  <c r="BO174" i="18"/>
  <c r="BP174" i="18"/>
  <c r="BH175" i="18"/>
  <c r="BI175" i="18"/>
  <c r="BJ175" i="18"/>
  <c r="BK175" i="18"/>
  <c r="BL175" i="18"/>
  <c r="BM175" i="18"/>
  <c r="BN175" i="18"/>
  <c r="BO175" i="18"/>
  <c r="BP175" i="18"/>
  <c r="BH176" i="18"/>
  <c r="BI176" i="18"/>
  <c r="BJ176" i="18"/>
  <c r="BK176" i="18"/>
  <c r="BL176" i="18"/>
  <c r="BM176" i="18"/>
  <c r="BN176" i="18"/>
  <c r="BO176" i="18"/>
  <c r="BP176" i="18"/>
  <c r="BH177" i="18"/>
  <c r="BI177" i="18"/>
  <c r="BJ177" i="18"/>
  <c r="BK177" i="18"/>
  <c r="BL177" i="18"/>
  <c r="BM177" i="18"/>
  <c r="BN177" i="18"/>
  <c r="BO177" i="18"/>
  <c r="BP177" i="18"/>
  <c r="BH178" i="18"/>
  <c r="BI178" i="18"/>
  <c r="BJ178" i="18"/>
  <c r="BK178" i="18"/>
  <c r="BL178" i="18"/>
  <c r="BM178" i="18"/>
  <c r="BN178" i="18"/>
  <c r="BO178" i="18"/>
  <c r="BP178" i="18"/>
  <c r="BH179" i="18"/>
  <c r="BI179" i="18"/>
  <c r="BJ179" i="18"/>
  <c r="BK179" i="18"/>
  <c r="BL179" i="18"/>
  <c r="BM179" i="18"/>
  <c r="BN179" i="18"/>
  <c r="BO179" i="18"/>
  <c r="BP179" i="18"/>
  <c r="BH180" i="18"/>
  <c r="BI180" i="18"/>
  <c r="BJ180" i="18"/>
  <c r="BK180" i="18"/>
  <c r="BL180" i="18"/>
  <c r="BM180" i="18"/>
  <c r="BN180" i="18"/>
  <c r="BO180" i="18"/>
  <c r="BP180" i="18"/>
  <c r="BH181" i="18"/>
  <c r="BI181" i="18"/>
  <c r="BJ181" i="18"/>
  <c r="BK181" i="18"/>
  <c r="BL181" i="18"/>
  <c r="BM181" i="18"/>
  <c r="BN181" i="18"/>
  <c r="BO181" i="18"/>
  <c r="BP181" i="18"/>
  <c r="BH182" i="18"/>
  <c r="BI182" i="18"/>
  <c r="BJ182" i="18"/>
  <c r="BK182" i="18"/>
  <c r="BL182" i="18"/>
  <c r="BM182" i="18"/>
  <c r="BN182" i="18"/>
  <c r="BO182" i="18"/>
  <c r="BP182" i="18"/>
  <c r="BH183" i="18"/>
  <c r="BI183" i="18"/>
  <c r="BJ183" i="18"/>
  <c r="BK183" i="18"/>
  <c r="BL183" i="18"/>
  <c r="BM183" i="18"/>
  <c r="BN183" i="18"/>
  <c r="BO183" i="18"/>
  <c r="BP183" i="18"/>
  <c r="BH184" i="18"/>
  <c r="BI184" i="18"/>
  <c r="BJ184" i="18"/>
  <c r="BK184" i="18"/>
  <c r="BL184" i="18"/>
  <c r="BM184" i="18"/>
  <c r="BN184" i="18"/>
  <c r="BO184" i="18"/>
  <c r="BP184" i="18"/>
  <c r="BH185" i="18"/>
  <c r="BI185" i="18"/>
  <c r="BJ185" i="18"/>
  <c r="BK185" i="18"/>
  <c r="BL185" i="18"/>
  <c r="BM185" i="18"/>
  <c r="BN185" i="18"/>
  <c r="BO185" i="18"/>
  <c r="BP185" i="18"/>
  <c r="BH186" i="18"/>
  <c r="BI186" i="18"/>
  <c r="BJ186" i="18"/>
  <c r="BK186" i="18"/>
  <c r="BL186" i="18"/>
  <c r="BM186" i="18"/>
  <c r="BN186" i="18"/>
  <c r="BO186" i="18"/>
  <c r="BP186" i="18"/>
  <c r="BH187" i="18"/>
  <c r="BI187" i="18"/>
  <c r="BJ187" i="18"/>
  <c r="BK187" i="18"/>
  <c r="BL187" i="18"/>
  <c r="BM187" i="18"/>
  <c r="BN187" i="18"/>
  <c r="BO187" i="18"/>
  <c r="BP187" i="18"/>
  <c r="BH188" i="18"/>
  <c r="BI188" i="18"/>
  <c r="BJ188" i="18"/>
  <c r="BK188" i="18"/>
  <c r="BL188" i="18"/>
  <c r="BM188" i="18"/>
  <c r="BN188" i="18"/>
  <c r="BO188" i="18"/>
  <c r="BP188" i="18"/>
  <c r="BH189" i="18"/>
  <c r="BI189" i="18"/>
  <c r="BJ189" i="18"/>
  <c r="BK189" i="18"/>
  <c r="BL189" i="18"/>
  <c r="BM189" i="18"/>
  <c r="BN189" i="18"/>
  <c r="BO189" i="18"/>
  <c r="BP189" i="18"/>
  <c r="BH190" i="18"/>
  <c r="BI190" i="18"/>
  <c r="BJ190" i="18"/>
  <c r="BK190" i="18"/>
  <c r="BL190" i="18"/>
  <c r="BM190" i="18"/>
  <c r="BN190" i="18"/>
  <c r="BO190" i="18"/>
  <c r="BP190" i="18"/>
  <c r="BH191" i="18"/>
  <c r="BI191" i="18"/>
  <c r="BJ191" i="18"/>
  <c r="BK191" i="18"/>
  <c r="BL191" i="18"/>
  <c r="BM191" i="18"/>
  <c r="BN191" i="18"/>
  <c r="BO191" i="18"/>
  <c r="BP191" i="18"/>
  <c r="BH192" i="18"/>
  <c r="BI192" i="18"/>
  <c r="BJ192" i="18"/>
  <c r="BK192" i="18"/>
  <c r="BL192" i="18"/>
  <c r="BM192" i="18"/>
  <c r="BN192" i="18"/>
  <c r="BO192" i="18"/>
  <c r="BP192" i="18"/>
  <c r="BH193" i="18"/>
  <c r="BI193" i="18"/>
  <c r="BJ193" i="18"/>
  <c r="BK193" i="18"/>
  <c r="BL193" i="18"/>
  <c r="BM193" i="18"/>
  <c r="BN193" i="18"/>
  <c r="BO193" i="18"/>
  <c r="BP193" i="18"/>
  <c r="BH194" i="18"/>
  <c r="BI194" i="18"/>
  <c r="BJ194" i="18"/>
  <c r="BK194" i="18"/>
  <c r="BL194" i="18"/>
  <c r="BM194" i="18"/>
  <c r="BN194" i="18"/>
  <c r="BO194" i="18"/>
  <c r="BP194" i="18"/>
  <c r="BH195" i="18"/>
  <c r="BI195" i="18"/>
  <c r="BJ195" i="18"/>
  <c r="BK195" i="18"/>
  <c r="BL195" i="18"/>
  <c r="BM195" i="18"/>
  <c r="BN195" i="18"/>
  <c r="BO195" i="18"/>
  <c r="BP195" i="18"/>
  <c r="BH196" i="18"/>
  <c r="BI196" i="18"/>
  <c r="BJ196" i="18"/>
  <c r="BK196" i="18"/>
  <c r="BL196" i="18"/>
  <c r="BM196" i="18"/>
  <c r="BN196" i="18"/>
  <c r="BO196" i="18"/>
  <c r="BP196" i="18"/>
  <c r="BH197" i="18"/>
  <c r="BI197" i="18"/>
  <c r="BJ197" i="18"/>
  <c r="BK197" i="18"/>
  <c r="BL197" i="18"/>
  <c r="BM197" i="18"/>
  <c r="BN197" i="18"/>
  <c r="BO197" i="18"/>
  <c r="BP197" i="18"/>
  <c r="BH198" i="18"/>
  <c r="BI198" i="18"/>
  <c r="BJ198" i="18"/>
  <c r="BK198" i="18"/>
  <c r="BL198" i="18"/>
  <c r="BM198" i="18"/>
  <c r="BN198" i="18"/>
  <c r="BO198" i="18"/>
  <c r="BP198" i="18"/>
  <c r="BH199" i="18"/>
  <c r="BI199" i="18"/>
  <c r="BJ199" i="18"/>
  <c r="BK199" i="18"/>
  <c r="BL199" i="18"/>
  <c r="BM199" i="18"/>
  <c r="BN199" i="18"/>
  <c r="BO199" i="18"/>
  <c r="BP199" i="18"/>
  <c r="BH200" i="18"/>
  <c r="BI200" i="18"/>
  <c r="BJ200" i="18"/>
  <c r="BK200" i="18"/>
  <c r="BL200" i="18"/>
  <c r="BM200" i="18"/>
  <c r="BN200" i="18"/>
  <c r="BO200" i="18"/>
  <c r="BP200" i="18"/>
  <c r="BH201" i="18"/>
  <c r="BI201" i="18"/>
  <c r="BJ201" i="18"/>
  <c r="BK201" i="18"/>
  <c r="BL201" i="18"/>
  <c r="BM201" i="18"/>
  <c r="BN201" i="18"/>
  <c r="BO201" i="18"/>
  <c r="BP201" i="18"/>
  <c r="BH202" i="18"/>
  <c r="BI202" i="18"/>
  <c r="BJ202" i="18"/>
  <c r="BK202" i="18"/>
  <c r="BL202" i="18"/>
  <c r="BM202" i="18"/>
  <c r="BN202" i="18"/>
  <c r="BO202" i="18"/>
  <c r="BP202" i="18"/>
  <c r="BH203" i="18"/>
  <c r="BI203" i="18"/>
  <c r="BJ203" i="18"/>
  <c r="BK203" i="18"/>
  <c r="BL203" i="18"/>
  <c r="BM203" i="18"/>
  <c r="BN203" i="18"/>
  <c r="BO203" i="18"/>
  <c r="BP203" i="18"/>
  <c r="BH204" i="18"/>
  <c r="BI204" i="18"/>
  <c r="BJ204" i="18"/>
  <c r="BK204" i="18"/>
  <c r="BL204" i="18"/>
  <c r="BM204" i="18"/>
  <c r="BN204" i="18"/>
  <c r="BO204" i="18"/>
  <c r="BP204" i="18"/>
  <c r="BH205" i="18"/>
  <c r="BI205" i="18"/>
  <c r="BJ205" i="18"/>
  <c r="BK205" i="18"/>
  <c r="BL205" i="18"/>
  <c r="BM205" i="18"/>
  <c r="BN205" i="18"/>
  <c r="BO205" i="18"/>
  <c r="BP205" i="18"/>
  <c r="BH206" i="18"/>
  <c r="BI206" i="18"/>
  <c r="BJ206" i="18"/>
  <c r="BK206" i="18"/>
  <c r="BL206" i="18"/>
  <c r="BM206" i="18"/>
  <c r="BN206" i="18"/>
  <c r="BO206" i="18"/>
  <c r="BP206" i="18"/>
  <c r="BH207" i="18"/>
  <c r="BI207" i="18"/>
  <c r="BJ207" i="18"/>
  <c r="BK207" i="18"/>
  <c r="BL207" i="18"/>
  <c r="BM207" i="18"/>
  <c r="BN207" i="18"/>
  <c r="BO207" i="18"/>
  <c r="BP207" i="18"/>
  <c r="BH208" i="18"/>
  <c r="BI208" i="18"/>
  <c r="BJ208" i="18"/>
  <c r="BK208" i="18"/>
  <c r="BL208" i="18"/>
  <c r="BM208" i="18"/>
  <c r="BN208" i="18"/>
  <c r="BO208" i="18"/>
  <c r="BP208" i="18"/>
  <c r="BH209" i="18"/>
  <c r="BI209" i="18"/>
  <c r="BJ209" i="18"/>
  <c r="BK209" i="18"/>
  <c r="BL209" i="18"/>
  <c r="BM209" i="18"/>
  <c r="BN209" i="18"/>
  <c r="BO209" i="18"/>
  <c r="BP209" i="18"/>
  <c r="BH210" i="18"/>
  <c r="BI210" i="18"/>
  <c r="BJ210" i="18"/>
  <c r="BK210" i="18"/>
  <c r="BL210" i="18"/>
  <c r="BM210" i="18"/>
  <c r="BN210" i="18"/>
  <c r="BO210" i="18"/>
  <c r="BP210" i="18"/>
  <c r="BH211" i="18"/>
  <c r="BI211" i="18"/>
  <c r="BJ211" i="18"/>
  <c r="BK211" i="18"/>
  <c r="BL211" i="18"/>
  <c r="BM211" i="18"/>
  <c r="BN211" i="18"/>
  <c r="BO211" i="18"/>
  <c r="BP211" i="18"/>
  <c r="BH212" i="18"/>
  <c r="BI212" i="18"/>
  <c r="BJ212" i="18"/>
  <c r="BK212" i="18"/>
  <c r="BL212" i="18"/>
  <c r="BM212" i="18"/>
  <c r="BN212" i="18"/>
  <c r="BO212" i="18"/>
  <c r="BP212" i="18"/>
  <c r="BH213" i="18"/>
  <c r="BI213" i="18"/>
  <c r="BJ213" i="18"/>
  <c r="BK213" i="18"/>
  <c r="BL213" i="18"/>
  <c r="BM213" i="18"/>
  <c r="BN213" i="18"/>
  <c r="BO213" i="18"/>
  <c r="BP213" i="18"/>
  <c r="BH214" i="18"/>
  <c r="BI214" i="18"/>
  <c r="BJ214" i="18"/>
  <c r="BK214" i="18"/>
  <c r="BL214" i="18"/>
  <c r="BM214" i="18"/>
  <c r="BN214" i="18"/>
  <c r="BO214" i="18"/>
  <c r="BP214" i="18"/>
  <c r="BH215" i="18"/>
  <c r="BI215" i="18"/>
  <c r="BJ215" i="18"/>
  <c r="BK215" i="18"/>
  <c r="BL215" i="18"/>
  <c r="BM215" i="18"/>
  <c r="BN215" i="18"/>
  <c r="BO215" i="18"/>
  <c r="BP215" i="18"/>
  <c r="BI5" i="18"/>
  <c r="BJ5" i="18"/>
  <c r="BK5" i="18"/>
  <c r="BL5" i="18"/>
  <c r="BM5" i="18"/>
  <c r="BN5" i="18"/>
  <c r="BO5" i="18"/>
  <c r="BP5" i="18"/>
  <c r="AX6" i="18"/>
  <c r="AY6" i="18"/>
  <c r="AZ6" i="18"/>
  <c r="BA6" i="18"/>
  <c r="BB6" i="18"/>
  <c r="BC6" i="18"/>
  <c r="BD6" i="18"/>
  <c r="BE6" i="18"/>
  <c r="BF6" i="18"/>
  <c r="AX7" i="18"/>
  <c r="AY7" i="18"/>
  <c r="AZ7" i="18"/>
  <c r="BA7" i="18"/>
  <c r="BB7" i="18"/>
  <c r="BC7" i="18"/>
  <c r="BD7" i="18"/>
  <c r="BE7" i="18"/>
  <c r="BF7" i="18"/>
  <c r="AX8" i="18"/>
  <c r="AY8" i="18"/>
  <c r="AZ8" i="18"/>
  <c r="BA8" i="18"/>
  <c r="BB8" i="18"/>
  <c r="BC8" i="18"/>
  <c r="BD8" i="18"/>
  <c r="BE8" i="18"/>
  <c r="BF8" i="18"/>
  <c r="AX9" i="18"/>
  <c r="AY9" i="18"/>
  <c r="AZ9" i="18"/>
  <c r="BA9" i="18"/>
  <c r="BB9" i="18"/>
  <c r="BC9" i="18"/>
  <c r="BD9" i="18"/>
  <c r="BE9" i="18"/>
  <c r="BF9" i="18"/>
  <c r="AX10" i="18"/>
  <c r="AY10" i="18"/>
  <c r="AZ10" i="18"/>
  <c r="BA10" i="18"/>
  <c r="BB10" i="18"/>
  <c r="BC10" i="18"/>
  <c r="BD10" i="18"/>
  <c r="BE10" i="18"/>
  <c r="BF10" i="18"/>
  <c r="AX11" i="18"/>
  <c r="AY11" i="18"/>
  <c r="AZ11" i="18"/>
  <c r="BA11" i="18"/>
  <c r="BB11" i="18"/>
  <c r="BC11" i="18"/>
  <c r="BD11" i="18"/>
  <c r="BE11" i="18"/>
  <c r="BF11" i="18"/>
  <c r="AX12" i="18"/>
  <c r="AY12" i="18"/>
  <c r="AZ12" i="18"/>
  <c r="BA12" i="18"/>
  <c r="BB12" i="18"/>
  <c r="BC12" i="18"/>
  <c r="BD12" i="18"/>
  <c r="BE12" i="18"/>
  <c r="BF12" i="18"/>
  <c r="AX13" i="18"/>
  <c r="AY13" i="18"/>
  <c r="AZ13" i="18"/>
  <c r="BA13" i="18"/>
  <c r="BB13" i="18"/>
  <c r="BC13" i="18"/>
  <c r="BD13" i="18"/>
  <c r="BE13" i="18"/>
  <c r="BF13" i="18"/>
  <c r="AX14" i="18"/>
  <c r="AY14" i="18"/>
  <c r="AZ14" i="18"/>
  <c r="BA14" i="18"/>
  <c r="BB14" i="18"/>
  <c r="BC14" i="18"/>
  <c r="BD14" i="18"/>
  <c r="BE14" i="18"/>
  <c r="BF14" i="18"/>
  <c r="AX15" i="18"/>
  <c r="AY15" i="18"/>
  <c r="AZ15" i="18"/>
  <c r="BA15" i="18"/>
  <c r="BB15" i="18"/>
  <c r="BC15" i="18"/>
  <c r="BD15" i="18"/>
  <c r="BE15" i="18"/>
  <c r="BF15" i="18"/>
  <c r="AX16" i="18"/>
  <c r="AY16" i="18"/>
  <c r="AZ16" i="18"/>
  <c r="BA16" i="18"/>
  <c r="BB16" i="18"/>
  <c r="BC16" i="18"/>
  <c r="BD16" i="18"/>
  <c r="BE16" i="18"/>
  <c r="BF16" i="18"/>
  <c r="AX17" i="18"/>
  <c r="AY17" i="18"/>
  <c r="AZ17" i="18"/>
  <c r="BA17" i="18"/>
  <c r="BB17" i="18"/>
  <c r="BC17" i="18"/>
  <c r="BD17" i="18"/>
  <c r="BE17" i="18"/>
  <c r="BF17" i="18"/>
  <c r="AX18" i="18"/>
  <c r="AY18" i="18"/>
  <c r="AZ18" i="18"/>
  <c r="BA18" i="18"/>
  <c r="BB18" i="18"/>
  <c r="BC18" i="18"/>
  <c r="BD18" i="18"/>
  <c r="BE18" i="18"/>
  <c r="BF18" i="18"/>
  <c r="AX19" i="18"/>
  <c r="AY19" i="18"/>
  <c r="AZ19" i="18"/>
  <c r="BA19" i="18"/>
  <c r="BB19" i="18"/>
  <c r="BC19" i="18"/>
  <c r="BD19" i="18"/>
  <c r="BE19" i="18"/>
  <c r="BF19" i="18"/>
  <c r="AX20" i="18"/>
  <c r="AY20" i="18"/>
  <c r="AZ20" i="18"/>
  <c r="BA20" i="18"/>
  <c r="BB20" i="18"/>
  <c r="BC20" i="18"/>
  <c r="BD20" i="18"/>
  <c r="BE20" i="18"/>
  <c r="BF20" i="18"/>
  <c r="AX21" i="18"/>
  <c r="AY21" i="18"/>
  <c r="AZ21" i="18"/>
  <c r="BA21" i="18"/>
  <c r="BB21" i="18"/>
  <c r="BC21" i="18"/>
  <c r="BD21" i="18"/>
  <c r="BE21" i="18"/>
  <c r="BF21" i="18"/>
  <c r="AX22" i="18"/>
  <c r="AY22" i="18"/>
  <c r="AZ22" i="18"/>
  <c r="BA22" i="18"/>
  <c r="BB22" i="18"/>
  <c r="BC22" i="18"/>
  <c r="BD22" i="18"/>
  <c r="BE22" i="18"/>
  <c r="BF22" i="18"/>
  <c r="AX23" i="18"/>
  <c r="AY23" i="18"/>
  <c r="AZ23" i="18"/>
  <c r="BA23" i="18"/>
  <c r="BB23" i="18"/>
  <c r="BC23" i="18"/>
  <c r="BD23" i="18"/>
  <c r="BE23" i="18"/>
  <c r="BF23" i="18"/>
  <c r="AX24" i="18"/>
  <c r="AY24" i="18"/>
  <c r="AZ24" i="18"/>
  <c r="BA24" i="18"/>
  <c r="BB24" i="18"/>
  <c r="BC24" i="18"/>
  <c r="BD24" i="18"/>
  <c r="BE24" i="18"/>
  <c r="BF24" i="18"/>
  <c r="AX25" i="18"/>
  <c r="AY25" i="18"/>
  <c r="AZ25" i="18"/>
  <c r="BA25" i="18"/>
  <c r="BB25" i="18"/>
  <c r="BC25" i="18"/>
  <c r="BD25" i="18"/>
  <c r="BE25" i="18"/>
  <c r="BF25" i="18"/>
  <c r="AX26" i="18"/>
  <c r="AY26" i="18"/>
  <c r="AZ26" i="18"/>
  <c r="BA26" i="18"/>
  <c r="BB26" i="18"/>
  <c r="BC26" i="18"/>
  <c r="BD26" i="18"/>
  <c r="BE26" i="18"/>
  <c r="BF26" i="18"/>
  <c r="AX27" i="18"/>
  <c r="AY27" i="18"/>
  <c r="AZ27" i="18"/>
  <c r="BA27" i="18"/>
  <c r="BB27" i="18"/>
  <c r="BC27" i="18"/>
  <c r="BD27" i="18"/>
  <c r="BE27" i="18"/>
  <c r="BF27" i="18"/>
  <c r="AX28" i="18"/>
  <c r="AY28" i="18"/>
  <c r="AZ28" i="18"/>
  <c r="BA28" i="18"/>
  <c r="BB28" i="18"/>
  <c r="BC28" i="18"/>
  <c r="BD28" i="18"/>
  <c r="BE28" i="18"/>
  <c r="BF28" i="18"/>
  <c r="AX29" i="18"/>
  <c r="AY29" i="18"/>
  <c r="AZ29" i="18"/>
  <c r="BA29" i="18"/>
  <c r="BB29" i="18"/>
  <c r="BC29" i="18"/>
  <c r="BD29" i="18"/>
  <c r="BE29" i="18"/>
  <c r="BF29" i="18"/>
  <c r="AX30" i="18"/>
  <c r="AY30" i="18"/>
  <c r="AZ30" i="18"/>
  <c r="BA30" i="18"/>
  <c r="BB30" i="18"/>
  <c r="BC30" i="18"/>
  <c r="BD30" i="18"/>
  <c r="BE30" i="18"/>
  <c r="BF30" i="18"/>
  <c r="AX31" i="18"/>
  <c r="AY31" i="18"/>
  <c r="AZ31" i="18"/>
  <c r="BA31" i="18"/>
  <c r="BB31" i="18"/>
  <c r="BC31" i="18"/>
  <c r="BD31" i="18"/>
  <c r="BE31" i="18"/>
  <c r="BF31" i="18"/>
  <c r="AX32" i="18"/>
  <c r="AY32" i="18"/>
  <c r="AZ32" i="18"/>
  <c r="BA32" i="18"/>
  <c r="BB32" i="18"/>
  <c r="BC32" i="18"/>
  <c r="BD32" i="18"/>
  <c r="BE32" i="18"/>
  <c r="BF32" i="18"/>
  <c r="AX33" i="18"/>
  <c r="AY33" i="18"/>
  <c r="AZ33" i="18"/>
  <c r="BA33" i="18"/>
  <c r="BB33" i="18"/>
  <c r="BC33" i="18"/>
  <c r="BD33" i="18"/>
  <c r="BE33" i="18"/>
  <c r="BF33" i="18"/>
  <c r="AX34" i="18"/>
  <c r="AY34" i="18"/>
  <c r="AZ34" i="18"/>
  <c r="BA34" i="18"/>
  <c r="BB34" i="18"/>
  <c r="BC34" i="18"/>
  <c r="BD34" i="18"/>
  <c r="BE34" i="18"/>
  <c r="BF34" i="18"/>
  <c r="AX35" i="18"/>
  <c r="AY35" i="18"/>
  <c r="AZ35" i="18"/>
  <c r="BA35" i="18"/>
  <c r="BB35" i="18"/>
  <c r="BC35" i="18"/>
  <c r="BD35" i="18"/>
  <c r="BE35" i="18"/>
  <c r="BF35" i="18"/>
  <c r="AX36" i="18"/>
  <c r="AY36" i="18"/>
  <c r="AZ36" i="18"/>
  <c r="BA36" i="18"/>
  <c r="BB36" i="18"/>
  <c r="BC36" i="18"/>
  <c r="BD36" i="18"/>
  <c r="BE36" i="18"/>
  <c r="BF36" i="18"/>
  <c r="AX37" i="18"/>
  <c r="AY37" i="18"/>
  <c r="AZ37" i="18"/>
  <c r="BA37" i="18"/>
  <c r="BB37" i="18"/>
  <c r="BC37" i="18"/>
  <c r="BD37" i="18"/>
  <c r="BE37" i="18"/>
  <c r="BF37" i="18"/>
  <c r="AX38" i="18"/>
  <c r="AY38" i="18"/>
  <c r="AZ38" i="18"/>
  <c r="BA38" i="18"/>
  <c r="BB38" i="18"/>
  <c r="BC38" i="18"/>
  <c r="BD38" i="18"/>
  <c r="BE38" i="18"/>
  <c r="BF38" i="18"/>
  <c r="AX39" i="18"/>
  <c r="AY39" i="18"/>
  <c r="AZ39" i="18"/>
  <c r="BA39" i="18"/>
  <c r="BB39" i="18"/>
  <c r="BC39" i="18"/>
  <c r="BD39" i="18"/>
  <c r="BE39" i="18"/>
  <c r="BF39" i="18"/>
  <c r="AX40" i="18"/>
  <c r="AY40" i="18"/>
  <c r="AZ40" i="18"/>
  <c r="BA40" i="18"/>
  <c r="BB40" i="18"/>
  <c r="BC40" i="18"/>
  <c r="BD40" i="18"/>
  <c r="BE40" i="18"/>
  <c r="BF40" i="18"/>
  <c r="AX41" i="18"/>
  <c r="AY41" i="18"/>
  <c r="AZ41" i="18"/>
  <c r="BA41" i="18"/>
  <c r="BB41" i="18"/>
  <c r="BC41" i="18"/>
  <c r="BD41" i="18"/>
  <c r="BE41" i="18"/>
  <c r="BF41" i="18"/>
  <c r="AX42" i="18"/>
  <c r="AY42" i="18"/>
  <c r="AZ42" i="18"/>
  <c r="BA42" i="18"/>
  <c r="BB42" i="18"/>
  <c r="BC42" i="18"/>
  <c r="BD42" i="18"/>
  <c r="BE42" i="18"/>
  <c r="BF42" i="18"/>
  <c r="AX43" i="18"/>
  <c r="AY43" i="18"/>
  <c r="AZ43" i="18"/>
  <c r="BA43" i="18"/>
  <c r="BB43" i="18"/>
  <c r="BC43" i="18"/>
  <c r="BD43" i="18"/>
  <c r="BE43" i="18"/>
  <c r="BF43" i="18"/>
  <c r="AX44" i="18"/>
  <c r="AY44" i="18"/>
  <c r="AZ44" i="18"/>
  <c r="BA44" i="18"/>
  <c r="BB44" i="18"/>
  <c r="BC44" i="18"/>
  <c r="BD44" i="18"/>
  <c r="BE44" i="18"/>
  <c r="BF44" i="18"/>
  <c r="AX45" i="18"/>
  <c r="AY45" i="18"/>
  <c r="AZ45" i="18"/>
  <c r="BA45" i="18"/>
  <c r="BB45" i="18"/>
  <c r="BC45" i="18"/>
  <c r="BD45" i="18"/>
  <c r="BE45" i="18"/>
  <c r="BF45" i="18"/>
  <c r="AX46" i="18"/>
  <c r="AY46" i="18"/>
  <c r="AZ46" i="18"/>
  <c r="BA46" i="18"/>
  <c r="BB46" i="18"/>
  <c r="BC46" i="18"/>
  <c r="BD46" i="18"/>
  <c r="BE46" i="18"/>
  <c r="BF46" i="18"/>
  <c r="AX47" i="18"/>
  <c r="AY47" i="18"/>
  <c r="AZ47" i="18"/>
  <c r="BA47" i="18"/>
  <c r="BB47" i="18"/>
  <c r="BC47" i="18"/>
  <c r="BD47" i="18"/>
  <c r="BE47" i="18"/>
  <c r="BF47" i="18"/>
  <c r="AX48" i="18"/>
  <c r="AY48" i="18"/>
  <c r="AZ48" i="18"/>
  <c r="BA48" i="18"/>
  <c r="BB48" i="18"/>
  <c r="BC48" i="18"/>
  <c r="BD48" i="18"/>
  <c r="BE48" i="18"/>
  <c r="BF48" i="18"/>
  <c r="AX49" i="18"/>
  <c r="AY49" i="18"/>
  <c r="AZ49" i="18"/>
  <c r="BA49" i="18"/>
  <c r="BB49" i="18"/>
  <c r="BC49" i="18"/>
  <c r="BD49" i="18"/>
  <c r="BE49" i="18"/>
  <c r="BF49" i="18"/>
  <c r="AX50" i="18"/>
  <c r="AY50" i="18"/>
  <c r="AZ50" i="18"/>
  <c r="BA50" i="18"/>
  <c r="BB50" i="18"/>
  <c r="BC50" i="18"/>
  <c r="BD50" i="18"/>
  <c r="BE50" i="18"/>
  <c r="BF50" i="18"/>
  <c r="AX51" i="18"/>
  <c r="AY51" i="18"/>
  <c r="AZ51" i="18"/>
  <c r="BA51" i="18"/>
  <c r="BB51" i="18"/>
  <c r="BC51" i="18"/>
  <c r="BD51" i="18"/>
  <c r="BE51" i="18"/>
  <c r="BF51" i="18"/>
  <c r="AX52" i="18"/>
  <c r="AY52" i="18"/>
  <c r="AZ52" i="18"/>
  <c r="BA52" i="18"/>
  <c r="BB52" i="18"/>
  <c r="BC52" i="18"/>
  <c r="BD52" i="18"/>
  <c r="BE52" i="18"/>
  <c r="BF52" i="18"/>
  <c r="AX53" i="18"/>
  <c r="AY53" i="18"/>
  <c r="AZ53" i="18"/>
  <c r="BA53" i="18"/>
  <c r="BB53" i="18"/>
  <c r="BC53" i="18"/>
  <c r="BD53" i="18"/>
  <c r="BE53" i="18"/>
  <c r="BF53" i="18"/>
  <c r="AX54" i="18"/>
  <c r="AY54" i="18"/>
  <c r="AZ54" i="18"/>
  <c r="BA54" i="18"/>
  <c r="BB54" i="18"/>
  <c r="BC54" i="18"/>
  <c r="BD54" i="18"/>
  <c r="BE54" i="18"/>
  <c r="BF54" i="18"/>
  <c r="AX55" i="18"/>
  <c r="AY55" i="18"/>
  <c r="AZ55" i="18"/>
  <c r="BA55" i="18"/>
  <c r="BB55" i="18"/>
  <c r="BC55" i="18"/>
  <c r="BD55" i="18"/>
  <c r="BE55" i="18"/>
  <c r="BF55" i="18"/>
  <c r="AX56" i="18"/>
  <c r="AY56" i="18"/>
  <c r="AZ56" i="18"/>
  <c r="BA56" i="18"/>
  <c r="BB56" i="18"/>
  <c r="BC56" i="18"/>
  <c r="BD56" i="18"/>
  <c r="BE56" i="18"/>
  <c r="BF56" i="18"/>
  <c r="AX57" i="18"/>
  <c r="AY57" i="18"/>
  <c r="AZ57" i="18"/>
  <c r="BA57" i="18"/>
  <c r="BB57" i="18"/>
  <c r="BC57" i="18"/>
  <c r="BD57" i="18"/>
  <c r="BE57" i="18"/>
  <c r="BF57" i="18"/>
  <c r="AX58" i="18"/>
  <c r="AY58" i="18"/>
  <c r="AZ58" i="18"/>
  <c r="BA58" i="18"/>
  <c r="BB58" i="18"/>
  <c r="BC58" i="18"/>
  <c r="BD58" i="18"/>
  <c r="BE58" i="18"/>
  <c r="BF58" i="18"/>
  <c r="AX59" i="18"/>
  <c r="AY59" i="18"/>
  <c r="AZ59" i="18"/>
  <c r="BA59" i="18"/>
  <c r="BB59" i="18"/>
  <c r="BC59" i="18"/>
  <c r="BD59" i="18"/>
  <c r="BE59" i="18"/>
  <c r="BF59" i="18"/>
  <c r="AX60" i="18"/>
  <c r="AY60" i="18"/>
  <c r="AZ60" i="18"/>
  <c r="BA60" i="18"/>
  <c r="BB60" i="18"/>
  <c r="BC60" i="18"/>
  <c r="BD60" i="18"/>
  <c r="BE60" i="18"/>
  <c r="BF60" i="18"/>
  <c r="AX61" i="18"/>
  <c r="AY61" i="18"/>
  <c r="AZ61" i="18"/>
  <c r="BA61" i="18"/>
  <c r="BB61" i="18"/>
  <c r="BC61" i="18"/>
  <c r="BD61" i="18"/>
  <c r="BE61" i="18"/>
  <c r="BF61" i="18"/>
  <c r="AX62" i="18"/>
  <c r="AY62" i="18"/>
  <c r="AZ62" i="18"/>
  <c r="BA62" i="18"/>
  <c r="BB62" i="18"/>
  <c r="BC62" i="18"/>
  <c r="BD62" i="18"/>
  <c r="BE62" i="18"/>
  <c r="BF62" i="18"/>
  <c r="AX63" i="18"/>
  <c r="AY63" i="18"/>
  <c r="AZ63" i="18"/>
  <c r="BA63" i="18"/>
  <c r="BB63" i="18"/>
  <c r="BC63" i="18"/>
  <c r="BD63" i="18"/>
  <c r="BE63" i="18"/>
  <c r="BF63" i="18"/>
  <c r="AX64" i="18"/>
  <c r="AY64" i="18"/>
  <c r="AZ64" i="18"/>
  <c r="BA64" i="18"/>
  <c r="BB64" i="18"/>
  <c r="BC64" i="18"/>
  <c r="BD64" i="18"/>
  <c r="BE64" i="18"/>
  <c r="BF64" i="18"/>
  <c r="AX65" i="18"/>
  <c r="AY65" i="18"/>
  <c r="AZ65" i="18"/>
  <c r="BA65" i="18"/>
  <c r="BB65" i="18"/>
  <c r="BC65" i="18"/>
  <c r="BD65" i="18"/>
  <c r="BE65" i="18"/>
  <c r="BF65" i="18"/>
  <c r="AX66" i="18"/>
  <c r="AY66" i="18"/>
  <c r="AZ66" i="18"/>
  <c r="BA66" i="18"/>
  <c r="BB66" i="18"/>
  <c r="BC66" i="18"/>
  <c r="BD66" i="18"/>
  <c r="BE66" i="18"/>
  <c r="BF66" i="18"/>
  <c r="AX67" i="18"/>
  <c r="AY67" i="18"/>
  <c r="AZ67" i="18"/>
  <c r="BA67" i="18"/>
  <c r="BB67" i="18"/>
  <c r="BC67" i="18"/>
  <c r="BD67" i="18"/>
  <c r="BE67" i="18"/>
  <c r="BF67" i="18"/>
  <c r="AX68" i="18"/>
  <c r="AY68" i="18"/>
  <c r="AZ68" i="18"/>
  <c r="BA68" i="18"/>
  <c r="BB68" i="18"/>
  <c r="BC68" i="18"/>
  <c r="BD68" i="18"/>
  <c r="BE68" i="18"/>
  <c r="BF68" i="18"/>
  <c r="AX69" i="18"/>
  <c r="AY69" i="18"/>
  <c r="AZ69" i="18"/>
  <c r="BA69" i="18"/>
  <c r="BB69" i="18"/>
  <c r="BC69" i="18"/>
  <c r="BD69" i="18"/>
  <c r="BE69" i="18"/>
  <c r="BF69" i="18"/>
  <c r="AX70" i="18"/>
  <c r="AY70" i="18"/>
  <c r="AZ70" i="18"/>
  <c r="BA70" i="18"/>
  <c r="BB70" i="18"/>
  <c r="BC70" i="18"/>
  <c r="BD70" i="18"/>
  <c r="BE70" i="18"/>
  <c r="BF70" i="18"/>
  <c r="AX71" i="18"/>
  <c r="AY71" i="18"/>
  <c r="AZ71" i="18"/>
  <c r="BA71" i="18"/>
  <c r="BB71" i="18"/>
  <c r="BC71" i="18"/>
  <c r="BD71" i="18"/>
  <c r="BE71" i="18"/>
  <c r="BF71" i="18"/>
  <c r="AX72" i="18"/>
  <c r="AY72" i="18"/>
  <c r="AZ72" i="18"/>
  <c r="BA72" i="18"/>
  <c r="BB72" i="18"/>
  <c r="BC72" i="18"/>
  <c r="BD72" i="18"/>
  <c r="BE72" i="18"/>
  <c r="BF72" i="18"/>
  <c r="AX73" i="18"/>
  <c r="AY73" i="18"/>
  <c r="AZ73" i="18"/>
  <c r="BA73" i="18"/>
  <c r="BB73" i="18"/>
  <c r="BC73" i="18"/>
  <c r="BD73" i="18"/>
  <c r="BE73" i="18"/>
  <c r="BF73" i="18"/>
  <c r="AX74" i="18"/>
  <c r="AY74" i="18"/>
  <c r="AZ74" i="18"/>
  <c r="BA74" i="18"/>
  <c r="BB74" i="18"/>
  <c r="BC74" i="18"/>
  <c r="BD74" i="18"/>
  <c r="BE74" i="18"/>
  <c r="BF74" i="18"/>
  <c r="AX75" i="18"/>
  <c r="AY75" i="18"/>
  <c r="AZ75" i="18"/>
  <c r="BA75" i="18"/>
  <c r="BB75" i="18"/>
  <c r="BC75" i="18"/>
  <c r="BD75" i="18"/>
  <c r="BE75" i="18"/>
  <c r="BF75" i="18"/>
  <c r="AX76" i="18"/>
  <c r="AY76" i="18"/>
  <c r="AZ76" i="18"/>
  <c r="BA76" i="18"/>
  <c r="BB76" i="18"/>
  <c r="BC76" i="18"/>
  <c r="BD76" i="18"/>
  <c r="BE76" i="18"/>
  <c r="BF76" i="18"/>
  <c r="AX77" i="18"/>
  <c r="AY77" i="18"/>
  <c r="AZ77" i="18"/>
  <c r="BA77" i="18"/>
  <c r="BB77" i="18"/>
  <c r="BC77" i="18"/>
  <c r="BD77" i="18"/>
  <c r="BE77" i="18"/>
  <c r="BF77" i="18"/>
  <c r="AX78" i="18"/>
  <c r="AY78" i="18"/>
  <c r="AZ78" i="18"/>
  <c r="BA78" i="18"/>
  <c r="BB78" i="18"/>
  <c r="BC78" i="18"/>
  <c r="BD78" i="18"/>
  <c r="BE78" i="18"/>
  <c r="BF78" i="18"/>
  <c r="AX79" i="18"/>
  <c r="AY79" i="18"/>
  <c r="AZ79" i="18"/>
  <c r="BA79" i="18"/>
  <c r="BB79" i="18"/>
  <c r="BC79" i="18"/>
  <c r="BD79" i="18"/>
  <c r="BE79" i="18"/>
  <c r="BF79" i="18"/>
  <c r="AX80" i="18"/>
  <c r="AY80" i="18"/>
  <c r="AZ80" i="18"/>
  <c r="BA80" i="18"/>
  <c r="BB80" i="18"/>
  <c r="BC80" i="18"/>
  <c r="BD80" i="18"/>
  <c r="BE80" i="18"/>
  <c r="BF80" i="18"/>
  <c r="AX81" i="18"/>
  <c r="AY81" i="18"/>
  <c r="AZ81" i="18"/>
  <c r="BA81" i="18"/>
  <c r="BB81" i="18"/>
  <c r="BC81" i="18"/>
  <c r="BD81" i="18"/>
  <c r="BE81" i="18"/>
  <c r="BF81" i="18"/>
  <c r="AX82" i="18"/>
  <c r="AY82" i="18"/>
  <c r="AZ82" i="18"/>
  <c r="BA82" i="18"/>
  <c r="BB82" i="18"/>
  <c r="BC82" i="18"/>
  <c r="BD82" i="18"/>
  <c r="BE82" i="18"/>
  <c r="BF82" i="18"/>
  <c r="AX83" i="18"/>
  <c r="AY83" i="18"/>
  <c r="AZ83" i="18"/>
  <c r="BA83" i="18"/>
  <c r="BB83" i="18"/>
  <c r="BC83" i="18"/>
  <c r="BD83" i="18"/>
  <c r="BE83" i="18"/>
  <c r="BF83" i="18"/>
  <c r="AX84" i="18"/>
  <c r="AY84" i="18"/>
  <c r="AZ84" i="18"/>
  <c r="BA84" i="18"/>
  <c r="BB84" i="18"/>
  <c r="BC84" i="18"/>
  <c r="BD84" i="18"/>
  <c r="BE84" i="18"/>
  <c r="BF84" i="18"/>
  <c r="AX85" i="18"/>
  <c r="AY85" i="18"/>
  <c r="AZ85" i="18"/>
  <c r="BA85" i="18"/>
  <c r="BB85" i="18"/>
  <c r="BC85" i="18"/>
  <c r="BD85" i="18"/>
  <c r="BE85" i="18"/>
  <c r="BF85" i="18"/>
  <c r="AX86" i="18"/>
  <c r="AY86" i="18"/>
  <c r="AZ86" i="18"/>
  <c r="BA86" i="18"/>
  <c r="BB86" i="18"/>
  <c r="BC86" i="18"/>
  <c r="BD86" i="18"/>
  <c r="BE86" i="18"/>
  <c r="BF86" i="18"/>
  <c r="AX87" i="18"/>
  <c r="AY87" i="18"/>
  <c r="AZ87" i="18"/>
  <c r="BA87" i="18"/>
  <c r="BB87" i="18"/>
  <c r="BC87" i="18"/>
  <c r="BD87" i="18"/>
  <c r="BE87" i="18"/>
  <c r="BF87" i="18"/>
  <c r="AX88" i="18"/>
  <c r="AY88" i="18"/>
  <c r="AZ88" i="18"/>
  <c r="BA88" i="18"/>
  <c r="BB88" i="18"/>
  <c r="BC88" i="18"/>
  <c r="BD88" i="18"/>
  <c r="BE88" i="18"/>
  <c r="BF88" i="18"/>
  <c r="AX89" i="18"/>
  <c r="AY89" i="18"/>
  <c r="AZ89" i="18"/>
  <c r="BA89" i="18"/>
  <c r="BB89" i="18"/>
  <c r="BC89" i="18"/>
  <c r="BD89" i="18"/>
  <c r="BE89" i="18"/>
  <c r="BF89" i="18"/>
  <c r="AX90" i="18"/>
  <c r="AY90" i="18"/>
  <c r="AZ90" i="18"/>
  <c r="BA90" i="18"/>
  <c r="BB90" i="18"/>
  <c r="BC90" i="18"/>
  <c r="BD90" i="18"/>
  <c r="BE90" i="18"/>
  <c r="BF90" i="18"/>
  <c r="AX91" i="18"/>
  <c r="AY91" i="18"/>
  <c r="AZ91" i="18"/>
  <c r="BA91" i="18"/>
  <c r="BB91" i="18"/>
  <c r="BC91" i="18"/>
  <c r="BD91" i="18"/>
  <c r="BE91" i="18"/>
  <c r="BF91" i="18"/>
  <c r="AX92" i="18"/>
  <c r="AY92" i="18"/>
  <c r="AZ92" i="18"/>
  <c r="BA92" i="18"/>
  <c r="BB92" i="18"/>
  <c r="BC92" i="18"/>
  <c r="BD92" i="18"/>
  <c r="BE92" i="18"/>
  <c r="BF92" i="18"/>
  <c r="AX93" i="18"/>
  <c r="AY93" i="18"/>
  <c r="AZ93" i="18"/>
  <c r="BA93" i="18"/>
  <c r="BB93" i="18"/>
  <c r="BC93" i="18"/>
  <c r="BD93" i="18"/>
  <c r="BE93" i="18"/>
  <c r="BF93" i="18"/>
  <c r="AX94" i="18"/>
  <c r="AY94" i="18"/>
  <c r="AZ94" i="18"/>
  <c r="BA94" i="18"/>
  <c r="BB94" i="18"/>
  <c r="BC94" i="18"/>
  <c r="BD94" i="18"/>
  <c r="BE94" i="18"/>
  <c r="BF94" i="18"/>
  <c r="AX95" i="18"/>
  <c r="AY95" i="18"/>
  <c r="AZ95" i="18"/>
  <c r="BA95" i="18"/>
  <c r="BB95" i="18"/>
  <c r="BC95" i="18"/>
  <c r="BD95" i="18"/>
  <c r="BE95" i="18"/>
  <c r="BF95" i="18"/>
  <c r="AX96" i="18"/>
  <c r="AY96" i="18"/>
  <c r="AZ96" i="18"/>
  <c r="BA96" i="18"/>
  <c r="BB96" i="18"/>
  <c r="BC96" i="18"/>
  <c r="BD96" i="18"/>
  <c r="BE96" i="18"/>
  <c r="BF96" i="18"/>
  <c r="AX97" i="18"/>
  <c r="AY97" i="18"/>
  <c r="AZ97" i="18"/>
  <c r="BA97" i="18"/>
  <c r="BB97" i="18"/>
  <c r="BC97" i="18"/>
  <c r="BD97" i="18"/>
  <c r="BE97" i="18"/>
  <c r="BF97" i="18"/>
  <c r="AX98" i="18"/>
  <c r="AY98" i="18"/>
  <c r="AZ98" i="18"/>
  <c r="BA98" i="18"/>
  <c r="BB98" i="18"/>
  <c r="BC98" i="18"/>
  <c r="BD98" i="18"/>
  <c r="BE98" i="18"/>
  <c r="BF98" i="18"/>
  <c r="AX99" i="18"/>
  <c r="AY99" i="18"/>
  <c r="AZ99" i="18"/>
  <c r="BA99" i="18"/>
  <c r="BB99" i="18"/>
  <c r="BC99" i="18"/>
  <c r="BD99" i="18"/>
  <c r="BE99" i="18"/>
  <c r="BF99" i="18"/>
  <c r="AX100" i="18"/>
  <c r="AY100" i="18"/>
  <c r="AZ100" i="18"/>
  <c r="BA100" i="18"/>
  <c r="BB100" i="18"/>
  <c r="BC100" i="18"/>
  <c r="BD100" i="18"/>
  <c r="BE100" i="18"/>
  <c r="BF100" i="18"/>
  <c r="AX101" i="18"/>
  <c r="AY101" i="18"/>
  <c r="AZ101" i="18"/>
  <c r="BA101" i="18"/>
  <c r="BB101" i="18"/>
  <c r="BC101" i="18"/>
  <c r="BD101" i="18"/>
  <c r="BE101" i="18"/>
  <c r="BF101" i="18"/>
  <c r="AX102" i="18"/>
  <c r="AY102" i="18"/>
  <c r="AZ102" i="18"/>
  <c r="BA102" i="18"/>
  <c r="BB102" i="18"/>
  <c r="BC102" i="18"/>
  <c r="BD102" i="18"/>
  <c r="BE102" i="18"/>
  <c r="BF102" i="18"/>
  <c r="AX103" i="18"/>
  <c r="AY103" i="18"/>
  <c r="AZ103" i="18"/>
  <c r="BA103" i="18"/>
  <c r="BB103" i="18"/>
  <c r="BC103" i="18"/>
  <c r="BD103" i="18"/>
  <c r="BE103" i="18"/>
  <c r="BF103" i="18"/>
  <c r="AX104" i="18"/>
  <c r="AY104" i="18"/>
  <c r="AZ104" i="18"/>
  <c r="BA104" i="18"/>
  <c r="BB104" i="18"/>
  <c r="BC104" i="18"/>
  <c r="BD104" i="18"/>
  <c r="BE104" i="18"/>
  <c r="BF104" i="18"/>
  <c r="AX105" i="18"/>
  <c r="AY105" i="18"/>
  <c r="AZ105" i="18"/>
  <c r="BA105" i="18"/>
  <c r="BB105" i="18"/>
  <c r="BC105" i="18"/>
  <c r="BD105" i="18"/>
  <c r="BE105" i="18"/>
  <c r="BF105" i="18"/>
  <c r="AX106" i="18"/>
  <c r="AY106" i="18"/>
  <c r="AZ106" i="18"/>
  <c r="BA106" i="18"/>
  <c r="BB106" i="18"/>
  <c r="BC106" i="18"/>
  <c r="BD106" i="18"/>
  <c r="BE106" i="18"/>
  <c r="BF106" i="18"/>
  <c r="AX107" i="18"/>
  <c r="AY107" i="18"/>
  <c r="AZ107" i="18"/>
  <c r="BA107" i="18"/>
  <c r="BB107" i="18"/>
  <c r="BC107" i="18"/>
  <c r="BD107" i="18"/>
  <c r="BE107" i="18"/>
  <c r="BF107" i="18"/>
  <c r="AX108" i="18"/>
  <c r="AY108" i="18"/>
  <c r="AZ108" i="18"/>
  <c r="BA108" i="18"/>
  <c r="BB108" i="18"/>
  <c r="BC108" i="18"/>
  <c r="BD108" i="18"/>
  <c r="BE108" i="18"/>
  <c r="BF108" i="18"/>
  <c r="AX109" i="18"/>
  <c r="AY109" i="18"/>
  <c r="AZ109" i="18"/>
  <c r="BA109" i="18"/>
  <c r="BB109" i="18"/>
  <c r="BC109" i="18"/>
  <c r="BD109" i="18"/>
  <c r="BE109" i="18"/>
  <c r="BF109" i="18"/>
  <c r="AX110" i="18"/>
  <c r="AY110" i="18"/>
  <c r="AZ110" i="18"/>
  <c r="BA110" i="18"/>
  <c r="BB110" i="18"/>
  <c r="BC110" i="18"/>
  <c r="BD110" i="18"/>
  <c r="BE110" i="18"/>
  <c r="BF110" i="18"/>
  <c r="AX111" i="18"/>
  <c r="AY111" i="18"/>
  <c r="AZ111" i="18"/>
  <c r="BA111" i="18"/>
  <c r="BB111" i="18"/>
  <c r="BC111" i="18"/>
  <c r="BD111" i="18"/>
  <c r="BE111" i="18"/>
  <c r="BF111" i="18"/>
  <c r="AX112" i="18"/>
  <c r="AY112" i="18"/>
  <c r="AZ112" i="18"/>
  <c r="BA112" i="18"/>
  <c r="BB112" i="18"/>
  <c r="BC112" i="18"/>
  <c r="BD112" i="18"/>
  <c r="BE112" i="18"/>
  <c r="BF112" i="18"/>
  <c r="AX113" i="18"/>
  <c r="AY113" i="18"/>
  <c r="AZ113" i="18"/>
  <c r="BA113" i="18"/>
  <c r="BB113" i="18"/>
  <c r="BC113" i="18"/>
  <c r="BD113" i="18"/>
  <c r="BE113" i="18"/>
  <c r="BF113" i="18"/>
  <c r="AX114" i="18"/>
  <c r="AY114" i="18"/>
  <c r="AZ114" i="18"/>
  <c r="BA114" i="18"/>
  <c r="BB114" i="18"/>
  <c r="BC114" i="18"/>
  <c r="BD114" i="18"/>
  <c r="BE114" i="18"/>
  <c r="BF114" i="18"/>
  <c r="AX115" i="18"/>
  <c r="AY115" i="18"/>
  <c r="AZ115" i="18"/>
  <c r="BA115" i="18"/>
  <c r="BB115" i="18"/>
  <c r="BC115" i="18"/>
  <c r="BD115" i="18"/>
  <c r="BE115" i="18"/>
  <c r="BF115" i="18"/>
  <c r="AX116" i="18"/>
  <c r="AY116" i="18"/>
  <c r="AZ116" i="18"/>
  <c r="BA116" i="18"/>
  <c r="BB116" i="18"/>
  <c r="BC116" i="18"/>
  <c r="BD116" i="18"/>
  <c r="BE116" i="18"/>
  <c r="BF116" i="18"/>
  <c r="AX117" i="18"/>
  <c r="AY117" i="18"/>
  <c r="AZ117" i="18"/>
  <c r="BA117" i="18"/>
  <c r="BB117" i="18"/>
  <c r="BC117" i="18"/>
  <c r="BD117" i="18"/>
  <c r="BE117" i="18"/>
  <c r="BF117" i="18"/>
  <c r="AX118" i="18"/>
  <c r="AY118" i="18"/>
  <c r="AZ118" i="18"/>
  <c r="BA118" i="18"/>
  <c r="BB118" i="18"/>
  <c r="BC118" i="18"/>
  <c r="BD118" i="18"/>
  <c r="BE118" i="18"/>
  <c r="BF118" i="18"/>
  <c r="AX119" i="18"/>
  <c r="AY119" i="18"/>
  <c r="AZ119" i="18"/>
  <c r="BA119" i="18"/>
  <c r="BB119" i="18"/>
  <c r="BC119" i="18"/>
  <c r="BD119" i="18"/>
  <c r="BE119" i="18"/>
  <c r="BF119" i="18"/>
  <c r="AX120" i="18"/>
  <c r="AY120" i="18"/>
  <c r="AZ120" i="18"/>
  <c r="BA120" i="18"/>
  <c r="BB120" i="18"/>
  <c r="BC120" i="18"/>
  <c r="BD120" i="18"/>
  <c r="BE120" i="18"/>
  <c r="BF120" i="18"/>
  <c r="AX121" i="18"/>
  <c r="AY121" i="18"/>
  <c r="AZ121" i="18"/>
  <c r="BA121" i="18"/>
  <c r="BB121" i="18"/>
  <c r="BC121" i="18"/>
  <c r="BD121" i="18"/>
  <c r="BE121" i="18"/>
  <c r="BF121" i="18"/>
  <c r="AX122" i="18"/>
  <c r="AY122" i="18"/>
  <c r="AZ122" i="18"/>
  <c r="BA122" i="18"/>
  <c r="BB122" i="18"/>
  <c r="BC122" i="18"/>
  <c r="BD122" i="18"/>
  <c r="BE122" i="18"/>
  <c r="BF122" i="18"/>
  <c r="AX123" i="18"/>
  <c r="AY123" i="18"/>
  <c r="AZ123" i="18"/>
  <c r="BA123" i="18"/>
  <c r="BB123" i="18"/>
  <c r="BC123" i="18"/>
  <c r="BD123" i="18"/>
  <c r="BE123" i="18"/>
  <c r="BF123" i="18"/>
  <c r="AX124" i="18"/>
  <c r="AY124" i="18"/>
  <c r="AZ124" i="18"/>
  <c r="BA124" i="18"/>
  <c r="BB124" i="18"/>
  <c r="BC124" i="18"/>
  <c r="BD124" i="18"/>
  <c r="BE124" i="18"/>
  <c r="BF124" i="18"/>
  <c r="AX125" i="18"/>
  <c r="AY125" i="18"/>
  <c r="AZ125" i="18"/>
  <c r="BA125" i="18"/>
  <c r="BB125" i="18"/>
  <c r="BC125" i="18"/>
  <c r="BD125" i="18"/>
  <c r="BE125" i="18"/>
  <c r="BF125" i="18"/>
  <c r="AX126" i="18"/>
  <c r="AY126" i="18"/>
  <c r="AZ126" i="18"/>
  <c r="BA126" i="18"/>
  <c r="BB126" i="18"/>
  <c r="BC126" i="18"/>
  <c r="BD126" i="18"/>
  <c r="BE126" i="18"/>
  <c r="BF126" i="18"/>
  <c r="AX127" i="18"/>
  <c r="AY127" i="18"/>
  <c r="AZ127" i="18"/>
  <c r="BA127" i="18"/>
  <c r="BB127" i="18"/>
  <c r="BC127" i="18"/>
  <c r="BD127" i="18"/>
  <c r="BE127" i="18"/>
  <c r="BF127" i="18"/>
  <c r="AX128" i="18"/>
  <c r="AY128" i="18"/>
  <c r="AZ128" i="18"/>
  <c r="BA128" i="18"/>
  <c r="BB128" i="18"/>
  <c r="BC128" i="18"/>
  <c r="BD128" i="18"/>
  <c r="BE128" i="18"/>
  <c r="BF128" i="18"/>
  <c r="AX129" i="18"/>
  <c r="AY129" i="18"/>
  <c r="AZ129" i="18"/>
  <c r="BA129" i="18"/>
  <c r="BB129" i="18"/>
  <c r="BC129" i="18"/>
  <c r="BD129" i="18"/>
  <c r="BE129" i="18"/>
  <c r="BF129" i="18"/>
  <c r="AX130" i="18"/>
  <c r="AY130" i="18"/>
  <c r="AZ130" i="18"/>
  <c r="BA130" i="18"/>
  <c r="BB130" i="18"/>
  <c r="BC130" i="18"/>
  <c r="BD130" i="18"/>
  <c r="BE130" i="18"/>
  <c r="BF130" i="18"/>
  <c r="AX131" i="18"/>
  <c r="AY131" i="18"/>
  <c r="AZ131" i="18"/>
  <c r="BA131" i="18"/>
  <c r="BB131" i="18"/>
  <c r="BC131" i="18"/>
  <c r="BD131" i="18"/>
  <c r="BE131" i="18"/>
  <c r="BF131" i="18"/>
  <c r="AX132" i="18"/>
  <c r="AY132" i="18"/>
  <c r="AZ132" i="18"/>
  <c r="BA132" i="18"/>
  <c r="BB132" i="18"/>
  <c r="BC132" i="18"/>
  <c r="BD132" i="18"/>
  <c r="BE132" i="18"/>
  <c r="BF132" i="18"/>
  <c r="AX133" i="18"/>
  <c r="AY133" i="18"/>
  <c r="AZ133" i="18"/>
  <c r="BA133" i="18"/>
  <c r="BB133" i="18"/>
  <c r="BC133" i="18"/>
  <c r="BD133" i="18"/>
  <c r="BE133" i="18"/>
  <c r="BF133" i="18"/>
  <c r="AX134" i="18"/>
  <c r="AY134" i="18"/>
  <c r="AZ134" i="18"/>
  <c r="BA134" i="18"/>
  <c r="BB134" i="18"/>
  <c r="BC134" i="18"/>
  <c r="BD134" i="18"/>
  <c r="BE134" i="18"/>
  <c r="BF134" i="18"/>
  <c r="AX135" i="18"/>
  <c r="AY135" i="18"/>
  <c r="AZ135" i="18"/>
  <c r="BA135" i="18"/>
  <c r="BB135" i="18"/>
  <c r="BC135" i="18"/>
  <c r="BD135" i="18"/>
  <c r="BE135" i="18"/>
  <c r="BF135" i="18"/>
  <c r="AX136" i="18"/>
  <c r="AY136" i="18"/>
  <c r="AZ136" i="18"/>
  <c r="BA136" i="18"/>
  <c r="BB136" i="18"/>
  <c r="BC136" i="18"/>
  <c r="BD136" i="18"/>
  <c r="BE136" i="18"/>
  <c r="BF136" i="18"/>
  <c r="AX137" i="18"/>
  <c r="AY137" i="18"/>
  <c r="AZ137" i="18"/>
  <c r="BA137" i="18"/>
  <c r="BB137" i="18"/>
  <c r="BC137" i="18"/>
  <c r="BD137" i="18"/>
  <c r="BE137" i="18"/>
  <c r="BF137" i="18"/>
  <c r="AX138" i="18"/>
  <c r="AY138" i="18"/>
  <c r="AZ138" i="18"/>
  <c r="BA138" i="18"/>
  <c r="BB138" i="18"/>
  <c r="BC138" i="18"/>
  <c r="BD138" i="18"/>
  <c r="BE138" i="18"/>
  <c r="BF138" i="18"/>
  <c r="AX139" i="18"/>
  <c r="AY139" i="18"/>
  <c r="AZ139" i="18"/>
  <c r="BA139" i="18"/>
  <c r="BB139" i="18"/>
  <c r="BC139" i="18"/>
  <c r="BD139" i="18"/>
  <c r="BE139" i="18"/>
  <c r="BF139" i="18"/>
  <c r="AX140" i="18"/>
  <c r="AY140" i="18"/>
  <c r="AZ140" i="18"/>
  <c r="BA140" i="18"/>
  <c r="BB140" i="18"/>
  <c r="BC140" i="18"/>
  <c r="BD140" i="18"/>
  <c r="BE140" i="18"/>
  <c r="BF140" i="18"/>
  <c r="AX141" i="18"/>
  <c r="AY141" i="18"/>
  <c r="AZ141" i="18"/>
  <c r="BA141" i="18"/>
  <c r="BB141" i="18"/>
  <c r="BC141" i="18"/>
  <c r="BD141" i="18"/>
  <c r="BE141" i="18"/>
  <c r="BF141" i="18"/>
  <c r="AX142" i="18"/>
  <c r="AY142" i="18"/>
  <c r="AZ142" i="18"/>
  <c r="BA142" i="18"/>
  <c r="BB142" i="18"/>
  <c r="BC142" i="18"/>
  <c r="BD142" i="18"/>
  <c r="BE142" i="18"/>
  <c r="BF142" i="18"/>
  <c r="AX143" i="18"/>
  <c r="AY143" i="18"/>
  <c r="AZ143" i="18"/>
  <c r="BA143" i="18"/>
  <c r="BB143" i="18"/>
  <c r="BC143" i="18"/>
  <c r="BD143" i="18"/>
  <c r="BE143" i="18"/>
  <c r="BF143" i="18"/>
  <c r="AX144" i="18"/>
  <c r="AY144" i="18"/>
  <c r="AZ144" i="18"/>
  <c r="BA144" i="18"/>
  <c r="BB144" i="18"/>
  <c r="BC144" i="18"/>
  <c r="BD144" i="18"/>
  <c r="BE144" i="18"/>
  <c r="BF144" i="18"/>
  <c r="AX145" i="18"/>
  <c r="AY145" i="18"/>
  <c r="AZ145" i="18"/>
  <c r="BA145" i="18"/>
  <c r="BB145" i="18"/>
  <c r="BC145" i="18"/>
  <c r="BD145" i="18"/>
  <c r="BE145" i="18"/>
  <c r="BF145" i="18"/>
  <c r="AX146" i="18"/>
  <c r="AY146" i="18"/>
  <c r="AZ146" i="18"/>
  <c r="BA146" i="18"/>
  <c r="BB146" i="18"/>
  <c r="BC146" i="18"/>
  <c r="BD146" i="18"/>
  <c r="BE146" i="18"/>
  <c r="BF146" i="18"/>
  <c r="AX147" i="18"/>
  <c r="AY147" i="18"/>
  <c r="AZ147" i="18"/>
  <c r="BA147" i="18"/>
  <c r="BB147" i="18"/>
  <c r="BC147" i="18"/>
  <c r="BD147" i="18"/>
  <c r="BE147" i="18"/>
  <c r="BF147" i="18"/>
  <c r="AX148" i="18"/>
  <c r="AY148" i="18"/>
  <c r="AZ148" i="18"/>
  <c r="BA148" i="18"/>
  <c r="BB148" i="18"/>
  <c r="BC148" i="18"/>
  <c r="BD148" i="18"/>
  <c r="BE148" i="18"/>
  <c r="BF148" i="18"/>
  <c r="AX149" i="18"/>
  <c r="AY149" i="18"/>
  <c r="AZ149" i="18"/>
  <c r="BA149" i="18"/>
  <c r="BB149" i="18"/>
  <c r="BC149" i="18"/>
  <c r="BD149" i="18"/>
  <c r="BE149" i="18"/>
  <c r="BF149" i="18"/>
  <c r="AX150" i="18"/>
  <c r="AY150" i="18"/>
  <c r="AZ150" i="18"/>
  <c r="BA150" i="18"/>
  <c r="BB150" i="18"/>
  <c r="BC150" i="18"/>
  <c r="BD150" i="18"/>
  <c r="BE150" i="18"/>
  <c r="BF150" i="18"/>
  <c r="AX151" i="18"/>
  <c r="AY151" i="18"/>
  <c r="AZ151" i="18"/>
  <c r="BA151" i="18"/>
  <c r="BB151" i="18"/>
  <c r="BC151" i="18"/>
  <c r="BD151" i="18"/>
  <c r="BE151" i="18"/>
  <c r="BF151" i="18"/>
  <c r="AX152" i="18"/>
  <c r="AY152" i="18"/>
  <c r="AZ152" i="18"/>
  <c r="BA152" i="18"/>
  <c r="BB152" i="18"/>
  <c r="BC152" i="18"/>
  <c r="BD152" i="18"/>
  <c r="BE152" i="18"/>
  <c r="BF152" i="18"/>
  <c r="AX153" i="18"/>
  <c r="AY153" i="18"/>
  <c r="AZ153" i="18"/>
  <c r="BA153" i="18"/>
  <c r="BB153" i="18"/>
  <c r="BC153" i="18"/>
  <c r="BD153" i="18"/>
  <c r="BE153" i="18"/>
  <c r="BF153" i="18"/>
  <c r="AX154" i="18"/>
  <c r="AY154" i="18"/>
  <c r="AZ154" i="18"/>
  <c r="BA154" i="18"/>
  <c r="BB154" i="18"/>
  <c r="BC154" i="18"/>
  <c r="BD154" i="18"/>
  <c r="BE154" i="18"/>
  <c r="BF154" i="18"/>
  <c r="AX155" i="18"/>
  <c r="AY155" i="18"/>
  <c r="AZ155" i="18"/>
  <c r="BA155" i="18"/>
  <c r="BB155" i="18"/>
  <c r="BC155" i="18"/>
  <c r="BD155" i="18"/>
  <c r="BE155" i="18"/>
  <c r="BF155" i="18"/>
  <c r="AX156" i="18"/>
  <c r="AY156" i="18"/>
  <c r="AZ156" i="18"/>
  <c r="BA156" i="18"/>
  <c r="BB156" i="18"/>
  <c r="BC156" i="18"/>
  <c r="BD156" i="18"/>
  <c r="BE156" i="18"/>
  <c r="BF156" i="18"/>
  <c r="AX157" i="18"/>
  <c r="AY157" i="18"/>
  <c r="AZ157" i="18"/>
  <c r="BA157" i="18"/>
  <c r="BB157" i="18"/>
  <c r="BC157" i="18"/>
  <c r="BD157" i="18"/>
  <c r="BE157" i="18"/>
  <c r="BF157" i="18"/>
  <c r="AX158" i="18"/>
  <c r="AY158" i="18"/>
  <c r="AZ158" i="18"/>
  <c r="BA158" i="18"/>
  <c r="BB158" i="18"/>
  <c r="BC158" i="18"/>
  <c r="BD158" i="18"/>
  <c r="BE158" i="18"/>
  <c r="BF158" i="18"/>
  <c r="AX159" i="18"/>
  <c r="AY159" i="18"/>
  <c r="AZ159" i="18"/>
  <c r="BA159" i="18"/>
  <c r="BB159" i="18"/>
  <c r="BC159" i="18"/>
  <c r="BD159" i="18"/>
  <c r="BE159" i="18"/>
  <c r="BF159" i="18"/>
  <c r="AX160" i="18"/>
  <c r="AY160" i="18"/>
  <c r="AZ160" i="18"/>
  <c r="BA160" i="18"/>
  <c r="BB160" i="18"/>
  <c r="BC160" i="18"/>
  <c r="BD160" i="18"/>
  <c r="BE160" i="18"/>
  <c r="BF160" i="18"/>
  <c r="AX161" i="18"/>
  <c r="AY161" i="18"/>
  <c r="AZ161" i="18"/>
  <c r="BA161" i="18"/>
  <c r="BB161" i="18"/>
  <c r="BC161" i="18"/>
  <c r="BD161" i="18"/>
  <c r="BE161" i="18"/>
  <c r="BF161" i="18"/>
  <c r="AX162" i="18"/>
  <c r="AY162" i="18"/>
  <c r="AZ162" i="18"/>
  <c r="BA162" i="18"/>
  <c r="BB162" i="18"/>
  <c r="BC162" i="18"/>
  <c r="BD162" i="18"/>
  <c r="BE162" i="18"/>
  <c r="BF162" i="18"/>
  <c r="AX163" i="18"/>
  <c r="AY163" i="18"/>
  <c r="AZ163" i="18"/>
  <c r="BA163" i="18"/>
  <c r="BB163" i="18"/>
  <c r="BC163" i="18"/>
  <c r="BD163" i="18"/>
  <c r="BE163" i="18"/>
  <c r="BF163" i="18"/>
  <c r="AX164" i="18"/>
  <c r="AY164" i="18"/>
  <c r="AZ164" i="18"/>
  <c r="BA164" i="18"/>
  <c r="BB164" i="18"/>
  <c r="BC164" i="18"/>
  <c r="BD164" i="18"/>
  <c r="BE164" i="18"/>
  <c r="BF164" i="18"/>
  <c r="AX165" i="18"/>
  <c r="AY165" i="18"/>
  <c r="AZ165" i="18"/>
  <c r="BA165" i="18"/>
  <c r="BB165" i="18"/>
  <c r="BC165" i="18"/>
  <c r="BD165" i="18"/>
  <c r="BE165" i="18"/>
  <c r="BF165" i="18"/>
  <c r="AX166" i="18"/>
  <c r="AY166" i="18"/>
  <c r="AZ166" i="18"/>
  <c r="BA166" i="18"/>
  <c r="BB166" i="18"/>
  <c r="BC166" i="18"/>
  <c r="BD166" i="18"/>
  <c r="BE166" i="18"/>
  <c r="BF166" i="18"/>
  <c r="AX167" i="18"/>
  <c r="AY167" i="18"/>
  <c r="AZ167" i="18"/>
  <c r="BA167" i="18"/>
  <c r="BB167" i="18"/>
  <c r="BC167" i="18"/>
  <c r="BD167" i="18"/>
  <c r="BE167" i="18"/>
  <c r="BF167" i="18"/>
  <c r="AX168" i="18"/>
  <c r="AY168" i="18"/>
  <c r="AZ168" i="18"/>
  <c r="BA168" i="18"/>
  <c r="BB168" i="18"/>
  <c r="BC168" i="18"/>
  <c r="BD168" i="18"/>
  <c r="BE168" i="18"/>
  <c r="BF168" i="18"/>
  <c r="AX169" i="18"/>
  <c r="AY169" i="18"/>
  <c r="AZ169" i="18"/>
  <c r="BA169" i="18"/>
  <c r="BB169" i="18"/>
  <c r="BC169" i="18"/>
  <c r="BD169" i="18"/>
  <c r="BE169" i="18"/>
  <c r="BF169" i="18"/>
  <c r="AX170" i="18"/>
  <c r="AY170" i="18"/>
  <c r="AZ170" i="18"/>
  <c r="BA170" i="18"/>
  <c r="BB170" i="18"/>
  <c r="BC170" i="18"/>
  <c r="BD170" i="18"/>
  <c r="BE170" i="18"/>
  <c r="BF170" i="18"/>
  <c r="AX171" i="18"/>
  <c r="AY171" i="18"/>
  <c r="AZ171" i="18"/>
  <c r="BA171" i="18"/>
  <c r="BB171" i="18"/>
  <c r="BC171" i="18"/>
  <c r="BD171" i="18"/>
  <c r="BE171" i="18"/>
  <c r="BF171" i="18"/>
  <c r="AX172" i="18"/>
  <c r="AY172" i="18"/>
  <c r="AZ172" i="18"/>
  <c r="BA172" i="18"/>
  <c r="BB172" i="18"/>
  <c r="BC172" i="18"/>
  <c r="BD172" i="18"/>
  <c r="BE172" i="18"/>
  <c r="BF172" i="18"/>
  <c r="AX173" i="18"/>
  <c r="AY173" i="18"/>
  <c r="AZ173" i="18"/>
  <c r="BA173" i="18"/>
  <c r="BB173" i="18"/>
  <c r="BC173" i="18"/>
  <c r="BD173" i="18"/>
  <c r="BE173" i="18"/>
  <c r="BF173" i="18"/>
  <c r="AX174" i="18"/>
  <c r="AY174" i="18"/>
  <c r="AZ174" i="18"/>
  <c r="BA174" i="18"/>
  <c r="BB174" i="18"/>
  <c r="BC174" i="18"/>
  <c r="BD174" i="18"/>
  <c r="BE174" i="18"/>
  <c r="BF174" i="18"/>
  <c r="AX175" i="18"/>
  <c r="AY175" i="18"/>
  <c r="AZ175" i="18"/>
  <c r="BA175" i="18"/>
  <c r="BB175" i="18"/>
  <c r="BC175" i="18"/>
  <c r="BD175" i="18"/>
  <c r="BE175" i="18"/>
  <c r="BF175" i="18"/>
  <c r="AX176" i="18"/>
  <c r="AY176" i="18"/>
  <c r="AZ176" i="18"/>
  <c r="BA176" i="18"/>
  <c r="BB176" i="18"/>
  <c r="BC176" i="18"/>
  <c r="BD176" i="18"/>
  <c r="BE176" i="18"/>
  <c r="BF176" i="18"/>
  <c r="AX177" i="18"/>
  <c r="AY177" i="18"/>
  <c r="AZ177" i="18"/>
  <c r="BA177" i="18"/>
  <c r="BB177" i="18"/>
  <c r="BC177" i="18"/>
  <c r="BD177" i="18"/>
  <c r="BE177" i="18"/>
  <c r="BF177" i="18"/>
  <c r="AX178" i="18"/>
  <c r="AY178" i="18"/>
  <c r="AZ178" i="18"/>
  <c r="BA178" i="18"/>
  <c r="BB178" i="18"/>
  <c r="BC178" i="18"/>
  <c r="BD178" i="18"/>
  <c r="BE178" i="18"/>
  <c r="BF178" i="18"/>
  <c r="AX179" i="18"/>
  <c r="AY179" i="18"/>
  <c r="AZ179" i="18"/>
  <c r="BA179" i="18"/>
  <c r="BB179" i="18"/>
  <c r="BC179" i="18"/>
  <c r="BD179" i="18"/>
  <c r="BE179" i="18"/>
  <c r="BF179" i="18"/>
  <c r="AX180" i="18"/>
  <c r="AY180" i="18"/>
  <c r="AZ180" i="18"/>
  <c r="BA180" i="18"/>
  <c r="BB180" i="18"/>
  <c r="BC180" i="18"/>
  <c r="BD180" i="18"/>
  <c r="BE180" i="18"/>
  <c r="BF180" i="18"/>
  <c r="AX181" i="18"/>
  <c r="AY181" i="18"/>
  <c r="AZ181" i="18"/>
  <c r="BA181" i="18"/>
  <c r="BB181" i="18"/>
  <c r="BC181" i="18"/>
  <c r="BD181" i="18"/>
  <c r="BE181" i="18"/>
  <c r="BF181" i="18"/>
  <c r="AX182" i="18"/>
  <c r="AY182" i="18"/>
  <c r="AZ182" i="18"/>
  <c r="BA182" i="18"/>
  <c r="BB182" i="18"/>
  <c r="BC182" i="18"/>
  <c r="BD182" i="18"/>
  <c r="BE182" i="18"/>
  <c r="BF182" i="18"/>
  <c r="AX183" i="18"/>
  <c r="AY183" i="18"/>
  <c r="AZ183" i="18"/>
  <c r="BA183" i="18"/>
  <c r="BB183" i="18"/>
  <c r="BC183" i="18"/>
  <c r="BD183" i="18"/>
  <c r="BE183" i="18"/>
  <c r="BF183" i="18"/>
  <c r="AX184" i="18"/>
  <c r="AY184" i="18"/>
  <c r="AZ184" i="18"/>
  <c r="BA184" i="18"/>
  <c r="BB184" i="18"/>
  <c r="BC184" i="18"/>
  <c r="BD184" i="18"/>
  <c r="BE184" i="18"/>
  <c r="BF184" i="18"/>
  <c r="AX185" i="18"/>
  <c r="AY185" i="18"/>
  <c r="AZ185" i="18"/>
  <c r="BA185" i="18"/>
  <c r="BB185" i="18"/>
  <c r="BC185" i="18"/>
  <c r="BD185" i="18"/>
  <c r="BE185" i="18"/>
  <c r="BF185" i="18"/>
  <c r="AX186" i="18"/>
  <c r="AY186" i="18"/>
  <c r="AZ186" i="18"/>
  <c r="BA186" i="18"/>
  <c r="BB186" i="18"/>
  <c r="BC186" i="18"/>
  <c r="BD186" i="18"/>
  <c r="BE186" i="18"/>
  <c r="BF186" i="18"/>
  <c r="AX187" i="18"/>
  <c r="AY187" i="18"/>
  <c r="AZ187" i="18"/>
  <c r="BA187" i="18"/>
  <c r="BB187" i="18"/>
  <c r="BC187" i="18"/>
  <c r="BD187" i="18"/>
  <c r="BE187" i="18"/>
  <c r="BF187" i="18"/>
  <c r="AX188" i="18"/>
  <c r="AY188" i="18"/>
  <c r="AZ188" i="18"/>
  <c r="BA188" i="18"/>
  <c r="BB188" i="18"/>
  <c r="BC188" i="18"/>
  <c r="BD188" i="18"/>
  <c r="BE188" i="18"/>
  <c r="BF188" i="18"/>
  <c r="AX189" i="18"/>
  <c r="AY189" i="18"/>
  <c r="AZ189" i="18"/>
  <c r="BA189" i="18"/>
  <c r="BB189" i="18"/>
  <c r="BC189" i="18"/>
  <c r="BD189" i="18"/>
  <c r="BE189" i="18"/>
  <c r="BF189" i="18"/>
  <c r="AX190" i="18"/>
  <c r="AY190" i="18"/>
  <c r="AZ190" i="18"/>
  <c r="BA190" i="18"/>
  <c r="BB190" i="18"/>
  <c r="BC190" i="18"/>
  <c r="BD190" i="18"/>
  <c r="BE190" i="18"/>
  <c r="BF190" i="18"/>
  <c r="AX191" i="18"/>
  <c r="AY191" i="18"/>
  <c r="AZ191" i="18"/>
  <c r="BA191" i="18"/>
  <c r="BB191" i="18"/>
  <c r="BC191" i="18"/>
  <c r="BD191" i="18"/>
  <c r="BE191" i="18"/>
  <c r="BF191" i="18"/>
  <c r="AX192" i="18"/>
  <c r="AY192" i="18"/>
  <c r="AZ192" i="18"/>
  <c r="BA192" i="18"/>
  <c r="BB192" i="18"/>
  <c r="BC192" i="18"/>
  <c r="BD192" i="18"/>
  <c r="BE192" i="18"/>
  <c r="BF192" i="18"/>
  <c r="AX193" i="18"/>
  <c r="AY193" i="18"/>
  <c r="AZ193" i="18"/>
  <c r="BA193" i="18"/>
  <c r="BB193" i="18"/>
  <c r="BC193" i="18"/>
  <c r="BD193" i="18"/>
  <c r="BE193" i="18"/>
  <c r="BF193" i="18"/>
  <c r="AX194" i="18"/>
  <c r="AY194" i="18"/>
  <c r="AZ194" i="18"/>
  <c r="BA194" i="18"/>
  <c r="BB194" i="18"/>
  <c r="BC194" i="18"/>
  <c r="BD194" i="18"/>
  <c r="BE194" i="18"/>
  <c r="BF194" i="18"/>
  <c r="AX195" i="18"/>
  <c r="AY195" i="18"/>
  <c r="AZ195" i="18"/>
  <c r="BA195" i="18"/>
  <c r="BB195" i="18"/>
  <c r="BC195" i="18"/>
  <c r="BD195" i="18"/>
  <c r="BE195" i="18"/>
  <c r="BF195" i="18"/>
  <c r="AX196" i="18"/>
  <c r="AY196" i="18"/>
  <c r="AZ196" i="18"/>
  <c r="BA196" i="18"/>
  <c r="BB196" i="18"/>
  <c r="BC196" i="18"/>
  <c r="BD196" i="18"/>
  <c r="BE196" i="18"/>
  <c r="BF196" i="18"/>
  <c r="AX197" i="18"/>
  <c r="AY197" i="18"/>
  <c r="AZ197" i="18"/>
  <c r="BA197" i="18"/>
  <c r="BB197" i="18"/>
  <c r="BC197" i="18"/>
  <c r="BD197" i="18"/>
  <c r="BE197" i="18"/>
  <c r="BF197" i="18"/>
  <c r="AX198" i="18"/>
  <c r="AY198" i="18"/>
  <c r="AZ198" i="18"/>
  <c r="BA198" i="18"/>
  <c r="BB198" i="18"/>
  <c r="BC198" i="18"/>
  <c r="BD198" i="18"/>
  <c r="BE198" i="18"/>
  <c r="BF198" i="18"/>
  <c r="AX199" i="18"/>
  <c r="AY199" i="18"/>
  <c r="AZ199" i="18"/>
  <c r="BA199" i="18"/>
  <c r="BB199" i="18"/>
  <c r="BC199" i="18"/>
  <c r="BD199" i="18"/>
  <c r="BE199" i="18"/>
  <c r="BF199" i="18"/>
  <c r="AX200" i="18"/>
  <c r="AY200" i="18"/>
  <c r="AZ200" i="18"/>
  <c r="BA200" i="18"/>
  <c r="BB200" i="18"/>
  <c r="BC200" i="18"/>
  <c r="BD200" i="18"/>
  <c r="BE200" i="18"/>
  <c r="BF200" i="18"/>
  <c r="AX201" i="18"/>
  <c r="AY201" i="18"/>
  <c r="AZ201" i="18"/>
  <c r="BA201" i="18"/>
  <c r="BB201" i="18"/>
  <c r="BC201" i="18"/>
  <c r="BD201" i="18"/>
  <c r="BE201" i="18"/>
  <c r="BF201" i="18"/>
  <c r="AX202" i="18"/>
  <c r="AY202" i="18"/>
  <c r="AZ202" i="18"/>
  <c r="BA202" i="18"/>
  <c r="BB202" i="18"/>
  <c r="BC202" i="18"/>
  <c r="BD202" i="18"/>
  <c r="BE202" i="18"/>
  <c r="BF202" i="18"/>
  <c r="AX203" i="18"/>
  <c r="AY203" i="18"/>
  <c r="AZ203" i="18"/>
  <c r="BA203" i="18"/>
  <c r="BB203" i="18"/>
  <c r="BC203" i="18"/>
  <c r="BD203" i="18"/>
  <c r="BE203" i="18"/>
  <c r="BF203" i="18"/>
  <c r="AX204" i="18"/>
  <c r="AY204" i="18"/>
  <c r="AZ204" i="18"/>
  <c r="BA204" i="18"/>
  <c r="BB204" i="18"/>
  <c r="BC204" i="18"/>
  <c r="BD204" i="18"/>
  <c r="BE204" i="18"/>
  <c r="BF204" i="18"/>
  <c r="AX205" i="18"/>
  <c r="AY205" i="18"/>
  <c r="AZ205" i="18"/>
  <c r="BA205" i="18"/>
  <c r="BB205" i="18"/>
  <c r="BC205" i="18"/>
  <c r="BD205" i="18"/>
  <c r="BE205" i="18"/>
  <c r="BF205" i="18"/>
  <c r="AX206" i="18"/>
  <c r="AY206" i="18"/>
  <c r="AZ206" i="18"/>
  <c r="BA206" i="18"/>
  <c r="BB206" i="18"/>
  <c r="BC206" i="18"/>
  <c r="BD206" i="18"/>
  <c r="BE206" i="18"/>
  <c r="BF206" i="18"/>
  <c r="AX207" i="18"/>
  <c r="AY207" i="18"/>
  <c r="AZ207" i="18"/>
  <c r="BA207" i="18"/>
  <c r="BB207" i="18"/>
  <c r="BC207" i="18"/>
  <c r="BD207" i="18"/>
  <c r="BE207" i="18"/>
  <c r="BF207" i="18"/>
  <c r="AX208" i="18"/>
  <c r="AY208" i="18"/>
  <c r="AZ208" i="18"/>
  <c r="BA208" i="18"/>
  <c r="BB208" i="18"/>
  <c r="BC208" i="18"/>
  <c r="BD208" i="18"/>
  <c r="BE208" i="18"/>
  <c r="BF208" i="18"/>
  <c r="AX209" i="18"/>
  <c r="AY209" i="18"/>
  <c r="AZ209" i="18"/>
  <c r="BA209" i="18"/>
  <c r="BB209" i="18"/>
  <c r="BC209" i="18"/>
  <c r="BD209" i="18"/>
  <c r="BE209" i="18"/>
  <c r="BF209" i="18"/>
  <c r="AX210" i="18"/>
  <c r="AY210" i="18"/>
  <c r="AZ210" i="18"/>
  <c r="BA210" i="18"/>
  <c r="BB210" i="18"/>
  <c r="BC210" i="18"/>
  <c r="BD210" i="18"/>
  <c r="BE210" i="18"/>
  <c r="BF210" i="18"/>
  <c r="AX211" i="18"/>
  <c r="AY211" i="18"/>
  <c r="AZ211" i="18"/>
  <c r="BA211" i="18"/>
  <c r="BB211" i="18"/>
  <c r="BC211" i="18"/>
  <c r="BD211" i="18"/>
  <c r="BE211" i="18"/>
  <c r="BF211" i="18"/>
  <c r="AX212" i="18"/>
  <c r="AY212" i="18"/>
  <c r="AZ212" i="18"/>
  <c r="BA212" i="18"/>
  <c r="BB212" i="18"/>
  <c r="BC212" i="18"/>
  <c r="BD212" i="18"/>
  <c r="BE212" i="18"/>
  <c r="BF212" i="18"/>
  <c r="AX213" i="18"/>
  <c r="AY213" i="18"/>
  <c r="AZ213" i="18"/>
  <c r="BA213" i="18"/>
  <c r="BB213" i="18"/>
  <c r="BC213" i="18"/>
  <c r="BD213" i="18"/>
  <c r="BE213" i="18"/>
  <c r="BF213" i="18"/>
  <c r="AX214" i="18"/>
  <c r="AY214" i="18"/>
  <c r="AZ214" i="18"/>
  <c r="BA214" i="18"/>
  <c r="BB214" i="18"/>
  <c r="BC214" i="18"/>
  <c r="BD214" i="18"/>
  <c r="BE214" i="18"/>
  <c r="BF214" i="18"/>
  <c r="AX215" i="18"/>
  <c r="AY215" i="18"/>
  <c r="AZ215" i="18"/>
  <c r="BA215" i="18"/>
  <c r="BB215" i="18"/>
  <c r="BC215" i="18"/>
  <c r="BD215" i="18"/>
  <c r="BE215" i="18"/>
  <c r="BF215" i="18"/>
  <c r="I10" i="16" l="1"/>
  <c r="AU10" i="20"/>
  <c r="AV10" i="20" s="1"/>
  <c r="I11" i="16"/>
  <c r="AU11" i="20"/>
  <c r="AV11" i="20" s="1"/>
  <c r="I12" i="16"/>
  <c r="AU12" i="20"/>
  <c r="AV12" i="20" s="1"/>
  <c r="I13" i="16"/>
  <c r="AU13" i="20"/>
  <c r="AV13" i="20" s="1"/>
  <c r="I14" i="16"/>
  <c r="AU14" i="20"/>
  <c r="AV14" i="20" s="1"/>
  <c r="I15" i="16"/>
  <c r="AU15" i="20"/>
  <c r="AV15" i="20" s="1"/>
  <c r="I16" i="16"/>
  <c r="AU16" i="20"/>
  <c r="AV16" i="20" s="1"/>
  <c r="I17" i="16"/>
  <c r="AU17" i="20"/>
  <c r="AV17" i="20" s="1"/>
  <c r="I18" i="16"/>
  <c r="AU18" i="20"/>
  <c r="AV18" i="20" s="1"/>
  <c r="I19" i="16"/>
  <c r="AU19" i="20"/>
  <c r="AV19" i="20" s="1"/>
  <c r="I20" i="16"/>
  <c r="AU20" i="20"/>
  <c r="AV20" i="20" s="1"/>
  <c r="I21" i="16"/>
  <c r="AU21" i="20"/>
  <c r="AV21" i="20" s="1"/>
  <c r="I22" i="16"/>
  <c r="AU22" i="20"/>
  <c r="AV22" i="20" s="1"/>
  <c r="I23" i="16"/>
  <c r="AU23" i="20"/>
  <c r="AV23" i="20" s="1"/>
  <c r="I24" i="16"/>
  <c r="AU24" i="20"/>
  <c r="AV24" i="20" s="1"/>
  <c r="I25" i="16"/>
  <c r="AU25" i="20"/>
  <c r="AV25" i="20" s="1"/>
  <c r="I26" i="16"/>
  <c r="AU26" i="20"/>
  <c r="AV26" i="20" s="1"/>
  <c r="I27" i="16"/>
  <c r="AU27" i="20"/>
  <c r="AV27" i="20" s="1"/>
  <c r="I28" i="16"/>
  <c r="AU28" i="20"/>
  <c r="AV28" i="20" s="1"/>
  <c r="I29" i="16"/>
  <c r="AU29" i="20"/>
  <c r="AV29" i="20" s="1"/>
  <c r="I30" i="16"/>
  <c r="AU30" i="20"/>
  <c r="AV30" i="20" s="1"/>
  <c r="I31" i="16"/>
  <c r="AU31" i="20"/>
  <c r="AV31" i="20" s="1"/>
  <c r="I32" i="16"/>
  <c r="AU32" i="20"/>
  <c r="AV32" i="20" s="1"/>
  <c r="I33" i="16"/>
  <c r="AU33" i="20"/>
  <c r="AV33" i="20" s="1"/>
  <c r="I34" i="16"/>
  <c r="AU34" i="20"/>
  <c r="AV34" i="20" s="1"/>
  <c r="I35" i="16"/>
  <c r="AU35" i="20"/>
  <c r="AV35" i="20" s="1"/>
  <c r="I36" i="16"/>
  <c r="AU36" i="20"/>
  <c r="AV36" i="20" s="1"/>
  <c r="I37" i="16"/>
  <c r="AU37" i="20"/>
  <c r="AV37" i="20" s="1"/>
  <c r="I38" i="16"/>
  <c r="AU38" i="20"/>
  <c r="AV38" i="20" s="1"/>
  <c r="I39" i="16"/>
  <c r="AU39" i="20"/>
  <c r="AV39" i="20" s="1"/>
  <c r="I40" i="16"/>
  <c r="AU40" i="20"/>
  <c r="AV40" i="20" s="1"/>
  <c r="I41" i="16"/>
  <c r="AU41" i="20"/>
  <c r="AV41" i="20" s="1"/>
  <c r="I42" i="16"/>
  <c r="AU42" i="20"/>
  <c r="AV42" i="20" s="1"/>
  <c r="I43" i="16"/>
  <c r="AU43" i="20"/>
  <c r="AV43" i="20" s="1"/>
  <c r="I44" i="16"/>
  <c r="AU44" i="20"/>
  <c r="AV44" i="20" s="1"/>
  <c r="I45" i="16"/>
  <c r="AU45" i="20"/>
  <c r="AV45" i="20" s="1"/>
  <c r="I46" i="16"/>
  <c r="AU46" i="20"/>
  <c r="AV46" i="20" s="1"/>
  <c r="I47" i="16"/>
  <c r="AU47" i="20"/>
  <c r="AV47" i="20" s="1"/>
  <c r="I48" i="16"/>
  <c r="AU48" i="20"/>
  <c r="AV48" i="20" s="1"/>
  <c r="I49" i="16"/>
  <c r="AU49" i="20"/>
  <c r="AV49" i="20" s="1"/>
  <c r="I50" i="16"/>
  <c r="AU50" i="20"/>
  <c r="AV50" i="20" s="1"/>
  <c r="I51" i="16"/>
  <c r="AU51" i="20"/>
  <c r="AV51" i="20" s="1"/>
  <c r="I52" i="16"/>
  <c r="AU52" i="20"/>
  <c r="AV52" i="20" s="1"/>
  <c r="I53" i="16"/>
  <c r="AU53" i="20"/>
  <c r="AV53" i="20" s="1"/>
  <c r="I54" i="16"/>
  <c r="AU54" i="20"/>
  <c r="AV54" i="20" s="1"/>
  <c r="I55" i="16"/>
  <c r="AU55" i="20"/>
  <c r="AV55" i="20" s="1"/>
  <c r="I56" i="16"/>
  <c r="AU56" i="20"/>
  <c r="AV56" i="20" s="1"/>
  <c r="I57" i="16"/>
  <c r="AU57" i="20"/>
  <c r="AV57" i="20" s="1"/>
  <c r="I58" i="16"/>
  <c r="AU58" i="20"/>
  <c r="AV58" i="20" s="1"/>
  <c r="I59" i="16"/>
  <c r="AU59" i="20"/>
  <c r="AV59" i="20" s="1"/>
  <c r="I60" i="16"/>
  <c r="AU60" i="20"/>
  <c r="AV60" i="20" s="1"/>
  <c r="I61" i="16"/>
  <c r="AU61" i="20"/>
  <c r="AV61" i="20" s="1"/>
  <c r="I62" i="16"/>
  <c r="AU62" i="20"/>
  <c r="AV62" i="20" s="1"/>
  <c r="I63" i="16"/>
  <c r="AU63" i="20"/>
  <c r="AV63" i="20" s="1"/>
  <c r="I64" i="16"/>
  <c r="AU64" i="20"/>
  <c r="AV64" i="20" s="1"/>
  <c r="I65" i="16"/>
  <c r="AU65" i="20"/>
  <c r="AV65" i="20" s="1"/>
  <c r="I66" i="16"/>
  <c r="AU66" i="20"/>
  <c r="AV66" i="20" s="1"/>
  <c r="I67" i="16"/>
  <c r="AU67" i="20"/>
  <c r="AV67" i="20" s="1"/>
  <c r="I68" i="16"/>
  <c r="AU68" i="20"/>
  <c r="AV68" i="20" s="1"/>
  <c r="I69" i="16"/>
  <c r="AU69" i="20"/>
  <c r="AV69" i="20" s="1"/>
  <c r="I70" i="16"/>
  <c r="AU70" i="20"/>
  <c r="AV70" i="20" s="1"/>
  <c r="I71" i="16"/>
  <c r="AU71" i="20"/>
  <c r="AV71" i="20" s="1"/>
  <c r="I72" i="16"/>
  <c r="AU72" i="20"/>
  <c r="AV72" i="20" s="1"/>
  <c r="I73" i="16"/>
  <c r="AU73" i="20"/>
  <c r="AV73" i="20" s="1"/>
  <c r="I74" i="16"/>
  <c r="AU74" i="20"/>
  <c r="AV74" i="20" s="1"/>
  <c r="I75" i="16"/>
  <c r="AU75" i="20"/>
  <c r="AV75" i="20" s="1"/>
  <c r="I76" i="16"/>
  <c r="AU76" i="20"/>
  <c r="AV76" i="20" s="1"/>
  <c r="I77" i="16"/>
  <c r="AU77" i="20"/>
  <c r="AV77" i="20" s="1"/>
  <c r="I78" i="16"/>
  <c r="AU78" i="20"/>
  <c r="AV78" i="20" s="1"/>
  <c r="I79" i="16"/>
  <c r="AU79" i="20"/>
  <c r="AV79" i="20" s="1"/>
  <c r="I80" i="16"/>
  <c r="AU80" i="20"/>
  <c r="AV80" i="20" s="1"/>
  <c r="I81" i="16"/>
  <c r="AU81" i="20"/>
  <c r="AV81" i="20" s="1"/>
  <c r="I82" i="16"/>
  <c r="AU82" i="20"/>
  <c r="AV82" i="20" s="1"/>
  <c r="I83" i="16"/>
  <c r="AU83" i="20"/>
  <c r="AV83" i="20" s="1"/>
  <c r="I84" i="16"/>
  <c r="AU84" i="20"/>
  <c r="AV84" i="20" s="1"/>
  <c r="I85" i="16"/>
  <c r="AU85" i="20"/>
  <c r="AV85" i="20" s="1"/>
  <c r="I86" i="16"/>
  <c r="AU86" i="20"/>
  <c r="AV86" i="20" s="1"/>
  <c r="I87" i="16"/>
  <c r="AU87" i="20"/>
  <c r="AV87" i="20" s="1"/>
  <c r="I88" i="16"/>
  <c r="AU88" i="20"/>
  <c r="AV88" i="20" s="1"/>
  <c r="I89" i="16"/>
  <c r="AU89" i="20"/>
  <c r="AV89" i="20" s="1"/>
  <c r="I90" i="16"/>
  <c r="AU90" i="20"/>
  <c r="AV90" i="20" s="1"/>
  <c r="I91" i="16"/>
  <c r="AU91" i="20"/>
  <c r="AV91" i="20" s="1"/>
  <c r="I92" i="16"/>
  <c r="AU92" i="20"/>
  <c r="AV92" i="20" s="1"/>
  <c r="I93" i="16"/>
  <c r="AU93" i="20"/>
  <c r="AV93" i="20" s="1"/>
  <c r="I94" i="16"/>
  <c r="AU94" i="20"/>
  <c r="AV94" i="20" s="1"/>
  <c r="I95" i="16"/>
  <c r="AU95" i="20"/>
  <c r="AV95" i="20" s="1"/>
  <c r="I96" i="16"/>
  <c r="AU96" i="20"/>
  <c r="AV96" i="20" s="1"/>
  <c r="I97" i="16"/>
  <c r="AU97" i="20"/>
  <c r="AV97" i="20" s="1"/>
  <c r="I98" i="16"/>
  <c r="AU98" i="20"/>
  <c r="AV98" i="20" s="1"/>
  <c r="I99" i="16"/>
  <c r="AU99" i="20"/>
  <c r="AV99" i="20" s="1"/>
  <c r="I100" i="16"/>
  <c r="AU100" i="20"/>
  <c r="AV100" i="20" s="1"/>
  <c r="I101" i="16"/>
  <c r="AU101" i="20"/>
  <c r="AV101" i="20" s="1"/>
  <c r="I102" i="16"/>
  <c r="AU102" i="20"/>
  <c r="AV102" i="20" s="1"/>
  <c r="I103" i="16"/>
  <c r="AU103" i="20"/>
  <c r="AV103" i="20" s="1"/>
  <c r="I104" i="16"/>
  <c r="AU104" i="20"/>
  <c r="AV104" i="20" s="1"/>
  <c r="I6" i="16"/>
  <c r="I7" i="16"/>
  <c r="I8" i="16"/>
  <c r="AU8" i="20"/>
  <c r="I9" i="16"/>
  <c r="AU9" i="20"/>
  <c r="I20" i="17"/>
  <c r="AU20" i="21"/>
  <c r="AV20" i="21" s="1"/>
  <c r="H21" i="17"/>
  <c r="X21" i="21"/>
  <c r="Y21" i="21" s="1"/>
  <c r="I21" i="17"/>
  <c r="AU21" i="21"/>
  <c r="AV21" i="21" s="1"/>
  <c r="G22" i="17"/>
  <c r="X22" i="21"/>
  <c r="Y22" i="21" s="1"/>
  <c r="I22" i="17"/>
  <c r="AU22" i="21"/>
  <c r="AV22" i="21" s="1"/>
  <c r="G23" i="17"/>
  <c r="X23" i="21"/>
  <c r="Y23" i="21" s="1"/>
  <c r="I23" i="17"/>
  <c r="AU23" i="21"/>
  <c r="AV23" i="21" s="1"/>
  <c r="G24" i="17"/>
  <c r="X24" i="21"/>
  <c r="Y24" i="21" s="1"/>
  <c r="I24" i="17"/>
  <c r="AU24" i="21"/>
  <c r="AV24" i="21" s="1"/>
  <c r="G25" i="17"/>
  <c r="X25" i="21"/>
  <c r="Y25" i="21" s="1"/>
  <c r="I25" i="17"/>
  <c r="AU25" i="21"/>
  <c r="AV25" i="21" s="1"/>
  <c r="G26" i="17"/>
  <c r="X26" i="21"/>
  <c r="Y26" i="21" s="1"/>
  <c r="I26" i="17"/>
  <c r="AU26" i="21"/>
  <c r="AV26" i="21" s="1"/>
  <c r="G27" i="17"/>
  <c r="X27" i="21"/>
  <c r="Y27" i="21" s="1"/>
  <c r="I27" i="17"/>
  <c r="AU27" i="21"/>
  <c r="AV27" i="21" s="1"/>
  <c r="G28" i="17"/>
  <c r="X28" i="21"/>
  <c r="Y28" i="21" s="1"/>
  <c r="I28" i="17"/>
  <c r="AU28" i="21"/>
  <c r="AV28" i="21" s="1"/>
  <c r="G29" i="17"/>
  <c r="X29" i="21"/>
  <c r="Y29" i="21" s="1"/>
  <c r="I29" i="17"/>
  <c r="AU29" i="21"/>
  <c r="AV29" i="21" s="1"/>
  <c r="G30" i="17"/>
  <c r="X30" i="21"/>
  <c r="Y30" i="21" s="1"/>
  <c r="I30" i="17"/>
  <c r="AU30" i="21"/>
  <c r="AV30" i="21" s="1"/>
  <c r="G31" i="17"/>
  <c r="X31" i="21"/>
  <c r="Y31" i="21" s="1"/>
  <c r="I31" i="17"/>
  <c r="AU31" i="21"/>
  <c r="AV31" i="21" s="1"/>
  <c r="G32" i="17"/>
  <c r="X32" i="21"/>
  <c r="Y32" i="21" s="1"/>
  <c r="I32" i="17"/>
  <c r="AU32" i="21"/>
  <c r="AV32" i="21" s="1"/>
  <c r="G33" i="17"/>
  <c r="X33" i="21"/>
  <c r="Y33" i="21" s="1"/>
  <c r="I33" i="17"/>
  <c r="AU33" i="21"/>
  <c r="AV33" i="21" s="1"/>
  <c r="G34" i="17"/>
  <c r="X34" i="21"/>
  <c r="Y34" i="21" s="1"/>
  <c r="I34" i="17"/>
  <c r="AU34" i="21"/>
  <c r="AV34" i="21" s="1"/>
  <c r="G35" i="17"/>
  <c r="X35" i="21"/>
  <c r="Y35" i="21" s="1"/>
  <c r="I35" i="17"/>
  <c r="AU35" i="21"/>
  <c r="AV35" i="21" s="1"/>
  <c r="G36" i="17"/>
  <c r="X36" i="21"/>
  <c r="Y36" i="21" s="1"/>
  <c r="I36" i="17"/>
  <c r="AU36" i="21"/>
  <c r="AV36" i="21" s="1"/>
  <c r="G37" i="17"/>
  <c r="X37" i="21"/>
  <c r="Y37" i="21" s="1"/>
  <c r="I37" i="17"/>
  <c r="AU37" i="21"/>
  <c r="AV37" i="21" s="1"/>
  <c r="G38" i="17"/>
  <c r="X38" i="21"/>
  <c r="Y38" i="21" s="1"/>
  <c r="I38" i="17"/>
  <c r="AU38" i="21"/>
  <c r="AV38" i="21" s="1"/>
  <c r="G39" i="17"/>
  <c r="X39" i="21"/>
  <c r="Y39" i="21" s="1"/>
  <c r="I39" i="17"/>
  <c r="AU39" i="21"/>
  <c r="AV39" i="21" s="1"/>
  <c r="G40" i="17"/>
  <c r="X40" i="21"/>
  <c r="Y40" i="21" s="1"/>
  <c r="I40" i="17"/>
  <c r="AU40" i="21"/>
  <c r="AV40" i="21" s="1"/>
  <c r="G41" i="17"/>
  <c r="X41" i="21"/>
  <c r="Y41" i="21" s="1"/>
  <c r="I41" i="17"/>
  <c r="AU41" i="21"/>
  <c r="AV41" i="21" s="1"/>
  <c r="G42" i="17"/>
  <c r="X42" i="21"/>
  <c r="Y42" i="21" s="1"/>
  <c r="I42" i="17"/>
  <c r="AU42" i="21"/>
  <c r="AV42" i="21" s="1"/>
  <c r="G43" i="17"/>
  <c r="X43" i="21"/>
  <c r="Y43" i="21" s="1"/>
  <c r="I43" i="17"/>
  <c r="AU43" i="21"/>
  <c r="AV43" i="21" s="1"/>
  <c r="G44" i="17"/>
  <c r="X44" i="21"/>
  <c r="Y44" i="21" s="1"/>
  <c r="I44" i="17"/>
  <c r="AU44" i="21"/>
  <c r="AV44" i="21" s="1"/>
  <c r="G45" i="17"/>
  <c r="X45" i="21"/>
  <c r="Y45" i="21" s="1"/>
  <c r="I45" i="17"/>
  <c r="AU45" i="21"/>
  <c r="AV45" i="21" s="1"/>
  <c r="G46" i="17"/>
  <c r="X46" i="21"/>
  <c r="Y46" i="21" s="1"/>
  <c r="I46" i="17"/>
  <c r="AU46" i="21"/>
  <c r="AV46" i="21" s="1"/>
  <c r="G47" i="17"/>
  <c r="X47" i="21"/>
  <c r="Y47" i="21" s="1"/>
  <c r="I47" i="17"/>
  <c r="AU47" i="21"/>
  <c r="AV47" i="21" s="1"/>
  <c r="G48" i="17"/>
  <c r="X48" i="21"/>
  <c r="Y48" i="21" s="1"/>
  <c r="I48" i="17"/>
  <c r="AU48" i="21"/>
  <c r="AV48" i="21" s="1"/>
  <c r="G49" i="17"/>
  <c r="X49" i="21"/>
  <c r="Y49" i="21" s="1"/>
  <c r="I49" i="17"/>
  <c r="AU49" i="21"/>
  <c r="AV49" i="21" s="1"/>
  <c r="G50" i="17"/>
  <c r="X50" i="21"/>
  <c r="Y50" i="21" s="1"/>
  <c r="I50" i="17"/>
  <c r="AU50" i="21"/>
  <c r="AV50" i="21" s="1"/>
  <c r="G51" i="17"/>
  <c r="X51" i="21"/>
  <c r="Y51" i="21" s="1"/>
  <c r="I51" i="17"/>
  <c r="AU51" i="21"/>
  <c r="AV51" i="21" s="1"/>
  <c r="G52" i="17"/>
  <c r="X52" i="21"/>
  <c r="Y52" i="21" s="1"/>
  <c r="I52" i="17"/>
  <c r="AU52" i="21"/>
  <c r="AV52" i="21" s="1"/>
  <c r="G53" i="17"/>
  <c r="X53" i="21"/>
  <c r="Y53" i="21" s="1"/>
  <c r="I53" i="17"/>
  <c r="AU53" i="21"/>
  <c r="AV53" i="21" s="1"/>
  <c r="G54" i="17"/>
  <c r="X54" i="21"/>
  <c r="Y54" i="21" s="1"/>
  <c r="I54" i="17"/>
  <c r="AU54" i="21"/>
  <c r="AV54" i="21" s="1"/>
  <c r="G55" i="17"/>
  <c r="X55" i="21"/>
  <c r="Y55" i="21" s="1"/>
  <c r="I55" i="17"/>
  <c r="AU55" i="21"/>
  <c r="AV55" i="21" s="1"/>
  <c r="G56" i="17"/>
  <c r="X56" i="21"/>
  <c r="Y56" i="21" s="1"/>
  <c r="I56" i="17"/>
  <c r="AU56" i="21"/>
  <c r="AV56" i="21" s="1"/>
  <c r="G57" i="17"/>
  <c r="X57" i="21"/>
  <c r="Y57" i="21" s="1"/>
  <c r="I57" i="17"/>
  <c r="AU57" i="21"/>
  <c r="AV57" i="21" s="1"/>
  <c r="G58" i="17"/>
  <c r="X58" i="21"/>
  <c r="Y58" i="21" s="1"/>
  <c r="I58" i="17"/>
  <c r="AU58" i="21"/>
  <c r="AV58" i="21" s="1"/>
  <c r="G59" i="17"/>
  <c r="X59" i="21"/>
  <c r="Y59" i="21" s="1"/>
  <c r="I59" i="17"/>
  <c r="AU59" i="21"/>
  <c r="AV59" i="21" s="1"/>
  <c r="G60" i="17"/>
  <c r="X60" i="21"/>
  <c r="Y60" i="21" s="1"/>
  <c r="I60" i="17"/>
  <c r="AU60" i="21"/>
  <c r="AV60" i="21" s="1"/>
  <c r="G61" i="17"/>
  <c r="X61" i="21"/>
  <c r="Y61" i="21" s="1"/>
  <c r="I61" i="17"/>
  <c r="AU61" i="21"/>
  <c r="AV61" i="21" s="1"/>
  <c r="G62" i="17"/>
  <c r="X62" i="21"/>
  <c r="Y62" i="21" s="1"/>
  <c r="I62" i="17"/>
  <c r="AU62" i="21"/>
  <c r="AV62" i="21" s="1"/>
  <c r="G63" i="17"/>
  <c r="X63" i="21"/>
  <c r="Y63" i="21" s="1"/>
  <c r="I63" i="17"/>
  <c r="AU63" i="21"/>
  <c r="AV63" i="21" s="1"/>
  <c r="G64" i="17"/>
  <c r="X64" i="21"/>
  <c r="Y64" i="21" s="1"/>
  <c r="I64" i="17"/>
  <c r="AU64" i="21"/>
  <c r="AV64" i="21" s="1"/>
  <c r="G65" i="17"/>
  <c r="X65" i="21"/>
  <c r="Y65" i="21" s="1"/>
  <c r="I65" i="17"/>
  <c r="AU65" i="21"/>
  <c r="AV65" i="21" s="1"/>
  <c r="G66" i="17"/>
  <c r="X66" i="21"/>
  <c r="Y66" i="21" s="1"/>
  <c r="I66" i="17"/>
  <c r="AU66" i="21"/>
  <c r="AV66" i="21" s="1"/>
  <c r="G67" i="17"/>
  <c r="X67" i="21"/>
  <c r="Y67" i="21" s="1"/>
  <c r="I67" i="17"/>
  <c r="AU67" i="21"/>
  <c r="AV67" i="21" s="1"/>
  <c r="G68" i="17"/>
  <c r="X68" i="21"/>
  <c r="Y68" i="21" s="1"/>
  <c r="I68" i="17"/>
  <c r="AU68" i="21"/>
  <c r="AV68" i="21" s="1"/>
  <c r="G69" i="17"/>
  <c r="X69" i="21"/>
  <c r="Y69" i="21" s="1"/>
  <c r="I69" i="17"/>
  <c r="AU69" i="21"/>
  <c r="AV69" i="21" s="1"/>
  <c r="G70" i="17"/>
  <c r="X70" i="21"/>
  <c r="Y70" i="21" s="1"/>
  <c r="I70" i="17"/>
  <c r="AU70" i="21"/>
  <c r="AV70" i="21" s="1"/>
  <c r="G71" i="17"/>
  <c r="X71" i="21"/>
  <c r="Y71" i="21" s="1"/>
  <c r="I71" i="17"/>
  <c r="AU71" i="21"/>
  <c r="AV71" i="21" s="1"/>
  <c r="G72" i="17"/>
  <c r="X72" i="21"/>
  <c r="Y72" i="21" s="1"/>
  <c r="I72" i="17"/>
  <c r="AU72" i="21"/>
  <c r="AV72" i="21" s="1"/>
  <c r="G73" i="17"/>
  <c r="X73" i="21"/>
  <c r="Y73" i="21" s="1"/>
  <c r="I73" i="17"/>
  <c r="AU73" i="21"/>
  <c r="AV73" i="21" s="1"/>
  <c r="G74" i="17"/>
  <c r="X74" i="21"/>
  <c r="Y74" i="21" s="1"/>
  <c r="I74" i="17"/>
  <c r="AU74" i="21"/>
  <c r="AV74" i="21" s="1"/>
  <c r="G75" i="17"/>
  <c r="X75" i="21"/>
  <c r="Y75" i="21" s="1"/>
  <c r="I75" i="17"/>
  <c r="AU75" i="21"/>
  <c r="AV75" i="21" s="1"/>
  <c r="G76" i="17"/>
  <c r="X76" i="21"/>
  <c r="Y76" i="21" s="1"/>
  <c r="I76" i="17"/>
  <c r="AU76" i="21"/>
  <c r="AV76" i="21" s="1"/>
  <c r="G77" i="17"/>
  <c r="X77" i="21"/>
  <c r="Y77" i="21" s="1"/>
  <c r="I77" i="17"/>
  <c r="AU77" i="21"/>
  <c r="AV77" i="21" s="1"/>
  <c r="G78" i="17"/>
  <c r="X78" i="21"/>
  <c r="Y78" i="21" s="1"/>
  <c r="I78" i="17"/>
  <c r="AU78" i="21"/>
  <c r="AV78" i="21" s="1"/>
  <c r="G79" i="17"/>
  <c r="X79" i="21"/>
  <c r="Y79" i="21" s="1"/>
  <c r="I79" i="17"/>
  <c r="AU79" i="21"/>
  <c r="AV79" i="21" s="1"/>
  <c r="G80" i="17"/>
  <c r="X80" i="21"/>
  <c r="Y80" i="21" s="1"/>
  <c r="I80" i="17"/>
  <c r="AU80" i="21"/>
  <c r="AV80" i="21" s="1"/>
  <c r="G81" i="17"/>
  <c r="X81" i="21"/>
  <c r="Y81" i="21" s="1"/>
  <c r="I81" i="17"/>
  <c r="AU81" i="21"/>
  <c r="AV81" i="21" s="1"/>
  <c r="G82" i="17"/>
  <c r="X82" i="21"/>
  <c r="Y82" i="21" s="1"/>
  <c r="I82" i="17"/>
  <c r="AU82" i="21"/>
  <c r="AV82" i="21" s="1"/>
  <c r="G83" i="17"/>
  <c r="X83" i="21"/>
  <c r="Y83" i="21" s="1"/>
  <c r="I83" i="17"/>
  <c r="AU83" i="21"/>
  <c r="AV83" i="21" s="1"/>
  <c r="G84" i="17"/>
  <c r="X84" i="21"/>
  <c r="Y84" i="21" s="1"/>
  <c r="I84" i="17"/>
  <c r="AU84" i="21"/>
  <c r="AV84" i="21" s="1"/>
  <c r="G85" i="17"/>
  <c r="X85" i="21"/>
  <c r="Y85" i="21" s="1"/>
  <c r="I85" i="17"/>
  <c r="AU85" i="21"/>
  <c r="AV85" i="21" s="1"/>
  <c r="G86" i="17"/>
  <c r="X86" i="21"/>
  <c r="Y86" i="21" s="1"/>
  <c r="I86" i="17"/>
  <c r="AU86" i="21"/>
  <c r="AV86" i="21" s="1"/>
  <c r="G87" i="17"/>
  <c r="X87" i="21"/>
  <c r="Y87" i="21" s="1"/>
  <c r="I87" i="17"/>
  <c r="AU87" i="21"/>
  <c r="AV87" i="21" s="1"/>
  <c r="G88" i="17"/>
  <c r="X88" i="21"/>
  <c r="Y88" i="21" s="1"/>
  <c r="I88" i="17"/>
  <c r="AU88" i="21"/>
  <c r="AV88" i="21" s="1"/>
  <c r="G89" i="17"/>
  <c r="X89" i="21"/>
  <c r="Y89" i="21" s="1"/>
  <c r="I89" i="17"/>
  <c r="AU89" i="21"/>
  <c r="AV89" i="21" s="1"/>
  <c r="G90" i="17"/>
  <c r="X90" i="21"/>
  <c r="Y90" i="21" s="1"/>
  <c r="I90" i="17"/>
  <c r="AU90" i="21"/>
  <c r="AV90" i="21" s="1"/>
  <c r="G91" i="17"/>
  <c r="X91" i="21"/>
  <c r="Y91" i="21" s="1"/>
  <c r="I91" i="17"/>
  <c r="AU91" i="21"/>
  <c r="AV91" i="21" s="1"/>
  <c r="G92" i="17"/>
  <c r="X92" i="21"/>
  <c r="Y92" i="21" s="1"/>
  <c r="I92" i="17"/>
  <c r="AU92" i="21"/>
  <c r="AV92" i="21" s="1"/>
  <c r="G93" i="17"/>
  <c r="X93" i="21"/>
  <c r="Y93" i="21" s="1"/>
  <c r="I93" i="17"/>
  <c r="AU93" i="21"/>
  <c r="AV93" i="21" s="1"/>
  <c r="G94" i="17"/>
  <c r="X94" i="21"/>
  <c r="Y94" i="21" s="1"/>
  <c r="I94" i="17"/>
  <c r="AU94" i="21"/>
  <c r="AV94" i="21" s="1"/>
  <c r="G95" i="17"/>
  <c r="X95" i="21"/>
  <c r="Y95" i="21" s="1"/>
  <c r="I95" i="17"/>
  <c r="AU95" i="21"/>
  <c r="AV95" i="21" s="1"/>
  <c r="G96" i="17"/>
  <c r="X96" i="21"/>
  <c r="Y96" i="21" s="1"/>
  <c r="I96" i="17"/>
  <c r="AU96" i="21"/>
  <c r="AV96" i="21" s="1"/>
  <c r="G97" i="17"/>
  <c r="X97" i="21"/>
  <c r="Y97" i="21" s="1"/>
  <c r="I97" i="17"/>
  <c r="AU97" i="21"/>
  <c r="AV97" i="21" s="1"/>
  <c r="G98" i="17"/>
  <c r="X98" i="21"/>
  <c r="Y98" i="21" s="1"/>
  <c r="I98" i="17"/>
  <c r="AU98" i="21"/>
  <c r="AV98" i="21" s="1"/>
  <c r="G99" i="17"/>
  <c r="X99" i="21"/>
  <c r="Y99" i="21" s="1"/>
  <c r="I99" i="17"/>
  <c r="AU99" i="21"/>
  <c r="AV99" i="21" s="1"/>
  <c r="G100" i="17"/>
  <c r="X100" i="21"/>
  <c r="Y100" i="21" s="1"/>
  <c r="I100" i="17"/>
  <c r="AU100" i="21"/>
  <c r="AV100" i="21" s="1"/>
  <c r="G101" i="17"/>
  <c r="X101" i="21"/>
  <c r="Y101" i="21" s="1"/>
  <c r="I101" i="17"/>
  <c r="AU101" i="21"/>
  <c r="AV101" i="21" s="1"/>
  <c r="G102" i="17"/>
  <c r="X102" i="21"/>
  <c r="Y102" i="21" s="1"/>
  <c r="I102" i="17"/>
  <c r="AU102" i="21"/>
  <c r="AV102" i="21" s="1"/>
  <c r="G103" i="17"/>
  <c r="X103" i="21"/>
  <c r="Y103" i="21" s="1"/>
  <c r="I103" i="17"/>
  <c r="AU103" i="21"/>
  <c r="AV103" i="21" s="1"/>
  <c r="G104" i="17"/>
  <c r="X104" i="21"/>
  <c r="Y104" i="21" s="1"/>
  <c r="I104" i="17"/>
  <c r="AU104" i="21"/>
  <c r="AV104" i="21" s="1"/>
  <c r="I6" i="17"/>
  <c r="I7" i="17"/>
  <c r="I8" i="17"/>
  <c r="AU8" i="21"/>
  <c r="I9" i="17"/>
  <c r="AU9" i="21"/>
  <c r="I10" i="17"/>
  <c r="AU10" i="21"/>
  <c r="I11" i="17"/>
  <c r="AU11" i="21"/>
  <c r="I12" i="17"/>
  <c r="AU12" i="21"/>
  <c r="I13" i="17"/>
  <c r="AU13" i="21"/>
  <c r="I14" i="17"/>
  <c r="AU14" i="21"/>
  <c r="I15" i="17"/>
  <c r="AU15" i="21"/>
  <c r="I16" i="17"/>
  <c r="AU16" i="21"/>
  <c r="AV16" i="21" s="1"/>
  <c r="I17" i="17"/>
  <c r="AU17" i="21"/>
  <c r="AV17" i="21" s="1"/>
  <c r="I18" i="17"/>
  <c r="AU18" i="21"/>
  <c r="AV18" i="21" s="1"/>
  <c r="I19" i="17"/>
  <c r="AU19" i="21"/>
  <c r="AV19" i="21" s="1"/>
  <c r="H5" i="17"/>
  <c r="X5" i="21"/>
  <c r="H6" i="17"/>
  <c r="X6" i="21"/>
  <c r="H7" i="17"/>
  <c r="X7" i="21"/>
  <c r="H8" i="17"/>
  <c r="X8" i="21"/>
  <c r="H9" i="17"/>
  <c r="X9" i="21"/>
  <c r="H10" i="17"/>
  <c r="X10" i="21"/>
  <c r="H11" i="17"/>
  <c r="X11" i="21"/>
  <c r="H12" i="17"/>
  <c r="X12" i="21"/>
  <c r="H13" i="17"/>
  <c r="X13" i="21"/>
  <c r="H14" i="17"/>
  <c r="X14" i="21"/>
  <c r="H15" i="17"/>
  <c r="X15" i="21"/>
  <c r="H16" i="17"/>
  <c r="X16" i="21"/>
  <c r="Y16" i="21" s="1"/>
  <c r="H17" i="17"/>
  <c r="X17" i="21"/>
  <c r="Y17" i="21" s="1"/>
  <c r="H18" i="17"/>
  <c r="X18" i="21"/>
  <c r="Y18" i="21" s="1"/>
  <c r="H19" i="17"/>
  <c r="X19" i="21"/>
  <c r="Y19" i="21" s="1"/>
  <c r="H20" i="17"/>
  <c r="X20" i="21"/>
  <c r="Y20" i="21" s="1"/>
  <c r="H5" i="16"/>
  <c r="X5" i="20"/>
  <c r="G6" i="16"/>
  <c r="X6" i="20"/>
  <c r="G7" i="16"/>
  <c r="X7" i="20"/>
  <c r="G8" i="16"/>
  <c r="X8" i="20"/>
  <c r="G9" i="16"/>
  <c r="X9" i="20"/>
  <c r="G10" i="16"/>
  <c r="X10" i="20"/>
  <c r="Y10" i="20" s="1"/>
  <c r="G11" i="16"/>
  <c r="X11" i="20"/>
  <c r="Y11" i="20" s="1"/>
  <c r="G12" i="16"/>
  <c r="X12" i="20"/>
  <c r="Y12" i="20" s="1"/>
  <c r="G13" i="16"/>
  <c r="X13" i="20"/>
  <c r="Y13" i="20" s="1"/>
  <c r="G14" i="16"/>
  <c r="X14" i="20"/>
  <c r="Y14" i="20" s="1"/>
  <c r="G15" i="16"/>
  <c r="X15" i="20"/>
  <c r="Y15" i="20" s="1"/>
  <c r="G16" i="16"/>
  <c r="X16" i="20"/>
  <c r="Y16" i="20" s="1"/>
  <c r="G17" i="16"/>
  <c r="X17" i="20"/>
  <c r="Y17" i="20" s="1"/>
  <c r="G18" i="16"/>
  <c r="X18" i="20"/>
  <c r="Y18" i="20" s="1"/>
  <c r="G19" i="16"/>
  <c r="X19" i="20"/>
  <c r="Y19" i="20" s="1"/>
  <c r="G20" i="16"/>
  <c r="X20" i="20"/>
  <c r="Y20" i="20" s="1"/>
  <c r="G21" i="16"/>
  <c r="X21" i="20"/>
  <c r="Y21" i="20" s="1"/>
  <c r="G22" i="16"/>
  <c r="X22" i="20"/>
  <c r="Y22" i="20" s="1"/>
  <c r="G23" i="16"/>
  <c r="X23" i="20"/>
  <c r="Y23" i="20" s="1"/>
  <c r="G24" i="16"/>
  <c r="X24" i="20"/>
  <c r="Y24" i="20" s="1"/>
  <c r="G25" i="16"/>
  <c r="X25" i="20"/>
  <c r="Y25" i="20" s="1"/>
  <c r="G26" i="16"/>
  <c r="X26" i="20"/>
  <c r="Y26" i="20" s="1"/>
  <c r="G27" i="16"/>
  <c r="X27" i="20"/>
  <c r="Y27" i="20" s="1"/>
  <c r="G28" i="16"/>
  <c r="X28" i="20"/>
  <c r="Y28" i="20" s="1"/>
  <c r="G29" i="16"/>
  <c r="X29" i="20"/>
  <c r="Y29" i="20" s="1"/>
  <c r="G30" i="16"/>
  <c r="X30" i="20"/>
  <c r="Y30" i="20" s="1"/>
  <c r="G31" i="16"/>
  <c r="X31" i="20"/>
  <c r="Y31" i="20" s="1"/>
  <c r="G32" i="16"/>
  <c r="X32" i="20"/>
  <c r="Y32" i="20" s="1"/>
  <c r="G33" i="16"/>
  <c r="X33" i="20"/>
  <c r="Y33" i="20" s="1"/>
  <c r="G34" i="16"/>
  <c r="X34" i="20"/>
  <c r="Y34" i="20" s="1"/>
  <c r="G35" i="16"/>
  <c r="X35" i="20"/>
  <c r="Y35" i="20" s="1"/>
  <c r="G36" i="16"/>
  <c r="X36" i="20"/>
  <c r="Y36" i="20" s="1"/>
  <c r="G37" i="16"/>
  <c r="X37" i="20"/>
  <c r="Y37" i="20" s="1"/>
  <c r="G38" i="16"/>
  <c r="X38" i="20"/>
  <c r="Y38" i="20" s="1"/>
  <c r="G39" i="16"/>
  <c r="X39" i="20"/>
  <c r="Y39" i="20" s="1"/>
  <c r="G40" i="16"/>
  <c r="X40" i="20"/>
  <c r="Y40" i="20" s="1"/>
  <c r="G41" i="16"/>
  <c r="X41" i="20"/>
  <c r="Y41" i="20" s="1"/>
  <c r="G42" i="16"/>
  <c r="X42" i="20"/>
  <c r="Y42" i="20" s="1"/>
  <c r="G43" i="16"/>
  <c r="X43" i="20"/>
  <c r="Y43" i="20" s="1"/>
  <c r="G44" i="16"/>
  <c r="X44" i="20"/>
  <c r="Y44" i="20" s="1"/>
  <c r="G45" i="16"/>
  <c r="X45" i="20"/>
  <c r="Y45" i="20" s="1"/>
  <c r="G46" i="16"/>
  <c r="X46" i="20"/>
  <c r="Y46" i="20" s="1"/>
  <c r="G47" i="16"/>
  <c r="X47" i="20"/>
  <c r="Y47" i="20" s="1"/>
  <c r="G48" i="16"/>
  <c r="X48" i="20"/>
  <c r="Y48" i="20" s="1"/>
  <c r="G49" i="16"/>
  <c r="X49" i="20"/>
  <c r="Y49" i="20" s="1"/>
  <c r="G50" i="16"/>
  <c r="X50" i="20"/>
  <c r="Y50" i="20" s="1"/>
  <c r="G51" i="16"/>
  <c r="X51" i="20"/>
  <c r="Y51" i="20" s="1"/>
  <c r="G52" i="16"/>
  <c r="X52" i="20"/>
  <c r="Y52" i="20" s="1"/>
  <c r="G53" i="16"/>
  <c r="X53" i="20"/>
  <c r="Y53" i="20" s="1"/>
  <c r="G54" i="16"/>
  <c r="X54" i="20"/>
  <c r="Y54" i="20" s="1"/>
  <c r="G55" i="16"/>
  <c r="X55" i="20"/>
  <c r="Y55" i="20" s="1"/>
  <c r="G56" i="16"/>
  <c r="X56" i="20"/>
  <c r="Y56" i="20" s="1"/>
  <c r="G57" i="16"/>
  <c r="X57" i="20"/>
  <c r="Y57" i="20" s="1"/>
  <c r="G58" i="16"/>
  <c r="X58" i="20"/>
  <c r="Y58" i="20" s="1"/>
  <c r="G59" i="16"/>
  <c r="X59" i="20"/>
  <c r="Y59" i="20" s="1"/>
  <c r="G60" i="16"/>
  <c r="X60" i="20"/>
  <c r="Y60" i="20" s="1"/>
  <c r="G61" i="16"/>
  <c r="X61" i="20"/>
  <c r="Y61" i="20" s="1"/>
  <c r="G62" i="16"/>
  <c r="X62" i="20"/>
  <c r="Y62" i="20" s="1"/>
  <c r="G63" i="16"/>
  <c r="X63" i="20"/>
  <c r="Y63" i="20" s="1"/>
  <c r="G64" i="16"/>
  <c r="X64" i="20"/>
  <c r="Y64" i="20" s="1"/>
  <c r="G65" i="16"/>
  <c r="X65" i="20"/>
  <c r="Y65" i="20" s="1"/>
  <c r="G66" i="16"/>
  <c r="X66" i="20"/>
  <c r="Y66" i="20" s="1"/>
  <c r="G67" i="16"/>
  <c r="X67" i="20"/>
  <c r="Y67" i="20" s="1"/>
  <c r="G68" i="16"/>
  <c r="X68" i="20"/>
  <c r="Y68" i="20" s="1"/>
  <c r="G69" i="16"/>
  <c r="X69" i="20"/>
  <c r="Y69" i="20" s="1"/>
  <c r="G70" i="16"/>
  <c r="X70" i="20"/>
  <c r="Y70" i="20" s="1"/>
  <c r="G71" i="16"/>
  <c r="X71" i="20"/>
  <c r="Y71" i="20" s="1"/>
  <c r="G72" i="16"/>
  <c r="X72" i="20"/>
  <c r="Y72" i="20" s="1"/>
  <c r="G73" i="16"/>
  <c r="X73" i="20"/>
  <c r="Y73" i="20" s="1"/>
  <c r="G74" i="16"/>
  <c r="X74" i="20"/>
  <c r="Y74" i="20" s="1"/>
  <c r="G75" i="16"/>
  <c r="X75" i="20"/>
  <c r="Y75" i="20" s="1"/>
  <c r="G76" i="16"/>
  <c r="X76" i="20"/>
  <c r="Y76" i="20" s="1"/>
  <c r="G77" i="16"/>
  <c r="X77" i="20"/>
  <c r="Y77" i="20" s="1"/>
  <c r="G78" i="16"/>
  <c r="X78" i="20"/>
  <c r="Y78" i="20" s="1"/>
  <c r="G79" i="16"/>
  <c r="X79" i="20"/>
  <c r="Y79" i="20" s="1"/>
  <c r="G80" i="16"/>
  <c r="X80" i="20"/>
  <c r="Y80" i="20" s="1"/>
  <c r="G81" i="16"/>
  <c r="X81" i="20"/>
  <c r="Y81" i="20" s="1"/>
  <c r="G82" i="16"/>
  <c r="X82" i="20"/>
  <c r="Y82" i="20" s="1"/>
  <c r="G83" i="16"/>
  <c r="X83" i="20"/>
  <c r="Y83" i="20" s="1"/>
  <c r="G84" i="16"/>
  <c r="X84" i="20"/>
  <c r="Y84" i="20" s="1"/>
  <c r="G85" i="16"/>
  <c r="X85" i="20"/>
  <c r="Y85" i="20" s="1"/>
  <c r="G86" i="16"/>
  <c r="X86" i="20"/>
  <c r="Y86" i="20" s="1"/>
  <c r="G87" i="16"/>
  <c r="X87" i="20"/>
  <c r="Y87" i="20" s="1"/>
  <c r="G88" i="16"/>
  <c r="X88" i="20"/>
  <c r="Y88" i="20" s="1"/>
  <c r="G89" i="16"/>
  <c r="X89" i="20"/>
  <c r="Y89" i="20" s="1"/>
  <c r="G90" i="16"/>
  <c r="X90" i="20"/>
  <c r="Y90" i="20" s="1"/>
  <c r="G91" i="16"/>
  <c r="X91" i="20"/>
  <c r="Y91" i="20" s="1"/>
  <c r="G92" i="16"/>
  <c r="X92" i="20"/>
  <c r="Y92" i="20" s="1"/>
  <c r="G93" i="16"/>
  <c r="X93" i="20"/>
  <c r="Y93" i="20" s="1"/>
  <c r="G94" i="16"/>
  <c r="X94" i="20"/>
  <c r="Y94" i="20" s="1"/>
  <c r="G95" i="16"/>
  <c r="X95" i="20"/>
  <c r="Y95" i="20" s="1"/>
  <c r="G96" i="16"/>
  <c r="X96" i="20"/>
  <c r="Y96" i="20" s="1"/>
  <c r="G97" i="16"/>
  <c r="X97" i="20"/>
  <c r="Y97" i="20" s="1"/>
  <c r="G98" i="16"/>
  <c r="X98" i="20"/>
  <c r="Y98" i="20" s="1"/>
  <c r="G99" i="16"/>
  <c r="X99" i="20"/>
  <c r="Y99" i="20" s="1"/>
  <c r="G100" i="16"/>
  <c r="X100" i="20"/>
  <c r="Y100" i="20" s="1"/>
  <c r="G101" i="16"/>
  <c r="X101" i="20"/>
  <c r="Y101" i="20" s="1"/>
  <c r="G102" i="16"/>
  <c r="X102" i="20"/>
  <c r="Y102" i="20" s="1"/>
  <c r="G103" i="16"/>
  <c r="X103" i="20"/>
  <c r="Y103" i="20" s="1"/>
  <c r="G104" i="16"/>
  <c r="X104" i="20"/>
  <c r="Y104" i="20" s="1"/>
  <c r="K5" i="17"/>
  <c r="K6" i="17"/>
  <c r="K7" i="17"/>
  <c r="K8" i="17"/>
  <c r="M8" i="17"/>
  <c r="K9" i="17"/>
  <c r="M9" i="17"/>
  <c r="K10" i="17"/>
  <c r="M10" i="17"/>
  <c r="K11" i="17"/>
  <c r="M11" i="17"/>
  <c r="K12" i="17"/>
  <c r="M12" i="17"/>
  <c r="K13" i="17"/>
  <c r="M13" i="17"/>
  <c r="K14" i="17"/>
  <c r="M14" i="17"/>
  <c r="K15" i="17"/>
  <c r="M15" i="17"/>
  <c r="K16" i="17"/>
  <c r="L16" i="17"/>
  <c r="M16" i="17"/>
  <c r="N16" i="17"/>
  <c r="K17" i="17"/>
  <c r="L17" i="17"/>
  <c r="M17" i="17"/>
  <c r="N17" i="17"/>
  <c r="K18" i="17"/>
  <c r="L18" i="17"/>
  <c r="M18" i="17"/>
  <c r="N18" i="17"/>
  <c r="K19" i="17"/>
  <c r="L19" i="17"/>
  <c r="M19" i="17"/>
  <c r="N19" i="17"/>
  <c r="K20" i="17"/>
  <c r="L20" i="17"/>
  <c r="M20" i="17"/>
  <c r="N20" i="17"/>
  <c r="K21" i="17"/>
  <c r="L21" i="17"/>
  <c r="M21" i="17"/>
  <c r="N21" i="17"/>
  <c r="K22" i="17"/>
  <c r="L22" i="17"/>
  <c r="M22" i="17"/>
  <c r="N22" i="17"/>
  <c r="K23" i="17"/>
  <c r="L23" i="17"/>
  <c r="M23" i="17"/>
  <c r="N23" i="17"/>
  <c r="K24" i="17"/>
  <c r="L24" i="17"/>
  <c r="M24" i="17"/>
  <c r="N24" i="17"/>
  <c r="K25" i="17"/>
  <c r="L25" i="17"/>
  <c r="M25" i="17"/>
  <c r="N25" i="17"/>
  <c r="K26" i="17"/>
  <c r="L26" i="17"/>
  <c r="M26" i="17"/>
  <c r="N26" i="17"/>
  <c r="K27" i="17"/>
  <c r="L27" i="17"/>
  <c r="M27" i="17"/>
  <c r="N27" i="17"/>
  <c r="K28" i="17"/>
  <c r="L28" i="17"/>
  <c r="M28" i="17"/>
  <c r="N28" i="17"/>
  <c r="K29" i="17"/>
  <c r="L29" i="17"/>
  <c r="M29" i="17"/>
  <c r="N29" i="17"/>
  <c r="K30" i="17"/>
  <c r="L30" i="17"/>
  <c r="M30" i="17"/>
  <c r="N30" i="17"/>
  <c r="K31" i="17"/>
  <c r="L31" i="17"/>
  <c r="M31" i="17"/>
  <c r="N31" i="17"/>
  <c r="K32" i="17"/>
  <c r="L32" i="17"/>
  <c r="M32" i="17"/>
  <c r="N32" i="17"/>
  <c r="K33" i="17"/>
  <c r="L33" i="17"/>
  <c r="M33" i="17"/>
  <c r="N33" i="17"/>
  <c r="K34" i="17"/>
  <c r="L34" i="17"/>
  <c r="M34" i="17"/>
  <c r="N34" i="17"/>
  <c r="K35" i="17"/>
  <c r="L35" i="17"/>
  <c r="M35" i="17"/>
  <c r="N35" i="17"/>
  <c r="K36" i="17"/>
  <c r="L36" i="17"/>
  <c r="M36" i="17"/>
  <c r="N36" i="17"/>
  <c r="K37" i="17"/>
  <c r="L37" i="17"/>
  <c r="M37" i="17"/>
  <c r="N37" i="17"/>
  <c r="K38" i="17"/>
  <c r="L38" i="17"/>
  <c r="M38" i="17"/>
  <c r="N38" i="17"/>
  <c r="K39" i="17"/>
  <c r="L39" i="17"/>
  <c r="M39" i="17"/>
  <c r="N39" i="17"/>
  <c r="K40" i="17"/>
  <c r="L40" i="17"/>
  <c r="M40" i="17"/>
  <c r="N40" i="17"/>
  <c r="K41" i="17"/>
  <c r="L41" i="17"/>
  <c r="M41" i="17"/>
  <c r="N41" i="17"/>
  <c r="K42" i="17"/>
  <c r="L42" i="17"/>
  <c r="M42" i="17"/>
  <c r="N42" i="17"/>
  <c r="K43" i="17"/>
  <c r="L43" i="17"/>
  <c r="M43" i="17"/>
  <c r="N43" i="17"/>
  <c r="K44" i="17"/>
  <c r="L44" i="17"/>
  <c r="M44" i="17"/>
  <c r="N44" i="17"/>
  <c r="K45" i="17"/>
  <c r="L45" i="17"/>
  <c r="M45" i="17"/>
  <c r="N45" i="17"/>
  <c r="K46" i="17"/>
  <c r="L46" i="17"/>
  <c r="M46" i="17"/>
  <c r="N46" i="17"/>
  <c r="K47" i="17"/>
  <c r="L47" i="17"/>
  <c r="M47" i="17"/>
  <c r="N47" i="17"/>
  <c r="K48" i="17"/>
  <c r="L48" i="17"/>
  <c r="M48" i="17"/>
  <c r="N48" i="17"/>
  <c r="K49" i="17"/>
  <c r="L49" i="17"/>
  <c r="M49" i="17"/>
  <c r="N49" i="17"/>
  <c r="K50" i="17"/>
  <c r="L50" i="17"/>
  <c r="M50" i="17"/>
  <c r="N50" i="17"/>
  <c r="K51" i="17"/>
  <c r="L51" i="17"/>
  <c r="M51" i="17"/>
  <c r="N51" i="17"/>
  <c r="K52" i="17"/>
  <c r="L52" i="17"/>
  <c r="M52" i="17"/>
  <c r="N52" i="17"/>
  <c r="K53" i="17"/>
  <c r="L53" i="17"/>
  <c r="M53" i="17"/>
  <c r="N53" i="17"/>
  <c r="K54" i="17"/>
  <c r="L54" i="17"/>
  <c r="M54" i="17"/>
  <c r="N54" i="17"/>
  <c r="K55" i="17"/>
  <c r="L55" i="17"/>
  <c r="M55" i="17"/>
  <c r="N55" i="17"/>
  <c r="K56" i="17"/>
  <c r="L56" i="17"/>
  <c r="M56" i="17"/>
  <c r="N56" i="17"/>
  <c r="K57" i="17"/>
  <c r="L57" i="17"/>
  <c r="M57" i="17"/>
  <c r="N57" i="17"/>
  <c r="K58" i="17"/>
  <c r="L58" i="17"/>
  <c r="M58" i="17"/>
  <c r="N58" i="17"/>
  <c r="K59" i="17"/>
  <c r="L59" i="17"/>
  <c r="M59" i="17"/>
  <c r="N59" i="17"/>
  <c r="K60" i="17"/>
  <c r="L60" i="17"/>
  <c r="M60" i="17"/>
  <c r="N60" i="17"/>
  <c r="K61" i="17"/>
  <c r="L61" i="17"/>
  <c r="M61" i="17"/>
  <c r="N61" i="17"/>
  <c r="K62" i="17"/>
  <c r="L62" i="17"/>
  <c r="M62" i="17"/>
  <c r="N62" i="17"/>
  <c r="K63" i="17"/>
  <c r="L63" i="17"/>
  <c r="M63" i="17"/>
  <c r="N63" i="17"/>
  <c r="K64" i="17"/>
  <c r="L64" i="17"/>
  <c r="M64" i="17"/>
  <c r="N64" i="17"/>
  <c r="K65" i="17"/>
  <c r="L65" i="17"/>
  <c r="M65" i="17"/>
  <c r="N65" i="17"/>
  <c r="K66" i="17"/>
  <c r="L66" i="17"/>
  <c r="M66" i="17"/>
  <c r="N66" i="17"/>
  <c r="K67" i="17"/>
  <c r="L67" i="17"/>
  <c r="M67" i="17"/>
  <c r="N67" i="17"/>
  <c r="K68" i="17"/>
  <c r="L68" i="17"/>
  <c r="M68" i="17"/>
  <c r="N68" i="17"/>
  <c r="K69" i="17"/>
  <c r="L69" i="17"/>
  <c r="M69" i="17"/>
  <c r="N69" i="17"/>
  <c r="K70" i="17"/>
  <c r="L70" i="17"/>
  <c r="M70" i="17"/>
  <c r="N70" i="17"/>
  <c r="K71" i="17"/>
  <c r="L71" i="17"/>
  <c r="M71" i="17"/>
  <c r="N71" i="17"/>
  <c r="K72" i="17"/>
  <c r="L72" i="17"/>
  <c r="M72" i="17"/>
  <c r="N72" i="17"/>
  <c r="K73" i="17"/>
  <c r="L73" i="17"/>
  <c r="M73" i="17"/>
  <c r="N73" i="17"/>
  <c r="K74" i="17"/>
  <c r="L74" i="17"/>
  <c r="M74" i="17"/>
  <c r="N74" i="17"/>
  <c r="K75" i="17"/>
  <c r="L75" i="17"/>
  <c r="M75" i="17"/>
  <c r="N75" i="17"/>
  <c r="K76" i="17"/>
  <c r="L76" i="17"/>
  <c r="M76" i="17"/>
  <c r="N76" i="17"/>
  <c r="K77" i="17"/>
  <c r="L77" i="17"/>
  <c r="M77" i="17"/>
  <c r="N77" i="17"/>
  <c r="K78" i="17"/>
  <c r="L78" i="17"/>
  <c r="M78" i="17"/>
  <c r="N78" i="17"/>
  <c r="K79" i="17"/>
  <c r="L79" i="17"/>
  <c r="M79" i="17"/>
  <c r="N79" i="17"/>
  <c r="K80" i="17"/>
  <c r="L80" i="17"/>
  <c r="M80" i="17"/>
  <c r="N80" i="17"/>
  <c r="K81" i="17"/>
  <c r="L81" i="17"/>
  <c r="M81" i="17"/>
  <c r="N81" i="17"/>
  <c r="K82" i="17"/>
  <c r="L82" i="17"/>
  <c r="M82" i="17"/>
  <c r="N82" i="17"/>
  <c r="K83" i="17"/>
  <c r="L83" i="17"/>
  <c r="M83" i="17"/>
  <c r="N83" i="17"/>
  <c r="K84" i="17"/>
  <c r="L84" i="17"/>
  <c r="M84" i="17"/>
  <c r="N84" i="17"/>
  <c r="K85" i="17"/>
  <c r="L85" i="17"/>
  <c r="M85" i="17"/>
  <c r="N85" i="17"/>
  <c r="K86" i="17"/>
  <c r="L86" i="17"/>
  <c r="M86" i="17"/>
  <c r="N86" i="17"/>
  <c r="K87" i="17"/>
  <c r="L87" i="17"/>
  <c r="M87" i="17"/>
  <c r="N87" i="17"/>
  <c r="K88" i="17"/>
  <c r="L88" i="17"/>
  <c r="M88" i="17"/>
  <c r="N88" i="17"/>
  <c r="K89" i="17"/>
  <c r="L89" i="17"/>
  <c r="M89" i="17"/>
  <c r="N89" i="17"/>
  <c r="K90" i="17"/>
  <c r="L90" i="17"/>
  <c r="M90" i="17"/>
  <c r="N90" i="17"/>
  <c r="K91" i="17"/>
  <c r="L91" i="17"/>
  <c r="M91" i="17"/>
  <c r="N91" i="17"/>
  <c r="K92" i="17"/>
  <c r="L92" i="17"/>
  <c r="M92" i="17"/>
  <c r="N92" i="17"/>
  <c r="K93" i="17"/>
  <c r="L93" i="17"/>
  <c r="M93" i="17"/>
  <c r="N93" i="17"/>
  <c r="K94" i="17"/>
  <c r="L94" i="17"/>
  <c r="M94" i="17"/>
  <c r="N94" i="17"/>
  <c r="K95" i="17"/>
  <c r="L95" i="17"/>
  <c r="M95" i="17"/>
  <c r="N95" i="17"/>
  <c r="K96" i="17"/>
  <c r="L96" i="17"/>
  <c r="M96" i="17"/>
  <c r="N96" i="17"/>
  <c r="K97" i="17"/>
  <c r="L97" i="17"/>
  <c r="M97" i="17"/>
  <c r="N97" i="17"/>
  <c r="K98" i="17"/>
  <c r="L98" i="17"/>
  <c r="M98" i="17"/>
  <c r="N98" i="17"/>
  <c r="K99" i="17"/>
  <c r="L99" i="17"/>
  <c r="M99" i="17"/>
  <c r="N99" i="17"/>
  <c r="K100" i="17"/>
  <c r="L100" i="17"/>
  <c r="M100" i="17"/>
  <c r="N100" i="17"/>
  <c r="K101" i="17"/>
  <c r="L101" i="17"/>
  <c r="M101" i="17"/>
  <c r="N101" i="17"/>
  <c r="K102" i="17"/>
  <c r="L102" i="17"/>
  <c r="M102" i="17"/>
  <c r="N102" i="17"/>
  <c r="K103" i="17"/>
  <c r="L103" i="17"/>
  <c r="M103" i="17"/>
  <c r="N103" i="17"/>
  <c r="K104" i="17"/>
  <c r="L104" i="17"/>
  <c r="M104" i="17"/>
  <c r="N104" i="17"/>
  <c r="K5" i="16"/>
  <c r="L5" i="16" s="1"/>
  <c r="K6" i="16"/>
  <c r="L6" i="16"/>
  <c r="K7" i="16"/>
  <c r="L7" i="16"/>
  <c r="K8" i="16"/>
  <c r="L8" i="16"/>
  <c r="M8" i="16"/>
  <c r="N8" i="16"/>
  <c r="K9" i="16"/>
  <c r="L9" i="16"/>
  <c r="M9" i="16"/>
  <c r="N9" i="16"/>
  <c r="K10" i="16"/>
  <c r="L10" i="16"/>
  <c r="M10" i="16"/>
  <c r="N10" i="16"/>
  <c r="K11" i="16"/>
  <c r="L11" i="16"/>
  <c r="M11" i="16"/>
  <c r="N11" i="16"/>
  <c r="K12" i="16"/>
  <c r="L12" i="16"/>
  <c r="M12" i="16"/>
  <c r="N12" i="16"/>
  <c r="K13" i="16"/>
  <c r="L13" i="16"/>
  <c r="M13" i="16"/>
  <c r="N13" i="16"/>
  <c r="K14" i="16"/>
  <c r="L14" i="16"/>
  <c r="M14" i="16"/>
  <c r="N14" i="16"/>
  <c r="K15" i="16"/>
  <c r="L15" i="16"/>
  <c r="M15" i="16"/>
  <c r="N15" i="16"/>
  <c r="K16" i="16"/>
  <c r="L16" i="16"/>
  <c r="M16" i="16"/>
  <c r="N16" i="16"/>
  <c r="K17" i="16"/>
  <c r="L17" i="16"/>
  <c r="M17" i="16"/>
  <c r="N17" i="16"/>
  <c r="K18" i="16"/>
  <c r="L18" i="16"/>
  <c r="M18" i="16"/>
  <c r="N18" i="16"/>
  <c r="K19" i="16"/>
  <c r="L19" i="16"/>
  <c r="M19" i="16"/>
  <c r="N19" i="16"/>
  <c r="K20" i="16"/>
  <c r="L20" i="16"/>
  <c r="M20" i="16"/>
  <c r="N20" i="16"/>
  <c r="K21" i="16"/>
  <c r="L21" i="16"/>
  <c r="M21" i="16"/>
  <c r="N21" i="16"/>
  <c r="K22" i="16"/>
  <c r="L22" i="16"/>
  <c r="M22" i="16"/>
  <c r="N22" i="16"/>
  <c r="K23" i="16"/>
  <c r="L23" i="16"/>
  <c r="M23" i="16"/>
  <c r="N23" i="16"/>
  <c r="K24" i="16"/>
  <c r="L24" i="16"/>
  <c r="M24" i="16"/>
  <c r="N24" i="16"/>
  <c r="K25" i="16"/>
  <c r="L25" i="16"/>
  <c r="M25" i="16"/>
  <c r="N25" i="16"/>
  <c r="K26" i="16"/>
  <c r="L26" i="16"/>
  <c r="M26" i="16"/>
  <c r="N26" i="16"/>
  <c r="K27" i="16"/>
  <c r="L27" i="16"/>
  <c r="M27" i="16"/>
  <c r="N27" i="16"/>
  <c r="K28" i="16"/>
  <c r="L28" i="16"/>
  <c r="M28" i="16"/>
  <c r="N28" i="16"/>
  <c r="K29" i="16"/>
  <c r="L29" i="16"/>
  <c r="M29" i="16"/>
  <c r="N29" i="16"/>
  <c r="K30" i="16"/>
  <c r="L30" i="16"/>
  <c r="M30" i="16"/>
  <c r="N30" i="16"/>
  <c r="K31" i="16"/>
  <c r="L31" i="16"/>
  <c r="M31" i="16"/>
  <c r="N31" i="16"/>
  <c r="K32" i="16"/>
  <c r="L32" i="16"/>
  <c r="M32" i="16"/>
  <c r="N32" i="16"/>
  <c r="K33" i="16"/>
  <c r="L33" i="16"/>
  <c r="M33" i="16"/>
  <c r="N33" i="16"/>
  <c r="K34" i="16"/>
  <c r="L34" i="16"/>
  <c r="M34" i="16"/>
  <c r="N34" i="16"/>
  <c r="K35" i="16"/>
  <c r="L35" i="16"/>
  <c r="M35" i="16"/>
  <c r="N35" i="16"/>
  <c r="K36" i="16"/>
  <c r="L36" i="16"/>
  <c r="M36" i="16"/>
  <c r="N36" i="16"/>
  <c r="K37" i="16"/>
  <c r="L37" i="16"/>
  <c r="M37" i="16"/>
  <c r="N37" i="16"/>
  <c r="K38" i="16"/>
  <c r="L38" i="16"/>
  <c r="M38" i="16"/>
  <c r="N38" i="16"/>
  <c r="K39" i="16"/>
  <c r="L39" i="16"/>
  <c r="M39" i="16"/>
  <c r="N39" i="16"/>
  <c r="K40" i="16"/>
  <c r="L40" i="16"/>
  <c r="M40" i="16"/>
  <c r="N40" i="16"/>
  <c r="K41" i="16"/>
  <c r="L41" i="16"/>
  <c r="M41" i="16"/>
  <c r="N41" i="16"/>
  <c r="K42" i="16"/>
  <c r="L42" i="16"/>
  <c r="M42" i="16"/>
  <c r="N42" i="16"/>
  <c r="K43" i="16"/>
  <c r="L43" i="16"/>
  <c r="M43" i="16"/>
  <c r="N43" i="16"/>
  <c r="K44" i="16"/>
  <c r="L44" i="16"/>
  <c r="M44" i="16"/>
  <c r="N44" i="16"/>
  <c r="K45" i="16"/>
  <c r="L45" i="16"/>
  <c r="M45" i="16"/>
  <c r="N45" i="16"/>
  <c r="K46" i="16"/>
  <c r="L46" i="16"/>
  <c r="M46" i="16"/>
  <c r="N46" i="16"/>
  <c r="K47" i="16"/>
  <c r="L47" i="16"/>
  <c r="M47" i="16"/>
  <c r="N47" i="16"/>
  <c r="K48" i="16"/>
  <c r="L48" i="16"/>
  <c r="M48" i="16"/>
  <c r="N48" i="16"/>
  <c r="K49" i="16"/>
  <c r="L49" i="16"/>
  <c r="M49" i="16"/>
  <c r="N49" i="16"/>
  <c r="K50" i="16"/>
  <c r="L50" i="16"/>
  <c r="M50" i="16"/>
  <c r="N50" i="16"/>
  <c r="K51" i="16"/>
  <c r="L51" i="16"/>
  <c r="M51" i="16"/>
  <c r="N51" i="16"/>
  <c r="K52" i="16"/>
  <c r="L52" i="16"/>
  <c r="M52" i="16"/>
  <c r="N52" i="16"/>
  <c r="K53" i="16"/>
  <c r="L53" i="16"/>
  <c r="M53" i="16"/>
  <c r="N53" i="16"/>
  <c r="K54" i="16"/>
  <c r="L54" i="16"/>
  <c r="M54" i="16"/>
  <c r="N54" i="16"/>
  <c r="K55" i="16"/>
  <c r="L55" i="16"/>
  <c r="M55" i="16"/>
  <c r="N55" i="16"/>
  <c r="K56" i="16"/>
  <c r="L56" i="16"/>
  <c r="M56" i="16"/>
  <c r="N56" i="16"/>
  <c r="K57" i="16"/>
  <c r="L57" i="16"/>
  <c r="M57" i="16"/>
  <c r="N57" i="16"/>
  <c r="K58" i="16"/>
  <c r="L58" i="16"/>
  <c r="M58" i="16"/>
  <c r="N58" i="16"/>
  <c r="K59" i="16"/>
  <c r="L59" i="16"/>
  <c r="M59" i="16"/>
  <c r="N59" i="16"/>
  <c r="K60" i="16"/>
  <c r="L60" i="16"/>
  <c r="M60" i="16"/>
  <c r="N60" i="16"/>
  <c r="K61" i="16"/>
  <c r="L61" i="16"/>
  <c r="M61" i="16"/>
  <c r="N61" i="16"/>
  <c r="K62" i="16"/>
  <c r="L62" i="16"/>
  <c r="M62" i="16"/>
  <c r="N62" i="16"/>
  <c r="K63" i="16"/>
  <c r="L63" i="16"/>
  <c r="M63" i="16"/>
  <c r="N63" i="16"/>
  <c r="K64" i="16"/>
  <c r="L64" i="16"/>
  <c r="M64" i="16"/>
  <c r="N64" i="16"/>
  <c r="K65" i="16"/>
  <c r="L65" i="16"/>
  <c r="M65" i="16"/>
  <c r="N65" i="16"/>
  <c r="K66" i="16"/>
  <c r="L66" i="16"/>
  <c r="M66" i="16"/>
  <c r="N66" i="16"/>
  <c r="K67" i="16"/>
  <c r="L67" i="16"/>
  <c r="M67" i="16"/>
  <c r="N67" i="16"/>
  <c r="K68" i="16"/>
  <c r="L68" i="16"/>
  <c r="M68" i="16"/>
  <c r="N68" i="16"/>
  <c r="K69" i="16"/>
  <c r="L69" i="16"/>
  <c r="M69" i="16"/>
  <c r="N69" i="16"/>
  <c r="K70" i="16"/>
  <c r="L70" i="16"/>
  <c r="M70" i="16"/>
  <c r="N70" i="16"/>
  <c r="K71" i="16"/>
  <c r="L71" i="16"/>
  <c r="M71" i="16"/>
  <c r="N71" i="16"/>
  <c r="K72" i="16"/>
  <c r="L72" i="16"/>
  <c r="M72" i="16"/>
  <c r="N72" i="16"/>
  <c r="K73" i="16"/>
  <c r="L73" i="16"/>
  <c r="M73" i="16"/>
  <c r="N73" i="16"/>
  <c r="K74" i="16"/>
  <c r="L74" i="16"/>
  <c r="M74" i="16"/>
  <c r="N74" i="16"/>
  <c r="K75" i="16"/>
  <c r="L75" i="16"/>
  <c r="M75" i="16"/>
  <c r="N75" i="16"/>
  <c r="K76" i="16"/>
  <c r="L76" i="16"/>
  <c r="M76" i="16"/>
  <c r="N76" i="16"/>
  <c r="K77" i="16"/>
  <c r="L77" i="16"/>
  <c r="M77" i="16"/>
  <c r="N77" i="16"/>
  <c r="K78" i="16"/>
  <c r="L78" i="16"/>
  <c r="M78" i="16"/>
  <c r="N78" i="16"/>
  <c r="K79" i="16"/>
  <c r="L79" i="16"/>
  <c r="M79" i="16"/>
  <c r="N79" i="16"/>
  <c r="K80" i="16"/>
  <c r="L80" i="16"/>
  <c r="M80" i="16"/>
  <c r="N80" i="16"/>
  <c r="K81" i="16"/>
  <c r="L81" i="16"/>
  <c r="M81" i="16"/>
  <c r="N81" i="16"/>
  <c r="K82" i="16"/>
  <c r="L82" i="16"/>
  <c r="M82" i="16"/>
  <c r="N82" i="16"/>
  <c r="K83" i="16"/>
  <c r="L83" i="16"/>
  <c r="M83" i="16"/>
  <c r="N83" i="16"/>
  <c r="K84" i="16"/>
  <c r="L84" i="16"/>
  <c r="M84" i="16"/>
  <c r="N84" i="16"/>
  <c r="K85" i="16"/>
  <c r="L85" i="16"/>
  <c r="M85" i="16"/>
  <c r="N85" i="16"/>
  <c r="K86" i="16"/>
  <c r="L86" i="16"/>
  <c r="M86" i="16"/>
  <c r="N86" i="16"/>
  <c r="K87" i="16"/>
  <c r="L87" i="16"/>
  <c r="M87" i="16"/>
  <c r="N87" i="16"/>
  <c r="K88" i="16"/>
  <c r="L88" i="16"/>
  <c r="M88" i="16"/>
  <c r="N88" i="16"/>
  <c r="K89" i="16"/>
  <c r="L89" i="16"/>
  <c r="M89" i="16"/>
  <c r="N89" i="16"/>
  <c r="K90" i="16"/>
  <c r="L90" i="16"/>
  <c r="M90" i="16"/>
  <c r="N90" i="16"/>
  <c r="K91" i="16"/>
  <c r="L91" i="16"/>
  <c r="M91" i="16"/>
  <c r="N91" i="16"/>
  <c r="K92" i="16"/>
  <c r="L92" i="16"/>
  <c r="M92" i="16"/>
  <c r="N92" i="16"/>
  <c r="K93" i="16"/>
  <c r="L93" i="16"/>
  <c r="M93" i="16"/>
  <c r="N93" i="16"/>
  <c r="K94" i="16"/>
  <c r="L94" i="16"/>
  <c r="M94" i="16"/>
  <c r="N94" i="16"/>
  <c r="K95" i="16"/>
  <c r="L95" i="16"/>
  <c r="M95" i="16"/>
  <c r="N95" i="16"/>
  <c r="K96" i="16"/>
  <c r="L96" i="16"/>
  <c r="M96" i="16"/>
  <c r="N96" i="16"/>
  <c r="K97" i="16"/>
  <c r="L97" i="16"/>
  <c r="M97" i="16"/>
  <c r="N97" i="16"/>
  <c r="K98" i="16"/>
  <c r="L98" i="16"/>
  <c r="M98" i="16"/>
  <c r="N98" i="16"/>
  <c r="K99" i="16"/>
  <c r="L99" i="16"/>
  <c r="M99" i="16"/>
  <c r="N99" i="16"/>
  <c r="K100" i="16"/>
  <c r="L100" i="16"/>
  <c r="M100" i="16"/>
  <c r="N100" i="16"/>
  <c r="K101" i="16"/>
  <c r="L101" i="16"/>
  <c r="M101" i="16"/>
  <c r="N101" i="16"/>
  <c r="K102" i="16"/>
  <c r="L102" i="16"/>
  <c r="M102" i="16"/>
  <c r="N102" i="16"/>
  <c r="K103" i="16"/>
  <c r="L103" i="16"/>
  <c r="M103" i="16"/>
  <c r="N103" i="16"/>
  <c r="K104" i="16"/>
  <c r="L104" i="16"/>
  <c r="M104" i="16"/>
  <c r="N104" i="16"/>
  <c r="O5" i="8"/>
  <c r="BQ5" i="20"/>
  <c r="BG8" i="20"/>
  <c r="BR8" i="20" s="1"/>
  <c r="BQ8" i="20"/>
  <c r="BS8" i="20" s="1"/>
  <c r="AJ5" i="20"/>
  <c r="AT6" i="20"/>
  <c r="BH6" i="20"/>
  <c r="BQ6" i="20" s="1"/>
  <c r="BS6" i="20" s="1"/>
  <c r="AT7" i="20"/>
  <c r="BH7" i="20"/>
  <c r="BQ7" i="20" s="1"/>
  <c r="BG7" i="20"/>
  <c r="BR7" i="20" s="1"/>
  <c r="BG9" i="20"/>
  <c r="BR9" i="20" s="1"/>
  <c r="BQ9" i="20"/>
  <c r="BS9" i="20" s="1"/>
  <c r="BS10" i="20"/>
  <c r="BT10" i="20" s="1"/>
  <c r="BG11" i="20"/>
  <c r="BR11" i="20" s="1"/>
  <c r="BQ11" i="20"/>
  <c r="BS11" i="20" s="1"/>
  <c r="BT11" i="20" s="1"/>
  <c r="BS12" i="20"/>
  <c r="BT12" i="20" s="1"/>
  <c r="BG13" i="20"/>
  <c r="BR13" i="20" s="1"/>
  <c r="BQ13" i="20"/>
  <c r="BS13" i="20" s="1"/>
  <c r="BT13" i="20" s="1"/>
  <c r="BS14" i="20"/>
  <c r="BT14" i="20" s="1"/>
  <c r="BG15" i="20"/>
  <c r="BR15" i="20" s="1"/>
  <c r="BQ15" i="20"/>
  <c r="BS15" i="20" s="1"/>
  <c r="BT15" i="20" s="1"/>
  <c r="BS16" i="20"/>
  <c r="BT16" i="20" s="1"/>
  <c r="BQ17" i="20"/>
  <c r="BS17" i="20" s="1"/>
  <c r="BT17" i="20" s="1"/>
  <c r="BS18" i="20"/>
  <c r="BT18" i="20" s="1"/>
  <c r="BQ19" i="20"/>
  <c r="BS19" i="20" s="1"/>
  <c r="BT19" i="20" s="1"/>
  <c r="BG20" i="20"/>
  <c r="BR20" i="20" s="1"/>
  <c r="BQ21" i="20"/>
  <c r="BS21" i="20" s="1"/>
  <c r="BT21" i="20" s="1"/>
  <c r="BG22" i="20"/>
  <c r="BR22" i="20" s="1"/>
  <c r="BQ22" i="20"/>
  <c r="BS22" i="20" s="1"/>
  <c r="BT22" i="20" s="1"/>
  <c r="BS23" i="20"/>
  <c r="BT23" i="20" s="1"/>
  <c r="BG24" i="20"/>
  <c r="BR24" i="20" s="1"/>
  <c r="BQ24" i="20"/>
  <c r="BS24" i="20" s="1"/>
  <c r="BT24" i="20" s="1"/>
  <c r="BQ25" i="20"/>
  <c r="BS25" i="20" s="1"/>
  <c r="BT25" i="20" s="1"/>
  <c r="BG26" i="20"/>
  <c r="BR26" i="20" s="1"/>
  <c r="BG27" i="20"/>
  <c r="BR27" i="20" s="1"/>
  <c r="BQ27" i="20"/>
  <c r="BS27" i="20" s="1"/>
  <c r="BT27" i="20" s="1"/>
  <c r="BG28" i="20"/>
  <c r="BR28" i="20" s="1"/>
  <c r="BQ28" i="20"/>
  <c r="BS28" i="20" s="1"/>
  <c r="BT28" i="20" s="1"/>
  <c r="BG29" i="20"/>
  <c r="BR29" i="20" s="1"/>
  <c r="BG30" i="20"/>
  <c r="BR30" i="20" s="1"/>
  <c r="BS30" i="20"/>
  <c r="BT30" i="20" s="1"/>
  <c r="BG32" i="20"/>
  <c r="BR32" i="20" s="1"/>
  <c r="BQ32" i="20"/>
  <c r="BS32" i="20" s="1"/>
  <c r="BT32" i="20" s="1"/>
  <c r="BG34" i="20"/>
  <c r="BR34" i="20" s="1"/>
  <c r="BQ34" i="20"/>
  <c r="BS34" i="20" s="1"/>
  <c r="BT34" i="20" s="1"/>
  <c r="BQ35" i="20"/>
  <c r="BG36" i="20"/>
  <c r="BR36" i="20" s="1"/>
  <c r="BG38" i="20"/>
  <c r="BR38" i="20" s="1"/>
  <c r="BQ38" i="20"/>
  <c r="BS38" i="20" s="1"/>
  <c r="BT38" i="20" s="1"/>
  <c r="BQ39" i="20"/>
  <c r="BG40" i="20"/>
  <c r="BR40" i="20" s="1"/>
  <c r="BG42" i="20"/>
  <c r="BR42" i="20" s="1"/>
  <c r="BQ42" i="20"/>
  <c r="BS42" i="20" s="1"/>
  <c r="BT42" i="20" s="1"/>
  <c r="BQ43" i="20"/>
  <c r="BG44" i="20"/>
  <c r="BR44" i="20" s="1"/>
  <c r="BQ44" i="20"/>
  <c r="BS44" i="20" s="1"/>
  <c r="BT44" i="20" s="1"/>
  <c r="BG46" i="20"/>
  <c r="BR46" i="20" s="1"/>
  <c r="BQ46" i="20"/>
  <c r="BS46" i="20" s="1"/>
  <c r="BT46" i="20" s="1"/>
  <c r="BQ47" i="20"/>
  <c r="BG48" i="20"/>
  <c r="BR48" i="20" s="1"/>
  <c r="BQ48" i="20"/>
  <c r="BS48" i="20" s="1"/>
  <c r="BT48" i="20" s="1"/>
  <c r="BG50" i="20"/>
  <c r="BR50" i="20" s="1"/>
  <c r="BQ50" i="20"/>
  <c r="BS50" i="20" s="1"/>
  <c r="BT50" i="20" s="1"/>
  <c r="BQ51" i="20"/>
  <c r="BG52" i="20"/>
  <c r="BR52" i="20" s="1"/>
  <c r="BQ52" i="20"/>
  <c r="BS52" i="20" s="1"/>
  <c r="BT52" i="20" s="1"/>
  <c r="BG54" i="20"/>
  <c r="BR54" i="20" s="1"/>
  <c r="BQ54" i="20"/>
  <c r="BS54" i="20" s="1"/>
  <c r="BT54" i="20" s="1"/>
  <c r="BQ55" i="20"/>
  <c r="BS55" i="20" s="1"/>
  <c r="BT55" i="20" s="1"/>
  <c r="BG56" i="20"/>
  <c r="BR56" i="20" s="1"/>
  <c r="BQ56" i="20"/>
  <c r="BS56" i="20" s="1"/>
  <c r="BT56" i="20" s="1"/>
  <c r="BG58" i="20"/>
  <c r="BR58" i="20" s="1"/>
  <c r="BQ58" i="20"/>
  <c r="BS58" i="20" s="1"/>
  <c r="BT58" i="20" s="1"/>
  <c r="BQ59" i="20"/>
  <c r="BS59" i="20" s="1"/>
  <c r="BT59" i="20" s="1"/>
  <c r="BG60" i="20"/>
  <c r="BR60" i="20" s="1"/>
  <c r="BQ60" i="20"/>
  <c r="BS60" i="20" s="1"/>
  <c r="BT60" i="20" s="1"/>
  <c r="BQ62" i="20"/>
  <c r="BQ63" i="20"/>
  <c r="BS63" i="20" s="1"/>
  <c r="BT63" i="20" s="1"/>
  <c r="BG64" i="20"/>
  <c r="BR64" i="20" s="1"/>
  <c r="BQ64" i="20"/>
  <c r="BS64" i="20" s="1"/>
  <c r="BT64" i="20" s="1"/>
  <c r="BQ66" i="20"/>
  <c r="BG67" i="20"/>
  <c r="BR67" i="20" s="1"/>
  <c r="BG68" i="20"/>
  <c r="BR68" i="20" s="1"/>
  <c r="BG69" i="20"/>
  <c r="BR69" i="20" s="1"/>
  <c r="BG70" i="20"/>
  <c r="BR70" i="20" s="1"/>
  <c r="BQ70" i="20"/>
  <c r="BG71" i="20"/>
  <c r="BR71" i="20" s="1"/>
  <c r="BG72" i="20"/>
  <c r="BR72" i="20" s="1"/>
  <c r="BQ72" i="20"/>
  <c r="BS72" i="20" s="1"/>
  <c r="BT72" i="20" s="1"/>
  <c r="BG73" i="20"/>
  <c r="BR73" i="20" s="1"/>
  <c r="BQ73" i="20"/>
  <c r="BS73" i="20" s="1"/>
  <c r="BT73" i="20" s="1"/>
  <c r="BG74" i="20"/>
  <c r="BR74" i="20" s="1"/>
  <c r="BQ74" i="20"/>
  <c r="BQ75" i="20"/>
  <c r="BG76" i="20"/>
  <c r="BR76" i="20" s="1"/>
  <c r="BG77" i="20"/>
  <c r="BR77" i="20" s="1"/>
  <c r="BS77" i="20"/>
  <c r="BT77" i="20" s="1"/>
  <c r="BG78" i="20"/>
  <c r="BR78" i="20" s="1"/>
  <c r="BG80" i="20"/>
  <c r="BR80" i="20" s="1"/>
  <c r="BQ80" i="20"/>
  <c r="BS80" i="20" s="1"/>
  <c r="BT80" i="20" s="1"/>
  <c r="BG81" i="20"/>
  <c r="BR81" i="20" s="1"/>
  <c r="BS81" i="20"/>
  <c r="BT81" i="20" s="1"/>
  <c r="BG82" i="20"/>
  <c r="BR82" i="20" s="1"/>
  <c r="BG84" i="20"/>
  <c r="BR84" i="20" s="1"/>
  <c r="BG86" i="20"/>
  <c r="BR86" i="20" s="1"/>
  <c r="BG87" i="20"/>
  <c r="BR87" i="20" s="1"/>
  <c r="BG88" i="20"/>
  <c r="BR88" i="20" s="1"/>
  <c r="BQ88" i="20"/>
  <c r="BG90" i="20"/>
  <c r="BR90" i="20" s="1"/>
  <c r="BQ90" i="20"/>
  <c r="BG91" i="20"/>
  <c r="BR91" i="20" s="1"/>
  <c r="BG92" i="20"/>
  <c r="BR92" i="20" s="1"/>
  <c r="BG93" i="20"/>
  <c r="BR93" i="20" s="1"/>
  <c r="BS93" i="20"/>
  <c r="BT93" i="20" s="1"/>
  <c r="BG94" i="20"/>
  <c r="BR94" i="20" s="1"/>
  <c r="BG96" i="20"/>
  <c r="BR96" i="20" s="1"/>
  <c r="BQ96" i="20"/>
  <c r="BG98" i="20"/>
  <c r="BR98" i="20" s="1"/>
  <c r="BQ100" i="20"/>
  <c r="BG101" i="20"/>
  <c r="BR101" i="20" s="1"/>
  <c r="BG103" i="20"/>
  <c r="BR103" i="20" s="1"/>
  <c r="BG106" i="20"/>
  <c r="BR106" i="20" s="1"/>
  <c r="BG107" i="20"/>
  <c r="BR107" i="20" s="1"/>
  <c r="BG108" i="20"/>
  <c r="BR108" i="20" s="1"/>
  <c r="BG109" i="20"/>
  <c r="BR109" i="20" s="1"/>
  <c r="BG110" i="20"/>
  <c r="BR110" i="20" s="1"/>
  <c r="BG111" i="20"/>
  <c r="BR111" i="20" s="1"/>
  <c r="BG112" i="20"/>
  <c r="BR112" i="20" s="1"/>
  <c r="BG113" i="20"/>
  <c r="BR113" i="20" s="1"/>
  <c r="BG114" i="20"/>
  <c r="BR114" i="20" s="1"/>
  <c r="BG115" i="20"/>
  <c r="BR115" i="20" s="1"/>
  <c r="BG116" i="20"/>
  <c r="BR116" i="20" s="1"/>
  <c r="BG117" i="20"/>
  <c r="BR117" i="20" s="1"/>
  <c r="BG118" i="20"/>
  <c r="BR118" i="20" s="1"/>
  <c r="BG119" i="20"/>
  <c r="BR119" i="20" s="1"/>
  <c r="BG120" i="20"/>
  <c r="BR120" i="20" s="1"/>
  <c r="BG121" i="20"/>
  <c r="BR121" i="20" s="1"/>
  <c r="BG122" i="20"/>
  <c r="BR122" i="20" s="1"/>
  <c r="BG123" i="20"/>
  <c r="BR123" i="20" s="1"/>
  <c r="BG124" i="20"/>
  <c r="BR124" i="20" s="1"/>
  <c r="BG125" i="20"/>
  <c r="BR125" i="20" s="1"/>
  <c r="BG126" i="20"/>
  <c r="BR126" i="20" s="1"/>
  <c r="BG127" i="20"/>
  <c r="BR127" i="20" s="1"/>
  <c r="BG128" i="20"/>
  <c r="BR128" i="20" s="1"/>
  <c r="BG129" i="20"/>
  <c r="BR129" i="20" s="1"/>
  <c r="BG130" i="20"/>
  <c r="BR130" i="20" s="1"/>
  <c r="BQ131" i="20"/>
  <c r="BQ132" i="20"/>
  <c r="BG133" i="20"/>
  <c r="BR133" i="20" s="1"/>
  <c r="BQ133" i="20"/>
  <c r="BS133" i="20" s="1"/>
  <c r="BT133" i="20" s="1"/>
  <c r="BG134" i="20"/>
  <c r="BR134" i="20" s="1"/>
  <c r="BQ135" i="20"/>
  <c r="BG136" i="20"/>
  <c r="BR136" i="20" s="1"/>
  <c r="BQ136" i="20"/>
  <c r="BS136" i="20" s="1"/>
  <c r="BT136" i="20" s="1"/>
  <c r="BG137" i="20"/>
  <c r="BR137" i="20" s="1"/>
  <c r="BG138" i="20"/>
  <c r="BR138" i="20" s="1"/>
  <c r="BG139" i="20"/>
  <c r="BR139" i="20" s="1"/>
  <c r="BQ141" i="20"/>
  <c r="BG142" i="20"/>
  <c r="BR142" i="20" s="1"/>
  <c r="BG144" i="20"/>
  <c r="BR144" i="20" s="1"/>
  <c r="BQ145" i="20"/>
  <c r="BG146" i="20"/>
  <c r="BR146" i="20" s="1"/>
  <c r="BG148" i="20"/>
  <c r="BR148" i="20" s="1"/>
  <c r="BQ148" i="20"/>
  <c r="BG149" i="20"/>
  <c r="BR149" i="20" s="1"/>
  <c r="BQ149" i="20"/>
  <c r="BS149" i="20" s="1"/>
  <c r="BT149" i="20" s="1"/>
  <c r="BQ150" i="20"/>
  <c r="BG151" i="20"/>
  <c r="BR151" i="20" s="1"/>
  <c r="BQ151" i="20"/>
  <c r="BG152" i="20"/>
  <c r="BR152" i="20" s="1"/>
  <c r="BQ153" i="20"/>
  <c r="BQ155" i="20"/>
  <c r="BG156" i="20"/>
  <c r="BR156" i="20" s="1"/>
  <c r="BQ156" i="20"/>
  <c r="BG157" i="20"/>
  <c r="BR157" i="20" s="1"/>
  <c r="BQ157" i="20"/>
  <c r="BS157" i="20" s="1"/>
  <c r="BT157" i="20" s="1"/>
  <c r="BQ158" i="20"/>
  <c r="BG159" i="20"/>
  <c r="BR159" i="20" s="1"/>
  <c r="BQ159" i="20"/>
  <c r="BG160" i="20"/>
  <c r="BR160" i="20" s="1"/>
  <c r="BQ161" i="20"/>
  <c r="BG164" i="20"/>
  <c r="BR164" i="20" s="1"/>
  <c r="BG165" i="20"/>
  <c r="BR165" i="20" s="1"/>
  <c r="BG167" i="20"/>
  <c r="BR167" i="20" s="1"/>
  <c r="BQ167" i="20"/>
  <c r="BG168" i="20"/>
  <c r="BR168" i="20" s="1"/>
  <c r="BG169" i="20"/>
  <c r="BR169" i="20" s="1"/>
  <c r="BQ169" i="20"/>
  <c r="BS169" i="20" s="1"/>
  <c r="BT169" i="20" s="1"/>
  <c r="BG171" i="20"/>
  <c r="BR171" i="20" s="1"/>
  <c r="BQ171" i="20"/>
  <c r="BS171" i="20" s="1"/>
  <c r="BT171" i="20" s="1"/>
  <c r="BG172" i="20"/>
  <c r="BR172" i="20" s="1"/>
  <c r="BQ172" i="20"/>
  <c r="BS172" i="20" s="1"/>
  <c r="BT172" i="20" s="1"/>
  <c r="BQ173" i="20"/>
  <c r="BG174" i="20"/>
  <c r="BR174" i="20" s="1"/>
  <c r="BG176" i="20"/>
  <c r="BR176" i="20" s="1"/>
  <c r="BQ176" i="20"/>
  <c r="BS176" i="20" s="1"/>
  <c r="BT176" i="20" s="1"/>
  <c r="BQ177" i="20"/>
  <c r="BG179" i="20"/>
  <c r="BR179" i="20" s="1"/>
  <c r="BG182" i="20"/>
  <c r="BR182" i="20" s="1"/>
  <c r="BQ182" i="20"/>
  <c r="BS182" i="20" s="1"/>
  <c r="BT182" i="20" s="1"/>
  <c r="BQ185" i="20"/>
  <c r="BG186" i="20"/>
  <c r="BR186" i="20" s="1"/>
  <c r="BQ186" i="20"/>
  <c r="BS186" i="20" s="1"/>
  <c r="BT186" i="20" s="1"/>
  <c r="BG187" i="20"/>
  <c r="BR187" i="20" s="1"/>
  <c r="BQ187" i="20"/>
  <c r="BG188" i="20"/>
  <c r="BR188" i="20" s="1"/>
  <c r="BQ188" i="20"/>
  <c r="BS188" i="20" s="1"/>
  <c r="BT188" i="20" s="1"/>
  <c r="BQ189" i="20"/>
  <c r="BQ193" i="20"/>
  <c r="BG194" i="20"/>
  <c r="BR194" i="20" s="1"/>
  <c r="BQ194" i="20"/>
  <c r="BS194" i="20" s="1"/>
  <c r="BT194" i="20" s="1"/>
  <c r="BG195" i="20"/>
  <c r="BR195" i="20" s="1"/>
  <c r="BQ195" i="20"/>
  <c r="BG196" i="20"/>
  <c r="BR196" i="20" s="1"/>
  <c r="BQ196" i="20"/>
  <c r="BS196" i="20" s="1"/>
  <c r="BT196" i="20" s="1"/>
  <c r="BQ197" i="20"/>
  <c r="BQ201" i="20"/>
  <c r="BG202" i="20"/>
  <c r="BR202" i="20" s="1"/>
  <c r="BQ202" i="20"/>
  <c r="BS202" i="20" s="1"/>
  <c r="BT202" i="20" s="1"/>
  <c r="BG203" i="20"/>
  <c r="BR203" i="20" s="1"/>
  <c r="BQ203" i="20"/>
  <c r="BG204" i="20"/>
  <c r="BR204" i="20" s="1"/>
  <c r="BQ204" i="20"/>
  <c r="BS204" i="20" s="1"/>
  <c r="BT204" i="20" s="1"/>
  <c r="BQ205" i="20"/>
  <c r="BQ209" i="20"/>
  <c r="BG210" i="20"/>
  <c r="BR210" i="20" s="1"/>
  <c r="BQ210" i="20"/>
  <c r="BS210" i="20" s="1"/>
  <c r="BT210" i="20" s="1"/>
  <c r="BG211" i="20"/>
  <c r="BR211" i="20" s="1"/>
  <c r="BQ211" i="20"/>
  <c r="BG212" i="20"/>
  <c r="BR212" i="20" s="1"/>
  <c r="BQ212" i="20"/>
  <c r="BS212" i="20" s="1"/>
  <c r="BT212" i="20" s="1"/>
  <c r="BQ213" i="20"/>
  <c r="BG215" i="20"/>
  <c r="BR215" i="20" s="1"/>
  <c r="AT5" i="21"/>
  <c r="J5" i="17" s="1"/>
  <c r="BH5" i="21"/>
  <c r="BQ5" i="21"/>
  <c r="BH6" i="21"/>
  <c r="BQ6" i="21" s="1"/>
  <c r="AT6" i="21"/>
  <c r="BG6" i="21"/>
  <c r="BR6" i="21" s="1"/>
  <c r="BH7" i="21"/>
  <c r="BQ7" i="21" s="1"/>
  <c r="AT7" i="21"/>
  <c r="BG7" i="21"/>
  <c r="BR7" i="21" s="1"/>
  <c r="BQ8" i="21"/>
  <c r="BS8" i="21" s="1"/>
  <c r="BG9" i="21"/>
  <c r="BR9" i="21" s="1"/>
  <c r="BS9" i="21"/>
  <c r="BQ10" i="21"/>
  <c r="BS10" i="21" s="1"/>
  <c r="BG11" i="21"/>
  <c r="BR11" i="21" s="1"/>
  <c r="BS11" i="21"/>
  <c r="BQ12" i="21"/>
  <c r="BS12" i="21" s="1"/>
  <c r="BG13" i="21"/>
  <c r="BR13" i="21" s="1"/>
  <c r="BS13" i="21"/>
  <c r="BQ14" i="21"/>
  <c r="BS14" i="21" s="1"/>
  <c r="BG15" i="21"/>
  <c r="BR15" i="21" s="1"/>
  <c r="BS15" i="21" s="1"/>
  <c r="BQ16" i="21"/>
  <c r="BS16" i="21" s="1"/>
  <c r="BT16" i="21" s="1"/>
  <c r="BG17" i="21"/>
  <c r="BR17" i="21" s="1"/>
  <c r="BQ18" i="21"/>
  <c r="BS18" i="21" s="1"/>
  <c r="BT18" i="21" s="1"/>
  <c r="BG19" i="21"/>
  <c r="BR19" i="21" s="1"/>
  <c r="BS19" i="21"/>
  <c r="BT19" i="21" s="1"/>
  <c r="BQ20" i="21"/>
  <c r="BS20" i="21" s="1"/>
  <c r="BT20" i="21" s="1"/>
  <c r="BG21" i="21"/>
  <c r="BR21" i="21" s="1"/>
  <c r="BS21" i="21"/>
  <c r="BT21" i="21" s="1"/>
  <c r="BQ22" i="21"/>
  <c r="BS22" i="21" s="1"/>
  <c r="BT22" i="21" s="1"/>
  <c r="BG23" i="21"/>
  <c r="BR23" i="21" s="1"/>
  <c r="BQ24" i="21"/>
  <c r="BS24" i="21" s="1"/>
  <c r="BT24" i="21" s="1"/>
  <c r="BG25" i="21"/>
  <c r="BR25" i="21" s="1"/>
  <c r="BS25" i="21"/>
  <c r="BT25" i="21" s="1"/>
  <c r="BQ26" i="21"/>
  <c r="BS26" i="21" s="1"/>
  <c r="BT26" i="21" s="1"/>
  <c r="BQ27" i="21"/>
  <c r="BQ28" i="21"/>
  <c r="BQ29" i="21"/>
  <c r="BG30" i="21"/>
  <c r="BR30" i="21" s="1"/>
  <c r="BS31" i="21"/>
  <c r="BT31" i="21" s="1"/>
  <c r="BG32" i="21"/>
  <c r="BR32" i="21" s="1"/>
  <c r="BQ32" i="21"/>
  <c r="BS32" i="21" s="1"/>
  <c r="BT32" i="21" s="1"/>
  <c r="BQ33" i="21"/>
  <c r="BG34" i="21"/>
  <c r="BR34" i="21" s="1"/>
  <c r="BQ34" i="21"/>
  <c r="BS34" i="21" s="1"/>
  <c r="BT34" i="21" s="1"/>
  <c r="BS35" i="21"/>
  <c r="BT35" i="21" s="1"/>
  <c r="BG36" i="21"/>
  <c r="BR36" i="21" s="1"/>
  <c r="BQ36" i="21"/>
  <c r="BS36" i="21" s="1"/>
  <c r="BT36" i="21" s="1"/>
  <c r="BQ37" i="21"/>
  <c r="BG38" i="21"/>
  <c r="BR38" i="21" s="1"/>
  <c r="BQ38" i="21"/>
  <c r="BS38" i="21" s="1"/>
  <c r="BT38" i="21" s="1"/>
  <c r="BQ39" i="21"/>
  <c r="BG40" i="21"/>
  <c r="BR40" i="21" s="1"/>
  <c r="BQ40" i="21"/>
  <c r="BS40" i="21" s="1"/>
  <c r="BT40" i="21" s="1"/>
  <c r="BQ41" i="21"/>
  <c r="BS41" i="21" s="1"/>
  <c r="BT41" i="21" s="1"/>
  <c r="BQ42" i="21"/>
  <c r="BQ43" i="21"/>
  <c r="BG44" i="21"/>
  <c r="BR44" i="21" s="1"/>
  <c r="BQ44" i="21"/>
  <c r="BS44" i="21" s="1"/>
  <c r="BT44" i="21" s="1"/>
  <c r="BQ46" i="21"/>
  <c r="BQ47" i="21"/>
  <c r="BG48" i="21"/>
  <c r="BR48" i="21" s="1"/>
  <c r="BS48" i="21"/>
  <c r="BT48" i="21" s="1"/>
  <c r="BQ50" i="21"/>
  <c r="BQ51" i="21"/>
  <c r="BG52" i="21"/>
  <c r="BR52" i="21" s="1"/>
  <c r="BQ52" i="21"/>
  <c r="BS52" i="21" s="1"/>
  <c r="BT52" i="21" s="1"/>
  <c r="BQ54" i="21"/>
  <c r="BQ55" i="21"/>
  <c r="BG56" i="21"/>
  <c r="BR56" i="21" s="1"/>
  <c r="BS56" i="21"/>
  <c r="BT56" i="21" s="1"/>
  <c r="BQ58" i="21"/>
  <c r="BQ59" i="21"/>
  <c r="BG60" i="21"/>
  <c r="BR60" i="21" s="1"/>
  <c r="BS60" i="21"/>
  <c r="BT60" i="21" s="1"/>
  <c r="BQ62" i="21"/>
  <c r="BQ63" i="21"/>
  <c r="BG64" i="21"/>
  <c r="BR64" i="21" s="1"/>
  <c r="BS64" i="21"/>
  <c r="BT64" i="21" s="1"/>
  <c r="BQ66" i="21"/>
  <c r="BQ67" i="21"/>
  <c r="BG68" i="21"/>
  <c r="BR68" i="21" s="1"/>
  <c r="BS68" i="21"/>
  <c r="BT68" i="21" s="1"/>
  <c r="BQ70" i="21"/>
  <c r="BG71" i="21"/>
  <c r="BR71" i="21" s="1"/>
  <c r="BQ71" i="21"/>
  <c r="BQ73" i="21"/>
  <c r="BQ75" i="21"/>
  <c r="BQ76" i="21"/>
  <c r="BQ78" i="21"/>
  <c r="BS78" i="21" s="1"/>
  <c r="BT78" i="21" s="1"/>
  <c r="BG79" i="21"/>
  <c r="BR79" i="21" s="1"/>
  <c r="BQ79" i="21"/>
  <c r="BS79" i="21" s="1"/>
  <c r="BT79" i="21" s="1"/>
  <c r="BQ80" i="21"/>
  <c r="BQ82" i="21"/>
  <c r="BS82" i="21" s="1"/>
  <c r="BT82" i="21" s="1"/>
  <c r="BG83" i="21"/>
  <c r="BR83" i="21" s="1"/>
  <c r="BQ83" i="21"/>
  <c r="BS83" i="21" s="1"/>
  <c r="BT83" i="21" s="1"/>
  <c r="BQ84" i="21"/>
  <c r="BS84" i="21" s="1"/>
  <c r="BT84" i="21" s="1"/>
  <c r="BQ86" i="21"/>
  <c r="BS86" i="21" s="1"/>
  <c r="BT86" i="21" s="1"/>
  <c r="BQ87" i="21"/>
  <c r="BS87" i="21" s="1"/>
  <c r="BT87" i="21" s="1"/>
  <c r="BQ88" i="21"/>
  <c r="BQ90" i="21"/>
  <c r="BS90" i="21" s="1"/>
  <c r="BT90" i="21" s="1"/>
  <c r="BQ92" i="21"/>
  <c r="BS92" i="21" s="1"/>
  <c r="BT92" i="21" s="1"/>
  <c r="BQ94" i="21"/>
  <c r="BS94" i="21" s="1"/>
  <c r="BT94" i="21" s="1"/>
  <c r="BQ96" i="21"/>
  <c r="BS96" i="21" s="1"/>
  <c r="BT96" i="21" s="1"/>
  <c r="BQ98" i="21"/>
  <c r="BS98" i="21" s="1"/>
  <c r="BT98" i="21" s="1"/>
  <c r="BQ100" i="21"/>
  <c r="BS100" i="21" s="1"/>
  <c r="BT100" i="21" s="1"/>
  <c r="BQ102" i="21"/>
  <c r="BS102" i="21" s="1"/>
  <c r="BT102" i="21" s="1"/>
  <c r="BQ104" i="21"/>
  <c r="BS104" i="21" s="1"/>
  <c r="BT104" i="21" s="1"/>
  <c r="BG105" i="21"/>
  <c r="BR105" i="21" s="1"/>
  <c r="BG106" i="21"/>
  <c r="BR106" i="21" s="1"/>
  <c r="BG108" i="21"/>
  <c r="BR108" i="21" s="1"/>
  <c r="BQ108" i="21"/>
  <c r="BS108" i="21" s="1"/>
  <c r="BT108" i="21" s="1"/>
  <c r="BG109" i="21"/>
  <c r="BR109" i="21" s="1"/>
  <c r="BQ109" i="21"/>
  <c r="BG110" i="21"/>
  <c r="BR110" i="21" s="1"/>
  <c r="BG118" i="21"/>
  <c r="BR118" i="21" s="1"/>
  <c r="BS118" i="21"/>
  <c r="BT118" i="21" s="1"/>
  <c r="BG124" i="21"/>
  <c r="BR124" i="21" s="1"/>
  <c r="BG125" i="21"/>
  <c r="BR125" i="21" s="1"/>
  <c r="BG128" i="21"/>
  <c r="BR128" i="21" s="1"/>
  <c r="BG132" i="21"/>
  <c r="BR132" i="21" s="1"/>
  <c r="BG133" i="21"/>
  <c r="BR133" i="21" s="1"/>
  <c r="BG136" i="21"/>
  <c r="BR136" i="21" s="1"/>
  <c r="BG140" i="21"/>
  <c r="BR140" i="21" s="1"/>
  <c r="BG141" i="21"/>
  <c r="BR141" i="21" s="1"/>
  <c r="BG144" i="21"/>
  <c r="BR144" i="21" s="1"/>
  <c r="BG148" i="21"/>
  <c r="BR148" i="21" s="1"/>
  <c r="BG149" i="21"/>
  <c r="BR149" i="21" s="1"/>
  <c r="BG152" i="21"/>
  <c r="BR152" i="21" s="1"/>
  <c r="BG156" i="21"/>
  <c r="BR156" i="21" s="1"/>
  <c r="BG157" i="21"/>
  <c r="BR157" i="21" s="1"/>
  <c r="BG160" i="21"/>
  <c r="BR160" i="21" s="1"/>
  <c r="BQ163" i="21"/>
  <c r="BG164" i="21"/>
  <c r="BR164" i="21" s="1"/>
  <c r="BQ164" i="21"/>
  <c r="BS164" i="21" s="1"/>
  <c r="BT164" i="21" s="1"/>
  <c r="BG165" i="21"/>
  <c r="BR165" i="21" s="1"/>
  <c r="BG166" i="21"/>
  <c r="BR166" i="21" s="1"/>
  <c r="BQ166" i="21"/>
  <c r="BS166" i="21" s="1"/>
  <c r="BT166" i="21" s="1"/>
  <c r="BG167" i="21"/>
  <c r="BR167" i="21" s="1"/>
  <c r="BQ167" i="21"/>
  <c r="BG168" i="21"/>
  <c r="BR168" i="21" s="1"/>
  <c r="BQ168" i="21"/>
  <c r="BS168" i="21" s="1"/>
  <c r="BT168" i="21" s="1"/>
  <c r="BQ169" i="21"/>
  <c r="BQ170" i="21"/>
  <c r="BG171" i="21"/>
  <c r="BR171" i="21" s="1"/>
  <c r="BQ171" i="21"/>
  <c r="BG172" i="21"/>
  <c r="BR172" i="21" s="1"/>
  <c r="BQ172" i="21"/>
  <c r="BS172" i="21" s="1"/>
  <c r="BT172" i="21" s="1"/>
  <c r="BQ173" i="21"/>
  <c r="BQ174" i="21"/>
  <c r="BG176" i="21"/>
  <c r="BR176" i="21" s="1"/>
  <c r="BG177" i="21"/>
  <c r="BR177" i="21" s="1"/>
  <c r="BQ178" i="21"/>
  <c r="BG180" i="21"/>
  <c r="BR180" i="21" s="1"/>
  <c r="BG181" i="21"/>
  <c r="BR181" i="21" s="1"/>
  <c r="BQ182" i="21"/>
  <c r="BQ184" i="21"/>
  <c r="BG185" i="21"/>
  <c r="BR185" i="21" s="1"/>
  <c r="BG186" i="21"/>
  <c r="BR186" i="21" s="1"/>
  <c r="BQ186" i="21"/>
  <c r="BS186" i="21" s="1"/>
  <c r="BT186" i="21" s="1"/>
  <c r="BG187" i="21"/>
  <c r="BR187" i="21" s="1"/>
  <c r="BQ187" i="21"/>
  <c r="BQ189" i="21"/>
  <c r="BQ192" i="21"/>
  <c r="BG193" i="21"/>
  <c r="BR193" i="21" s="1"/>
  <c r="BG194" i="21"/>
  <c r="BR194" i="21" s="1"/>
  <c r="BQ194" i="21"/>
  <c r="BS194" i="21" s="1"/>
  <c r="BT194" i="21" s="1"/>
  <c r="BG195" i="21"/>
  <c r="BR195" i="21" s="1"/>
  <c r="BQ195" i="21"/>
  <c r="BQ197" i="21"/>
  <c r="BQ200" i="21"/>
  <c r="BG201" i="21"/>
  <c r="BR201" i="21" s="1"/>
  <c r="BG202" i="21"/>
  <c r="BR202" i="21" s="1"/>
  <c r="BQ202" i="21"/>
  <c r="BS202" i="21" s="1"/>
  <c r="BT202" i="21" s="1"/>
  <c r="BG203" i="21"/>
  <c r="BR203" i="21" s="1"/>
  <c r="BQ205" i="21"/>
  <c r="BQ208" i="21"/>
  <c r="BG209" i="21"/>
  <c r="BR209" i="21" s="1"/>
  <c r="BG210" i="21"/>
  <c r="BR210" i="21" s="1"/>
  <c r="BQ210" i="21"/>
  <c r="BS210" i="21" s="1"/>
  <c r="BT210" i="21" s="1"/>
  <c r="BG211" i="21"/>
  <c r="BR211" i="21" s="1"/>
  <c r="BQ213" i="21"/>
  <c r="BQ215" i="21"/>
  <c r="BV25" i="21"/>
  <c r="BY25" i="21"/>
  <c r="BG5" i="21"/>
  <c r="BR5" i="21" s="1"/>
  <c r="BY16" i="21"/>
  <c r="BV16" i="21"/>
  <c r="BY18" i="21"/>
  <c r="BV18" i="21"/>
  <c r="BY20" i="21"/>
  <c r="BV20" i="21"/>
  <c r="BY22" i="21"/>
  <c r="BV22" i="21"/>
  <c r="BY24" i="21"/>
  <c r="BV24" i="21"/>
  <c r="BY26" i="21"/>
  <c r="BV26" i="21"/>
  <c r="BS30" i="21"/>
  <c r="BT30" i="21" s="1"/>
  <c r="BV21" i="21"/>
  <c r="BY21" i="21"/>
  <c r="BS28" i="21"/>
  <c r="BT28" i="21" s="1"/>
  <c r="BV31" i="21"/>
  <c r="BY31" i="21"/>
  <c r="BV32" i="21"/>
  <c r="BY32" i="21"/>
  <c r="BV34" i="21"/>
  <c r="BY34" i="21"/>
  <c r="BV35" i="21"/>
  <c r="BY35" i="21"/>
  <c r="BV19" i="21"/>
  <c r="BY19" i="21"/>
  <c r="BV36" i="21"/>
  <c r="BY36" i="21"/>
  <c r="BV38" i="21"/>
  <c r="BY38" i="21"/>
  <c r="BV40" i="21"/>
  <c r="BY40" i="21"/>
  <c r="BY41" i="21"/>
  <c r="BV41" i="21"/>
  <c r="BV44" i="21"/>
  <c r="BY44" i="21"/>
  <c r="BS6" i="21"/>
  <c r="BV52" i="21"/>
  <c r="BY52" i="21"/>
  <c r="BS5" i="21"/>
  <c r="BS17" i="21"/>
  <c r="BT17" i="21" s="1"/>
  <c r="BS23" i="21"/>
  <c r="BT23" i="21" s="1"/>
  <c r="BY104" i="21"/>
  <c r="BV104" i="21"/>
  <c r="BY118" i="21"/>
  <c r="BV118" i="21"/>
  <c r="BG29" i="21"/>
  <c r="BR29" i="21" s="1"/>
  <c r="BS29" i="21" s="1"/>
  <c r="BT29" i="21" s="1"/>
  <c r="BG37" i="21"/>
  <c r="BR37" i="21" s="1"/>
  <c r="BS37" i="21" s="1"/>
  <c r="BT37" i="21" s="1"/>
  <c r="BS76" i="21"/>
  <c r="BT76" i="21" s="1"/>
  <c r="BV78" i="21"/>
  <c r="BY78" i="21"/>
  <c r="BY79" i="21"/>
  <c r="BV79" i="21"/>
  <c r="BV56" i="21"/>
  <c r="BQ45" i="21"/>
  <c r="BS45" i="21" s="1"/>
  <c r="BT45" i="21" s="1"/>
  <c r="BQ49" i="21"/>
  <c r="BS49" i="21" s="1"/>
  <c r="BT49" i="21" s="1"/>
  <c r="BQ53" i="21"/>
  <c r="BS53" i="21" s="1"/>
  <c r="BT53" i="21" s="1"/>
  <c r="BQ57" i="21"/>
  <c r="BS57" i="21" s="1"/>
  <c r="BT57" i="21" s="1"/>
  <c r="BQ61" i="21"/>
  <c r="BS61" i="21" s="1"/>
  <c r="BT61" i="21" s="1"/>
  <c r="BQ65" i="21"/>
  <c r="BS65" i="21" s="1"/>
  <c r="BT65" i="21" s="1"/>
  <c r="BQ69" i="21"/>
  <c r="BS69" i="21" s="1"/>
  <c r="BT69" i="21" s="1"/>
  <c r="BS80" i="21"/>
  <c r="BT80" i="21" s="1"/>
  <c r="BV82" i="21"/>
  <c r="BY82" i="21"/>
  <c r="BY83" i="21"/>
  <c r="BV83" i="21"/>
  <c r="BV60" i="21"/>
  <c r="BG33" i="21"/>
  <c r="BR33" i="21" s="1"/>
  <c r="BS33" i="21" s="1"/>
  <c r="BT33" i="21" s="1"/>
  <c r="BG42" i="21"/>
  <c r="BR42" i="21" s="1"/>
  <c r="BS42" i="21" s="1"/>
  <c r="BT42" i="21" s="1"/>
  <c r="BG46" i="21"/>
  <c r="BR46" i="21" s="1"/>
  <c r="BS46" i="21" s="1"/>
  <c r="BT46" i="21" s="1"/>
  <c r="BG50" i="21"/>
  <c r="BR50" i="21" s="1"/>
  <c r="BS50" i="21" s="1"/>
  <c r="BT50" i="21" s="1"/>
  <c r="BG54" i="21"/>
  <c r="BR54" i="21" s="1"/>
  <c r="BS54" i="21" s="1"/>
  <c r="BT54" i="21" s="1"/>
  <c r="BY56" i="21"/>
  <c r="BG58" i="21"/>
  <c r="BR58" i="21" s="1"/>
  <c r="BS58" i="21" s="1"/>
  <c r="BT58" i="21" s="1"/>
  <c r="BY60" i="21"/>
  <c r="BG62" i="21"/>
  <c r="BR62" i="21" s="1"/>
  <c r="BS62" i="21" s="1"/>
  <c r="BT62" i="21" s="1"/>
  <c r="BG66" i="21"/>
  <c r="BR66" i="21" s="1"/>
  <c r="BS66" i="21" s="1"/>
  <c r="BT66" i="21" s="1"/>
  <c r="BG70" i="21"/>
  <c r="BR70" i="21" s="1"/>
  <c r="BS70" i="21" s="1"/>
  <c r="BT70" i="21" s="1"/>
  <c r="BV84" i="21"/>
  <c r="BY84" i="21"/>
  <c r="BV86" i="21"/>
  <c r="BY86" i="21"/>
  <c r="BY87" i="21"/>
  <c r="BV87" i="21"/>
  <c r="BG27" i="21"/>
  <c r="BR27" i="21" s="1"/>
  <c r="BS27" i="21" s="1"/>
  <c r="BT27" i="21" s="1"/>
  <c r="BG39" i="21"/>
  <c r="BR39" i="21" s="1"/>
  <c r="BS39" i="21" s="1"/>
  <c r="BT39" i="21" s="1"/>
  <c r="BG43" i="21"/>
  <c r="BR43" i="21" s="1"/>
  <c r="BG47" i="21"/>
  <c r="BR47" i="21" s="1"/>
  <c r="BG51" i="21"/>
  <c r="BR51" i="21" s="1"/>
  <c r="BG55" i="21"/>
  <c r="BR55" i="21" s="1"/>
  <c r="BG59" i="21"/>
  <c r="BR59" i="21" s="1"/>
  <c r="BG63" i="21"/>
  <c r="BR63" i="21" s="1"/>
  <c r="BS63" i="21" s="1"/>
  <c r="BT63" i="21" s="1"/>
  <c r="BG67" i="21"/>
  <c r="BR67" i="21" s="1"/>
  <c r="BS67" i="21" s="1"/>
  <c r="BT67" i="21" s="1"/>
  <c r="BS88" i="21"/>
  <c r="BT88" i="21" s="1"/>
  <c r="BV90" i="21"/>
  <c r="BY90" i="21"/>
  <c r="BV92" i="21"/>
  <c r="BY92" i="21"/>
  <c r="BV94" i="21"/>
  <c r="BY94" i="21"/>
  <c r="BS43" i="21"/>
  <c r="BT43" i="21" s="1"/>
  <c r="BS47" i="21"/>
  <c r="BT47" i="21" s="1"/>
  <c r="BS51" i="21"/>
  <c r="BT51" i="21" s="1"/>
  <c r="BS55" i="21"/>
  <c r="BT55" i="21" s="1"/>
  <c r="BS59" i="21"/>
  <c r="BT59" i="21" s="1"/>
  <c r="BS71" i="21"/>
  <c r="BT71" i="21" s="1"/>
  <c r="BV96" i="21"/>
  <c r="BY96" i="21"/>
  <c r="BV98" i="21"/>
  <c r="BY98" i="21"/>
  <c r="BV100" i="21"/>
  <c r="BY100" i="21"/>
  <c r="BV102" i="21"/>
  <c r="BY102" i="21"/>
  <c r="BV164" i="21"/>
  <c r="BY164" i="21"/>
  <c r="BG85" i="21"/>
  <c r="BR85" i="21" s="1"/>
  <c r="BG89" i="21"/>
  <c r="BR89" i="21" s="1"/>
  <c r="BG93" i="21"/>
  <c r="BR93" i="21" s="1"/>
  <c r="BG97" i="21"/>
  <c r="BR97" i="21" s="1"/>
  <c r="BG101" i="21"/>
  <c r="BR101" i="21" s="1"/>
  <c r="BG74" i="21"/>
  <c r="BR74" i="21" s="1"/>
  <c r="BS74" i="21" s="1"/>
  <c r="BT74" i="21" s="1"/>
  <c r="BG77" i="21"/>
  <c r="BR77" i="21" s="1"/>
  <c r="BG81" i="21"/>
  <c r="BR81" i="21" s="1"/>
  <c r="BQ93" i="21"/>
  <c r="BS93" i="21" s="1"/>
  <c r="BT93" i="21" s="1"/>
  <c r="BQ97" i="21"/>
  <c r="BS97" i="21" s="1"/>
  <c r="BT97" i="21" s="1"/>
  <c r="BQ101" i="21"/>
  <c r="BS101" i="21" s="1"/>
  <c r="BT101" i="21" s="1"/>
  <c r="BQ77" i="21"/>
  <c r="BS77" i="21" s="1"/>
  <c r="BT77" i="21" s="1"/>
  <c r="BQ81" i="21"/>
  <c r="BS81" i="21" s="1"/>
  <c r="BT81" i="21" s="1"/>
  <c r="BQ85" i="21"/>
  <c r="BS85" i="21" s="1"/>
  <c r="BT85" i="21" s="1"/>
  <c r="BQ89" i="21"/>
  <c r="BS89" i="21" s="1"/>
  <c r="BT89" i="21" s="1"/>
  <c r="BS105" i="21"/>
  <c r="BT105" i="21" s="1"/>
  <c r="BS106" i="21"/>
  <c r="BT106" i="21" s="1"/>
  <c r="BG107" i="21"/>
  <c r="BR107" i="21" s="1"/>
  <c r="BG73" i="21"/>
  <c r="BR73" i="21" s="1"/>
  <c r="BS73" i="21" s="1"/>
  <c r="BT73" i="21" s="1"/>
  <c r="BQ107" i="21"/>
  <c r="BS107" i="21" s="1"/>
  <c r="BT107" i="21" s="1"/>
  <c r="BV108" i="21"/>
  <c r="BY108" i="21"/>
  <c r="BS110" i="21"/>
  <c r="BT110" i="21" s="1"/>
  <c r="BG111" i="21"/>
  <c r="BR111" i="21" s="1"/>
  <c r="BG72" i="21"/>
  <c r="BR72" i="21" s="1"/>
  <c r="BS72" i="21" s="1"/>
  <c r="BT72" i="21" s="1"/>
  <c r="BG75" i="21"/>
  <c r="BR75" i="21" s="1"/>
  <c r="BS75" i="21" s="1"/>
  <c r="BT75" i="21" s="1"/>
  <c r="BQ91" i="21"/>
  <c r="BS91" i="21" s="1"/>
  <c r="BT91" i="21" s="1"/>
  <c r="BQ95" i="21"/>
  <c r="BS95" i="21" s="1"/>
  <c r="BT95" i="21" s="1"/>
  <c r="BQ99" i="21"/>
  <c r="BS99" i="21" s="1"/>
  <c r="BT99" i="21" s="1"/>
  <c r="BQ103" i="21"/>
  <c r="BS103" i="21" s="1"/>
  <c r="BT103" i="21" s="1"/>
  <c r="BS109" i="21"/>
  <c r="BT109" i="21" s="1"/>
  <c r="BQ111" i="21"/>
  <c r="BS111" i="21" s="1"/>
  <c r="BT111" i="21" s="1"/>
  <c r="BS125" i="21"/>
  <c r="BT125" i="21" s="1"/>
  <c r="BS133" i="21"/>
  <c r="BT133" i="21" s="1"/>
  <c r="BS141" i="21"/>
  <c r="BT141" i="21" s="1"/>
  <c r="BS149" i="21"/>
  <c r="BT149" i="21" s="1"/>
  <c r="BS157" i="21"/>
  <c r="BT157" i="21" s="1"/>
  <c r="BG115" i="21"/>
  <c r="BR115" i="21" s="1"/>
  <c r="BQ115" i="21"/>
  <c r="BS115" i="21" s="1"/>
  <c r="BT115" i="21" s="1"/>
  <c r="BG119" i="21"/>
  <c r="BR119" i="21" s="1"/>
  <c r="BQ119" i="21"/>
  <c r="BS119" i="21" s="1"/>
  <c r="BT119" i="21" s="1"/>
  <c r="BG126" i="21"/>
  <c r="BR126" i="21" s="1"/>
  <c r="BQ126" i="21"/>
  <c r="BG134" i="21"/>
  <c r="BR134" i="21" s="1"/>
  <c r="BQ134" i="21"/>
  <c r="BS134" i="21" s="1"/>
  <c r="BT134" i="21" s="1"/>
  <c r="BG142" i="21"/>
  <c r="BR142" i="21" s="1"/>
  <c r="BQ142" i="21"/>
  <c r="BS142" i="21" s="1"/>
  <c r="BT142" i="21" s="1"/>
  <c r="BG150" i="21"/>
  <c r="BR150" i="21" s="1"/>
  <c r="BQ150" i="21"/>
  <c r="BS150" i="21" s="1"/>
  <c r="BT150" i="21" s="1"/>
  <c r="BG158" i="21"/>
  <c r="BR158" i="21" s="1"/>
  <c r="BQ158" i="21"/>
  <c r="BQ165" i="21"/>
  <c r="BS165" i="21" s="1"/>
  <c r="BT165" i="21" s="1"/>
  <c r="BG127" i="21"/>
  <c r="BR127" i="21" s="1"/>
  <c r="BQ127" i="21"/>
  <c r="BS127" i="21" s="1"/>
  <c r="BT127" i="21" s="1"/>
  <c r="BG135" i="21"/>
  <c r="BR135" i="21" s="1"/>
  <c r="BQ135" i="21"/>
  <c r="BS135" i="21" s="1"/>
  <c r="BT135" i="21" s="1"/>
  <c r="BG143" i="21"/>
  <c r="BR143" i="21" s="1"/>
  <c r="BQ143" i="21"/>
  <c r="BG151" i="21"/>
  <c r="BR151" i="21" s="1"/>
  <c r="BQ151" i="21"/>
  <c r="BS151" i="21" s="1"/>
  <c r="BT151" i="21" s="1"/>
  <c r="BG159" i="21"/>
  <c r="BR159" i="21" s="1"/>
  <c r="BQ159" i="21"/>
  <c r="BS159" i="21" s="1"/>
  <c r="BT159" i="21" s="1"/>
  <c r="BV166" i="21"/>
  <c r="BY166" i="21"/>
  <c r="BY186" i="21"/>
  <c r="BV186" i="21"/>
  <c r="BG112" i="21"/>
  <c r="BR112" i="21" s="1"/>
  <c r="BQ112" i="21"/>
  <c r="BG116" i="21"/>
  <c r="BR116" i="21" s="1"/>
  <c r="BQ116" i="21"/>
  <c r="BS116" i="21" s="1"/>
  <c r="BT116" i="21" s="1"/>
  <c r="BG120" i="21"/>
  <c r="BR120" i="21" s="1"/>
  <c r="BQ120" i="21"/>
  <c r="BQ128" i="21"/>
  <c r="BS128" i="21" s="1"/>
  <c r="BT128" i="21" s="1"/>
  <c r="BQ136" i="21"/>
  <c r="BS136" i="21" s="1"/>
  <c r="BT136" i="21" s="1"/>
  <c r="BQ144" i="21"/>
  <c r="BS144" i="21" s="1"/>
  <c r="BT144" i="21" s="1"/>
  <c r="BQ152" i="21"/>
  <c r="BS152" i="21" s="1"/>
  <c r="BT152" i="21" s="1"/>
  <c r="BQ160" i="21"/>
  <c r="BS160" i="21" s="1"/>
  <c r="BT160" i="21" s="1"/>
  <c r="BS167" i="21"/>
  <c r="BT167" i="21" s="1"/>
  <c r="BG169" i="21"/>
  <c r="BR169" i="21" s="1"/>
  <c r="BS169" i="21" s="1"/>
  <c r="BT169" i="21" s="1"/>
  <c r="BY194" i="21"/>
  <c r="BV194" i="21"/>
  <c r="BG121" i="21"/>
  <c r="BR121" i="21" s="1"/>
  <c r="BS121" i="21"/>
  <c r="BT121" i="21" s="1"/>
  <c r="BG129" i="21"/>
  <c r="BR129" i="21" s="1"/>
  <c r="BS129" i="21" s="1"/>
  <c r="BT129" i="21" s="1"/>
  <c r="BG137" i="21"/>
  <c r="BR137" i="21" s="1"/>
  <c r="BS137" i="21" s="1"/>
  <c r="BT137" i="21" s="1"/>
  <c r="BG145" i="21"/>
  <c r="BR145" i="21" s="1"/>
  <c r="BS145" i="21" s="1"/>
  <c r="BT145" i="21" s="1"/>
  <c r="BG153" i="21"/>
  <c r="BR153" i="21" s="1"/>
  <c r="BS153" i="21"/>
  <c r="BT153" i="21" s="1"/>
  <c r="BG161" i="21"/>
  <c r="BR161" i="21" s="1"/>
  <c r="BS161" i="21" s="1"/>
  <c r="BT161" i="21" s="1"/>
  <c r="BG170" i="21"/>
  <c r="BR170" i="21" s="1"/>
  <c r="BS170" i="21" s="1"/>
  <c r="BT170" i="21" s="1"/>
  <c r="BY202" i="21"/>
  <c r="BV202" i="21"/>
  <c r="BG113" i="21"/>
  <c r="BR113" i="21" s="1"/>
  <c r="BQ113" i="21"/>
  <c r="BS113" i="21" s="1"/>
  <c r="BT113" i="21" s="1"/>
  <c r="BG117" i="21"/>
  <c r="BR117" i="21" s="1"/>
  <c r="BQ117" i="21"/>
  <c r="BG122" i="21"/>
  <c r="BR122" i="21" s="1"/>
  <c r="BQ122" i="21"/>
  <c r="BG130" i="21"/>
  <c r="BR130" i="21" s="1"/>
  <c r="BQ130" i="21"/>
  <c r="BG138" i="21"/>
  <c r="BR138" i="21" s="1"/>
  <c r="BQ138" i="21"/>
  <c r="BS138" i="21" s="1"/>
  <c r="BT138" i="21" s="1"/>
  <c r="BG146" i="21"/>
  <c r="BR146" i="21" s="1"/>
  <c r="BQ146" i="21"/>
  <c r="BG154" i="21"/>
  <c r="BR154" i="21" s="1"/>
  <c r="BQ154" i="21"/>
  <c r="BG162" i="21"/>
  <c r="BR162" i="21" s="1"/>
  <c r="BY210" i="21"/>
  <c r="BV210" i="21"/>
  <c r="BG123" i="21"/>
  <c r="BR123" i="21" s="1"/>
  <c r="BQ123" i="21"/>
  <c r="BS123" i="21" s="1"/>
  <c r="BT123" i="21" s="1"/>
  <c r="BG131" i="21"/>
  <c r="BR131" i="21" s="1"/>
  <c r="BQ131" i="21"/>
  <c r="BS131" i="21" s="1"/>
  <c r="BT131" i="21" s="1"/>
  <c r="BG139" i="21"/>
  <c r="BR139" i="21" s="1"/>
  <c r="BQ139" i="21"/>
  <c r="BS139" i="21" s="1"/>
  <c r="BT139" i="21" s="1"/>
  <c r="BG147" i="21"/>
  <c r="BR147" i="21" s="1"/>
  <c r="BQ147" i="21"/>
  <c r="BG155" i="21"/>
  <c r="BR155" i="21" s="1"/>
  <c r="BQ155" i="21"/>
  <c r="BS155" i="21" s="1"/>
  <c r="BT155" i="21" s="1"/>
  <c r="BQ162" i="21"/>
  <c r="BG163" i="21"/>
  <c r="BR163" i="21" s="1"/>
  <c r="BS163" i="21" s="1"/>
  <c r="BT163" i="21" s="1"/>
  <c r="BS171" i="21"/>
  <c r="BT171" i="21" s="1"/>
  <c r="BG114" i="21"/>
  <c r="BR114" i="21" s="1"/>
  <c r="BS114" i="21" s="1"/>
  <c r="BT114" i="21" s="1"/>
  <c r="BS124" i="21"/>
  <c r="BT124" i="21" s="1"/>
  <c r="BS132" i="21"/>
  <c r="BT132" i="21" s="1"/>
  <c r="BS140" i="21"/>
  <c r="BT140" i="21" s="1"/>
  <c r="BS148" i="21"/>
  <c r="BT148" i="21" s="1"/>
  <c r="BS156" i="21"/>
  <c r="BT156" i="21" s="1"/>
  <c r="BV172" i="21"/>
  <c r="BY172" i="21"/>
  <c r="BQ177" i="21"/>
  <c r="BS177" i="21" s="1"/>
  <c r="BT177" i="21" s="1"/>
  <c r="BQ181" i="21"/>
  <c r="BS181" i="21" s="1"/>
  <c r="BT181" i="21" s="1"/>
  <c r="BS187" i="21"/>
  <c r="BT187" i="21" s="1"/>
  <c r="BG188" i="21"/>
  <c r="BR188" i="21" s="1"/>
  <c r="BS195" i="21"/>
  <c r="BT195" i="21" s="1"/>
  <c r="BG196" i="21"/>
  <c r="BR196" i="21" s="1"/>
  <c r="BQ203" i="21"/>
  <c r="BS203" i="21" s="1"/>
  <c r="BT203" i="21" s="1"/>
  <c r="BG204" i="21"/>
  <c r="BR204" i="21" s="1"/>
  <c r="BQ211" i="21"/>
  <c r="BS211" i="21" s="1"/>
  <c r="BT211" i="21" s="1"/>
  <c r="BG212" i="21"/>
  <c r="BR212" i="21" s="1"/>
  <c r="BG174" i="21"/>
  <c r="BR174" i="21" s="1"/>
  <c r="BS174" i="21" s="1"/>
  <c r="BT174" i="21" s="1"/>
  <c r="BG178" i="21"/>
  <c r="BR178" i="21" s="1"/>
  <c r="BS178" i="21" s="1"/>
  <c r="BT178" i="21" s="1"/>
  <c r="BG182" i="21"/>
  <c r="BR182" i="21" s="1"/>
  <c r="BS182" i="21" s="1"/>
  <c r="BT182" i="21" s="1"/>
  <c r="BQ188" i="21"/>
  <c r="BG189" i="21"/>
  <c r="BR189" i="21" s="1"/>
  <c r="BQ196" i="21"/>
  <c r="BS196" i="21" s="1"/>
  <c r="BT196" i="21" s="1"/>
  <c r="BG197" i="21"/>
  <c r="BR197" i="21" s="1"/>
  <c r="BS197" i="21" s="1"/>
  <c r="BT197" i="21" s="1"/>
  <c r="BQ204" i="21"/>
  <c r="BS204" i="21" s="1"/>
  <c r="BT204" i="21" s="1"/>
  <c r="BG205" i="21"/>
  <c r="BR205" i="21" s="1"/>
  <c r="BQ212" i="21"/>
  <c r="BS212" i="21" s="1"/>
  <c r="BT212" i="21" s="1"/>
  <c r="BG213" i="21"/>
  <c r="BR213" i="21" s="1"/>
  <c r="BS189" i="21"/>
  <c r="BT189" i="21" s="1"/>
  <c r="BG190" i="21"/>
  <c r="BR190" i="21" s="1"/>
  <c r="BG198" i="21"/>
  <c r="BR198" i="21" s="1"/>
  <c r="BS205" i="21"/>
  <c r="BT205" i="21" s="1"/>
  <c r="BG206" i="21"/>
  <c r="BR206" i="21" s="1"/>
  <c r="BS213" i="21"/>
  <c r="BT213" i="21" s="1"/>
  <c r="BG214" i="21"/>
  <c r="BR214" i="21" s="1"/>
  <c r="BG175" i="21"/>
  <c r="BR175" i="21" s="1"/>
  <c r="BG179" i="21"/>
  <c r="BR179" i="21" s="1"/>
  <c r="BG183" i="21"/>
  <c r="BR183" i="21" s="1"/>
  <c r="BQ190" i="21"/>
  <c r="BS190" i="21" s="1"/>
  <c r="BT190" i="21" s="1"/>
  <c r="BG191" i="21"/>
  <c r="BR191" i="21" s="1"/>
  <c r="BQ198" i="21"/>
  <c r="BG199" i="21"/>
  <c r="BR199" i="21" s="1"/>
  <c r="BQ206" i="21"/>
  <c r="BG207" i="21"/>
  <c r="BR207" i="21" s="1"/>
  <c r="BQ214" i="21"/>
  <c r="BS214" i="21" s="1"/>
  <c r="BT214" i="21" s="1"/>
  <c r="BG215" i="21"/>
  <c r="BR215" i="21" s="1"/>
  <c r="BS215" i="21" s="1"/>
  <c r="BT215" i="21" s="1"/>
  <c r="BQ175" i="21"/>
  <c r="BS175" i="21" s="1"/>
  <c r="BT175" i="21" s="1"/>
  <c r="BQ179" i="21"/>
  <c r="BS179" i="21" s="1"/>
  <c r="BT179" i="21" s="1"/>
  <c r="BQ183" i="21"/>
  <c r="BG184" i="21"/>
  <c r="BR184" i="21" s="1"/>
  <c r="BQ191" i="21"/>
  <c r="BG192" i="21"/>
  <c r="BR192" i="21" s="1"/>
  <c r="BS192" i="21" s="1"/>
  <c r="BT192" i="21" s="1"/>
  <c r="BQ199" i="21"/>
  <c r="BG200" i="21"/>
  <c r="BR200" i="21" s="1"/>
  <c r="BS200" i="21" s="1"/>
  <c r="BT200" i="21" s="1"/>
  <c r="BQ207" i="21"/>
  <c r="BS207" i="21" s="1"/>
  <c r="BT207" i="21" s="1"/>
  <c r="BG208" i="21"/>
  <c r="BR208" i="21" s="1"/>
  <c r="BS208" i="21" s="1"/>
  <c r="BT208" i="21" s="1"/>
  <c r="BS184" i="21"/>
  <c r="BT184" i="21" s="1"/>
  <c r="BG173" i="21"/>
  <c r="BR173" i="21" s="1"/>
  <c r="BS173" i="21" s="1"/>
  <c r="BT173" i="21" s="1"/>
  <c r="BQ176" i="21"/>
  <c r="BS176" i="21" s="1"/>
  <c r="BT176" i="21" s="1"/>
  <c r="BQ180" i="21"/>
  <c r="BS180" i="21" s="1"/>
  <c r="BT180" i="21" s="1"/>
  <c r="BQ185" i="21"/>
  <c r="BS185" i="21" s="1"/>
  <c r="BT185" i="21" s="1"/>
  <c r="BQ193" i="21"/>
  <c r="BS193" i="21" s="1"/>
  <c r="BT193" i="21" s="1"/>
  <c r="BQ201" i="21"/>
  <c r="BS201" i="21" s="1"/>
  <c r="BT201" i="21" s="1"/>
  <c r="BQ209" i="21"/>
  <c r="BS209" i="21" s="1"/>
  <c r="BT209" i="21" s="1"/>
  <c r="BV42" i="20"/>
  <c r="BY42" i="20"/>
  <c r="BV44" i="20"/>
  <c r="BY44" i="20"/>
  <c r="BV46" i="20"/>
  <c r="BY46" i="20"/>
  <c r="BV48" i="20"/>
  <c r="BY48" i="20"/>
  <c r="BV50" i="20"/>
  <c r="BY50" i="20"/>
  <c r="BV52" i="20"/>
  <c r="BY52" i="20"/>
  <c r="BV54" i="20"/>
  <c r="BY54" i="20"/>
  <c r="BV56" i="20"/>
  <c r="BY56" i="20"/>
  <c r="BV58" i="20"/>
  <c r="BY58" i="20"/>
  <c r="BV60" i="20"/>
  <c r="BY60" i="20"/>
  <c r="BV64" i="20"/>
  <c r="BY64" i="20"/>
  <c r="BY72" i="20"/>
  <c r="BV72" i="20"/>
  <c r="BV10" i="20"/>
  <c r="BY10" i="20"/>
  <c r="BV12" i="20"/>
  <c r="BY12" i="20"/>
  <c r="BV14" i="20"/>
  <c r="BY14" i="20"/>
  <c r="BV16" i="20"/>
  <c r="BY16" i="20"/>
  <c r="BV18" i="20"/>
  <c r="BY18" i="20"/>
  <c r="BS20" i="20"/>
  <c r="BT20" i="20" s="1"/>
  <c r="BY11" i="20"/>
  <c r="BV11" i="20"/>
  <c r="BY13" i="20"/>
  <c r="BV13" i="20"/>
  <c r="BY15" i="20"/>
  <c r="BV15" i="20"/>
  <c r="BY17" i="20"/>
  <c r="BV17" i="20"/>
  <c r="BY19" i="20"/>
  <c r="BV19" i="20"/>
  <c r="BV21" i="20"/>
  <c r="BY21" i="20"/>
  <c r="BV22" i="20"/>
  <c r="BY22" i="20"/>
  <c r="BV23" i="20"/>
  <c r="BY23" i="20"/>
  <c r="BS26" i="20"/>
  <c r="BT26" i="20" s="1"/>
  <c r="BV24" i="20"/>
  <c r="BY24" i="20"/>
  <c r="BV25" i="20"/>
  <c r="BY25" i="20"/>
  <c r="BV27" i="20"/>
  <c r="BY27" i="20"/>
  <c r="BV28" i="20"/>
  <c r="BY28" i="20"/>
  <c r="BV30" i="20"/>
  <c r="BY30" i="20"/>
  <c r="BV38" i="20"/>
  <c r="BY38" i="20"/>
  <c r="BV32" i="20"/>
  <c r="BY32" i="20"/>
  <c r="BV34" i="20"/>
  <c r="BY34" i="20"/>
  <c r="AT5" i="20"/>
  <c r="J5" i="16" s="1"/>
  <c r="BG33" i="20"/>
  <c r="BR33" i="20" s="1"/>
  <c r="BG37" i="20"/>
  <c r="BR37" i="20" s="1"/>
  <c r="BG41" i="20"/>
  <c r="BR41" i="20" s="1"/>
  <c r="BG45" i="20"/>
  <c r="BR45" i="20" s="1"/>
  <c r="BG49" i="20"/>
  <c r="BR49" i="20" s="1"/>
  <c r="BG53" i="20"/>
  <c r="BR53" i="20" s="1"/>
  <c r="BQ65" i="20"/>
  <c r="BS96" i="20"/>
  <c r="BT96" i="20" s="1"/>
  <c r="BS118" i="20"/>
  <c r="BT118" i="20" s="1"/>
  <c r="BG61" i="20"/>
  <c r="BR61" i="20" s="1"/>
  <c r="AY5" i="20"/>
  <c r="BG5" i="20" s="1"/>
  <c r="BR5" i="20" s="1"/>
  <c r="BS5" i="20" s="1"/>
  <c r="BQ33" i="20"/>
  <c r="BS33" i="20" s="1"/>
  <c r="BT33" i="20" s="1"/>
  <c r="BQ37" i="20"/>
  <c r="BS37" i="20" s="1"/>
  <c r="BT37" i="20" s="1"/>
  <c r="BQ41" i="20"/>
  <c r="BS41" i="20" s="1"/>
  <c r="BT41" i="20" s="1"/>
  <c r="BQ45" i="20"/>
  <c r="BQ49" i="20"/>
  <c r="BS49" i="20" s="1"/>
  <c r="BT49" i="20" s="1"/>
  <c r="BQ53" i="20"/>
  <c r="BS53" i="20" s="1"/>
  <c r="BT53" i="20" s="1"/>
  <c r="BQ57" i="20"/>
  <c r="BQ61" i="20"/>
  <c r="BS61" i="20" s="1"/>
  <c r="BT61" i="20" s="1"/>
  <c r="BS70" i="20"/>
  <c r="BT70" i="20" s="1"/>
  <c r="BS40" i="20"/>
  <c r="BT40" i="20" s="1"/>
  <c r="BS68" i="20"/>
  <c r="BT68" i="20" s="1"/>
  <c r="BQ29" i="20"/>
  <c r="BS29" i="20" s="1"/>
  <c r="BT29" i="20" s="1"/>
  <c r="BG31" i="20"/>
  <c r="BR31" i="20" s="1"/>
  <c r="BG62" i="20"/>
  <c r="BR62" i="20" s="1"/>
  <c r="BS62" i="20" s="1"/>
  <c r="BT62" i="20" s="1"/>
  <c r="BG66" i="20"/>
  <c r="BR66" i="20" s="1"/>
  <c r="BS66" i="20" s="1"/>
  <c r="BT66" i="20" s="1"/>
  <c r="BY93" i="20"/>
  <c r="BV93" i="20"/>
  <c r="BQ31" i="20"/>
  <c r="BS31" i="20" s="1"/>
  <c r="BT31" i="20" s="1"/>
  <c r="BY73" i="20"/>
  <c r="BV73" i="20"/>
  <c r="BY77" i="20"/>
  <c r="BV77" i="20"/>
  <c r="BS36" i="20"/>
  <c r="BT36" i="20" s="1"/>
  <c r="BG35" i="20"/>
  <c r="BR35" i="20" s="1"/>
  <c r="BG39" i="20"/>
  <c r="BR39" i="20" s="1"/>
  <c r="BG43" i="20"/>
  <c r="BR43" i="20" s="1"/>
  <c r="BG47" i="20"/>
  <c r="BR47" i="20" s="1"/>
  <c r="BG51" i="20"/>
  <c r="BR51" i="20" s="1"/>
  <c r="BS67" i="20"/>
  <c r="BT67" i="20" s="1"/>
  <c r="BG57" i="20"/>
  <c r="BR57" i="20" s="1"/>
  <c r="BG65" i="20"/>
  <c r="BR65" i="20" s="1"/>
  <c r="BS35" i="20"/>
  <c r="BT35" i="20" s="1"/>
  <c r="BS39" i="20"/>
  <c r="BT39" i="20" s="1"/>
  <c r="BS43" i="20"/>
  <c r="BT43" i="20" s="1"/>
  <c r="BS47" i="20"/>
  <c r="BT47" i="20" s="1"/>
  <c r="BS51" i="20"/>
  <c r="BT51" i="20" s="1"/>
  <c r="BY55" i="20"/>
  <c r="BV55" i="20"/>
  <c r="BY59" i="20"/>
  <c r="BV59" i="20"/>
  <c r="BY63" i="20"/>
  <c r="BV63" i="20"/>
  <c r="BV80" i="20"/>
  <c r="BY80" i="20"/>
  <c r="BY81" i="20"/>
  <c r="BV81" i="20"/>
  <c r="BS87" i="20"/>
  <c r="BT87" i="20" s="1"/>
  <c r="BQ86" i="20"/>
  <c r="BS86" i="20" s="1"/>
  <c r="BT86" i="20" s="1"/>
  <c r="BS98" i="20"/>
  <c r="BT98" i="20" s="1"/>
  <c r="BG100" i="20"/>
  <c r="BR100" i="20" s="1"/>
  <c r="BS100" i="20" s="1"/>
  <c r="BT100" i="20" s="1"/>
  <c r="BS126" i="20"/>
  <c r="BT126" i="20" s="1"/>
  <c r="BQ76" i="20"/>
  <c r="BS76" i="20" s="1"/>
  <c r="BT76" i="20" s="1"/>
  <c r="BG83" i="20"/>
  <c r="BR83" i="20" s="1"/>
  <c r="BS83" i="20" s="1"/>
  <c r="BT83" i="20" s="1"/>
  <c r="BQ92" i="20"/>
  <c r="BS92" i="20" s="1"/>
  <c r="BT92" i="20" s="1"/>
  <c r="BQ71" i="20"/>
  <c r="BS71" i="20" s="1"/>
  <c r="BT71" i="20" s="1"/>
  <c r="BQ82" i="20"/>
  <c r="BS82" i="20" s="1"/>
  <c r="BT82" i="20" s="1"/>
  <c r="BG89" i="20"/>
  <c r="BR89" i="20" s="1"/>
  <c r="BS89" i="20" s="1"/>
  <c r="BT89" i="20" s="1"/>
  <c r="BG95" i="20"/>
  <c r="BR95" i="20" s="1"/>
  <c r="BV133" i="20"/>
  <c r="BY133" i="20"/>
  <c r="BY136" i="20"/>
  <c r="BV136" i="20"/>
  <c r="BG79" i="20"/>
  <c r="BR79" i="20" s="1"/>
  <c r="BQ79" i="20"/>
  <c r="BS79" i="20" s="1"/>
  <c r="BT79" i="20" s="1"/>
  <c r="BS88" i="20"/>
  <c r="BT88" i="20" s="1"/>
  <c r="BQ95" i="20"/>
  <c r="BS95" i="20" s="1"/>
  <c r="BT95" i="20" s="1"/>
  <c r="BQ102" i="20"/>
  <c r="BQ69" i="20"/>
  <c r="BS69" i="20" s="1"/>
  <c r="BT69" i="20" s="1"/>
  <c r="BQ78" i="20"/>
  <c r="BS78" i="20" s="1"/>
  <c r="BT78" i="20" s="1"/>
  <c r="BG85" i="20"/>
  <c r="BR85" i="20" s="1"/>
  <c r="BQ85" i="20"/>
  <c r="BQ94" i="20"/>
  <c r="BS94" i="20" s="1"/>
  <c r="BT94" i="20" s="1"/>
  <c r="BG75" i="20"/>
  <c r="BR75" i="20" s="1"/>
  <c r="BS75" i="20" s="1"/>
  <c r="BT75" i="20" s="1"/>
  <c r="BQ84" i="20"/>
  <c r="BS84" i="20" s="1"/>
  <c r="BT84" i="20" s="1"/>
  <c r="BQ91" i="20"/>
  <c r="BS91" i="20" s="1"/>
  <c r="BT91" i="20" s="1"/>
  <c r="BG97" i="20"/>
  <c r="BR97" i="20" s="1"/>
  <c r="BS97" i="20" s="1"/>
  <c r="BT97" i="20" s="1"/>
  <c r="BG105" i="20"/>
  <c r="BR105" i="20" s="1"/>
  <c r="BS74" i="20"/>
  <c r="BT74" i="20" s="1"/>
  <c r="BS90" i="20"/>
  <c r="BT90" i="20" s="1"/>
  <c r="BS110" i="20"/>
  <c r="BT110" i="20" s="1"/>
  <c r="BQ111" i="20"/>
  <c r="BS111" i="20" s="1"/>
  <c r="BT111" i="20" s="1"/>
  <c r="BQ119" i="20"/>
  <c r="BS119" i="20" s="1"/>
  <c r="BT119" i="20" s="1"/>
  <c r="BQ127" i="20"/>
  <c r="BS127" i="20" s="1"/>
  <c r="BT127" i="20" s="1"/>
  <c r="BQ134" i="20"/>
  <c r="BS134" i="20" s="1"/>
  <c r="BT134" i="20" s="1"/>
  <c r="BG135" i="20"/>
  <c r="BR135" i="20" s="1"/>
  <c r="BS135" i="20" s="1"/>
  <c r="BT135" i="20" s="1"/>
  <c r="BQ99" i="20"/>
  <c r="BS99" i="20" s="1"/>
  <c r="BT99" i="20" s="1"/>
  <c r="BG104" i="20"/>
  <c r="BR104" i="20" s="1"/>
  <c r="BS104" i="20" s="1"/>
  <c r="BT104" i="20" s="1"/>
  <c r="BS107" i="20"/>
  <c r="BT107" i="20" s="1"/>
  <c r="BS112" i="20"/>
  <c r="BT112" i="20" s="1"/>
  <c r="BS120" i="20"/>
  <c r="BT120" i="20" s="1"/>
  <c r="BS128" i="20"/>
  <c r="BT128" i="20" s="1"/>
  <c r="BQ105" i="20"/>
  <c r="BS105" i="20" s="1"/>
  <c r="BT105" i="20" s="1"/>
  <c r="BS113" i="20"/>
  <c r="BT113" i="20" s="1"/>
  <c r="BS121" i="20"/>
  <c r="BT121" i="20" s="1"/>
  <c r="BS129" i="20"/>
  <c r="BT129" i="20" s="1"/>
  <c r="BV169" i="20"/>
  <c r="BY169" i="20"/>
  <c r="BG102" i="20"/>
  <c r="BR102" i="20" s="1"/>
  <c r="BQ108" i="20"/>
  <c r="BS108" i="20" s="1"/>
  <c r="BT108" i="20" s="1"/>
  <c r="BQ114" i="20"/>
  <c r="BS114" i="20" s="1"/>
  <c r="BT114" i="20" s="1"/>
  <c r="BQ122" i="20"/>
  <c r="BS122" i="20" s="1"/>
  <c r="BT122" i="20" s="1"/>
  <c r="BQ103" i="20"/>
  <c r="BS103" i="20" s="1"/>
  <c r="BT103" i="20" s="1"/>
  <c r="BS115" i="20"/>
  <c r="BT115" i="20" s="1"/>
  <c r="BS123" i="20"/>
  <c r="BT123" i="20" s="1"/>
  <c r="BQ130" i="20"/>
  <c r="BS130" i="20" s="1"/>
  <c r="BT130" i="20" s="1"/>
  <c r="BG131" i="20"/>
  <c r="BR131" i="20" s="1"/>
  <c r="BS131" i="20" s="1"/>
  <c r="BT131" i="20" s="1"/>
  <c r="BQ101" i="20"/>
  <c r="BS101" i="20" s="1"/>
  <c r="BT101" i="20" s="1"/>
  <c r="BQ109" i="20"/>
  <c r="BS109" i="20" s="1"/>
  <c r="BT109" i="20" s="1"/>
  <c r="BS116" i="20"/>
  <c r="BT116" i="20" s="1"/>
  <c r="BS124" i="20"/>
  <c r="BT124" i="20" s="1"/>
  <c r="BG132" i="20"/>
  <c r="BR132" i="20" s="1"/>
  <c r="BS132" i="20" s="1"/>
  <c r="BT132" i="20" s="1"/>
  <c r="BY186" i="20"/>
  <c r="BV186" i="20"/>
  <c r="BY194" i="20"/>
  <c r="BV194" i="20"/>
  <c r="BY202" i="20"/>
  <c r="BV202" i="20"/>
  <c r="BY210" i="20"/>
  <c r="BV210" i="20"/>
  <c r="BS106" i="20"/>
  <c r="BT106" i="20" s="1"/>
  <c r="BS117" i="20"/>
  <c r="BT117" i="20" s="1"/>
  <c r="BS125" i="20"/>
  <c r="BT125" i="20" s="1"/>
  <c r="BS151" i="20"/>
  <c r="BT151" i="20" s="1"/>
  <c r="BS159" i="20"/>
  <c r="BT159" i="20" s="1"/>
  <c r="BS167" i="20"/>
  <c r="BT167" i="20" s="1"/>
  <c r="BQ139" i="20"/>
  <c r="BS139" i="20" s="1"/>
  <c r="BT139" i="20" s="1"/>
  <c r="BQ142" i="20"/>
  <c r="BS142" i="20" s="1"/>
  <c r="BT142" i="20" s="1"/>
  <c r="BQ146" i="20"/>
  <c r="BS146" i="20" s="1"/>
  <c r="BT146" i="20" s="1"/>
  <c r="BQ152" i="20"/>
  <c r="BS152" i="20" s="1"/>
  <c r="BT152" i="20" s="1"/>
  <c r="BG153" i="20"/>
  <c r="BR153" i="20" s="1"/>
  <c r="BS153" i="20" s="1"/>
  <c r="BT153" i="20" s="1"/>
  <c r="BQ160" i="20"/>
  <c r="BS160" i="20" s="1"/>
  <c r="BT160" i="20" s="1"/>
  <c r="BG161" i="20"/>
  <c r="BR161" i="20" s="1"/>
  <c r="BQ168" i="20"/>
  <c r="BS168" i="20" s="1"/>
  <c r="BT168" i="20" s="1"/>
  <c r="BY182" i="20"/>
  <c r="BV182" i="20"/>
  <c r="BQ137" i="20"/>
  <c r="BS137" i="20" s="1"/>
  <c r="BT137" i="20" s="1"/>
  <c r="BG143" i="20"/>
  <c r="BR143" i="20" s="1"/>
  <c r="BG147" i="20"/>
  <c r="BR147" i="20" s="1"/>
  <c r="BG154" i="20"/>
  <c r="BR154" i="20" s="1"/>
  <c r="BS161" i="20"/>
  <c r="BT161" i="20" s="1"/>
  <c r="BG162" i="20"/>
  <c r="BR162" i="20" s="1"/>
  <c r="BQ162" i="20"/>
  <c r="BS162" i="20" s="1"/>
  <c r="BT162" i="20" s="1"/>
  <c r="BG170" i="20"/>
  <c r="BR170" i="20" s="1"/>
  <c r="BY188" i="20"/>
  <c r="BV188" i="20"/>
  <c r="BG140" i="20"/>
  <c r="BR140" i="20" s="1"/>
  <c r="BQ143" i="20"/>
  <c r="BQ147" i="20"/>
  <c r="BS147" i="20" s="1"/>
  <c r="BT147" i="20" s="1"/>
  <c r="BQ154" i="20"/>
  <c r="BG155" i="20"/>
  <c r="BR155" i="20" s="1"/>
  <c r="BG163" i="20"/>
  <c r="BR163" i="20" s="1"/>
  <c r="BQ163" i="20"/>
  <c r="BQ170" i="20"/>
  <c r="BS170" i="20" s="1"/>
  <c r="BT170" i="20" s="1"/>
  <c r="BY196" i="20"/>
  <c r="BV196" i="20"/>
  <c r="BQ140" i="20"/>
  <c r="BS155" i="20"/>
  <c r="BT155" i="20" s="1"/>
  <c r="BS164" i="20"/>
  <c r="BT164" i="20" s="1"/>
  <c r="BV171" i="20"/>
  <c r="BY171" i="20"/>
  <c r="BV172" i="20"/>
  <c r="BY172" i="20"/>
  <c r="BY204" i="20"/>
  <c r="BV204" i="20"/>
  <c r="BQ144" i="20"/>
  <c r="BS144" i="20" s="1"/>
  <c r="BT144" i="20" s="1"/>
  <c r="BS148" i="20"/>
  <c r="BT148" i="20" s="1"/>
  <c r="BS156" i="20"/>
  <c r="BT156" i="20" s="1"/>
  <c r="BQ165" i="20"/>
  <c r="BS165" i="20" s="1"/>
  <c r="BT165" i="20" s="1"/>
  <c r="BY212" i="20"/>
  <c r="BV212" i="20"/>
  <c r="BQ138" i="20"/>
  <c r="BS138" i="20" s="1"/>
  <c r="BT138" i="20" s="1"/>
  <c r="BG141" i="20"/>
  <c r="BR141" i="20" s="1"/>
  <c r="BS141" i="20" s="1"/>
  <c r="BT141" i="20" s="1"/>
  <c r="BG145" i="20"/>
  <c r="BR145" i="20" s="1"/>
  <c r="BS145" i="20" s="1"/>
  <c r="BT145" i="20" s="1"/>
  <c r="BY149" i="20"/>
  <c r="BV149" i="20"/>
  <c r="BG150" i="20"/>
  <c r="BR150" i="20" s="1"/>
  <c r="BS150" i="20" s="1"/>
  <c r="BT150" i="20" s="1"/>
  <c r="BY157" i="20"/>
  <c r="BV157" i="20"/>
  <c r="BG158" i="20"/>
  <c r="BR158" i="20" s="1"/>
  <c r="BS158" i="20" s="1"/>
  <c r="BT158" i="20" s="1"/>
  <c r="BG166" i="20"/>
  <c r="BR166" i="20" s="1"/>
  <c r="BS166" i="20"/>
  <c r="BT166" i="20" s="1"/>
  <c r="BY176" i="20"/>
  <c r="BV176" i="20"/>
  <c r="BQ179" i="20"/>
  <c r="BS179" i="20" s="1"/>
  <c r="BT179" i="20" s="1"/>
  <c r="BS187" i="20"/>
  <c r="BT187" i="20" s="1"/>
  <c r="BS195" i="20"/>
  <c r="BT195" i="20" s="1"/>
  <c r="BS203" i="20"/>
  <c r="BT203" i="20" s="1"/>
  <c r="BS211" i="20"/>
  <c r="BT211" i="20" s="1"/>
  <c r="BQ174" i="20"/>
  <c r="BS174" i="20" s="1"/>
  <c r="BT174" i="20" s="1"/>
  <c r="BG177" i="20"/>
  <c r="BR177" i="20" s="1"/>
  <c r="BS177" i="20" s="1"/>
  <c r="BT177" i="20" s="1"/>
  <c r="BG189" i="20"/>
  <c r="BR189" i="20" s="1"/>
  <c r="BS189" i="20" s="1"/>
  <c r="BT189" i="20" s="1"/>
  <c r="BG197" i="20"/>
  <c r="BR197" i="20" s="1"/>
  <c r="BG205" i="20"/>
  <c r="BR205" i="20" s="1"/>
  <c r="BG213" i="20"/>
  <c r="BR213" i="20" s="1"/>
  <c r="BS213" i="20" s="1"/>
  <c r="BT213" i="20" s="1"/>
  <c r="BG180" i="20"/>
  <c r="BR180" i="20" s="1"/>
  <c r="BG183" i="20"/>
  <c r="BR183" i="20" s="1"/>
  <c r="BG190" i="20"/>
  <c r="BR190" i="20" s="1"/>
  <c r="BS197" i="20"/>
  <c r="BT197" i="20" s="1"/>
  <c r="BG198" i="20"/>
  <c r="BR198" i="20" s="1"/>
  <c r="BS205" i="20"/>
  <c r="BT205" i="20" s="1"/>
  <c r="BG206" i="20"/>
  <c r="BR206" i="20" s="1"/>
  <c r="BG214" i="20"/>
  <c r="BR214" i="20" s="1"/>
  <c r="BG175" i="20"/>
  <c r="BR175" i="20" s="1"/>
  <c r="BQ180" i="20"/>
  <c r="BS180" i="20" s="1"/>
  <c r="BT180" i="20" s="1"/>
  <c r="BQ183" i="20"/>
  <c r="BS183" i="20" s="1"/>
  <c r="BT183" i="20" s="1"/>
  <c r="BQ190" i="20"/>
  <c r="BS190" i="20" s="1"/>
  <c r="BT190" i="20" s="1"/>
  <c r="BG191" i="20"/>
  <c r="BR191" i="20" s="1"/>
  <c r="BQ198" i="20"/>
  <c r="BS198" i="20" s="1"/>
  <c r="BT198" i="20" s="1"/>
  <c r="BG199" i="20"/>
  <c r="BR199" i="20" s="1"/>
  <c r="BQ206" i="20"/>
  <c r="BG207" i="20"/>
  <c r="BR207" i="20" s="1"/>
  <c r="BQ214" i="20"/>
  <c r="BG173" i="20"/>
  <c r="BR173" i="20" s="1"/>
  <c r="BS173" i="20" s="1"/>
  <c r="BT173" i="20" s="1"/>
  <c r="BQ175" i="20"/>
  <c r="BS175" i="20" s="1"/>
  <c r="BT175" i="20" s="1"/>
  <c r="BG178" i="20"/>
  <c r="BR178" i="20" s="1"/>
  <c r="BG184" i="20"/>
  <c r="BR184" i="20" s="1"/>
  <c r="BQ191" i="20"/>
  <c r="BS191" i="20" s="1"/>
  <c r="BT191" i="20" s="1"/>
  <c r="BG192" i="20"/>
  <c r="BR192" i="20" s="1"/>
  <c r="BQ199" i="20"/>
  <c r="BS199" i="20" s="1"/>
  <c r="BT199" i="20" s="1"/>
  <c r="BG200" i="20"/>
  <c r="BR200" i="20" s="1"/>
  <c r="BQ207" i="20"/>
  <c r="BS207" i="20" s="1"/>
  <c r="BT207" i="20" s="1"/>
  <c r="BG208" i="20"/>
  <c r="BR208" i="20" s="1"/>
  <c r="BQ215" i="20"/>
  <c r="BS215" i="20" s="1"/>
  <c r="BT215" i="20" s="1"/>
  <c r="BQ178" i="20"/>
  <c r="BS178" i="20" s="1"/>
  <c r="BT178" i="20" s="1"/>
  <c r="BG181" i="20"/>
  <c r="BR181" i="20" s="1"/>
  <c r="BQ184" i="20"/>
  <c r="BG185" i="20"/>
  <c r="BR185" i="20" s="1"/>
  <c r="BQ192" i="20"/>
  <c r="BG193" i="20"/>
  <c r="BR193" i="20" s="1"/>
  <c r="BS193" i="20" s="1"/>
  <c r="BT193" i="20" s="1"/>
  <c r="BQ200" i="20"/>
  <c r="BS200" i="20" s="1"/>
  <c r="BT200" i="20" s="1"/>
  <c r="BG201" i="20"/>
  <c r="BR201" i="20" s="1"/>
  <c r="BQ208" i="20"/>
  <c r="BS208" i="20" s="1"/>
  <c r="BT208" i="20" s="1"/>
  <c r="BG209" i="20"/>
  <c r="BR209" i="20" s="1"/>
  <c r="BQ181" i="20"/>
  <c r="BS181" i="20" s="1"/>
  <c r="BT181" i="20" s="1"/>
  <c r="BS185" i="20"/>
  <c r="BT185" i="20" s="1"/>
  <c r="BS201" i="20"/>
  <c r="BT201" i="20" s="1"/>
  <c r="BS209" i="20"/>
  <c r="BT209" i="20" s="1"/>
  <c r="BG176" i="18"/>
  <c r="BR176" i="18" s="1"/>
  <c r="BG72" i="18"/>
  <c r="BR72" i="18" s="1"/>
  <c r="BG64" i="18"/>
  <c r="BR64" i="18" s="1"/>
  <c r="BG40" i="18"/>
  <c r="BR40" i="18" s="1"/>
  <c r="BQ210" i="18"/>
  <c r="BQ208" i="18"/>
  <c r="BQ202" i="18"/>
  <c r="BQ194" i="18"/>
  <c r="BQ193" i="18"/>
  <c r="BQ178" i="18"/>
  <c r="BQ177" i="18"/>
  <c r="BQ161" i="18"/>
  <c r="BQ145" i="18"/>
  <c r="BQ129" i="18"/>
  <c r="BQ113" i="18"/>
  <c r="BQ97" i="18"/>
  <c r="BQ81" i="18"/>
  <c r="BQ65" i="18"/>
  <c r="BQ49" i="18"/>
  <c r="BQ33" i="18"/>
  <c r="BQ17" i="18"/>
  <c r="BG200" i="18"/>
  <c r="BR200" i="18" s="1"/>
  <c r="BG168" i="18"/>
  <c r="BR168" i="18" s="1"/>
  <c r="BG104" i="18"/>
  <c r="BR104" i="18" s="1"/>
  <c r="BG212" i="18"/>
  <c r="BR212" i="18" s="1"/>
  <c r="BG175" i="18"/>
  <c r="BR175" i="18" s="1"/>
  <c r="BG167" i="18"/>
  <c r="BR167" i="18" s="1"/>
  <c r="BG159" i="18"/>
  <c r="BR159" i="18" s="1"/>
  <c r="BG151" i="18"/>
  <c r="BR151" i="18" s="1"/>
  <c r="BG139" i="18"/>
  <c r="BR139" i="18" s="1"/>
  <c r="BG135" i="18"/>
  <c r="BR135" i="18" s="1"/>
  <c r="BG129" i="18"/>
  <c r="BR129" i="18" s="1"/>
  <c r="BS129" i="18" s="1"/>
  <c r="BG127" i="18"/>
  <c r="BR127" i="18" s="1"/>
  <c r="BG120" i="18"/>
  <c r="BR120" i="18" s="1"/>
  <c r="BG119" i="18"/>
  <c r="BR119" i="18" s="1"/>
  <c r="BG111" i="18"/>
  <c r="BR111" i="18" s="1"/>
  <c r="BG103" i="18"/>
  <c r="BR103" i="18" s="1"/>
  <c r="BG101" i="18"/>
  <c r="BR101" i="18" s="1"/>
  <c r="BG95" i="18"/>
  <c r="BR95" i="18" s="1"/>
  <c r="BG91" i="18"/>
  <c r="BR91" i="18" s="1"/>
  <c r="BG87" i="18"/>
  <c r="BR87" i="18" s="1"/>
  <c r="BG79" i="18"/>
  <c r="BR79" i="18" s="1"/>
  <c r="BG71" i="18"/>
  <c r="BR71" i="18" s="1"/>
  <c r="BG69" i="18"/>
  <c r="BR69" i="18" s="1"/>
  <c r="BG63" i="18"/>
  <c r="BR63" i="18" s="1"/>
  <c r="BG59" i="18"/>
  <c r="BR59" i="18" s="1"/>
  <c r="BG55" i="18"/>
  <c r="BR55" i="18" s="1"/>
  <c r="BG47" i="18"/>
  <c r="BR47" i="18" s="1"/>
  <c r="BG39" i="18"/>
  <c r="BR39" i="18" s="1"/>
  <c r="BG37" i="18"/>
  <c r="BR37" i="18" s="1"/>
  <c r="BG31" i="18"/>
  <c r="BR31" i="18" s="1"/>
  <c r="BG23" i="18"/>
  <c r="BR23" i="18" s="1"/>
  <c r="BG15" i="18"/>
  <c r="BR15" i="18" s="1"/>
  <c r="BG12" i="18"/>
  <c r="BR12" i="18" s="1"/>
  <c r="BG7" i="18"/>
  <c r="BR7" i="18" s="1"/>
  <c r="BQ121" i="18"/>
  <c r="BQ112" i="18"/>
  <c r="BQ105" i="18"/>
  <c r="BQ96" i="18"/>
  <c r="BQ89" i="18"/>
  <c r="BQ80" i="18"/>
  <c r="BQ73" i="18"/>
  <c r="BQ64" i="18"/>
  <c r="BQ57" i="18"/>
  <c r="BQ48" i="18"/>
  <c r="BQ41" i="18"/>
  <c r="BQ32" i="18"/>
  <c r="BQ25" i="18"/>
  <c r="BQ16" i="18"/>
  <c r="BQ9" i="18"/>
  <c r="BG208" i="18"/>
  <c r="BR208" i="18" s="1"/>
  <c r="BG152" i="18"/>
  <c r="BR152" i="18" s="1"/>
  <c r="BG136" i="18"/>
  <c r="BR136" i="18" s="1"/>
  <c r="BG96" i="18"/>
  <c r="BR96" i="18" s="1"/>
  <c r="BG48" i="18"/>
  <c r="BR48" i="18" s="1"/>
  <c r="BG215" i="18"/>
  <c r="BR215" i="18" s="1"/>
  <c r="BG199" i="18"/>
  <c r="BR199" i="18" s="1"/>
  <c r="BG191" i="18"/>
  <c r="BR191" i="18" s="1"/>
  <c r="BG184" i="18"/>
  <c r="BR184" i="18" s="1"/>
  <c r="BG166" i="18"/>
  <c r="BR166" i="18" s="1"/>
  <c r="BG143" i="18"/>
  <c r="BR143" i="18" s="1"/>
  <c r="BG160" i="18"/>
  <c r="BR160" i="18" s="1"/>
  <c r="BG80" i="18"/>
  <c r="BR80" i="18" s="1"/>
  <c r="BG207" i="18"/>
  <c r="BR207" i="18" s="1"/>
  <c r="BG193" i="18"/>
  <c r="BR193" i="18" s="1"/>
  <c r="BG148" i="18"/>
  <c r="BR148" i="18" s="1"/>
  <c r="BG144" i="18"/>
  <c r="BR144" i="18" s="1"/>
  <c r="BG112" i="18"/>
  <c r="BR112" i="18" s="1"/>
  <c r="BG203" i="18"/>
  <c r="BR203" i="18" s="1"/>
  <c r="BG183" i="18"/>
  <c r="BR183" i="18" s="1"/>
  <c r="BG157" i="18"/>
  <c r="BR157" i="18" s="1"/>
  <c r="BQ192" i="18"/>
  <c r="BQ160" i="18"/>
  <c r="BG206" i="18"/>
  <c r="BR206" i="18" s="1"/>
  <c r="BG201" i="18"/>
  <c r="BR201" i="18" s="1"/>
  <c r="BG198" i="18"/>
  <c r="BR198" i="18" s="1"/>
  <c r="BG192" i="18"/>
  <c r="BR192" i="18" s="1"/>
  <c r="BG190" i="18"/>
  <c r="BR190" i="18" s="1"/>
  <c r="BG182" i="18"/>
  <c r="BR182" i="18" s="1"/>
  <c r="BG174" i="18"/>
  <c r="BR174" i="18" s="1"/>
  <c r="BG165" i="18"/>
  <c r="BR165" i="18" s="1"/>
  <c r="BG158" i="18"/>
  <c r="BR158" i="18" s="1"/>
  <c r="BG156" i="18"/>
  <c r="BR156" i="18" s="1"/>
  <c r="BG150" i="18"/>
  <c r="BR150" i="18" s="1"/>
  <c r="BG147" i="18"/>
  <c r="BR147" i="18" s="1"/>
  <c r="BG142" i="18"/>
  <c r="BR142" i="18" s="1"/>
  <c r="BG137" i="18"/>
  <c r="BR137" i="18" s="1"/>
  <c r="BG134" i="18"/>
  <c r="BR134" i="18" s="1"/>
  <c r="BG128" i="18"/>
  <c r="BR128" i="18" s="1"/>
  <c r="BG126" i="18"/>
  <c r="BR126" i="18" s="1"/>
  <c r="BG118" i="18"/>
  <c r="BR118" i="18" s="1"/>
  <c r="BG110" i="18"/>
  <c r="BR110" i="18" s="1"/>
  <c r="BG102" i="18"/>
  <c r="BR102" i="18" s="1"/>
  <c r="BG100" i="18"/>
  <c r="BR100" i="18" s="1"/>
  <c r="BG94" i="18"/>
  <c r="BR94" i="18" s="1"/>
  <c r="BG88" i="18"/>
  <c r="BR88" i="18" s="1"/>
  <c r="BG86" i="18"/>
  <c r="BR86" i="18" s="1"/>
  <c r="BG78" i="18"/>
  <c r="BR78" i="18" s="1"/>
  <c r="BG70" i="18"/>
  <c r="BR70" i="18" s="1"/>
  <c r="BG68" i="18"/>
  <c r="BR68" i="18" s="1"/>
  <c r="BG62" i="18"/>
  <c r="BR62" i="18" s="1"/>
  <c r="BG56" i="18"/>
  <c r="BR56" i="18" s="1"/>
  <c r="BG54" i="18"/>
  <c r="BR54" i="18" s="1"/>
  <c r="BG46" i="18"/>
  <c r="BR46" i="18" s="1"/>
  <c r="BG38" i="18"/>
  <c r="BR38" i="18" s="1"/>
  <c r="BG36" i="18"/>
  <c r="BR36" i="18" s="1"/>
  <c r="BG30" i="18"/>
  <c r="BR30" i="18" s="1"/>
  <c r="BG22" i="18"/>
  <c r="BR22" i="18" s="1"/>
  <c r="BG14" i="18"/>
  <c r="BR14" i="18" s="1"/>
  <c r="BG11" i="18"/>
  <c r="BR11" i="18" s="1"/>
  <c r="BG6" i="18"/>
  <c r="BR6" i="18" s="1"/>
  <c r="BQ200" i="18"/>
  <c r="BQ184" i="18"/>
  <c r="BQ168" i="18"/>
  <c r="BQ152" i="18"/>
  <c r="BQ136" i="18"/>
  <c r="BQ120" i="18"/>
  <c r="BQ104" i="18"/>
  <c r="BQ88" i="18"/>
  <c r="BS88" i="18" s="1"/>
  <c r="BQ72" i="18"/>
  <c r="BQ56" i="18"/>
  <c r="BQ40" i="18"/>
  <c r="BS40" i="18" s="1"/>
  <c r="BQ24" i="18"/>
  <c r="BQ185" i="18"/>
  <c r="BQ176" i="18"/>
  <c r="BS176" i="18" s="1"/>
  <c r="BG214" i="18"/>
  <c r="BR214" i="18" s="1"/>
  <c r="BG205" i="18"/>
  <c r="BR205" i="18" s="1"/>
  <c r="BG173" i="18"/>
  <c r="BR173" i="18" s="1"/>
  <c r="BG141" i="18"/>
  <c r="BR141" i="18" s="1"/>
  <c r="BG133" i="18"/>
  <c r="BR133" i="18" s="1"/>
  <c r="BG125" i="18"/>
  <c r="BR125" i="18" s="1"/>
  <c r="BG117" i="18"/>
  <c r="BR117" i="18" s="1"/>
  <c r="BG93" i="18"/>
  <c r="BR93" i="18" s="1"/>
  <c r="BG85" i="18"/>
  <c r="BR85" i="18" s="1"/>
  <c r="BG61" i="18"/>
  <c r="BR61" i="18" s="1"/>
  <c r="BG53" i="18"/>
  <c r="BR53" i="18" s="1"/>
  <c r="BG45" i="18"/>
  <c r="BR45" i="18" s="1"/>
  <c r="BG29" i="18"/>
  <c r="BR29" i="18" s="1"/>
  <c r="BG21" i="18"/>
  <c r="BR21" i="18" s="1"/>
  <c r="BG13" i="18"/>
  <c r="BR13" i="18" s="1"/>
  <c r="BQ215" i="18"/>
  <c r="BS215" i="18" s="1"/>
  <c r="BQ199" i="18"/>
  <c r="BS199" i="18" s="1"/>
  <c r="BQ191" i="18"/>
  <c r="BQ183" i="18"/>
  <c r="BQ175" i="18"/>
  <c r="BQ167" i="18"/>
  <c r="BS167" i="18" s="1"/>
  <c r="BQ159" i="18"/>
  <c r="BS159" i="18" s="1"/>
  <c r="BQ151" i="18"/>
  <c r="BS151" i="18" s="1"/>
  <c r="BQ143" i="18"/>
  <c r="BS143" i="18" s="1"/>
  <c r="BQ135" i="18"/>
  <c r="BQ127" i="18"/>
  <c r="BQ119" i="18"/>
  <c r="BQ111" i="18"/>
  <c r="BS111" i="18" s="1"/>
  <c r="BQ103" i="18"/>
  <c r="BS103" i="18" s="1"/>
  <c r="BQ95" i="18"/>
  <c r="BS95" i="18" s="1"/>
  <c r="BQ87" i="18"/>
  <c r="BS87" i="18" s="1"/>
  <c r="BQ79" i="18"/>
  <c r="BQ71" i="18"/>
  <c r="BS71" i="18" s="1"/>
  <c r="BQ63" i="18"/>
  <c r="BS63" i="18" s="1"/>
  <c r="BQ55" i="18"/>
  <c r="BQ47" i="18"/>
  <c r="BQ39" i="18"/>
  <c r="BQ31" i="18"/>
  <c r="BQ23" i="18"/>
  <c r="BS23" i="18" s="1"/>
  <c r="BQ15" i="18"/>
  <c r="BS15" i="18" s="1"/>
  <c r="BQ201" i="18"/>
  <c r="BQ137" i="18"/>
  <c r="BS137" i="18" s="1"/>
  <c r="BG189" i="18"/>
  <c r="BR189" i="18" s="1"/>
  <c r="BG77" i="18"/>
  <c r="BR77" i="18" s="1"/>
  <c r="BG204" i="18"/>
  <c r="BR204" i="18" s="1"/>
  <c r="BG196" i="18"/>
  <c r="BR196" i="18" s="1"/>
  <c r="BG188" i="18"/>
  <c r="BR188" i="18" s="1"/>
  <c r="BG180" i="18"/>
  <c r="BR180" i="18" s="1"/>
  <c r="BG172" i="18"/>
  <c r="BR172" i="18" s="1"/>
  <c r="BG164" i="18"/>
  <c r="BR164" i="18" s="1"/>
  <c r="BG140" i="18"/>
  <c r="BR140" i="18" s="1"/>
  <c r="BG132" i="18"/>
  <c r="BR132" i="18" s="1"/>
  <c r="BG124" i="18"/>
  <c r="BR124" i="18" s="1"/>
  <c r="BG116" i="18"/>
  <c r="BR116" i="18" s="1"/>
  <c r="BG108" i="18"/>
  <c r="BR108" i="18" s="1"/>
  <c r="BG92" i="18"/>
  <c r="BR92" i="18" s="1"/>
  <c r="BG84" i="18"/>
  <c r="BR84" i="18" s="1"/>
  <c r="BG76" i="18"/>
  <c r="BR76" i="18" s="1"/>
  <c r="BG60" i="18"/>
  <c r="BR60" i="18" s="1"/>
  <c r="BG52" i="18"/>
  <c r="BR52" i="18" s="1"/>
  <c r="BG44" i="18"/>
  <c r="BR44" i="18" s="1"/>
  <c r="BG28" i="18"/>
  <c r="BR28" i="18" s="1"/>
  <c r="BG20" i="18"/>
  <c r="BR20" i="18" s="1"/>
  <c r="BQ214" i="18"/>
  <c r="BQ206" i="18"/>
  <c r="BQ209" i="18"/>
  <c r="BQ144" i="18"/>
  <c r="BG197" i="18"/>
  <c r="BR197" i="18" s="1"/>
  <c r="BG149" i="18"/>
  <c r="BR149" i="18" s="1"/>
  <c r="BG187" i="18"/>
  <c r="BR187" i="18" s="1"/>
  <c r="BG163" i="18"/>
  <c r="BR163" i="18" s="1"/>
  <c r="BG131" i="18"/>
  <c r="BR131" i="18" s="1"/>
  <c r="BG107" i="18"/>
  <c r="BR107" i="18" s="1"/>
  <c r="BG99" i="18"/>
  <c r="BR99" i="18" s="1"/>
  <c r="BG75" i="18"/>
  <c r="BR75" i="18" s="1"/>
  <c r="BG51" i="18"/>
  <c r="BR51" i="18" s="1"/>
  <c r="BG27" i="18"/>
  <c r="BR27" i="18" s="1"/>
  <c r="BQ213" i="18"/>
  <c r="BQ205" i="18"/>
  <c r="BQ189" i="18"/>
  <c r="BS189" i="18" s="1"/>
  <c r="BQ181" i="18"/>
  <c r="BQ173" i="18"/>
  <c r="BS173" i="18" s="1"/>
  <c r="BQ165" i="18"/>
  <c r="BS165" i="18" s="1"/>
  <c r="BQ157" i="18"/>
  <c r="BS157" i="18" s="1"/>
  <c r="BQ149" i="18"/>
  <c r="BS149" i="18" s="1"/>
  <c r="BQ141" i="18"/>
  <c r="BS141" i="18" s="1"/>
  <c r="BQ133" i="18"/>
  <c r="BS133" i="18" s="1"/>
  <c r="BQ125" i="18"/>
  <c r="BQ117" i="18"/>
  <c r="BQ109" i="18"/>
  <c r="BQ101" i="18"/>
  <c r="BQ93" i="18"/>
  <c r="BQ85" i="18"/>
  <c r="BQ77" i="18"/>
  <c r="BS77" i="18" s="1"/>
  <c r="BQ69" i="18"/>
  <c r="BS69" i="18" s="1"/>
  <c r="BQ61" i="18"/>
  <c r="BQ53" i="18"/>
  <c r="BS53" i="18" s="1"/>
  <c r="BQ45" i="18"/>
  <c r="BS45" i="18" s="1"/>
  <c r="BQ37" i="18"/>
  <c r="BQ29" i="18"/>
  <c r="BQ21" i="18"/>
  <c r="BQ13" i="18"/>
  <c r="BQ207" i="18"/>
  <c r="BS207" i="18" s="1"/>
  <c r="BQ153" i="18"/>
  <c r="BS96" i="18"/>
  <c r="BG109" i="18"/>
  <c r="BR109" i="18" s="1"/>
  <c r="BG195" i="18"/>
  <c r="BR195" i="18" s="1"/>
  <c r="BG171" i="18"/>
  <c r="BR171" i="18" s="1"/>
  <c r="BG155" i="18"/>
  <c r="BR155" i="18" s="1"/>
  <c r="BG123" i="18"/>
  <c r="BR123" i="18" s="1"/>
  <c r="BG115" i="18"/>
  <c r="BR115" i="18" s="1"/>
  <c r="BG83" i="18"/>
  <c r="BR83" i="18" s="1"/>
  <c r="BG67" i="18"/>
  <c r="BR67" i="18" s="1"/>
  <c r="BG43" i="18"/>
  <c r="BR43" i="18" s="1"/>
  <c r="BG35" i="18"/>
  <c r="BR35" i="18" s="1"/>
  <c r="BG19" i="18"/>
  <c r="BR19" i="18" s="1"/>
  <c r="BQ197" i="18"/>
  <c r="BS197" i="18" s="1"/>
  <c r="BQ169" i="18"/>
  <c r="BQ128" i="18"/>
  <c r="BS128" i="18" s="1"/>
  <c r="BS80" i="18"/>
  <c r="BG211" i="18"/>
  <c r="BR211" i="18" s="1"/>
  <c r="BG213" i="18"/>
  <c r="BR213" i="18" s="1"/>
  <c r="BG181" i="18"/>
  <c r="BR181" i="18" s="1"/>
  <c r="BG179" i="18"/>
  <c r="BR179" i="18" s="1"/>
  <c r="BG209" i="18"/>
  <c r="BR209" i="18" s="1"/>
  <c r="BG185" i="18"/>
  <c r="BR185" i="18" s="1"/>
  <c r="BG177" i="18"/>
  <c r="BR177" i="18" s="1"/>
  <c r="BS177" i="18" s="1"/>
  <c r="BG169" i="18"/>
  <c r="BR169" i="18" s="1"/>
  <c r="BG161" i="18"/>
  <c r="BR161" i="18" s="1"/>
  <c r="BS161" i="18" s="1"/>
  <c r="BG153" i="18"/>
  <c r="BR153" i="18" s="1"/>
  <c r="BG145" i="18"/>
  <c r="BR145" i="18" s="1"/>
  <c r="BS145" i="18" s="1"/>
  <c r="BG121" i="18"/>
  <c r="BR121" i="18" s="1"/>
  <c r="BG113" i="18"/>
  <c r="BR113" i="18" s="1"/>
  <c r="BS113" i="18" s="1"/>
  <c r="BQ186" i="18"/>
  <c r="BQ170" i="18"/>
  <c r="BQ162" i="18"/>
  <c r="BQ154" i="18"/>
  <c r="BQ146" i="18"/>
  <c r="BQ138" i="18"/>
  <c r="BQ130" i="18"/>
  <c r="BQ122" i="18"/>
  <c r="BQ114" i="18"/>
  <c r="BQ106" i="18"/>
  <c r="BQ98" i="18"/>
  <c r="BQ90" i="18"/>
  <c r="BQ82" i="18"/>
  <c r="BQ74" i="18"/>
  <c r="BQ66" i="18"/>
  <c r="BQ58" i="18"/>
  <c r="BQ50" i="18"/>
  <c r="BQ42" i="18"/>
  <c r="BQ34" i="18"/>
  <c r="BQ26" i="18"/>
  <c r="BQ18" i="18"/>
  <c r="BQ10" i="18"/>
  <c r="BQ198" i="18"/>
  <c r="BQ190" i="18"/>
  <c r="BQ182" i="18"/>
  <c r="BS182" i="18" s="1"/>
  <c r="BQ174" i="18"/>
  <c r="BS174" i="18" s="1"/>
  <c r="BQ166" i="18"/>
  <c r="BQ158" i="18"/>
  <c r="BQ150" i="18"/>
  <c r="BQ142" i="18"/>
  <c r="BQ134" i="18"/>
  <c r="BS134" i="18" s="1"/>
  <c r="BQ126" i="18"/>
  <c r="BQ118" i="18"/>
  <c r="BQ110" i="18"/>
  <c r="BQ102" i="18"/>
  <c r="BQ94" i="18"/>
  <c r="BS94" i="18" s="1"/>
  <c r="BQ86" i="18"/>
  <c r="BS86" i="18" s="1"/>
  <c r="BQ78" i="18"/>
  <c r="BQ70" i="18"/>
  <c r="BS70" i="18" s="1"/>
  <c r="BQ62" i="18"/>
  <c r="BQ54" i="18"/>
  <c r="BS54" i="18" s="1"/>
  <c r="BQ46" i="18"/>
  <c r="BS46" i="18" s="1"/>
  <c r="BQ38" i="18"/>
  <c r="BS38" i="18" s="1"/>
  <c r="BQ30" i="18"/>
  <c r="BQ22" i="18"/>
  <c r="BQ14" i="18"/>
  <c r="BG210" i="18"/>
  <c r="BR210" i="18" s="1"/>
  <c r="BS210" i="18" s="1"/>
  <c r="BG202" i="18"/>
  <c r="BR202" i="18" s="1"/>
  <c r="BS202" i="18" s="1"/>
  <c r="BG194" i="18"/>
  <c r="BR194" i="18" s="1"/>
  <c r="BG186" i="18"/>
  <c r="BR186" i="18" s="1"/>
  <c r="BG178" i="18"/>
  <c r="BR178" i="18" s="1"/>
  <c r="BG170" i="18"/>
  <c r="BR170" i="18" s="1"/>
  <c r="BG162" i="18"/>
  <c r="BR162" i="18" s="1"/>
  <c r="BG154" i="18"/>
  <c r="BR154" i="18" s="1"/>
  <c r="BG146" i="18"/>
  <c r="BR146" i="18" s="1"/>
  <c r="BG138" i="18"/>
  <c r="BR138" i="18" s="1"/>
  <c r="BG130" i="18"/>
  <c r="BR130" i="18" s="1"/>
  <c r="BG122" i="18"/>
  <c r="BR122" i="18" s="1"/>
  <c r="BG114" i="18"/>
  <c r="BR114" i="18" s="1"/>
  <c r="BG106" i="18"/>
  <c r="BR106" i="18" s="1"/>
  <c r="BG98" i="18"/>
  <c r="BR98" i="18" s="1"/>
  <c r="BG90" i="18"/>
  <c r="BR90" i="18" s="1"/>
  <c r="BG82" i="18"/>
  <c r="BR82" i="18" s="1"/>
  <c r="BG74" i="18"/>
  <c r="BR74" i="18" s="1"/>
  <c r="BG66" i="18"/>
  <c r="BR66" i="18" s="1"/>
  <c r="BG58" i="18"/>
  <c r="BR58" i="18" s="1"/>
  <c r="BG50" i="18"/>
  <c r="BR50" i="18" s="1"/>
  <c r="BG42" i="18"/>
  <c r="BR42" i="18" s="1"/>
  <c r="BG34" i="18"/>
  <c r="BR34" i="18" s="1"/>
  <c r="BG26" i="18"/>
  <c r="BR26" i="18" s="1"/>
  <c r="BG18" i="18"/>
  <c r="BR18" i="18" s="1"/>
  <c r="BG10" i="18"/>
  <c r="BR10" i="18" s="1"/>
  <c r="BG105" i="18"/>
  <c r="BR105" i="18" s="1"/>
  <c r="BG97" i="18"/>
  <c r="BR97" i="18" s="1"/>
  <c r="BG89" i="18"/>
  <c r="BR89" i="18" s="1"/>
  <c r="BS89" i="18" s="1"/>
  <c r="BG81" i="18"/>
  <c r="BR81" i="18" s="1"/>
  <c r="BG73" i="18"/>
  <c r="BR73" i="18" s="1"/>
  <c r="BG65" i="18"/>
  <c r="BR65" i="18" s="1"/>
  <c r="BG57" i="18"/>
  <c r="BR57" i="18" s="1"/>
  <c r="BG49" i="18"/>
  <c r="BR49" i="18" s="1"/>
  <c r="BS49" i="18" s="1"/>
  <c r="BG41" i="18"/>
  <c r="BR41" i="18" s="1"/>
  <c r="BG33" i="18"/>
  <c r="BR33" i="18" s="1"/>
  <c r="BS33" i="18" s="1"/>
  <c r="BG25" i="18"/>
  <c r="BR25" i="18" s="1"/>
  <c r="BS25" i="18" s="1"/>
  <c r="BG17" i="18"/>
  <c r="BR17" i="18" s="1"/>
  <c r="BS17" i="18" s="1"/>
  <c r="BG9" i="18"/>
  <c r="BR9" i="18" s="1"/>
  <c r="BQ212" i="18"/>
  <c r="BS212" i="18" s="1"/>
  <c r="BQ204" i="18"/>
  <c r="BQ196" i="18"/>
  <c r="BQ188" i="18"/>
  <c r="BQ180" i="18"/>
  <c r="BQ172" i="18"/>
  <c r="BQ164" i="18"/>
  <c r="BS164" i="18" s="1"/>
  <c r="BQ156" i="18"/>
  <c r="BQ148" i="18"/>
  <c r="BQ140" i="18"/>
  <c r="BS140" i="18" s="1"/>
  <c r="BQ132" i="18"/>
  <c r="BS132" i="18" s="1"/>
  <c r="BQ124" i="18"/>
  <c r="BQ116" i="18"/>
  <c r="BQ108" i="18"/>
  <c r="BQ100" i="18"/>
  <c r="BS100" i="18" s="1"/>
  <c r="BQ92" i="18"/>
  <c r="BQ84" i="18"/>
  <c r="BQ76" i="18"/>
  <c r="BS76" i="18" s="1"/>
  <c r="BQ68" i="18"/>
  <c r="BQ60" i="18"/>
  <c r="BS60" i="18" s="1"/>
  <c r="BQ52" i="18"/>
  <c r="BS52" i="18" s="1"/>
  <c r="BQ44" i="18"/>
  <c r="BQ36" i="18"/>
  <c r="BQ28" i="18"/>
  <c r="BQ20" i="18"/>
  <c r="BQ12" i="18"/>
  <c r="BG32" i="18"/>
  <c r="BR32" i="18" s="1"/>
  <c r="BS32" i="18" s="1"/>
  <c r="BG24" i="18"/>
  <c r="BR24" i="18" s="1"/>
  <c r="BG16" i="18"/>
  <c r="BR16" i="18" s="1"/>
  <c r="BS16" i="18" s="1"/>
  <c r="BQ211" i="18"/>
  <c r="BQ203" i="18"/>
  <c r="BQ195" i="18"/>
  <c r="BS195" i="18" s="1"/>
  <c r="BQ187" i="18"/>
  <c r="BQ179" i="18"/>
  <c r="BQ171" i="18"/>
  <c r="BQ163" i="18"/>
  <c r="BQ155" i="18"/>
  <c r="BQ147" i="18"/>
  <c r="BQ139" i="18"/>
  <c r="BQ131" i="18"/>
  <c r="BQ123" i="18"/>
  <c r="BS123" i="18" s="1"/>
  <c r="BQ115" i="18"/>
  <c r="BQ107" i="18"/>
  <c r="BQ99" i="18"/>
  <c r="BS99" i="18" s="1"/>
  <c r="BQ91" i="18"/>
  <c r="BQ83" i="18"/>
  <c r="BS83" i="18" s="1"/>
  <c r="BQ75" i="18"/>
  <c r="BS75" i="18" s="1"/>
  <c r="BQ67" i="18"/>
  <c r="BS67" i="18" s="1"/>
  <c r="BQ59" i="18"/>
  <c r="BQ51" i="18"/>
  <c r="BS51" i="18" s="1"/>
  <c r="BQ43" i="18"/>
  <c r="BS43" i="18" s="1"/>
  <c r="BQ35" i="18"/>
  <c r="BS35" i="18" s="1"/>
  <c r="BQ27" i="18"/>
  <c r="BQ19" i="18"/>
  <c r="BQ11" i="18"/>
  <c r="BS11" i="18" s="1"/>
  <c r="BQ8" i="18"/>
  <c r="BG8" i="18"/>
  <c r="BR8" i="18" s="1"/>
  <c r="J7" i="16" l="1"/>
  <c r="AU7" i="20"/>
  <c r="J6" i="16"/>
  <c r="AU6" i="20"/>
  <c r="I5" i="16"/>
  <c r="AU5" i="20"/>
  <c r="J7" i="17"/>
  <c r="AU7" i="21"/>
  <c r="J6" i="17"/>
  <c r="AU6" i="21"/>
  <c r="I5" i="17"/>
  <c r="M5" i="17" s="1"/>
  <c r="AU5" i="21"/>
  <c r="M7" i="17"/>
  <c r="M6" i="17"/>
  <c r="P104" i="17"/>
  <c r="O104" i="17"/>
  <c r="P103" i="17"/>
  <c r="O103" i="17"/>
  <c r="P102" i="17"/>
  <c r="O102" i="17"/>
  <c r="P101" i="17"/>
  <c r="O101" i="17"/>
  <c r="P100" i="17"/>
  <c r="O100" i="17"/>
  <c r="P99" i="17"/>
  <c r="O99" i="17"/>
  <c r="P98" i="17"/>
  <c r="O98" i="17"/>
  <c r="P97" i="17"/>
  <c r="O97" i="17"/>
  <c r="P96" i="17"/>
  <c r="O96" i="17"/>
  <c r="P95" i="17"/>
  <c r="O95" i="17"/>
  <c r="P94" i="17"/>
  <c r="O94" i="17"/>
  <c r="P93" i="17"/>
  <c r="O93" i="17"/>
  <c r="P92" i="17"/>
  <c r="O92" i="17"/>
  <c r="P91" i="17"/>
  <c r="O91" i="17"/>
  <c r="P90" i="17"/>
  <c r="O90" i="17"/>
  <c r="P89" i="17"/>
  <c r="O89" i="17"/>
  <c r="P88" i="17"/>
  <c r="O88" i="17"/>
  <c r="P87" i="17"/>
  <c r="O87" i="17"/>
  <c r="P86" i="17"/>
  <c r="O86" i="17"/>
  <c r="P85" i="17"/>
  <c r="O85" i="17"/>
  <c r="P84" i="17"/>
  <c r="O84" i="17"/>
  <c r="P83" i="17"/>
  <c r="O83" i="17"/>
  <c r="P82" i="17"/>
  <c r="O82" i="17"/>
  <c r="P81" i="17"/>
  <c r="O81" i="17"/>
  <c r="P80" i="17"/>
  <c r="O80" i="17"/>
  <c r="P79" i="17"/>
  <c r="O79" i="17"/>
  <c r="P78" i="17"/>
  <c r="O78" i="17"/>
  <c r="P77" i="17"/>
  <c r="O77" i="17"/>
  <c r="P76" i="17"/>
  <c r="O76" i="17"/>
  <c r="P75" i="17"/>
  <c r="O75" i="17"/>
  <c r="P74" i="17"/>
  <c r="O74" i="17"/>
  <c r="P73" i="17"/>
  <c r="O73" i="17"/>
  <c r="P72" i="17"/>
  <c r="O72" i="17"/>
  <c r="P71" i="17"/>
  <c r="O71" i="17"/>
  <c r="P70" i="17"/>
  <c r="O70" i="17"/>
  <c r="P69" i="17"/>
  <c r="O69" i="17"/>
  <c r="P68" i="17"/>
  <c r="O68" i="17"/>
  <c r="P67" i="17"/>
  <c r="O67" i="17"/>
  <c r="P66" i="17"/>
  <c r="O66" i="17"/>
  <c r="P65" i="17"/>
  <c r="O65" i="17"/>
  <c r="P64" i="17"/>
  <c r="O64" i="17"/>
  <c r="P63" i="17"/>
  <c r="O63" i="17"/>
  <c r="P62" i="17"/>
  <c r="O62" i="17"/>
  <c r="P61" i="17"/>
  <c r="O61" i="17"/>
  <c r="P60" i="17"/>
  <c r="O60" i="17"/>
  <c r="P59" i="17"/>
  <c r="O59" i="17"/>
  <c r="P58" i="17"/>
  <c r="O58" i="17"/>
  <c r="P57" i="17"/>
  <c r="O57" i="17"/>
  <c r="P56" i="17"/>
  <c r="O56" i="17"/>
  <c r="P55" i="17"/>
  <c r="O55" i="17"/>
  <c r="P54" i="17"/>
  <c r="O54" i="17"/>
  <c r="P53" i="17"/>
  <c r="O53" i="17"/>
  <c r="P52" i="17"/>
  <c r="O52" i="17"/>
  <c r="P51" i="17"/>
  <c r="O51" i="17"/>
  <c r="P50" i="17"/>
  <c r="O50" i="17"/>
  <c r="P49" i="17"/>
  <c r="O49" i="17"/>
  <c r="P48" i="17"/>
  <c r="O48" i="17"/>
  <c r="P47" i="17"/>
  <c r="O47" i="17"/>
  <c r="P46" i="17"/>
  <c r="O46" i="17"/>
  <c r="P45" i="17"/>
  <c r="O45" i="17"/>
  <c r="P44" i="17"/>
  <c r="O44" i="17"/>
  <c r="P43" i="17"/>
  <c r="O43" i="17"/>
  <c r="P42" i="17"/>
  <c r="O42" i="17"/>
  <c r="P41" i="17"/>
  <c r="O41" i="17"/>
  <c r="P40" i="17"/>
  <c r="O40" i="17"/>
  <c r="P39" i="17"/>
  <c r="O39" i="17"/>
  <c r="P38" i="17"/>
  <c r="O38" i="17"/>
  <c r="P37" i="17"/>
  <c r="O37" i="17"/>
  <c r="P36" i="17"/>
  <c r="O36" i="17"/>
  <c r="P35" i="17"/>
  <c r="O35" i="17"/>
  <c r="P34" i="17"/>
  <c r="O34" i="17"/>
  <c r="P33" i="17"/>
  <c r="O33" i="17"/>
  <c r="P32" i="17"/>
  <c r="O32" i="17"/>
  <c r="P31" i="17"/>
  <c r="O31" i="17"/>
  <c r="P30" i="17"/>
  <c r="O30" i="17"/>
  <c r="P29" i="17"/>
  <c r="O29" i="17"/>
  <c r="P28" i="17"/>
  <c r="O28" i="17"/>
  <c r="P27" i="17"/>
  <c r="O27" i="17"/>
  <c r="P26" i="17"/>
  <c r="O26" i="17"/>
  <c r="P25" i="17"/>
  <c r="O25" i="17"/>
  <c r="P24" i="17"/>
  <c r="O24" i="17"/>
  <c r="P23" i="17"/>
  <c r="O23" i="17"/>
  <c r="P22" i="17"/>
  <c r="O22" i="17"/>
  <c r="P21" i="17"/>
  <c r="O21" i="17"/>
  <c r="P20" i="17"/>
  <c r="O20" i="17"/>
  <c r="P19" i="17"/>
  <c r="O19" i="17"/>
  <c r="P18" i="17"/>
  <c r="O18" i="17"/>
  <c r="P17" i="17"/>
  <c r="O17" i="17"/>
  <c r="P16" i="17"/>
  <c r="O16" i="17"/>
  <c r="O15" i="17"/>
  <c r="O14" i="17"/>
  <c r="O13" i="17"/>
  <c r="O12" i="17"/>
  <c r="O11" i="17"/>
  <c r="O10" i="17"/>
  <c r="O9" i="17"/>
  <c r="O8" i="17"/>
  <c r="O7" i="17"/>
  <c r="O6" i="17"/>
  <c r="O5" i="17"/>
  <c r="M7" i="16"/>
  <c r="N7" i="16"/>
  <c r="M6" i="16"/>
  <c r="N6" i="16"/>
  <c r="M5" i="16"/>
  <c r="N5" i="16" s="1"/>
  <c r="P104" i="16"/>
  <c r="O104" i="16"/>
  <c r="P103" i="16"/>
  <c r="O103" i="16"/>
  <c r="P102" i="16"/>
  <c r="O102" i="16"/>
  <c r="P101" i="16"/>
  <c r="O101" i="16"/>
  <c r="P100" i="16"/>
  <c r="O100" i="16"/>
  <c r="P99" i="16"/>
  <c r="O99" i="16"/>
  <c r="P98" i="16"/>
  <c r="O98" i="16"/>
  <c r="P97" i="16"/>
  <c r="O97" i="16"/>
  <c r="P96" i="16"/>
  <c r="O96" i="16"/>
  <c r="P95" i="16"/>
  <c r="O95" i="16"/>
  <c r="P94" i="16"/>
  <c r="O94" i="16"/>
  <c r="P93" i="16"/>
  <c r="O93" i="16"/>
  <c r="P92" i="16"/>
  <c r="O92" i="16"/>
  <c r="P91" i="16"/>
  <c r="O91" i="16"/>
  <c r="P90" i="16"/>
  <c r="O90" i="16"/>
  <c r="P89" i="16"/>
  <c r="O89" i="16"/>
  <c r="P88" i="16"/>
  <c r="O88" i="16"/>
  <c r="P87" i="16"/>
  <c r="O87" i="16"/>
  <c r="P86" i="16"/>
  <c r="O86" i="16"/>
  <c r="P85" i="16"/>
  <c r="O85" i="16"/>
  <c r="P84" i="16"/>
  <c r="O84" i="16"/>
  <c r="P83" i="16"/>
  <c r="O83" i="16"/>
  <c r="P82" i="16"/>
  <c r="O82" i="16"/>
  <c r="P81" i="16"/>
  <c r="O81" i="16"/>
  <c r="P80" i="16"/>
  <c r="O80" i="16"/>
  <c r="P79" i="16"/>
  <c r="O79" i="16"/>
  <c r="P78" i="16"/>
  <c r="O78" i="16"/>
  <c r="P77" i="16"/>
  <c r="O77" i="16"/>
  <c r="P76" i="16"/>
  <c r="O76" i="16"/>
  <c r="P75" i="16"/>
  <c r="O75" i="16"/>
  <c r="P74" i="16"/>
  <c r="O74" i="16"/>
  <c r="P73" i="16"/>
  <c r="O73" i="16"/>
  <c r="P72" i="16"/>
  <c r="O72" i="16"/>
  <c r="P71" i="16"/>
  <c r="O71" i="16"/>
  <c r="P70" i="16"/>
  <c r="O70" i="16"/>
  <c r="P69" i="16"/>
  <c r="O69" i="16"/>
  <c r="P68" i="16"/>
  <c r="O68" i="16"/>
  <c r="P67" i="16"/>
  <c r="O67" i="16"/>
  <c r="P66" i="16"/>
  <c r="O66" i="16"/>
  <c r="P65" i="16"/>
  <c r="O65" i="16"/>
  <c r="P64" i="16"/>
  <c r="O64" i="16"/>
  <c r="P63" i="16"/>
  <c r="O63" i="16"/>
  <c r="P62" i="16"/>
  <c r="O62" i="16"/>
  <c r="P61" i="16"/>
  <c r="O61" i="16"/>
  <c r="P60" i="16"/>
  <c r="O60" i="16"/>
  <c r="P59" i="16"/>
  <c r="O59" i="16"/>
  <c r="P58" i="16"/>
  <c r="O58" i="16"/>
  <c r="P57" i="16"/>
  <c r="O57" i="16"/>
  <c r="P56" i="16"/>
  <c r="O56" i="16"/>
  <c r="P55" i="16"/>
  <c r="O55" i="16"/>
  <c r="P54" i="16"/>
  <c r="O54" i="16"/>
  <c r="P53" i="16"/>
  <c r="O53" i="16"/>
  <c r="P52" i="16"/>
  <c r="O52" i="16"/>
  <c r="P51" i="16"/>
  <c r="O51" i="16"/>
  <c r="P50" i="16"/>
  <c r="O50" i="16"/>
  <c r="P49" i="16"/>
  <c r="O49" i="16"/>
  <c r="P48" i="16"/>
  <c r="O48" i="16"/>
  <c r="P47" i="16"/>
  <c r="O47" i="16"/>
  <c r="P46" i="16"/>
  <c r="O46" i="16"/>
  <c r="P45" i="16"/>
  <c r="O45" i="16"/>
  <c r="P44" i="16"/>
  <c r="O44" i="16"/>
  <c r="P43" i="16"/>
  <c r="O43" i="16"/>
  <c r="P42" i="16"/>
  <c r="O42" i="16"/>
  <c r="P41" i="16"/>
  <c r="O41" i="16"/>
  <c r="P40" i="16"/>
  <c r="O40" i="16"/>
  <c r="P39" i="16"/>
  <c r="O39" i="16"/>
  <c r="P38" i="16"/>
  <c r="O38" i="16"/>
  <c r="P37" i="16"/>
  <c r="O37" i="16"/>
  <c r="P36" i="16"/>
  <c r="O36" i="16"/>
  <c r="P35" i="16"/>
  <c r="O35" i="16"/>
  <c r="P34" i="16"/>
  <c r="O34" i="16"/>
  <c r="P33" i="16"/>
  <c r="O33" i="16"/>
  <c r="P32" i="16"/>
  <c r="O32" i="16"/>
  <c r="P31" i="16"/>
  <c r="O31" i="16"/>
  <c r="P30" i="16"/>
  <c r="O30" i="16"/>
  <c r="P29" i="16"/>
  <c r="O29" i="16"/>
  <c r="P28" i="16"/>
  <c r="O28" i="16"/>
  <c r="P27" i="16"/>
  <c r="O27" i="16"/>
  <c r="P26" i="16"/>
  <c r="O26" i="16"/>
  <c r="P25" i="16"/>
  <c r="O25" i="16"/>
  <c r="P24" i="16"/>
  <c r="O24" i="16"/>
  <c r="P23" i="16"/>
  <c r="O23" i="16"/>
  <c r="P22" i="16"/>
  <c r="O22" i="16"/>
  <c r="P21" i="16"/>
  <c r="O21" i="16"/>
  <c r="P20" i="16"/>
  <c r="O20" i="16"/>
  <c r="P19" i="16"/>
  <c r="O19" i="16"/>
  <c r="P18" i="16"/>
  <c r="O18" i="16"/>
  <c r="P17" i="16"/>
  <c r="O17" i="16"/>
  <c r="P16" i="16"/>
  <c r="O16" i="16"/>
  <c r="P15" i="16"/>
  <c r="O15" i="16"/>
  <c r="P14" i="16"/>
  <c r="O14" i="16"/>
  <c r="P13" i="16"/>
  <c r="O13" i="16"/>
  <c r="P12" i="16"/>
  <c r="O12" i="16"/>
  <c r="P11" i="16"/>
  <c r="O11" i="16"/>
  <c r="P10" i="16"/>
  <c r="O10" i="16"/>
  <c r="P9" i="16"/>
  <c r="O9" i="16"/>
  <c r="P8" i="16"/>
  <c r="O8" i="16"/>
  <c r="P7" i="16"/>
  <c r="O7" i="16"/>
  <c r="P6" i="16"/>
  <c r="O6" i="16"/>
  <c r="O5" i="16"/>
  <c r="P5" i="16"/>
  <c r="BS7" i="20"/>
  <c r="BS7" i="21"/>
  <c r="BY63" i="21"/>
  <c r="BV63" i="21"/>
  <c r="BV66" i="21"/>
  <c r="BY66" i="21"/>
  <c r="BY208" i="21"/>
  <c r="BV208" i="21"/>
  <c r="BY197" i="21"/>
  <c r="BV197" i="21"/>
  <c r="BY114" i="21"/>
  <c r="BV114" i="21"/>
  <c r="BV62" i="21"/>
  <c r="BY62" i="21"/>
  <c r="BV33" i="21"/>
  <c r="BY33" i="21"/>
  <c r="BV42" i="21"/>
  <c r="BY42" i="21"/>
  <c r="BV170" i="21"/>
  <c r="BY170" i="21"/>
  <c r="BY73" i="21"/>
  <c r="BV73" i="21"/>
  <c r="BY215" i="21"/>
  <c r="BV215" i="21"/>
  <c r="BV163" i="21"/>
  <c r="BY163" i="21"/>
  <c r="BY161" i="21"/>
  <c r="BV161" i="21"/>
  <c r="BY75" i="21"/>
  <c r="BV75" i="21"/>
  <c r="BV58" i="21"/>
  <c r="BY58" i="21"/>
  <c r="BY129" i="21"/>
  <c r="BV129" i="21"/>
  <c r="BY200" i="21"/>
  <c r="BV200" i="21"/>
  <c r="BY72" i="21"/>
  <c r="BV72" i="21"/>
  <c r="BY192" i="21"/>
  <c r="BV192" i="21"/>
  <c r="BY182" i="21"/>
  <c r="BV182" i="21"/>
  <c r="BV169" i="21"/>
  <c r="BY169" i="21"/>
  <c r="BV54" i="21"/>
  <c r="BY54" i="21"/>
  <c r="BV37" i="21"/>
  <c r="BY37" i="21"/>
  <c r="BY178" i="21"/>
  <c r="BV178" i="21"/>
  <c r="BY145" i="21"/>
  <c r="BV145" i="21"/>
  <c r="BV39" i="21"/>
  <c r="BY39" i="21"/>
  <c r="BV50" i="21"/>
  <c r="BY50" i="21"/>
  <c r="BV29" i="21"/>
  <c r="BY29" i="21"/>
  <c r="BY174" i="21"/>
  <c r="BV174" i="21"/>
  <c r="BY137" i="21"/>
  <c r="BV137" i="21"/>
  <c r="BV74" i="21"/>
  <c r="BY74" i="21"/>
  <c r="BY67" i="21"/>
  <c r="BV67" i="21"/>
  <c r="BY27" i="21"/>
  <c r="BV27" i="21"/>
  <c r="BY70" i="21"/>
  <c r="BV70" i="21"/>
  <c r="BV46" i="21"/>
  <c r="BY46" i="21"/>
  <c r="BV167" i="21"/>
  <c r="BY167" i="21"/>
  <c r="BY173" i="21"/>
  <c r="BV173" i="21"/>
  <c r="BY69" i="21"/>
  <c r="BV69" i="21"/>
  <c r="BY196" i="21"/>
  <c r="BV196" i="21"/>
  <c r="BY139" i="21"/>
  <c r="BV139" i="21"/>
  <c r="BY160" i="21"/>
  <c r="BV160" i="21"/>
  <c r="BY135" i="21"/>
  <c r="BV135" i="21"/>
  <c r="BY150" i="21"/>
  <c r="BV150" i="21"/>
  <c r="BY119" i="21"/>
  <c r="BV119" i="21"/>
  <c r="BY133" i="21"/>
  <c r="BV133" i="21"/>
  <c r="BY91" i="21"/>
  <c r="BV91" i="21"/>
  <c r="BV107" i="21"/>
  <c r="BY107" i="21"/>
  <c r="BY77" i="21"/>
  <c r="BV77" i="21"/>
  <c r="BY43" i="21"/>
  <c r="BV43" i="21"/>
  <c r="BY65" i="21"/>
  <c r="BV65" i="21"/>
  <c r="BY177" i="21"/>
  <c r="BV177" i="21"/>
  <c r="BY153" i="21"/>
  <c r="BV153" i="21"/>
  <c r="BS199" i="21"/>
  <c r="BT199" i="21" s="1"/>
  <c r="BY214" i="21"/>
  <c r="BV214" i="21"/>
  <c r="BY203" i="21"/>
  <c r="BV203" i="21"/>
  <c r="BV171" i="21"/>
  <c r="BY171" i="21"/>
  <c r="BS130" i="21"/>
  <c r="BT130" i="21" s="1"/>
  <c r="BY152" i="21"/>
  <c r="BV152" i="21"/>
  <c r="BS112" i="21"/>
  <c r="BT112" i="21" s="1"/>
  <c r="BY125" i="21"/>
  <c r="BV125" i="21"/>
  <c r="BY101" i="21"/>
  <c r="BV101" i="21"/>
  <c r="BV71" i="21"/>
  <c r="BY71" i="21"/>
  <c r="BY61" i="21"/>
  <c r="BV61" i="21"/>
  <c r="BY207" i="21"/>
  <c r="BV207" i="21"/>
  <c r="BY138" i="21"/>
  <c r="BV138" i="21"/>
  <c r="BY81" i="21"/>
  <c r="BV81" i="21"/>
  <c r="BY47" i="21"/>
  <c r="BV47" i="21"/>
  <c r="BY209" i="21"/>
  <c r="BV209" i="21"/>
  <c r="BY189" i="21"/>
  <c r="BV189" i="21"/>
  <c r="BS188" i="21"/>
  <c r="BT188" i="21" s="1"/>
  <c r="BY131" i="21"/>
  <c r="BV131" i="21"/>
  <c r="BY144" i="21"/>
  <c r="BV144" i="21"/>
  <c r="BY159" i="21"/>
  <c r="BV159" i="21"/>
  <c r="BY127" i="21"/>
  <c r="BV127" i="21"/>
  <c r="BY142" i="21"/>
  <c r="BV142" i="21"/>
  <c r="BY115" i="21"/>
  <c r="BV115" i="21"/>
  <c r="BY97" i="21"/>
  <c r="BV97" i="21"/>
  <c r="BY57" i="21"/>
  <c r="BV57" i="21"/>
  <c r="BY175" i="21"/>
  <c r="BV175" i="21"/>
  <c r="BY113" i="21"/>
  <c r="BV113" i="21"/>
  <c r="BY95" i="21"/>
  <c r="BV95" i="21"/>
  <c r="BY201" i="21"/>
  <c r="BV201" i="21"/>
  <c r="BS191" i="21"/>
  <c r="BT191" i="21" s="1"/>
  <c r="BS206" i="21"/>
  <c r="BT206" i="21" s="1"/>
  <c r="BY195" i="21"/>
  <c r="BV195" i="21"/>
  <c r="BY156" i="21"/>
  <c r="BV156" i="21"/>
  <c r="BS162" i="21"/>
  <c r="BT162" i="21" s="1"/>
  <c r="BS154" i="21"/>
  <c r="BT154" i="21" s="1"/>
  <c r="BS122" i="21"/>
  <c r="BT122" i="21" s="1"/>
  <c r="BY136" i="21"/>
  <c r="BV136" i="21"/>
  <c r="BV111" i="21"/>
  <c r="BY111" i="21"/>
  <c r="BV106" i="21"/>
  <c r="BY106" i="21"/>
  <c r="BY93" i="21"/>
  <c r="BV93" i="21"/>
  <c r="BY53" i="21"/>
  <c r="BV53" i="21"/>
  <c r="BY211" i="21"/>
  <c r="BV211" i="21"/>
  <c r="BY193" i="21"/>
  <c r="BV193" i="21"/>
  <c r="BY184" i="21"/>
  <c r="BV184" i="21"/>
  <c r="BY213" i="21"/>
  <c r="BV213" i="21"/>
  <c r="BY212" i="21"/>
  <c r="BV212" i="21"/>
  <c r="BY148" i="21"/>
  <c r="BV148" i="21"/>
  <c r="BY155" i="21"/>
  <c r="BV155" i="21"/>
  <c r="BY123" i="21"/>
  <c r="BV123" i="21"/>
  <c r="BY128" i="21"/>
  <c r="BV128" i="21"/>
  <c r="BY151" i="21"/>
  <c r="BV151" i="21"/>
  <c r="BY134" i="21"/>
  <c r="BV134" i="21"/>
  <c r="BV109" i="21"/>
  <c r="BY109" i="21"/>
  <c r="BV110" i="21"/>
  <c r="BY110" i="21"/>
  <c r="BV105" i="21"/>
  <c r="BY105" i="21"/>
  <c r="BY59" i="21"/>
  <c r="BV59" i="21"/>
  <c r="BY49" i="21"/>
  <c r="BV49" i="21"/>
  <c r="BV23" i="21"/>
  <c r="BY23" i="21"/>
  <c r="BV28" i="21"/>
  <c r="BY28" i="21"/>
  <c r="BY190" i="21"/>
  <c r="BV190" i="21"/>
  <c r="BY124" i="21"/>
  <c r="BV124" i="21"/>
  <c r="BY121" i="21"/>
  <c r="BV121" i="21"/>
  <c r="BY185" i="21"/>
  <c r="BV185" i="21"/>
  <c r="BS183" i="21"/>
  <c r="BT183" i="21" s="1"/>
  <c r="BS198" i="21"/>
  <c r="BT198" i="21" s="1"/>
  <c r="BY187" i="21"/>
  <c r="BV187" i="21"/>
  <c r="BY140" i="21"/>
  <c r="BV140" i="21"/>
  <c r="BS146" i="21"/>
  <c r="BT146" i="21" s="1"/>
  <c r="BS117" i="21"/>
  <c r="BT117" i="21" s="1"/>
  <c r="BS120" i="21"/>
  <c r="BT120" i="21" s="1"/>
  <c r="BV165" i="21"/>
  <c r="BY165" i="21"/>
  <c r="BY157" i="21"/>
  <c r="BV157" i="21"/>
  <c r="BY103" i="21"/>
  <c r="BV103" i="21"/>
  <c r="BY89" i="21"/>
  <c r="BV89" i="21"/>
  <c r="BY55" i="21"/>
  <c r="BV55" i="21"/>
  <c r="BY45" i="21"/>
  <c r="BV45" i="21"/>
  <c r="BV17" i="21"/>
  <c r="BY17" i="21"/>
  <c r="BV30" i="21"/>
  <c r="BY30" i="21"/>
  <c r="BY176" i="21"/>
  <c r="BV176" i="21"/>
  <c r="BY116" i="21"/>
  <c r="BV116" i="21"/>
  <c r="BY141" i="21"/>
  <c r="BV141" i="21"/>
  <c r="BY180" i="21"/>
  <c r="BV180" i="21"/>
  <c r="BY179" i="21"/>
  <c r="BV179" i="21"/>
  <c r="BY205" i="21"/>
  <c r="BV205" i="21"/>
  <c r="BY204" i="21"/>
  <c r="BV204" i="21"/>
  <c r="BY181" i="21"/>
  <c r="BV181" i="21"/>
  <c r="BY132" i="21"/>
  <c r="BV132" i="21"/>
  <c r="BS147" i="21"/>
  <c r="BT147" i="21" s="1"/>
  <c r="BS143" i="21"/>
  <c r="BT143" i="21" s="1"/>
  <c r="BS158" i="21"/>
  <c r="BT158" i="21" s="1"/>
  <c r="BS126" i="21"/>
  <c r="BT126" i="21" s="1"/>
  <c r="BY149" i="21"/>
  <c r="BV149" i="21"/>
  <c r="BY99" i="21"/>
  <c r="BV99" i="21"/>
  <c r="BY85" i="21"/>
  <c r="BV85" i="21"/>
  <c r="BY51" i="21"/>
  <c r="BV51" i="21"/>
  <c r="BV88" i="21"/>
  <c r="BY88" i="21"/>
  <c r="BV80" i="21"/>
  <c r="BY80" i="21"/>
  <c r="BV76" i="21"/>
  <c r="BY76" i="21"/>
  <c r="BV131" i="20"/>
  <c r="BY131" i="20"/>
  <c r="BY100" i="20"/>
  <c r="BV100" i="20"/>
  <c r="BY189" i="20"/>
  <c r="BV189" i="20"/>
  <c r="BY75" i="20"/>
  <c r="BV75" i="20"/>
  <c r="BY177" i="20"/>
  <c r="BV177" i="20"/>
  <c r="BV132" i="20"/>
  <c r="BY132" i="20"/>
  <c r="BY193" i="20"/>
  <c r="BV193" i="20"/>
  <c r="BY173" i="20"/>
  <c r="BV173" i="20"/>
  <c r="BY145" i="20"/>
  <c r="BV145" i="20"/>
  <c r="BV104" i="20"/>
  <c r="BY104" i="20"/>
  <c r="BY66" i="20"/>
  <c r="BV66" i="20"/>
  <c r="BY158" i="20"/>
  <c r="BV158" i="20"/>
  <c r="BV135" i="20"/>
  <c r="BY135" i="20"/>
  <c r="BV62" i="20"/>
  <c r="BY62" i="20"/>
  <c r="BY153" i="20"/>
  <c r="BV153" i="20"/>
  <c r="BY213" i="20"/>
  <c r="BV213" i="20"/>
  <c r="BY198" i="20"/>
  <c r="BV198" i="20"/>
  <c r="BV168" i="20"/>
  <c r="BY168" i="20"/>
  <c r="BV110" i="20"/>
  <c r="BY110" i="20"/>
  <c r="BY33" i="20"/>
  <c r="BV33" i="20"/>
  <c r="BY215" i="20"/>
  <c r="BV215" i="20"/>
  <c r="BY205" i="20"/>
  <c r="BV205" i="20"/>
  <c r="BY187" i="20"/>
  <c r="BV187" i="20"/>
  <c r="BY144" i="20"/>
  <c r="BV144" i="20"/>
  <c r="BV170" i="20"/>
  <c r="BY170" i="20"/>
  <c r="BY159" i="20"/>
  <c r="BV159" i="20"/>
  <c r="BY101" i="20"/>
  <c r="BV101" i="20"/>
  <c r="BV122" i="20"/>
  <c r="BY122" i="20"/>
  <c r="BV129" i="20"/>
  <c r="BY129" i="20"/>
  <c r="BV90" i="20"/>
  <c r="BY90" i="20"/>
  <c r="BV94" i="20"/>
  <c r="BY94" i="20"/>
  <c r="BY79" i="20"/>
  <c r="BV79" i="20"/>
  <c r="BV92" i="20"/>
  <c r="BY92" i="20"/>
  <c r="BY87" i="20"/>
  <c r="BV87" i="20"/>
  <c r="BY51" i="20"/>
  <c r="BV51" i="20"/>
  <c r="BY61" i="20"/>
  <c r="BV61" i="20"/>
  <c r="BV167" i="20"/>
  <c r="BY167" i="20"/>
  <c r="BY67" i="20"/>
  <c r="BV67" i="20"/>
  <c r="BY209" i="20"/>
  <c r="BV209" i="20"/>
  <c r="BY200" i="20"/>
  <c r="BV200" i="20"/>
  <c r="BY175" i="20"/>
  <c r="BV175" i="20"/>
  <c r="BY190" i="20"/>
  <c r="BV190" i="20"/>
  <c r="BY179" i="20"/>
  <c r="BV179" i="20"/>
  <c r="BY138" i="20"/>
  <c r="BV138" i="20"/>
  <c r="BS163" i="20"/>
  <c r="BT163" i="20" s="1"/>
  <c r="BY160" i="20"/>
  <c r="BV160" i="20"/>
  <c r="BY151" i="20"/>
  <c r="BV151" i="20"/>
  <c r="BV114" i="20"/>
  <c r="BY114" i="20"/>
  <c r="BV121" i="20"/>
  <c r="BY121" i="20"/>
  <c r="BY99" i="20"/>
  <c r="BV99" i="20"/>
  <c r="BV74" i="20"/>
  <c r="BY74" i="20"/>
  <c r="BS85" i="20"/>
  <c r="BT85" i="20" s="1"/>
  <c r="BY83" i="20"/>
  <c r="BV83" i="20"/>
  <c r="BY47" i="20"/>
  <c r="BV47" i="20"/>
  <c r="BS57" i="20"/>
  <c r="BT57" i="20" s="1"/>
  <c r="BY178" i="20"/>
  <c r="BV178" i="20"/>
  <c r="BY71" i="20"/>
  <c r="BV71" i="20"/>
  <c r="BY201" i="20"/>
  <c r="BV201" i="20"/>
  <c r="BY197" i="20"/>
  <c r="BV197" i="20"/>
  <c r="BY164" i="20"/>
  <c r="BV164" i="20"/>
  <c r="BY150" i="20"/>
  <c r="BV150" i="20"/>
  <c r="BY141" i="20"/>
  <c r="BV141" i="20"/>
  <c r="BV108" i="20"/>
  <c r="BY108" i="20"/>
  <c r="BV113" i="20"/>
  <c r="BY113" i="20"/>
  <c r="BV76" i="20"/>
  <c r="BY76" i="20"/>
  <c r="BY43" i="20"/>
  <c r="BV43" i="20"/>
  <c r="BY53" i="20"/>
  <c r="BV53" i="20"/>
  <c r="BV118" i="20"/>
  <c r="BY118" i="20"/>
  <c r="BV109" i="20"/>
  <c r="BY109" i="20"/>
  <c r="BS192" i="20"/>
  <c r="BT192" i="20" s="1"/>
  <c r="BS214" i="20"/>
  <c r="BT214" i="20" s="1"/>
  <c r="BY180" i="20"/>
  <c r="BV180" i="20"/>
  <c r="BY155" i="20"/>
  <c r="BV155" i="20"/>
  <c r="BY137" i="20"/>
  <c r="BV137" i="20"/>
  <c r="BY152" i="20"/>
  <c r="BV152" i="20"/>
  <c r="BV105" i="20"/>
  <c r="BY105" i="20"/>
  <c r="BV134" i="20"/>
  <c r="BY134" i="20"/>
  <c r="BV78" i="20"/>
  <c r="BY78" i="20"/>
  <c r="BV126" i="20"/>
  <c r="BY126" i="20"/>
  <c r="BY39" i="20"/>
  <c r="BV39" i="20"/>
  <c r="BY49" i="20"/>
  <c r="BV49" i="20"/>
  <c r="BV96" i="20"/>
  <c r="BY96" i="20"/>
  <c r="BV20" i="20"/>
  <c r="BY20" i="20"/>
  <c r="BY208" i="20"/>
  <c r="BV208" i="20"/>
  <c r="BY195" i="20"/>
  <c r="BV195" i="20"/>
  <c r="BV88" i="20"/>
  <c r="BY88" i="20"/>
  <c r="BV70" i="20"/>
  <c r="BY70" i="20"/>
  <c r="BY185" i="20"/>
  <c r="BV185" i="20"/>
  <c r="BY199" i="20"/>
  <c r="BV199" i="20"/>
  <c r="BY174" i="20"/>
  <c r="BV174" i="20"/>
  <c r="BS140" i="20"/>
  <c r="BT140" i="20" s="1"/>
  <c r="BS154" i="20"/>
  <c r="BT154" i="20" s="1"/>
  <c r="BY162" i="20"/>
  <c r="BV162" i="20"/>
  <c r="BY146" i="20"/>
  <c r="BV146" i="20"/>
  <c r="BV125" i="20"/>
  <c r="BY125" i="20"/>
  <c r="BV130" i="20"/>
  <c r="BY130" i="20"/>
  <c r="BV128" i="20"/>
  <c r="BY128" i="20"/>
  <c r="BV127" i="20"/>
  <c r="BY127" i="20"/>
  <c r="BY97" i="20"/>
  <c r="BV97" i="20"/>
  <c r="BY69" i="20"/>
  <c r="BV69" i="20"/>
  <c r="BY35" i="20"/>
  <c r="BV35" i="20"/>
  <c r="BY29" i="20"/>
  <c r="BV29" i="20"/>
  <c r="BS45" i="20"/>
  <c r="BT45" i="20" s="1"/>
  <c r="BS65" i="20"/>
  <c r="BT65" i="20" s="1"/>
  <c r="BV103" i="20"/>
  <c r="BY103" i="20"/>
  <c r="BY89" i="20"/>
  <c r="BV89" i="20"/>
  <c r="BY207" i="20"/>
  <c r="BV207" i="20"/>
  <c r="BY181" i="20"/>
  <c r="BV181" i="20"/>
  <c r="BS184" i="20"/>
  <c r="BT184" i="20" s="1"/>
  <c r="BS206" i="20"/>
  <c r="BT206" i="20" s="1"/>
  <c r="BY211" i="20"/>
  <c r="BV211" i="20"/>
  <c r="BY166" i="20"/>
  <c r="BV166" i="20"/>
  <c r="BY165" i="20"/>
  <c r="BV165" i="20"/>
  <c r="BY147" i="20"/>
  <c r="BV147" i="20"/>
  <c r="BY142" i="20"/>
  <c r="BV142" i="20"/>
  <c r="BV117" i="20"/>
  <c r="BY117" i="20"/>
  <c r="BV124" i="20"/>
  <c r="BY124" i="20"/>
  <c r="BV123" i="20"/>
  <c r="BY123" i="20"/>
  <c r="BV120" i="20"/>
  <c r="BY120" i="20"/>
  <c r="BV119" i="20"/>
  <c r="BY119" i="20"/>
  <c r="BY91" i="20"/>
  <c r="BV91" i="20"/>
  <c r="BS102" i="20"/>
  <c r="BT102" i="20" s="1"/>
  <c r="BV98" i="20"/>
  <c r="BY98" i="20"/>
  <c r="BV36" i="20"/>
  <c r="BY36" i="20"/>
  <c r="BY31" i="20"/>
  <c r="BV31" i="20"/>
  <c r="BY68" i="20"/>
  <c r="BV68" i="20"/>
  <c r="BY41" i="20"/>
  <c r="BV41" i="20"/>
  <c r="BY148" i="20"/>
  <c r="BV148" i="20"/>
  <c r="BV107" i="20"/>
  <c r="BY107" i="20"/>
  <c r="BY183" i="20"/>
  <c r="BV183" i="20"/>
  <c r="BY191" i="20"/>
  <c r="BV191" i="20"/>
  <c r="BY203" i="20"/>
  <c r="BV203" i="20"/>
  <c r="BY156" i="20"/>
  <c r="BV156" i="20"/>
  <c r="BS143" i="20"/>
  <c r="BT143" i="20" s="1"/>
  <c r="BY161" i="20"/>
  <c r="BV161" i="20"/>
  <c r="BY139" i="20"/>
  <c r="BV139" i="20"/>
  <c r="BV106" i="20"/>
  <c r="BY106" i="20"/>
  <c r="BV116" i="20"/>
  <c r="BY116" i="20"/>
  <c r="BV115" i="20"/>
  <c r="BY115" i="20"/>
  <c r="BV112" i="20"/>
  <c r="BY112" i="20"/>
  <c r="BV111" i="20"/>
  <c r="BY111" i="20"/>
  <c r="BV84" i="20"/>
  <c r="BY84" i="20"/>
  <c r="BY95" i="20"/>
  <c r="BV95" i="20"/>
  <c r="BV82" i="20"/>
  <c r="BY82" i="20"/>
  <c r="BV86" i="20"/>
  <c r="BY86" i="20"/>
  <c r="BV40" i="20"/>
  <c r="BY40" i="20"/>
  <c r="BY37" i="20"/>
  <c r="BV37" i="20"/>
  <c r="BV26" i="20"/>
  <c r="BY26" i="20"/>
  <c r="BV177" i="18"/>
  <c r="BY177" i="18"/>
  <c r="BV69" i="18"/>
  <c r="BY69" i="18"/>
  <c r="BV35" i="18"/>
  <c r="BY35" i="18"/>
  <c r="BV99" i="18"/>
  <c r="BY99" i="18"/>
  <c r="BV60" i="18"/>
  <c r="BY60" i="18"/>
  <c r="BS41" i="18"/>
  <c r="BS105" i="18"/>
  <c r="BV54" i="18"/>
  <c r="BY54" i="18"/>
  <c r="BV182" i="18"/>
  <c r="BY182" i="18"/>
  <c r="BV77" i="18"/>
  <c r="BY77" i="18"/>
  <c r="BV141" i="18"/>
  <c r="BY141" i="18"/>
  <c r="BS31" i="18"/>
  <c r="BV95" i="18"/>
  <c r="BY95" i="18"/>
  <c r="BV159" i="18"/>
  <c r="BY159" i="18"/>
  <c r="BS64" i="18"/>
  <c r="BV195" i="18"/>
  <c r="BY195" i="18"/>
  <c r="BV164" i="18"/>
  <c r="BY164" i="18"/>
  <c r="BV96" i="18"/>
  <c r="BY96" i="18"/>
  <c r="BV33" i="18"/>
  <c r="BY33" i="18"/>
  <c r="BV128" i="18"/>
  <c r="BY128" i="18"/>
  <c r="BV23" i="18"/>
  <c r="BY23" i="18"/>
  <c r="BS107" i="18"/>
  <c r="BV32" i="18"/>
  <c r="BY32" i="18"/>
  <c r="BV132" i="18"/>
  <c r="BY132" i="18"/>
  <c r="BV49" i="18"/>
  <c r="BY49" i="18"/>
  <c r="BV202" i="18"/>
  <c r="BY202" i="18"/>
  <c r="BS190" i="18"/>
  <c r="BV113" i="18"/>
  <c r="BY113" i="18"/>
  <c r="BV197" i="18"/>
  <c r="BY197" i="18"/>
  <c r="BS85" i="18"/>
  <c r="BV149" i="18"/>
  <c r="BY149" i="18"/>
  <c r="BV103" i="18"/>
  <c r="BY103" i="18"/>
  <c r="BV167" i="18"/>
  <c r="BY167" i="18"/>
  <c r="BV40" i="18"/>
  <c r="BY40" i="18"/>
  <c r="BV67" i="18"/>
  <c r="BY67" i="18"/>
  <c r="BV53" i="18"/>
  <c r="BY53" i="18"/>
  <c r="BV52" i="18"/>
  <c r="BY52" i="18"/>
  <c r="BV174" i="18"/>
  <c r="BY174" i="18"/>
  <c r="BV207" i="18"/>
  <c r="BY207" i="18"/>
  <c r="BV87" i="18"/>
  <c r="BY87" i="18"/>
  <c r="BV129" i="18"/>
  <c r="BY129" i="18"/>
  <c r="BV43" i="18"/>
  <c r="BY43" i="18"/>
  <c r="BV51" i="18"/>
  <c r="BY51" i="18"/>
  <c r="BV76" i="18"/>
  <c r="BY76" i="18"/>
  <c r="BV140" i="18"/>
  <c r="BY140" i="18"/>
  <c r="BV210" i="18"/>
  <c r="BY210" i="18"/>
  <c r="BV70" i="18"/>
  <c r="BY70" i="18"/>
  <c r="BV134" i="18"/>
  <c r="BY134" i="18"/>
  <c r="BV157" i="18"/>
  <c r="BY157" i="18"/>
  <c r="BV111" i="18"/>
  <c r="BY111" i="18"/>
  <c r="BS175" i="18"/>
  <c r="BV161" i="18"/>
  <c r="BY161" i="18"/>
  <c r="BV71" i="18"/>
  <c r="BY71" i="18"/>
  <c r="BV46" i="18"/>
  <c r="BY46" i="18"/>
  <c r="BV133" i="18"/>
  <c r="BY133" i="18"/>
  <c r="BV151" i="18"/>
  <c r="BY151" i="18"/>
  <c r="BV123" i="18"/>
  <c r="BY123" i="18"/>
  <c r="BS84" i="18"/>
  <c r="BV212" i="18"/>
  <c r="BY212" i="18"/>
  <c r="BS65" i="18"/>
  <c r="BS142" i="18"/>
  <c r="BV145" i="18"/>
  <c r="BY145" i="18"/>
  <c r="BS37" i="18"/>
  <c r="BV165" i="18"/>
  <c r="BY165" i="18"/>
  <c r="BS119" i="18"/>
  <c r="BS183" i="18"/>
  <c r="BS72" i="18"/>
  <c r="BV86" i="18"/>
  <c r="BY86" i="18"/>
  <c r="BV45" i="18"/>
  <c r="BY45" i="18"/>
  <c r="BV173" i="18"/>
  <c r="BY173" i="18"/>
  <c r="BV137" i="18"/>
  <c r="BY137" i="18"/>
  <c r="BV63" i="18"/>
  <c r="BY63" i="18"/>
  <c r="BV88" i="18"/>
  <c r="BY88" i="18"/>
  <c r="BV75" i="18"/>
  <c r="BY75" i="18"/>
  <c r="BV100" i="18"/>
  <c r="BY100" i="18"/>
  <c r="BV94" i="18"/>
  <c r="BY94" i="18"/>
  <c r="BV199" i="18"/>
  <c r="BY199" i="18"/>
  <c r="BV83" i="18"/>
  <c r="BY83" i="18"/>
  <c r="BS172" i="18"/>
  <c r="BV25" i="18"/>
  <c r="BY25" i="18"/>
  <c r="BV89" i="18"/>
  <c r="BY89" i="18"/>
  <c r="BS178" i="18"/>
  <c r="BV38" i="18"/>
  <c r="BY38" i="18"/>
  <c r="BV80" i="18"/>
  <c r="BY80" i="18"/>
  <c r="BV189" i="18"/>
  <c r="BY189" i="18"/>
  <c r="BS214" i="18"/>
  <c r="BS79" i="18"/>
  <c r="BV143" i="18"/>
  <c r="BY143" i="18"/>
  <c r="BV215" i="18"/>
  <c r="BY215" i="18"/>
  <c r="BV176" i="18"/>
  <c r="BY176" i="18"/>
  <c r="BS120" i="18"/>
  <c r="BS208" i="18"/>
  <c r="BS48" i="18"/>
  <c r="BS20" i="18"/>
  <c r="BS148" i="18"/>
  <c r="BS78" i="18"/>
  <c r="BS59" i="18"/>
  <c r="BS139" i="18"/>
  <c r="BS36" i="18"/>
  <c r="BS158" i="18"/>
  <c r="BS115" i="18"/>
  <c r="BS193" i="18"/>
  <c r="BS131" i="18"/>
  <c r="BS112" i="18"/>
  <c r="BS203" i="18"/>
  <c r="BS81" i="18"/>
  <c r="BS39" i="18"/>
  <c r="BS168" i="18"/>
  <c r="BS147" i="18"/>
  <c r="BS102" i="18"/>
  <c r="BS93" i="18"/>
  <c r="BS184" i="18"/>
  <c r="BS136" i="18"/>
  <c r="BS144" i="18"/>
  <c r="BS55" i="18"/>
  <c r="BS14" i="18"/>
  <c r="BS127" i="18"/>
  <c r="BS62" i="18"/>
  <c r="BS135" i="18"/>
  <c r="BS9" i="18"/>
  <c r="BS73" i="18"/>
  <c r="BS13" i="18"/>
  <c r="BS44" i="18"/>
  <c r="BS108" i="18"/>
  <c r="BS166" i="18"/>
  <c r="BS29" i="18"/>
  <c r="BS27" i="18"/>
  <c r="BS101" i="18"/>
  <c r="BS200" i="18"/>
  <c r="BS163" i="18"/>
  <c r="BS124" i="18"/>
  <c r="BS188" i="18"/>
  <c r="BS191" i="18"/>
  <c r="BS126" i="18"/>
  <c r="BS117" i="18"/>
  <c r="BS206" i="18"/>
  <c r="BS179" i="18"/>
  <c r="BS12" i="18"/>
  <c r="BS204" i="18"/>
  <c r="BS91" i="18"/>
  <c r="BS155" i="18"/>
  <c r="BS116" i="18"/>
  <c r="BS97" i="18"/>
  <c r="BS110" i="18"/>
  <c r="BS21" i="18"/>
  <c r="BS152" i="18"/>
  <c r="BS194" i="18"/>
  <c r="BS47" i="18"/>
  <c r="BS68" i="18"/>
  <c r="BS196" i="18"/>
  <c r="BS57" i="18"/>
  <c r="BS198" i="18"/>
  <c r="BS28" i="18"/>
  <c r="BS22" i="18"/>
  <c r="BS150" i="18"/>
  <c r="BS125" i="18"/>
  <c r="BS104" i="18"/>
  <c r="BS121" i="18"/>
  <c r="BS213" i="18"/>
  <c r="BS24" i="18"/>
  <c r="BS56" i="18"/>
  <c r="BS160" i="18"/>
  <c r="BS130" i="18"/>
  <c r="BS90" i="18"/>
  <c r="BS187" i="18"/>
  <c r="BS10" i="18"/>
  <c r="BS50" i="18"/>
  <c r="BS138" i="18"/>
  <c r="BS186" i="18"/>
  <c r="BS201" i="18"/>
  <c r="BS92" i="18"/>
  <c r="BS156" i="18"/>
  <c r="BS58" i="18"/>
  <c r="BS98" i="18"/>
  <c r="BS30" i="18"/>
  <c r="BS18" i="18"/>
  <c r="BS106" i="18"/>
  <c r="BS146" i="18"/>
  <c r="BS19" i="18"/>
  <c r="BS211" i="18"/>
  <c r="BS26" i="18"/>
  <c r="BS66" i="18"/>
  <c r="BS154" i="18"/>
  <c r="BS109" i="18"/>
  <c r="BS180" i="18"/>
  <c r="BS74" i="18"/>
  <c r="BS114" i="18"/>
  <c r="BS169" i="18"/>
  <c r="BS181" i="18"/>
  <c r="BS209" i="18"/>
  <c r="BS118" i="18"/>
  <c r="BS34" i="18"/>
  <c r="BS122" i="18"/>
  <c r="BS162" i="18"/>
  <c r="BS153" i="18"/>
  <c r="BS61" i="18"/>
  <c r="BS185" i="18"/>
  <c r="BS192" i="18"/>
  <c r="BS171" i="18"/>
  <c r="BS42" i="18"/>
  <c r="BS82" i="18"/>
  <c r="BS170" i="18"/>
  <c r="BS205" i="18"/>
  <c r="BS8" i="18"/>
  <c r="BV48" i="21" l="1"/>
  <c r="BY48" i="21"/>
  <c r="BV64" i="21"/>
  <c r="BY64" i="21"/>
  <c r="BV68" i="21"/>
  <c r="BY68" i="21"/>
  <c r="BV168" i="21"/>
  <c r="BY168" i="21"/>
  <c r="BY130" i="21"/>
  <c r="BV130" i="21"/>
  <c r="BY120" i="21"/>
  <c r="BV120" i="21"/>
  <c r="BY126" i="21"/>
  <c r="BV126" i="21"/>
  <c r="BY117" i="21"/>
  <c r="BV117" i="21"/>
  <c r="BY198" i="21"/>
  <c r="BV198" i="21"/>
  <c r="BY122" i="21"/>
  <c r="BV122" i="21"/>
  <c r="BY112" i="21"/>
  <c r="BV112" i="21"/>
  <c r="BY158" i="21"/>
  <c r="BV158" i="21"/>
  <c r="BY146" i="21"/>
  <c r="BV146" i="21"/>
  <c r="BY183" i="21"/>
  <c r="BV183" i="21"/>
  <c r="BY154" i="21"/>
  <c r="BV154" i="21"/>
  <c r="BY206" i="21"/>
  <c r="BV206" i="21"/>
  <c r="BY188" i="21"/>
  <c r="BV188" i="21"/>
  <c r="BY199" i="21"/>
  <c r="BV199" i="21"/>
  <c r="BY143" i="21"/>
  <c r="BV143" i="21"/>
  <c r="BV162" i="21"/>
  <c r="BY162" i="21"/>
  <c r="BY191" i="21"/>
  <c r="BV191" i="21"/>
  <c r="BY147" i="21"/>
  <c r="BV147" i="21"/>
  <c r="BY192" i="20"/>
  <c r="BV192" i="20"/>
  <c r="BY163" i="20"/>
  <c r="BV163" i="20"/>
  <c r="BY184" i="20"/>
  <c r="BV184" i="20"/>
  <c r="BY214" i="20"/>
  <c r="BV214" i="20"/>
  <c r="BY143" i="20"/>
  <c r="BV143" i="20"/>
  <c r="BY102" i="20"/>
  <c r="BV102" i="20"/>
  <c r="BY65" i="20"/>
  <c r="BV65" i="20"/>
  <c r="BY154" i="20"/>
  <c r="BV154" i="20"/>
  <c r="BY45" i="20"/>
  <c r="BV45" i="20"/>
  <c r="BY140" i="20"/>
  <c r="BV140" i="20"/>
  <c r="BY85" i="20"/>
  <c r="BV85" i="20"/>
  <c r="BY206" i="20"/>
  <c r="BV206" i="20"/>
  <c r="BY57" i="20"/>
  <c r="BV57" i="20"/>
  <c r="BV181" i="18"/>
  <c r="BY181" i="18"/>
  <c r="BV205" i="18"/>
  <c r="BY205" i="18"/>
  <c r="BV124" i="18"/>
  <c r="BY124" i="18"/>
  <c r="BV39" i="18"/>
  <c r="BY39" i="18"/>
  <c r="BV162" i="18"/>
  <c r="BY162" i="18"/>
  <c r="BV22" i="18"/>
  <c r="BY22" i="18"/>
  <c r="BV82" i="18"/>
  <c r="BY82" i="18"/>
  <c r="BV106" i="18"/>
  <c r="BY106" i="18"/>
  <c r="BV28" i="18"/>
  <c r="BY28" i="18"/>
  <c r="BV200" i="18"/>
  <c r="BY200" i="18"/>
  <c r="BV203" i="18"/>
  <c r="BY203" i="18"/>
  <c r="BV42" i="18"/>
  <c r="BY42" i="18"/>
  <c r="BV34" i="18"/>
  <c r="BY34" i="18"/>
  <c r="BV109" i="18"/>
  <c r="BY109" i="18"/>
  <c r="BV138" i="18"/>
  <c r="BY138" i="18"/>
  <c r="BV24" i="18"/>
  <c r="BY24" i="18"/>
  <c r="BV198" i="18"/>
  <c r="BY198" i="18"/>
  <c r="BV110" i="18"/>
  <c r="BY110" i="18"/>
  <c r="BV206" i="18"/>
  <c r="BY206" i="18"/>
  <c r="BV101" i="18"/>
  <c r="BY101" i="18"/>
  <c r="BV184" i="18"/>
  <c r="BY184" i="18"/>
  <c r="BV112" i="18"/>
  <c r="BY112" i="18"/>
  <c r="BV78" i="18"/>
  <c r="BY78" i="18"/>
  <c r="BV41" i="18"/>
  <c r="BY41" i="18"/>
  <c r="BV185" i="18"/>
  <c r="BY185" i="18"/>
  <c r="BV155" i="18"/>
  <c r="BY155" i="18"/>
  <c r="BV166" i="18"/>
  <c r="BY166" i="18"/>
  <c r="BV169" i="18"/>
  <c r="BY169" i="18"/>
  <c r="BV114" i="18"/>
  <c r="BY114" i="18"/>
  <c r="BV194" i="18"/>
  <c r="BY194" i="18"/>
  <c r="BV36" i="18"/>
  <c r="BY36" i="18"/>
  <c r="BV74" i="18"/>
  <c r="BY74" i="18"/>
  <c r="BV160" i="18"/>
  <c r="BY160" i="18"/>
  <c r="BV163" i="18"/>
  <c r="BY163" i="18"/>
  <c r="BV122" i="18"/>
  <c r="BY122" i="18"/>
  <c r="BV186" i="18"/>
  <c r="BY186" i="18"/>
  <c r="BV21" i="18"/>
  <c r="BY21" i="18"/>
  <c r="BV73" i="18"/>
  <c r="BY73" i="18"/>
  <c r="BV59" i="18"/>
  <c r="BY59" i="18"/>
  <c r="BV171" i="18"/>
  <c r="BY171" i="18"/>
  <c r="BV118" i="18"/>
  <c r="BY118" i="18"/>
  <c r="BV154" i="18"/>
  <c r="BY154" i="18"/>
  <c r="BV30" i="18"/>
  <c r="BY30" i="18"/>
  <c r="BV50" i="18"/>
  <c r="BY50" i="18"/>
  <c r="BV213" i="18"/>
  <c r="BY213" i="18"/>
  <c r="BV57" i="18"/>
  <c r="BY57" i="18"/>
  <c r="BV97" i="18"/>
  <c r="BY97" i="18"/>
  <c r="BV117" i="18"/>
  <c r="BY117" i="18"/>
  <c r="BV27" i="18"/>
  <c r="BY27" i="18"/>
  <c r="BV135" i="18"/>
  <c r="BY135" i="18"/>
  <c r="BV93" i="18"/>
  <c r="BY93" i="18"/>
  <c r="BV131" i="18"/>
  <c r="BY131" i="18"/>
  <c r="BV148" i="18"/>
  <c r="BY148" i="18"/>
  <c r="BV64" i="18"/>
  <c r="BY64" i="18"/>
  <c r="BV58" i="18"/>
  <c r="BY58" i="18"/>
  <c r="BV115" i="18"/>
  <c r="BY115" i="18"/>
  <c r="BV211" i="18"/>
  <c r="BY211" i="18"/>
  <c r="BV92" i="18"/>
  <c r="BY92" i="18"/>
  <c r="BV204" i="18"/>
  <c r="BY204" i="18"/>
  <c r="BV120" i="18"/>
  <c r="BY120" i="18"/>
  <c r="BV146" i="18"/>
  <c r="BY146" i="18"/>
  <c r="BV152" i="18"/>
  <c r="BY152" i="18"/>
  <c r="BV144" i="18"/>
  <c r="BY144" i="18"/>
  <c r="BV180" i="18"/>
  <c r="BY180" i="18"/>
  <c r="BV56" i="18"/>
  <c r="BY56" i="18"/>
  <c r="BV179" i="18"/>
  <c r="BY179" i="18"/>
  <c r="BV136" i="18"/>
  <c r="BY136" i="18"/>
  <c r="BV214" i="18"/>
  <c r="BY214" i="18"/>
  <c r="BV37" i="18"/>
  <c r="BY37" i="18"/>
  <c r="BV105" i="18"/>
  <c r="BY105" i="18"/>
  <c r="BV192" i="18"/>
  <c r="BY192" i="18"/>
  <c r="BV209" i="18"/>
  <c r="BY209" i="18"/>
  <c r="BV66" i="18"/>
  <c r="BY66" i="18"/>
  <c r="BV98" i="18"/>
  <c r="BY98" i="18"/>
  <c r="BV121" i="18"/>
  <c r="BY121" i="18"/>
  <c r="BV196" i="18"/>
  <c r="BY196" i="18"/>
  <c r="BV116" i="18"/>
  <c r="BY116" i="18"/>
  <c r="BV126" i="18"/>
  <c r="BY126" i="18"/>
  <c r="BV29" i="18"/>
  <c r="BY29" i="18"/>
  <c r="BV62" i="18"/>
  <c r="BY62" i="18"/>
  <c r="BV102" i="18"/>
  <c r="BY102" i="18"/>
  <c r="BV193" i="18"/>
  <c r="BY193" i="18"/>
  <c r="BV72" i="18"/>
  <c r="BY72" i="18"/>
  <c r="BV142" i="18"/>
  <c r="BY142" i="18"/>
  <c r="BV187" i="18"/>
  <c r="BY187" i="18"/>
  <c r="BV191" i="18"/>
  <c r="BY191" i="18"/>
  <c r="BV172" i="18"/>
  <c r="BY172" i="18"/>
  <c r="BV183" i="18"/>
  <c r="BY183" i="18"/>
  <c r="BV65" i="18"/>
  <c r="BY65" i="18"/>
  <c r="BV175" i="18"/>
  <c r="BY175" i="18"/>
  <c r="BV190" i="18"/>
  <c r="BY190" i="18"/>
  <c r="BV68" i="18"/>
  <c r="BY68" i="18"/>
  <c r="BV147" i="18"/>
  <c r="BY147" i="18"/>
  <c r="BV156" i="18"/>
  <c r="BY156" i="18"/>
  <c r="BV90" i="18"/>
  <c r="BY90" i="18"/>
  <c r="BV125" i="18"/>
  <c r="BY125" i="18"/>
  <c r="BV47" i="18"/>
  <c r="BY47" i="18"/>
  <c r="BV91" i="18"/>
  <c r="BY91" i="18"/>
  <c r="BV188" i="18"/>
  <c r="BY188" i="18"/>
  <c r="BV108" i="18"/>
  <c r="BY108" i="18"/>
  <c r="BV168" i="18"/>
  <c r="BY168" i="18"/>
  <c r="BV158" i="18"/>
  <c r="BY158" i="18"/>
  <c r="BV208" i="18"/>
  <c r="BY208" i="18"/>
  <c r="BV79" i="18"/>
  <c r="BY79" i="18"/>
  <c r="BV119" i="18"/>
  <c r="BY119" i="18"/>
  <c r="BV107" i="18"/>
  <c r="BY107" i="18"/>
  <c r="BV26" i="18"/>
  <c r="BY26" i="18"/>
  <c r="BV48" i="18"/>
  <c r="BY48" i="18"/>
  <c r="BV153" i="18"/>
  <c r="BY153" i="18"/>
  <c r="BV150" i="18"/>
  <c r="BY150" i="18"/>
  <c r="BV55" i="18"/>
  <c r="BY55" i="18"/>
  <c r="BV104" i="18"/>
  <c r="BY104" i="18"/>
  <c r="BV127" i="18"/>
  <c r="BY127" i="18"/>
  <c r="BV61" i="18"/>
  <c r="BY61" i="18"/>
  <c r="BV130" i="18"/>
  <c r="BY130" i="18"/>
  <c r="BV44" i="18"/>
  <c r="BY44" i="18"/>
  <c r="BV170" i="18"/>
  <c r="BY170" i="18"/>
  <c r="BV201" i="18"/>
  <c r="BY201" i="18"/>
  <c r="BV81" i="18"/>
  <c r="BY81" i="18"/>
  <c r="BV139" i="18"/>
  <c r="BY139" i="18"/>
  <c r="BV178" i="18"/>
  <c r="BY178" i="18"/>
  <c r="BV84" i="18"/>
  <c r="BY84" i="18"/>
  <c r="BV85" i="18"/>
  <c r="BY85" i="18"/>
  <c r="BV31" i="18"/>
  <c r="BY31" i="18"/>
  <c r="L33" i="14" l="1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BE5" i="18"/>
  <c r="BD5" i="18"/>
  <c r="N11" i="14"/>
  <c r="L19" i="14"/>
  <c r="L12" i="14"/>
  <c r="E33" i="14"/>
  <c r="E26" i="14"/>
  <c r="E19" i="14"/>
  <c r="E12" i="14"/>
  <c r="H13" i="14"/>
  <c r="J13" i="14" s="1"/>
  <c r="H14" i="14"/>
  <c r="J14" i="14" s="1"/>
  <c r="J12" i="14"/>
  <c r="J33" i="14"/>
  <c r="J26" i="14"/>
  <c r="J19" i="14"/>
  <c r="H21" i="14"/>
  <c r="J21" i="14" s="1"/>
  <c r="H20" i="14"/>
  <c r="J20" i="14" s="1"/>
  <c r="H28" i="14"/>
  <c r="J28" i="14" s="1"/>
  <c r="H27" i="14"/>
  <c r="J27" i="14" s="1"/>
  <c r="H35" i="14"/>
  <c r="J35" i="14" s="1"/>
  <c r="H34" i="14"/>
  <c r="J34" i="14" s="1"/>
  <c r="C35" i="14"/>
  <c r="E35" i="14" s="1"/>
  <c r="C34" i="14"/>
  <c r="E34" i="14" s="1"/>
  <c r="C28" i="14"/>
  <c r="E28" i="14" s="1"/>
  <c r="C27" i="14"/>
  <c r="E27" i="14" s="1"/>
  <c r="C21" i="14"/>
  <c r="E21" i="14" s="1"/>
  <c r="C20" i="14"/>
  <c r="E20" i="14" s="1"/>
  <c r="C14" i="14"/>
  <c r="E14" i="14" s="1"/>
  <c r="C13" i="14"/>
  <c r="E13" i="14" s="1"/>
  <c r="BF5" i="18"/>
  <c r="BC5" i="18"/>
  <c r="BB5" i="18"/>
  <c r="BA5" i="18"/>
  <c r="AZ5" i="18"/>
  <c r="AY5" i="18"/>
  <c r="C104" i="18" l="1"/>
  <c r="BX104" i="18" s="1"/>
  <c r="C103" i="18"/>
  <c r="BX103" i="18" s="1"/>
  <c r="C102" i="18"/>
  <c r="BX102" i="18" s="1"/>
  <c r="C101" i="18"/>
  <c r="BX101" i="18" s="1"/>
  <c r="C100" i="18"/>
  <c r="BX100" i="18" s="1"/>
  <c r="C99" i="18"/>
  <c r="BX99" i="18" s="1"/>
  <c r="C98" i="18"/>
  <c r="BX98" i="18" s="1"/>
  <c r="C97" i="18"/>
  <c r="BX97" i="18" s="1"/>
  <c r="C96" i="18"/>
  <c r="BX96" i="18" s="1"/>
  <c r="C95" i="18"/>
  <c r="BX95" i="18" s="1"/>
  <c r="C94" i="18"/>
  <c r="BX94" i="18" s="1"/>
  <c r="C93" i="18"/>
  <c r="BX93" i="18" s="1"/>
  <c r="C92" i="18"/>
  <c r="BX92" i="18" s="1"/>
  <c r="C91" i="18"/>
  <c r="BX91" i="18" s="1"/>
  <c r="C90" i="18"/>
  <c r="BX90" i="18" s="1"/>
  <c r="C89" i="18"/>
  <c r="BX89" i="18" s="1"/>
  <c r="C88" i="18"/>
  <c r="BX88" i="18" s="1"/>
  <c r="C87" i="18"/>
  <c r="BX87" i="18" s="1"/>
  <c r="C86" i="18"/>
  <c r="BX86" i="18" s="1"/>
  <c r="C85" i="18"/>
  <c r="BX85" i="18" s="1"/>
  <c r="C84" i="18"/>
  <c r="BX84" i="18" s="1"/>
  <c r="C83" i="18"/>
  <c r="BX83" i="18" s="1"/>
  <c r="C82" i="18"/>
  <c r="BX82" i="18" s="1"/>
  <c r="C81" i="18"/>
  <c r="BX81" i="18" s="1"/>
  <c r="C80" i="18"/>
  <c r="BX80" i="18" s="1"/>
  <c r="C79" i="18"/>
  <c r="BX79" i="18" s="1"/>
  <c r="C78" i="18"/>
  <c r="BX78" i="18" s="1"/>
  <c r="C77" i="18"/>
  <c r="BX77" i="18" s="1"/>
  <c r="C76" i="18"/>
  <c r="BX76" i="18" s="1"/>
  <c r="C75" i="18"/>
  <c r="BX75" i="18" s="1"/>
  <c r="C74" i="18"/>
  <c r="BX74" i="18" s="1"/>
  <c r="C73" i="18"/>
  <c r="BX73" i="18" s="1"/>
  <c r="C72" i="18"/>
  <c r="BX72" i="18" s="1"/>
  <c r="C71" i="18"/>
  <c r="BX71" i="18" s="1"/>
  <c r="C70" i="18"/>
  <c r="BX70" i="18" s="1"/>
  <c r="C69" i="18"/>
  <c r="BX69" i="18" s="1"/>
  <c r="C68" i="18"/>
  <c r="BX68" i="18" s="1"/>
  <c r="C67" i="18"/>
  <c r="BX67" i="18" s="1"/>
  <c r="C66" i="18"/>
  <c r="BX66" i="18" s="1"/>
  <c r="C65" i="18"/>
  <c r="BX65" i="18" s="1"/>
  <c r="C64" i="18"/>
  <c r="BX64" i="18" s="1"/>
  <c r="C63" i="18"/>
  <c r="BX63" i="18" s="1"/>
  <c r="C62" i="18"/>
  <c r="BX62" i="18" s="1"/>
  <c r="C61" i="18"/>
  <c r="BX61" i="18" s="1"/>
  <c r="C60" i="18"/>
  <c r="BX60" i="18" s="1"/>
  <c r="C59" i="18"/>
  <c r="BX59" i="18" s="1"/>
  <c r="C58" i="18"/>
  <c r="BX58" i="18" s="1"/>
  <c r="C57" i="18"/>
  <c r="BX57" i="18" s="1"/>
  <c r="C56" i="18"/>
  <c r="BX56" i="18" s="1"/>
  <c r="C55" i="18"/>
  <c r="BX55" i="18" s="1"/>
  <c r="C54" i="18"/>
  <c r="BX54" i="18" s="1"/>
  <c r="C53" i="18"/>
  <c r="BX53" i="18" s="1"/>
  <c r="C52" i="18"/>
  <c r="BX52" i="18" s="1"/>
  <c r="C51" i="18"/>
  <c r="BX51" i="18" s="1"/>
  <c r="C50" i="18"/>
  <c r="BX50" i="18" s="1"/>
  <c r="C49" i="18"/>
  <c r="BX49" i="18" s="1"/>
  <c r="C48" i="18"/>
  <c r="BX48" i="18" s="1"/>
  <c r="C47" i="18"/>
  <c r="BX47" i="18" s="1"/>
  <c r="C46" i="18"/>
  <c r="BX46" i="18" s="1"/>
  <c r="C45" i="18"/>
  <c r="BX45" i="18" s="1"/>
  <c r="C44" i="18"/>
  <c r="BX44" i="18" s="1"/>
  <c r="C43" i="18"/>
  <c r="BX43" i="18" s="1"/>
  <c r="C42" i="18"/>
  <c r="BX42" i="18" s="1"/>
  <c r="C41" i="18"/>
  <c r="BX41" i="18" s="1"/>
  <c r="C40" i="18"/>
  <c r="BX40" i="18" s="1"/>
  <c r="C39" i="18"/>
  <c r="BX39" i="18" s="1"/>
  <c r="C38" i="18"/>
  <c r="BX38" i="18" s="1"/>
  <c r="C37" i="18"/>
  <c r="BX37" i="18" s="1"/>
  <c r="C36" i="18"/>
  <c r="BX36" i="18" s="1"/>
  <c r="C35" i="18"/>
  <c r="BX35" i="18" s="1"/>
  <c r="C34" i="18"/>
  <c r="BX34" i="18" s="1"/>
  <c r="C33" i="18"/>
  <c r="BX33" i="18" s="1"/>
  <c r="C32" i="18"/>
  <c r="BX32" i="18" s="1"/>
  <c r="BH6" i="18"/>
  <c r="BQ6" i="18" s="1"/>
  <c r="BS6" i="18" s="1"/>
  <c r="BH5" i="18"/>
  <c r="BQ5" i="18" s="1"/>
  <c r="AX5" i="18"/>
  <c r="BH7" i="18"/>
  <c r="BQ7" i="18" s="1"/>
  <c r="BS7" i="18" s="1"/>
  <c r="L13" i="14"/>
  <c r="L14" i="14"/>
  <c r="N12" i="14"/>
  <c r="N14" i="14"/>
  <c r="N13" i="14"/>
  <c r="D5" i="8" l="1"/>
  <c r="D5" i="16"/>
  <c r="D8" i="17"/>
  <c r="D9" i="17"/>
  <c r="D10" i="17"/>
  <c r="D11" i="17"/>
  <c r="D12" i="17"/>
  <c r="D13" i="17"/>
  <c r="D14" i="17"/>
  <c r="E15" i="17"/>
  <c r="D6" i="17"/>
  <c r="D5" i="17"/>
  <c r="D7" i="17"/>
  <c r="E6" i="17"/>
  <c r="E7" i="17"/>
  <c r="E8" i="17"/>
  <c r="E10" i="17"/>
  <c r="E11" i="17"/>
  <c r="E12" i="17"/>
  <c r="E13" i="17"/>
  <c r="E14" i="17"/>
  <c r="E5" i="17"/>
  <c r="C6" i="20"/>
  <c r="C7" i="20"/>
  <c r="C8" i="20"/>
  <c r="C9" i="20"/>
  <c r="E5" i="16"/>
  <c r="C5" i="20" s="1"/>
  <c r="BG5" i="18"/>
  <c r="BR5" i="18" s="1"/>
  <c r="BS5" i="18" s="1"/>
  <c r="E13" i="8"/>
  <c r="E21" i="8"/>
  <c r="E29" i="8"/>
  <c r="E6" i="8"/>
  <c r="E14" i="8"/>
  <c r="E22" i="8"/>
  <c r="E30" i="8"/>
  <c r="E7" i="8"/>
  <c r="E15" i="8"/>
  <c r="E23" i="8"/>
  <c r="E31" i="8"/>
  <c r="E28" i="8"/>
  <c r="E8" i="8"/>
  <c r="E16" i="8"/>
  <c r="E24" i="8"/>
  <c r="E20" i="8"/>
  <c r="E9" i="8"/>
  <c r="E17" i="8"/>
  <c r="E25" i="8"/>
  <c r="E5" i="8"/>
  <c r="E10" i="8"/>
  <c r="E18" i="8"/>
  <c r="E26" i="8"/>
  <c r="E11" i="8"/>
  <c r="E19" i="8"/>
  <c r="E27" i="8"/>
  <c r="E12" i="8"/>
  <c r="N12" i="8" l="1"/>
  <c r="L12" i="8"/>
  <c r="P12" i="8" s="1"/>
  <c r="N19" i="8"/>
  <c r="L19" i="8"/>
  <c r="P19" i="8" s="1"/>
  <c r="N11" i="8"/>
  <c r="L11" i="8"/>
  <c r="P11" i="8" s="1"/>
  <c r="N18" i="8"/>
  <c r="L18" i="8"/>
  <c r="P18" i="8" s="1"/>
  <c r="N10" i="8"/>
  <c r="L10" i="8"/>
  <c r="P10" i="8" s="1"/>
  <c r="N17" i="8"/>
  <c r="L17" i="8"/>
  <c r="P17" i="8" s="1"/>
  <c r="N20" i="8"/>
  <c r="L20" i="8"/>
  <c r="P20" i="8" s="1"/>
  <c r="N16" i="8"/>
  <c r="L16" i="8"/>
  <c r="P16" i="8" s="1"/>
  <c r="N15" i="8"/>
  <c r="L15" i="8"/>
  <c r="P15" i="8" s="1"/>
  <c r="N14" i="8"/>
  <c r="L14" i="8"/>
  <c r="P14" i="8" s="1"/>
  <c r="N13" i="8"/>
  <c r="L13" i="8"/>
  <c r="P13" i="8" s="1"/>
  <c r="BT5" i="20"/>
  <c r="Y5" i="20"/>
  <c r="AV5" i="20"/>
  <c r="BT9" i="20"/>
  <c r="Y9" i="20"/>
  <c r="AV9" i="20"/>
  <c r="BT8" i="20"/>
  <c r="Y8" i="20"/>
  <c r="AV8" i="20"/>
  <c r="BT7" i="20"/>
  <c r="Y7" i="20"/>
  <c r="AV7" i="20"/>
  <c r="BT6" i="20"/>
  <c r="Y6" i="20"/>
  <c r="AV6" i="20"/>
  <c r="L5" i="8"/>
  <c r="N5" i="8"/>
  <c r="P5" i="8" s="1"/>
  <c r="C5" i="21"/>
  <c r="L5" i="17"/>
  <c r="N5" i="17"/>
  <c r="C14" i="21"/>
  <c r="L14" i="17"/>
  <c r="N14" i="17"/>
  <c r="C13" i="21"/>
  <c r="L13" i="17"/>
  <c r="N13" i="17"/>
  <c r="C12" i="21"/>
  <c r="L12" i="17"/>
  <c r="N12" i="17"/>
  <c r="C11" i="21"/>
  <c r="L11" i="17"/>
  <c r="N11" i="17"/>
  <c r="C10" i="21"/>
  <c r="L10" i="17"/>
  <c r="N10" i="17"/>
  <c r="C8" i="21"/>
  <c r="L8" i="17"/>
  <c r="N8" i="17"/>
  <c r="C7" i="21"/>
  <c r="L7" i="17"/>
  <c r="N7" i="17"/>
  <c r="C6" i="21"/>
  <c r="L6" i="17"/>
  <c r="N6" i="17"/>
  <c r="C15" i="21"/>
  <c r="L15" i="17"/>
  <c r="N15" i="17"/>
  <c r="N9" i="8"/>
  <c r="L9" i="8"/>
  <c r="P9" i="8" s="1"/>
  <c r="N8" i="8"/>
  <c r="L8" i="8"/>
  <c r="P8" i="8" s="1"/>
  <c r="N7" i="8"/>
  <c r="L7" i="8"/>
  <c r="P7" i="8" s="1"/>
  <c r="N6" i="8"/>
  <c r="L6" i="8"/>
  <c r="P6" i="8" s="1"/>
  <c r="C12" i="18"/>
  <c r="C27" i="18"/>
  <c r="BX27" i="18" s="1"/>
  <c r="C19" i="18"/>
  <c r="C11" i="18"/>
  <c r="C26" i="18"/>
  <c r="BX26" i="18" s="1"/>
  <c r="C18" i="18"/>
  <c r="C10" i="18"/>
  <c r="C5" i="18"/>
  <c r="C25" i="18"/>
  <c r="BX25" i="18" s="1"/>
  <c r="C17" i="18"/>
  <c r="C9" i="18"/>
  <c r="BT9" i="18" s="1"/>
  <c r="C20" i="18"/>
  <c r="C24" i="18"/>
  <c r="BX24" i="18" s="1"/>
  <c r="C16" i="18"/>
  <c r="C8" i="18"/>
  <c r="BT8" i="18" s="1"/>
  <c r="C28" i="18"/>
  <c r="BX28" i="18" s="1"/>
  <c r="C31" i="18"/>
  <c r="BX31" i="18" s="1"/>
  <c r="C23" i="18"/>
  <c r="BX23" i="18" s="1"/>
  <c r="C15" i="18"/>
  <c r="C7" i="18"/>
  <c r="BT7" i="18" s="1"/>
  <c r="C30" i="18"/>
  <c r="BX30" i="18" s="1"/>
  <c r="C22" i="18"/>
  <c r="BX22" i="18" s="1"/>
  <c r="C14" i="18"/>
  <c r="C6" i="18"/>
  <c r="BT6" i="18" s="1"/>
  <c r="C29" i="18"/>
  <c r="BX29" i="18" s="1"/>
  <c r="C21" i="18"/>
  <c r="BX21" i="18" s="1"/>
  <c r="C13" i="18"/>
  <c r="BX15" i="21"/>
  <c r="BT15" i="21"/>
  <c r="BY15" i="21" s="1"/>
  <c r="BX12" i="21"/>
  <c r="BT12" i="21"/>
  <c r="BX11" i="21"/>
  <c r="BT11" i="21"/>
  <c r="BX10" i="21"/>
  <c r="BT10" i="21"/>
  <c r="BX14" i="21"/>
  <c r="BT14" i="21"/>
  <c r="BX8" i="21"/>
  <c r="BT8" i="21"/>
  <c r="BX13" i="21"/>
  <c r="BT13" i="21"/>
  <c r="BX7" i="21"/>
  <c r="BT7" i="21"/>
  <c r="BX5" i="21"/>
  <c r="BT5" i="21"/>
  <c r="BX6" i="21"/>
  <c r="BT6" i="21"/>
  <c r="E9" i="17"/>
  <c r="BX5" i="20"/>
  <c r="BX9" i="20"/>
  <c r="BX8" i="20"/>
  <c r="BX7" i="20"/>
  <c r="BX6" i="20"/>
  <c r="BX6" i="18"/>
  <c r="N35" i="14"/>
  <c r="N34" i="14"/>
  <c r="N33" i="14"/>
  <c r="N28" i="14"/>
  <c r="N27" i="14"/>
  <c r="N26" i="14"/>
  <c r="N21" i="14"/>
  <c r="N20" i="14"/>
  <c r="N19" i="14"/>
  <c r="L35" i="14"/>
  <c r="L34" i="14"/>
  <c r="L28" i="14"/>
  <c r="L27" i="14"/>
  <c r="L26" i="14"/>
  <c r="L21" i="14"/>
  <c r="L20" i="14"/>
  <c r="N32" i="14"/>
  <c r="N25" i="14"/>
  <c r="N24" i="14"/>
  <c r="M24" i="14"/>
  <c r="N18" i="14"/>
  <c r="N17" i="14"/>
  <c r="M17" i="14"/>
  <c r="N10" i="14"/>
  <c r="M10" i="14"/>
  <c r="AC104" i="17"/>
  <c r="Z104" i="17"/>
  <c r="X104" i="17"/>
  <c r="AD104" i="17"/>
  <c r="AC103" i="17"/>
  <c r="Z103" i="17"/>
  <c r="AF103" i="17"/>
  <c r="AD103" i="17"/>
  <c r="AC102" i="17"/>
  <c r="AI102" i="17"/>
  <c r="X102" i="17"/>
  <c r="AJ102" i="17"/>
  <c r="AD102" i="17"/>
  <c r="AC101" i="17"/>
  <c r="AD101" i="17"/>
  <c r="AC100" i="17"/>
  <c r="AI100" i="17"/>
  <c r="X100" i="17"/>
  <c r="AD100" i="17"/>
  <c r="AC99" i="17"/>
  <c r="Z99" i="17"/>
  <c r="AF99" i="17"/>
  <c r="AD99" i="17"/>
  <c r="AC98" i="17"/>
  <c r="AI98" i="17"/>
  <c r="T98" i="17"/>
  <c r="AD98" i="17"/>
  <c r="AC97" i="17"/>
  <c r="AI97" i="17"/>
  <c r="AF97" i="17"/>
  <c r="AD97" i="17"/>
  <c r="AC96" i="17"/>
  <c r="Z96" i="17"/>
  <c r="T96" i="17"/>
  <c r="AD96" i="17"/>
  <c r="AC95" i="17"/>
  <c r="AI95" i="17"/>
  <c r="AF95" i="17"/>
  <c r="AD95" i="17"/>
  <c r="AC94" i="17"/>
  <c r="Z94" i="17"/>
  <c r="AD94" i="17"/>
  <c r="AC93" i="17"/>
  <c r="AD93" i="17"/>
  <c r="AC92" i="17"/>
  <c r="AI92" i="17"/>
  <c r="AD92" i="17"/>
  <c r="AC91" i="17"/>
  <c r="AI91" i="17"/>
  <c r="AF91" i="17"/>
  <c r="AD91" i="17"/>
  <c r="AC90" i="17"/>
  <c r="T90" i="17"/>
  <c r="AD90" i="17"/>
  <c r="AC89" i="17"/>
  <c r="X89" i="17"/>
  <c r="AD89" i="17"/>
  <c r="AC88" i="17"/>
  <c r="Z88" i="17"/>
  <c r="T88" i="17"/>
  <c r="AD88" i="17"/>
  <c r="AC87" i="17"/>
  <c r="Z87" i="17"/>
  <c r="X87" i="17"/>
  <c r="AJ87" i="17"/>
  <c r="AD87" i="17"/>
  <c r="AC86" i="17"/>
  <c r="AD86" i="17"/>
  <c r="AC85" i="17"/>
  <c r="AI85" i="17"/>
  <c r="X85" i="17"/>
  <c r="AD85" i="17"/>
  <c r="AC84" i="17"/>
  <c r="Z84" i="17"/>
  <c r="AH84" i="17"/>
  <c r="AD84" i="17"/>
  <c r="AC83" i="17"/>
  <c r="AI83" i="17"/>
  <c r="AH83" i="17"/>
  <c r="AD83" i="17"/>
  <c r="AC82" i="17"/>
  <c r="AH82" i="17"/>
  <c r="AD82" i="17"/>
  <c r="AC81" i="17"/>
  <c r="AI81" i="17"/>
  <c r="T81" i="17"/>
  <c r="AD81" i="17"/>
  <c r="AC80" i="17"/>
  <c r="AH80" i="17"/>
  <c r="AJ80" i="17"/>
  <c r="AD80" i="17"/>
  <c r="AC79" i="17"/>
  <c r="AD79" i="17"/>
  <c r="AC78" i="17"/>
  <c r="Z78" i="17"/>
  <c r="AB78" i="17"/>
  <c r="AD78" i="17"/>
  <c r="AC77" i="17"/>
  <c r="Z77" i="17"/>
  <c r="X77" i="17"/>
  <c r="AD77" i="17"/>
  <c r="AC76" i="17"/>
  <c r="AD76" i="17"/>
  <c r="AC75" i="17"/>
  <c r="Z75" i="17"/>
  <c r="AH75" i="17"/>
  <c r="AD75" i="17"/>
  <c r="AC74" i="17"/>
  <c r="AD74" i="17"/>
  <c r="AC73" i="17"/>
  <c r="Z73" i="17"/>
  <c r="AD73" i="17"/>
  <c r="AC72" i="17"/>
  <c r="X72" i="17"/>
  <c r="AD72" i="17"/>
  <c r="AC71" i="17"/>
  <c r="AI71" i="17"/>
  <c r="AH71" i="17"/>
  <c r="T71" i="17"/>
  <c r="AD71" i="17"/>
  <c r="AC70" i="17"/>
  <c r="T70" i="17"/>
  <c r="AD70" i="17"/>
  <c r="AC69" i="17"/>
  <c r="AI69" i="17"/>
  <c r="T69" i="17"/>
  <c r="AD69" i="17"/>
  <c r="AC68" i="17"/>
  <c r="AH68" i="17"/>
  <c r="AD68" i="17"/>
  <c r="AC67" i="17"/>
  <c r="AI67" i="17"/>
  <c r="AH67" i="17"/>
  <c r="AD67" i="17"/>
  <c r="AC66" i="17"/>
  <c r="Z66" i="17"/>
  <c r="AD66" i="17"/>
  <c r="AC65" i="17"/>
  <c r="AH65" i="17"/>
  <c r="AD65" i="17"/>
  <c r="AC64" i="17"/>
  <c r="AD64" i="17"/>
  <c r="AC63" i="17"/>
  <c r="AI63" i="17"/>
  <c r="AD63" i="17"/>
  <c r="AC62" i="17"/>
  <c r="Z62" i="17"/>
  <c r="AD62" i="17"/>
  <c r="AC61" i="17"/>
  <c r="AI61" i="17"/>
  <c r="AH61" i="17"/>
  <c r="AD61" i="17"/>
  <c r="AC60" i="17"/>
  <c r="Z60" i="17"/>
  <c r="AF60" i="17"/>
  <c r="AD60" i="17"/>
  <c r="AC59" i="17"/>
  <c r="AI59" i="17"/>
  <c r="T59" i="17"/>
  <c r="AD59" i="17"/>
  <c r="AC58" i="17"/>
  <c r="AI58" i="17"/>
  <c r="AD58" i="17"/>
  <c r="AC57" i="17"/>
  <c r="AD57" i="17"/>
  <c r="AC56" i="17"/>
  <c r="AF56" i="17"/>
  <c r="AD56" i="17"/>
  <c r="AC55" i="17"/>
  <c r="AD55" i="17"/>
  <c r="AC54" i="17"/>
  <c r="Z54" i="17"/>
  <c r="AD54" i="17"/>
  <c r="AC53" i="17"/>
  <c r="AI53" i="17"/>
  <c r="AD53" i="17"/>
  <c r="AC52" i="17"/>
  <c r="Z52" i="17"/>
  <c r="X52" i="17"/>
  <c r="AB52" i="17"/>
  <c r="AD52" i="17"/>
  <c r="AC51" i="17"/>
  <c r="AI51" i="17"/>
  <c r="AD51" i="17"/>
  <c r="AC50" i="17"/>
  <c r="X50" i="17"/>
  <c r="AD50" i="17"/>
  <c r="AC49" i="17"/>
  <c r="T49" i="17"/>
  <c r="AD49" i="17"/>
  <c r="AC48" i="17"/>
  <c r="X48" i="17"/>
  <c r="AD48" i="17"/>
  <c r="AC47" i="17"/>
  <c r="AJ47" i="17"/>
  <c r="AD47" i="17"/>
  <c r="AC46" i="17"/>
  <c r="AI46" i="17"/>
  <c r="X46" i="17"/>
  <c r="AD46" i="17"/>
  <c r="AC45" i="17"/>
  <c r="AI45" i="17"/>
  <c r="AH45" i="17"/>
  <c r="AD45" i="17"/>
  <c r="AC44" i="17"/>
  <c r="AI44" i="17"/>
  <c r="X44" i="17"/>
  <c r="AB44" i="17"/>
  <c r="AD44" i="17"/>
  <c r="AC43" i="17"/>
  <c r="AD43" i="17"/>
  <c r="AC42" i="17"/>
  <c r="AI42" i="17"/>
  <c r="X42" i="17"/>
  <c r="AD42" i="17"/>
  <c r="AC41" i="17"/>
  <c r="AD41" i="17"/>
  <c r="AC40" i="17"/>
  <c r="AI40" i="17"/>
  <c r="AD40" i="17"/>
  <c r="AC39" i="17"/>
  <c r="AI39" i="17"/>
  <c r="AD39" i="17"/>
  <c r="AC38" i="17"/>
  <c r="AH38" i="17"/>
  <c r="AD38" i="17"/>
  <c r="AC37" i="17"/>
  <c r="AD37" i="17"/>
  <c r="AC36" i="17"/>
  <c r="X36" i="17"/>
  <c r="T36" i="17"/>
  <c r="AD36" i="17"/>
  <c r="AC35" i="17"/>
  <c r="T35" i="17"/>
  <c r="AD35" i="17"/>
  <c r="AC34" i="17"/>
  <c r="AH34" i="17"/>
  <c r="AD34" i="17"/>
  <c r="AC33" i="17"/>
  <c r="T33" i="17"/>
  <c r="AD33" i="17"/>
  <c r="AC32" i="17"/>
  <c r="X32" i="17"/>
  <c r="AD32" i="17"/>
  <c r="AC31" i="17"/>
  <c r="AC30" i="17"/>
  <c r="AI30" i="17"/>
  <c r="AC29" i="17"/>
  <c r="AI29" i="17"/>
  <c r="AC28" i="17"/>
  <c r="AC27" i="17"/>
  <c r="AI27" i="17"/>
  <c r="AC26" i="17"/>
  <c r="AI26" i="17"/>
  <c r="AC25" i="17"/>
  <c r="AI25" i="17"/>
  <c r="AC24" i="17"/>
  <c r="AI24" i="17"/>
  <c r="AC23" i="17"/>
  <c r="AI23" i="17"/>
  <c r="AH23" i="17"/>
  <c r="AB23" i="17"/>
  <c r="AC22" i="17"/>
  <c r="X22" i="17"/>
  <c r="AC21" i="17"/>
  <c r="AI21" i="17"/>
  <c r="AC20" i="17"/>
  <c r="AI20" i="17"/>
  <c r="X20" i="17"/>
  <c r="AC19" i="17"/>
  <c r="AI19" i="17"/>
  <c r="AH19" i="17"/>
  <c r="T19" i="17"/>
  <c r="AC18" i="17"/>
  <c r="X18" i="17"/>
  <c r="AC17" i="17"/>
  <c r="AI17" i="17"/>
  <c r="AH17" i="17"/>
  <c r="AB17" i="17"/>
  <c r="AC16" i="17"/>
  <c r="X16" i="17"/>
  <c r="AC15" i="17"/>
  <c r="AC14" i="17"/>
  <c r="AI14" i="17"/>
  <c r="AC13" i="17"/>
  <c r="AC12" i="17"/>
  <c r="AI12" i="17"/>
  <c r="AC11" i="17"/>
  <c r="AC10" i="17"/>
  <c r="AI10" i="17"/>
  <c r="AC9" i="17"/>
  <c r="AC8" i="17"/>
  <c r="AI8" i="17"/>
  <c r="AC7" i="17"/>
  <c r="AC6" i="17"/>
  <c r="AI6" i="17"/>
  <c r="AC5" i="17"/>
  <c r="AC104" i="16"/>
  <c r="AD104" i="16"/>
  <c r="AC103" i="16"/>
  <c r="AD103" i="16"/>
  <c r="AC102" i="16"/>
  <c r="AD102" i="16"/>
  <c r="AC101" i="16"/>
  <c r="AD101" i="16"/>
  <c r="AC100" i="16"/>
  <c r="AD100" i="16"/>
  <c r="AC99" i="16"/>
  <c r="X99" i="16"/>
  <c r="AD99" i="16"/>
  <c r="AC98" i="16"/>
  <c r="AD98" i="16"/>
  <c r="AC97" i="16"/>
  <c r="AH97" i="16"/>
  <c r="AD97" i="16"/>
  <c r="AC96" i="16"/>
  <c r="AD96" i="16"/>
  <c r="AC95" i="16"/>
  <c r="AH95" i="16"/>
  <c r="AD95" i="16"/>
  <c r="AC94" i="16"/>
  <c r="AD94" i="16"/>
  <c r="AC93" i="16"/>
  <c r="AD93" i="16"/>
  <c r="AC92" i="16"/>
  <c r="AD92" i="16"/>
  <c r="AC91" i="16"/>
  <c r="AD91" i="16"/>
  <c r="AC90" i="16"/>
  <c r="X90" i="16"/>
  <c r="AD90" i="16"/>
  <c r="AC89" i="16"/>
  <c r="AH89" i="16"/>
  <c r="AD89" i="16"/>
  <c r="AC88" i="16"/>
  <c r="X88" i="16"/>
  <c r="AD88" i="16"/>
  <c r="AC87" i="16"/>
  <c r="AH87" i="16"/>
  <c r="AD87" i="16"/>
  <c r="AC86" i="16"/>
  <c r="AD86" i="16"/>
  <c r="AC85" i="16"/>
  <c r="X85" i="16"/>
  <c r="AD85" i="16"/>
  <c r="AC84" i="16"/>
  <c r="AD84" i="16"/>
  <c r="AC83" i="16"/>
  <c r="AD83" i="16"/>
  <c r="AC82" i="16"/>
  <c r="AD82" i="16"/>
  <c r="AC81" i="16"/>
  <c r="AD81" i="16"/>
  <c r="AC80" i="16"/>
  <c r="AD80" i="16"/>
  <c r="AC79" i="16"/>
  <c r="AD79" i="16"/>
  <c r="AC78" i="16"/>
  <c r="X78" i="16"/>
  <c r="AD78" i="16"/>
  <c r="AC77" i="16"/>
  <c r="AD77" i="16"/>
  <c r="AC76" i="16"/>
  <c r="AD76" i="16"/>
  <c r="AC75" i="16"/>
  <c r="AH75" i="16"/>
  <c r="AD75" i="16"/>
  <c r="AC74" i="16"/>
  <c r="X74" i="16"/>
  <c r="AD74" i="16"/>
  <c r="AC73" i="16"/>
  <c r="AD73" i="16"/>
  <c r="AC72" i="16"/>
  <c r="AD72" i="16"/>
  <c r="AC71" i="16"/>
  <c r="AD71" i="16"/>
  <c r="AC70" i="16"/>
  <c r="AD70" i="16"/>
  <c r="AC69" i="16"/>
  <c r="AD69" i="16"/>
  <c r="AC68" i="16"/>
  <c r="AD68" i="16"/>
  <c r="AC67" i="16"/>
  <c r="AD67" i="16"/>
  <c r="AC66" i="16"/>
  <c r="AD66" i="16"/>
  <c r="AC65" i="16"/>
  <c r="AD65" i="16"/>
  <c r="AC64" i="16"/>
  <c r="AD64" i="16"/>
  <c r="AC63" i="16"/>
  <c r="AD63" i="16"/>
  <c r="AC62" i="16"/>
  <c r="AD62" i="16"/>
  <c r="AC61" i="16"/>
  <c r="X61" i="16"/>
  <c r="AD61" i="16"/>
  <c r="AC60" i="16"/>
  <c r="X60" i="16"/>
  <c r="AD60" i="16"/>
  <c r="AC59" i="16"/>
  <c r="AD59" i="16"/>
  <c r="AC58" i="16"/>
  <c r="AD58" i="16"/>
  <c r="AC57" i="16"/>
  <c r="AD57" i="16"/>
  <c r="AC56" i="16"/>
  <c r="X56" i="16"/>
  <c r="AD56" i="16"/>
  <c r="AC55" i="16"/>
  <c r="AD55" i="16"/>
  <c r="AC54" i="16"/>
  <c r="AD54" i="16"/>
  <c r="AC53" i="16"/>
  <c r="AD53" i="16"/>
  <c r="AC52" i="16"/>
  <c r="AD52" i="16"/>
  <c r="AC51" i="16"/>
  <c r="AD51" i="16"/>
  <c r="AC50" i="16"/>
  <c r="AD50" i="16"/>
  <c r="AC49" i="16"/>
  <c r="AD49" i="16"/>
  <c r="AC48" i="16"/>
  <c r="AD48" i="16"/>
  <c r="AC47" i="16"/>
  <c r="X47" i="16"/>
  <c r="AD47" i="16"/>
  <c r="AC46" i="16"/>
  <c r="AH46" i="16"/>
  <c r="AD46" i="16"/>
  <c r="AC45" i="16"/>
  <c r="AD45" i="16"/>
  <c r="AC44" i="16"/>
  <c r="AD44" i="16"/>
  <c r="AC43" i="16"/>
  <c r="AH43" i="16"/>
  <c r="AD43" i="16"/>
  <c r="AC42" i="16"/>
  <c r="AD42" i="16"/>
  <c r="AC41" i="16"/>
  <c r="AH41" i="16"/>
  <c r="AD41" i="16"/>
  <c r="AC40" i="16"/>
  <c r="AD40" i="16"/>
  <c r="AC39" i="16"/>
  <c r="AD39" i="16"/>
  <c r="AC38" i="16"/>
  <c r="AD38" i="16"/>
  <c r="AC37" i="16"/>
  <c r="X37" i="16"/>
  <c r="AD37" i="16"/>
  <c r="AC36" i="16"/>
  <c r="AD36" i="16"/>
  <c r="AC35" i="16"/>
  <c r="AD35" i="16"/>
  <c r="AC34" i="16"/>
  <c r="AH34" i="16"/>
  <c r="AD34" i="16"/>
  <c r="AC33" i="16"/>
  <c r="AD33" i="16"/>
  <c r="AC32" i="16"/>
  <c r="AH32" i="16"/>
  <c r="AD32" i="16"/>
  <c r="AC31" i="16"/>
  <c r="AC30" i="16"/>
  <c r="AC29" i="16"/>
  <c r="AC28" i="16"/>
  <c r="AC27" i="16"/>
  <c r="AC26" i="16"/>
  <c r="AC25" i="16"/>
  <c r="AC24" i="16"/>
  <c r="AC23" i="16"/>
  <c r="AC22" i="16"/>
  <c r="AC21" i="16"/>
  <c r="X21" i="16"/>
  <c r="AC20" i="16"/>
  <c r="AC19" i="16"/>
  <c r="AC18" i="16"/>
  <c r="AC17" i="16"/>
  <c r="X17" i="16"/>
  <c r="AC16" i="16"/>
  <c r="AC15" i="16"/>
  <c r="X15" i="16"/>
  <c r="AC14" i="16"/>
  <c r="AC13" i="16"/>
  <c r="AC12" i="16"/>
  <c r="AC11" i="16"/>
  <c r="AC10" i="16"/>
  <c r="AC9" i="16"/>
  <c r="AC8" i="16"/>
  <c r="AC7" i="16"/>
  <c r="AC6" i="16"/>
  <c r="AC5" i="16"/>
  <c r="BX13" i="18" l="1"/>
  <c r="BT13" i="18"/>
  <c r="BY13" i="18" s="1"/>
  <c r="Y13" i="18"/>
  <c r="AV13" i="18"/>
  <c r="BX14" i="18"/>
  <c r="BT14" i="18"/>
  <c r="BY14" i="18" s="1"/>
  <c r="Y14" i="18"/>
  <c r="AV14" i="18"/>
  <c r="BX15" i="18"/>
  <c r="BT15" i="18"/>
  <c r="BY15" i="18" s="1"/>
  <c r="Y15" i="18"/>
  <c r="AV15" i="18"/>
  <c r="BX16" i="18"/>
  <c r="BT16" i="18"/>
  <c r="BY16" i="18" s="1"/>
  <c r="Y16" i="18"/>
  <c r="AV16" i="18"/>
  <c r="BX20" i="18"/>
  <c r="BT20" i="18"/>
  <c r="BY20" i="18" s="1"/>
  <c r="Y20" i="18"/>
  <c r="AV20" i="18"/>
  <c r="BX17" i="18"/>
  <c r="BT17" i="18"/>
  <c r="BY17" i="18" s="1"/>
  <c r="Y17" i="18"/>
  <c r="AV17" i="18"/>
  <c r="BX10" i="18"/>
  <c r="BT10" i="18"/>
  <c r="BY10" i="18" s="1"/>
  <c r="Y10" i="18"/>
  <c r="AV10" i="18"/>
  <c r="BX18" i="18"/>
  <c r="BT18" i="18"/>
  <c r="BY18" i="18" s="1"/>
  <c r="Y18" i="18"/>
  <c r="AV18" i="18"/>
  <c r="BX11" i="18"/>
  <c r="BT11" i="18"/>
  <c r="BY11" i="18" s="1"/>
  <c r="Y11" i="18"/>
  <c r="AV11" i="18"/>
  <c r="BX19" i="18"/>
  <c r="BT19" i="18"/>
  <c r="BY19" i="18" s="1"/>
  <c r="Y19" i="18"/>
  <c r="AV19" i="18"/>
  <c r="BX12" i="18"/>
  <c r="BT12" i="18"/>
  <c r="BY12" i="18" s="1"/>
  <c r="Y12" i="18"/>
  <c r="AV12" i="18"/>
  <c r="AV5" i="18"/>
  <c r="BT5" i="18"/>
  <c r="C9" i="21"/>
  <c r="L9" i="17"/>
  <c r="N9" i="17"/>
  <c r="P15" i="17"/>
  <c r="AV15" i="21"/>
  <c r="Y15" i="21"/>
  <c r="P6" i="17"/>
  <c r="AV6" i="21"/>
  <c r="Y6" i="21"/>
  <c r="P7" i="17"/>
  <c r="AV7" i="21"/>
  <c r="Y7" i="21"/>
  <c r="P8" i="17"/>
  <c r="AV8" i="21"/>
  <c r="Y8" i="21"/>
  <c r="P10" i="17"/>
  <c r="AV10" i="21"/>
  <c r="Y10" i="21"/>
  <c r="P11" i="17"/>
  <c r="AV11" i="21"/>
  <c r="Y11" i="21"/>
  <c r="P12" i="17"/>
  <c r="AV12" i="21"/>
  <c r="Y12" i="21"/>
  <c r="P13" i="17"/>
  <c r="AV13" i="21"/>
  <c r="Y13" i="21"/>
  <c r="P14" i="17"/>
  <c r="AV14" i="21"/>
  <c r="Y14" i="21"/>
  <c r="P5" i="17"/>
  <c r="AV5" i="21"/>
  <c r="Y5" i="21"/>
  <c r="Y6" i="18"/>
  <c r="AV6" i="18"/>
  <c r="Y7" i="18"/>
  <c r="AV7" i="18"/>
  <c r="Y8" i="18"/>
  <c r="AV8" i="18"/>
  <c r="Y9" i="18"/>
  <c r="AV9" i="18"/>
  <c r="BX5" i="18"/>
  <c r="Y5" i="18"/>
  <c r="BX7" i="18"/>
  <c r="BX8" i="18"/>
  <c r="BX9" i="18"/>
  <c r="BY6" i="18"/>
  <c r="BV9" i="18"/>
  <c r="AG10" i="16"/>
  <c r="AI11" i="16"/>
  <c r="AI12" i="16"/>
  <c r="AG12" i="16"/>
  <c r="AI13" i="16"/>
  <c r="AE14" i="16"/>
  <c r="AI14" i="16"/>
  <c r="AG14" i="16"/>
  <c r="R15" i="16"/>
  <c r="AI15" i="16"/>
  <c r="AI16" i="16"/>
  <c r="V16" i="16"/>
  <c r="AE18" i="16"/>
  <c r="V19" i="16"/>
  <c r="AI20" i="16"/>
  <c r="Z21" i="16"/>
  <c r="Z22" i="16"/>
  <c r="Z23" i="16"/>
  <c r="V23" i="16"/>
  <c r="X23" i="16"/>
  <c r="Z24" i="16"/>
  <c r="V24" i="16"/>
  <c r="AH24" i="16"/>
  <c r="R25" i="16"/>
  <c r="V25" i="16"/>
  <c r="X25" i="16"/>
  <c r="R26" i="16"/>
  <c r="V26" i="16"/>
  <c r="AH26" i="16"/>
  <c r="V27" i="16"/>
  <c r="X27" i="16"/>
  <c r="AE28" i="16"/>
  <c r="Z29" i="16"/>
  <c r="V29" i="16"/>
  <c r="X29" i="16"/>
  <c r="AI30" i="16"/>
  <c r="V30" i="16"/>
  <c r="AH30" i="16"/>
  <c r="AE31" i="16"/>
  <c r="V31" i="16"/>
  <c r="X31" i="16"/>
  <c r="R32" i="16"/>
  <c r="AI32" i="16"/>
  <c r="AE33" i="16"/>
  <c r="V33" i="16"/>
  <c r="X33" i="16"/>
  <c r="R34" i="16"/>
  <c r="AI34" i="16"/>
  <c r="AE35" i="16"/>
  <c r="AI35" i="16"/>
  <c r="AG35" i="16"/>
  <c r="X35" i="16"/>
  <c r="AG36" i="16"/>
  <c r="AH36" i="16"/>
  <c r="R37" i="16"/>
  <c r="AI37" i="16"/>
  <c r="R38" i="16"/>
  <c r="AI38" i="16"/>
  <c r="V38" i="16"/>
  <c r="X38" i="16"/>
  <c r="AE39" i="16"/>
  <c r="Z39" i="16"/>
  <c r="R40" i="16"/>
  <c r="Z40" i="16"/>
  <c r="V40" i="16"/>
  <c r="AH40" i="16"/>
  <c r="R41" i="16"/>
  <c r="Z41" i="16"/>
  <c r="V42" i="16"/>
  <c r="AH42" i="16"/>
  <c r="AE43" i="16"/>
  <c r="AI43" i="16"/>
  <c r="R44" i="16"/>
  <c r="V44" i="16"/>
  <c r="AH44" i="16"/>
  <c r="AG45" i="16"/>
  <c r="AH45" i="16"/>
  <c r="AE46" i="16"/>
  <c r="AI47" i="16"/>
  <c r="AE48" i="16"/>
  <c r="AI48" i="16"/>
  <c r="V48" i="16"/>
  <c r="X48" i="16"/>
  <c r="AG49" i="16"/>
  <c r="X49" i="16"/>
  <c r="V50" i="16"/>
  <c r="X50" i="16"/>
  <c r="R51" i="16"/>
  <c r="AI51" i="16"/>
  <c r="V51" i="16"/>
  <c r="X51" i="16"/>
  <c r="R52" i="16"/>
  <c r="Z52" i="16"/>
  <c r="V52" i="16"/>
  <c r="X52" i="16"/>
  <c r="R53" i="16"/>
  <c r="Z53" i="16"/>
  <c r="AG53" i="16"/>
  <c r="AE54" i="16"/>
  <c r="Z54" i="16"/>
  <c r="V54" i="16"/>
  <c r="X54" i="16"/>
  <c r="AI55" i="16"/>
  <c r="AG55" i="16"/>
  <c r="R56" i="16"/>
  <c r="AI57" i="16"/>
  <c r="AE58" i="16"/>
  <c r="AI58" i="16"/>
  <c r="V58" i="16"/>
  <c r="X58" i="16"/>
  <c r="AG59" i="16"/>
  <c r="AH59" i="16"/>
  <c r="AE61" i="16"/>
  <c r="AE62" i="16"/>
  <c r="V62" i="16"/>
  <c r="AE63" i="16"/>
  <c r="AG63" i="16"/>
  <c r="X63" i="16"/>
  <c r="AI64" i="16"/>
  <c r="V64" i="16"/>
  <c r="AG65" i="16"/>
  <c r="X65" i="16"/>
  <c r="AI66" i="16"/>
  <c r="AE67" i="16"/>
  <c r="AG67" i="16"/>
  <c r="X67" i="16"/>
  <c r="AI68" i="16"/>
  <c r="AE69" i="16"/>
  <c r="AG69" i="16"/>
  <c r="X69" i="16"/>
  <c r="AI70" i="16"/>
  <c r="V71" i="16"/>
  <c r="X71" i="16"/>
  <c r="R72" i="16"/>
  <c r="AG72" i="16"/>
  <c r="X72" i="16"/>
  <c r="AI73" i="16"/>
  <c r="V73" i="16"/>
  <c r="AE74" i="16"/>
  <c r="Z74" i="16"/>
  <c r="AE75" i="16"/>
  <c r="Z76" i="16"/>
  <c r="AG76" i="16"/>
  <c r="X76" i="16"/>
  <c r="Z78" i="16"/>
  <c r="V79" i="16"/>
  <c r="X79" i="16"/>
  <c r="AE80" i="16"/>
  <c r="Z80" i="16"/>
  <c r="AE81" i="16"/>
  <c r="AG81" i="16"/>
  <c r="X81" i="16"/>
  <c r="R82" i="16"/>
  <c r="V82" i="16"/>
  <c r="AH82" i="16"/>
  <c r="R83" i="16"/>
  <c r="Z83" i="16"/>
  <c r="V83" i="16"/>
  <c r="X83" i="16"/>
  <c r="R84" i="16"/>
  <c r="Z84" i="16"/>
  <c r="AG84" i="16"/>
  <c r="AH84" i="16"/>
  <c r="AI85" i="16"/>
  <c r="Z86" i="16"/>
  <c r="V86" i="16"/>
  <c r="X86" i="16"/>
  <c r="R87" i="16"/>
  <c r="AE88" i="16"/>
  <c r="Z88" i="16"/>
  <c r="AJ89" i="16"/>
  <c r="AI89" i="16"/>
  <c r="AE90" i="16"/>
  <c r="AI90" i="16"/>
  <c r="AE91" i="16"/>
  <c r="V91" i="16"/>
  <c r="AG92" i="16"/>
  <c r="X92" i="16"/>
  <c r="AI93" i="16"/>
  <c r="AG93" i="16"/>
  <c r="X93" i="16"/>
  <c r="AE94" i="16"/>
  <c r="AI94" i="16"/>
  <c r="V94" i="16"/>
  <c r="Z95" i="16"/>
  <c r="AE96" i="16"/>
  <c r="AI96" i="16"/>
  <c r="V96" i="16"/>
  <c r="AE97" i="16"/>
  <c r="V98" i="16"/>
  <c r="AI99" i="16"/>
  <c r="R100" i="16"/>
  <c r="V100" i="16"/>
  <c r="AH100" i="16"/>
  <c r="AG101" i="16"/>
  <c r="X101" i="16"/>
  <c r="R102" i="16"/>
  <c r="V102" i="16"/>
  <c r="AH102" i="16"/>
  <c r="AI103" i="16"/>
  <c r="AG103" i="16"/>
  <c r="AH103" i="16"/>
  <c r="R104" i="16"/>
  <c r="Z104" i="16"/>
  <c r="V104" i="16"/>
  <c r="X104" i="16"/>
  <c r="T65" i="17"/>
  <c r="AJ74" i="17"/>
  <c r="AF74" i="17"/>
  <c r="T47" i="17"/>
  <c r="T23" i="17"/>
  <c r="T34" i="17"/>
  <c r="AE22" i="17"/>
  <c r="AF22" i="17"/>
  <c r="AG28" i="17"/>
  <c r="T32" i="17"/>
  <c r="AG33" i="17"/>
  <c r="X33" i="17"/>
  <c r="AE42" i="17"/>
  <c r="AE43" i="17"/>
  <c r="T44" i="17"/>
  <c r="AG60" i="17"/>
  <c r="AH60" i="17"/>
  <c r="R66" i="17"/>
  <c r="V69" i="17"/>
  <c r="AH69" i="17"/>
  <c r="AJ77" i="17"/>
  <c r="R86" i="17"/>
  <c r="T87" i="17"/>
  <c r="AG90" i="17"/>
  <c r="X90" i="17"/>
  <c r="AG91" i="17"/>
  <c r="X91" i="17"/>
  <c r="AG92" i="17"/>
  <c r="X92" i="17"/>
  <c r="V93" i="17"/>
  <c r="X93" i="17"/>
  <c r="AG94" i="17"/>
  <c r="X94" i="17"/>
  <c r="AG95" i="17"/>
  <c r="X95" i="17"/>
  <c r="AG96" i="17"/>
  <c r="X96" i="17"/>
  <c r="AG97" i="17"/>
  <c r="X97" i="17"/>
  <c r="V98" i="17"/>
  <c r="X98" i="17"/>
  <c r="AE18" i="17"/>
  <c r="AF18" i="17"/>
  <c r="AE28" i="17"/>
  <c r="AG70" i="17"/>
  <c r="X70" i="17"/>
  <c r="T17" i="17"/>
  <c r="AF27" i="17"/>
  <c r="AF31" i="17"/>
  <c r="R41" i="17"/>
  <c r="AF41" i="17"/>
  <c r="T57" i="17"/>
  <c r="AG58" i="17"/>
  <c r="X58" i="17"/>
  <c r="V59" i="17"/>
  <c r="X59" i="17"/>
  <c r="AE76" i="17"/>
  <c r="T76" i="17"/>
  <c r="T77" i="17"/>
  <c r="R85" i="17"/>
  <c r="AB85" i="17"/>
  <c r="AG88" i="17"/>
  <c r="AE16" i="17"/>
  <c r="AE26" i="17"/>
  <c r="AG27" i="17"/>
  <c r="X27" i="17"/>
  <c r="AE30" i="17"/>
  <c r="AG31" i="17"/>
  <c r="X31" i="17"/>
  <c r="R40" i="17"/>
  <c r="AG43" i="17"/>
  <c r="X43" i="17"/>
  <c r="R54" i="17"/>
  <c r="R55" i="17"/>
  <c r="V57" i="17"/>
  <c r="X57" i="17"/>
  <c r="AE75" i="17"/>
  <c r="R82" i="17"/>
  <c r="R83" i="17"/>
  <c r="R84" i="17"/>
  <c r="AJ59" i="17"/>
  <c r="AG21" i="17"/>
  <c r="R25" i="17"/>
  <c r="AG41" i="17"/>
  <c r="AH41" i="17"/>
  <c r="R53" i="17"/>
  <c r="V56" i="17"/>
  <c r="AF64" i="17"/>
  <c r="R104" i="17"/>
  <c r="V79" i="17"/>
  <c r="AH79" i="17"/>
  <c r="AE20" i="17"/>
  <c r="AG26" i="17"/>
  <c r="X26" i="17"/>
  <c r="AF29" i="17"/>
  <c r="AG30" i="17"/>
  <c r="AH30" i="17"/>
  <c r="AB38" i="17"/>
  <c r="T39" i="17"/>
  <c r="AG40" i="17"/>
  <c r="AH40" i="17"/>
  <c r="AB50" i="17"/>
  <c r="R51" i="17"/>
  <c r="AF52" i="17"/>
  <c r="AG54" i="17"/>
  <c r="X54" i="17"/>
  <c r="T63" i="17"/>
  <c r="V64" i="17"/>
  <c r="AJ64" i="17"/>
  <c r="R72" i="17"/>
  <c r="R73" i="17"/>
  <c r="V24" i="17"/>
  <c r="X24" i="17"/>
  <c r="AG35" i="17"/>
  <c r="X35" i="17"/>
  <c r="R45" i="17"/>
  <c r="AF45" i="17"/>
  <c r="AE58" i="17"/>
  <c r="R67" i="17"/>
  <c r="AG101" i="17"/>
  <c r="AJ19" i="17"/>
  <c r="AE24" i="17"/>
  <c r="AF24" i="17"/>
  <c r="V25" i="17"/>
  <c r="X25" i="17"/>
  <c r="AG29" i="17"/>
  <c r="AJ35" i="17"/>
  <c r="T37" i="17"/>
  <c r="T38" i="17"/>
  <c r="AG39" i="17"/>
  <c r="AH39" i="17"/>
  <c r="AE48" i="17"/>
  <c r="T48" i="17"/>
  <c r="AJ49" i="17"/>
  <c r="AF50" i="17"/>
  <c r="R61" i="17"/>
  <c r="AF61" i="17"/>
  <c r="AF62" i="17"/>
  <c r="V63" i="17"/>
  <c r="X63" i="17"/>
  <c r="AJ71" i="17"/>
  <c r="R79" i="17"/>
  <c r="V81" i="17"/>
  <c r="AJ100" i="17"/>
  <c r="AJ101" i="17"/>
  <c r="T102" i="17"/>
  <c r="AJ88" i="17"/>
  <c r="AG37" i="17"/>
  <c r="X37" i="17"/>
  <c r="AE46" i="17"/>
  <c r="AJ60" i="17"/>
  <c r="V62" i="17"/>
  <c r="R68" i="17"/>
  <c r="V73" i="17"/>
  <c r="X73" i="17"/>
  <c r="R89" i="17"/>
  <c r="AJ90" i="17"/>
  <c r="AJ91" i="17"/>
  <c r="AE92" i="17"/>
  <c r="R93" i="17"/>
  <c r="T93" i="17"/>
  <c r="R94" i="17"/>
  <c r="AJ95" i="17"/>
  <c r="AJ96" i="17"/>
  <c r="AJ97" i="17"/>
  <c r="AJ98" i="17"/>
  <c r="AJ99" i="17"/>
  <c r="T100" i="17"/>
  <c r="AF101" i="17"/>
  <c r="AG103" i="17"/>
  <c r="AE5" i="16"/>
  <c r="AG5" i="17"/>
  <c r="BY7" i="21"/>
  <c r="BY10" i="21"/>
  <c r="BY5" i="21"/>
  <c r="BY14" i="21"/>
  <c r="AG8" i="17"/>
  <c r="AG12" i="17"/>
  <c r="BY13" i="21"/>
  <c r="BY11" i="21"/>
  <c r="AG13" i="17"/>
  <c r="BX9" i="21"/>
  <c r="BT9" i="21"/>
  <c r="BY6" i="21"/>
  <c r="BY8" i="21"/>
  <c r="BY12" i="21"/>
  <c r="BV12" i="21"/>
  <c r="AE5" i="17"/>
  <c r="AG11" i="17"/>
  <c r="AE9" i="17"/>
  <c r="AE11" i="17"/>
  <c r="AE13" i="17"/>
  <c r="AJ15" i="17"/>
  <c r="AG15" i="17"/>
  <c r="AH15" i="17"/>
  <c r="R15" i="17"/>
  <c r="BY6" i="20"/>
  <c r="BU6" i="20"/>
  <c r="BV6" i="20"/>
  <c r="BU18" i="20"/>
  <c r="BY7" i="20"/>
  <c r="BU7" i="20"/>
  <c r="BV7" i="20"/>
  <c r="BY8" i="20"/>
  <c r="BV8" i="20"/>
  <c r="BU8" i="20"/>
  <c r="BV9" i="20"/>
  <c r="BY9" i="20"/>
  <c r="BU9" i="20"/>
  <c r="BY5" i="20"/>
  <c r="BU32" i="20"/>
  <c r="BU26" i="20"/>
  <c r="BU34" i="20"/>
  <c r="BU17" i="20"/>
  <c r="BU22" i="20"/>
  <c r="BU183" i="20"/>
  <c r="BU84" i="20"/>
  <c r="BU13" i="20"/>
  <c r="BU15" i="20"/>
  <c r="BU82" i="20"/>
  <c r="BU115" i="20"/>
  <c r="BU91" i="20"/>
  <c r="BU39" i="20"/>
  <c r="BU43" i="20"/>
  <c r="BU12" i="20"/>
  <c r="BU19" i="20"/>
  <c r="BU28" i="20"/>
  <c r="BU24" i="20"/>
  <c r="BU14" i="20"/>
  <c r="BU42" i="20"/>
  <c r="BU37" i="20"/>
  <c r="BU40" i="20"/>
  <c r="BU116" i="20"/>
  <c r="BU139" i="20"/>
  <c r="BU31" i="20"/>
  <c r="BU36" i="20"/>
  <c r="BU29" i="20"/>
  <c r="BU30" i="20"/>
  <c r="BU23" i="20"/>
  <c r="BU44" i="20"/>
  <c r="BU11" i="20"/>
  <c r="BU21" i="20"/>
  <c r="BU95" i="20"/>
  <c r="BU161" i="20"/>
  <c r="BU41" i="20"/>
  <c r="BU35" i="20"/>
  <c r="BU20" i="20"/>
  <c r="BU33" i="20"/>
  <c r="BU25" i="20"/>
  <c r="BU16" i="20"/>
  <c r="BU10" i="20"/>
  <c r="BU38" i="20"/>
  <c r="BU27" i="20"/>
  <c r="BU159" i="20"/>
  <c r="BU142" i="20"/>
  <c r="BU123" i="20"/>
  <c r="BU131" i="20"/>
  <c r="BU55" i="20"/>
  <c r="BU59" i="20"/>
  <c r="BU81" i="20"/>
  <c r="BU129" i="20"/>
  <c r="BU87" i="20"/>
  <c r="BU167" i="20"/>
  <c r="BU74" i="20"/>
  <c r="BU47" i="20"/>
  <c r="BU164" i="20"/>
  <c r="BU108" i="20"/>
  <c r="BU96" i="20"/>
  <c r="BU97" i="20"/>
  <c r="BU133" i="20"/>
  <c r="BU5" i="20"/>
  <c r="BU107" i="20"/>
  <c r="BU166" i="20"/>
  <c r="BU181" i="20"/>
  <c r="BU208" i="20"/>
  <c r="BU126" i="20"/>
  <c r="BU105" i="20"/>
  <c r="BU192" i="20"/>
  <c r="BU118" i="20"/>
  <c r="BU71" i="20"/>
  <c r="BU114" i="20"/>
  <c r="BU163" i="20"/>
  <c r="BU209" i="20"/>
  <c r="BU187" i="20"/>
  <c r="BU168" i="20"/>
  <c r="BU153" i="20"/>
  <c r="BU73" i="20"/>
  <c r="BU77" i="20"/>
  <c r="BU177" i="20"/>
  <c r="BU184" i="20"/>
  <c r="BU190" i="20"/>
  <c r="BU136" i="20"/>
  <c r="BU169" i="20"/>
  <c r="BU112" i="20"/>
  <c r="BU106" i="20"/>
  <c r="BU191" i="20"/>
  <c r="BU119" i="20"/>
  <c r="BU103" i="20"/>
  <c r="BU130" i="20"/>
  <c r="BU162" i="20"/>
  <c r="BU199" i="20"/>
  <c r="BU70" i="20"/>
  <c r="BU49" i="20"/>
  <c r="BU155" i="20"/>
  <c r="BU76" i="20"/>
  <c r="BU141" i="20"/>
  <c r="BU99" i="20"/>
  <c r="BU138" i="20"/>
  <c r="BU61" i="20"/>
  <c r="BU94" i="20"/>
  <c r="BU158" i="20"/>
  <c r="BU93" i="20"/>
  <c r="BU214" i="20"/>
  <c r="BU173" i="20"/>
  <c r="BU86" i="20"/>
  <c r="BU143" i="20"/>
  <c r="BU148" i="20"/>
  <c r="BU68" i="20"/>
  <c r="BU124" i="20"/>
  <c r="BU147" i="20"/>
  <c r="BU109" i="20"/>
  <c r="BU53" i="20"/>
  <c r="BU197" i="20"/>
  <c r="BU83" i="20"/>
  <c r="BU151" i="20"/>
  <c r="BU175" i="20"/>
  <c r="BU122" i="20"/>
  <c r="BU198" i="20"/>
  <c r="BU46" i="20"/>
  <c r="BU50" i="20"/>
  <c r="BU72" i="20"/>
  <c r="BU48" i="20"/>
  <c r="BU193" i="20"/>
  <c r="BU156" i="20"/>
  <c r="BU98" i="20"/>
  <c r="BU211" i="20"/>
  <c r="BU207" i="20"/>
  <c r="BU127" i="20"/>
  <c r="BU88" i="20"/>
  <c r="BU78" i="20"/>
  <c r="BU152" i="20"/>
  <c r="BU178" i="20"/>
  <c r="BU67" i="20"/>
  <c r="BU92" i="20"/>
  <c r="BU170" i="20"/>
  <c r="BU205" i="20"/>
  <c r="BU157" i="20"/>
  <c r="BU54" i="20"/>
  <c r="BU172" i="20"/>
  <c r="BU104" i="20"/>
  <c r="BU75" i="20"/>
  <c r="BU100" i="20"/>
  <c r="BU102" i="20"/>
  <c r="BU120" i="20"/>
  <c r="BU65" i="20"/>
  <c r="BU69" i="20"/>
  <c r="BU125" i="20"/>
  <c r="BU154" i="20"/>
  <c r="BU185" i="20"/>
  <c r="BU180" i="20"/>
  <c r="BU113" i="20"/>
  <c r="BU150" i="20"/>
  <c r="BU179" i="20"/>
  <c r="BU51" i="20"/>
  <c r="BU90" i="20"/>
  <c r="BU101" i="20"/>
  <c r="BU62" i="20"/>
  <c r="BU171" i="20"/>
  <c r="BU176" i="20"/>
  <c r="BU60" i="20"/>
  <c r="BU149" i="20"/>
  <c r="BU196" i="20"/>
  <c r="BU58" i="20"/>
  <c r="BU64" i="20"/>
  <c r="BU145" i="20"/>
  <c r="BU165" i="20"/>
  <c r="BU45" i="20"/>
  <c r="BU140" i="20"/>
  <c r="BU195" i="20"/>
  <c r="BU201" i="20"/>
  <c r="BU85" i="20"/>
  <c r="BU121" i="20"/>
  <c r="BU160" i="20"/>
  <c r="BU200" i="20"/>
  <c r="BU79" i="20"/>
  <c r="BU144" i="20"/>
  <c r="BU110" i="20"/>
  <c r="BU213" i="20"/>
  <c r="BU188" i="20"/>
  <c r="BU56" i="20"/>
  <c r="BU212" i="20"/>
  <c r="BU182" i="20"/>
  <c r="BU194" i="20"/>
  <c r="BU52" i="20"/>
  <c r="BU132" i="20"/>
  <c r="BU117" i="20"/>
  <c r="BU111" i="20"/>
  <c r="BU203" i="20"/>
  <c r="BU206" i="20"/>
  <c r="BU89" i="20"/>
  <c r="BU128" i="20"/>
  <c r="BU146" i="20"/>
  <c r="BU174" i="20"/>
  <c r="BU134" i="20"/>
  <c r="BU137" i="20"/>
  <c r="BU57" i="20"/>
  <c r="BU215" i="20"/>
  <c r="BU135" i="20"/>
  <c r="BU66" i="20"/>
  <c r="BU186" i="20"/>
  <c r="BU204" i="20"/>
  <c r="BU202" i="20"/>
  <c r="BU63" i="20"/>
  <c r="BU80" i="20"/>
  <c r="BU210" i="20"/>
  <c r="BV5" i="20"/>
  <c r="BU189" i="20"/>
  <c r="AG8" i="16"/>
  <c r="AI8" i="16"/>
  <c r="AG7" i="17"/>
  <c r="AI7" i="17"/>
  <c r="V7" i="16"/>
  <c r="AI7" i="16"/>
  <c r="R7" i="17"/>
  <c r="R7" i="16"/>
  <c r="AG6" i="16"/>
  <c r="Y5" i="16"/>
  <c r="V18" i="16"/>
  <c r="AG18" i="16"/>
  <c r="R20" i="16"/>
  <c r="AE20" i="16"/>
  <c r="R21" i="16"/>
  <c r="AE21" i="16"/>
  <c r="V21" i="16"/>
  <c r="AG21" i="16"/>
  <c r="R23" i="16"/>
  <c r="AE23" i="16"/>
  <c r="R30" i="16"/>
  <c r="AE30" i="16"/>
  <c r="R36" i="16"/>
  <c r="AE36" i="16"/>
  <c r="AG37" i="16"/>
  <c r="V37" i="16"/>
  <c r="V39" i="16"/>
  <c r="AG39" i="16"/>
  <c r="R42" i="16"/>
  <c r="AE42" i="16"/>
  <c r="V46" i="16"/>
  <c r="AG46" i="16"/>
  <c r="AE47" i="16"/>
  <c r="R47" i="16"/>
  <c r="AG47" i="16"/>
  <c r="V47" i="16"/>
  <c r="R50" i="16"/>
  <c r="AE50" i="16"/>
  <c r="V56" i="16"/>
  <c r="AG56" i="16"/>
  <c r="AG57" i="16"/>
  <c r="V57" i="16"/>
  <c r="V60" i="16"/>
  <c r="AG60" i="16"/>
  <c r="AG66" i="16"/>
  <c r="V66" i="16"/>
  <c r="V68" i="16"/>
  <c r="AG68" i="16"/>
  <c r="AG70" i="16"/>
  <c r="V70" i="16"/>
  <c r="AE73" i="16"/>
  <c r="R73" i="16"/>
  <c r="AG74" i="16"/>
  <c r="V74" i="16"/>
  <c r="AG75" i="16"/>
  <c r="V75" i="16"/>
  <c r="AE76" i="16"/>
  <c r="R76" i="16"/>
  <c r="V77" i="16"/>
  <c r="AG77" i="16"/>
  <c r="R78" i="16"/>
  <c r="AE78" i="16"/>
  <c r="V80" i="16"/>
  <c r="AG80" i="16"/>
  <c r="AE85" i="16"/>
  <c r="R85" i="16"/>
  <c r="V88" i="16"/>
  <c r="AG88" i="16"/>
  <c r="AE89" i="16"/>
  <c r="R89" i="16"/>
  <c r="R92" i="16"/>
  <c r="AE92" i="16"/>
  <c r="AE93" i="16"/>
  <c r="R93" i="16"/>
  <c r="AE95" i="16"/>
  <c r="R95" i="16"/>
  <c r="AG95" i="16"/>
  <c r="V95" i="16"/>
  <c r="AG97" i="16"/>
  <c r="V97" i="16"/>
  <c r="AG99" i="16"/>
  <c r="V99" i="16"/>
  <c r="U6" i="17"/>
  <c r="AG16" i="17"/>
  <c r="V16" i="17"/>
  <c r="AI16" i="17"/>
  <c r="Z16" i="17"/>
  <c r="AE17" i="17"/>
  <c r="R17" i="17"/>
  <c r="AG17" i="17"/>
  <c r="V17" i="17"/>
  <c r="V18" i="17"/>
  <c r="AG18" i="17"/>
  <c r="Z18" i="17"/>
  <c r="AI18" i="17"/>
  <c r="AE19" i="17"/>
  <c r="R19" i="17"/>
  <c r="AG19" i="17"/>
  <c r="V19" i="17"/>
  <c r="AG20" i="17"/>
  <c r="V20" i="17"/>
  <c r="AE21" i="17"/>
  <c r="R21" i="17"/>
  <c r="V22" i="17"/>
  <c r="AG22" i="17"/>
  <c r="AI22" i="17"/>
  <c r="Z22" i="17"/>
  <c r="AE23" i="17"/>
  <c r="R23" i="17"/>
  <c r="AG23" i="17"/>
  <c r="V23" i="17"/>
  <c r="Z31" i="17"/>
  <c r="AI31" i="17"/>
  <c r="AE32" i="17"/>
  <c r="R32" i="17"/>
  <c r="AG32" i="17"/>
  <c r="V32" i="17"/>
  <c r="AI32" i="17"/>
  <c r="Z32" i="17"/>
  <c r="Z33" i="17"/>
  <c r="AI33" i="17"/>
  <c r="AE34" i="17"/>
  <c r="R34" i="17"/>
  <c r="AG34" i="17"/>
  <c r="V34" i="17"/>
  <c r="AI34" i="17"/>
  <c r="Z34" i="17"/>
  <c r="Z35" i="17"/>
  <c r="AI35" i="17"/>
  <c r="AE36" i="17"/>
  <c r="R36" i="17"/>
  <c r="AG36" i="17"/>
  <c r="V36" i="17"/>
  <c r="AI36" i="17"/>
  <c r="Z36" i="17"/>
  <c r="Z37" i="17"/>
  <c r="AI37" i="17"/>
  <c r="AE38" i="17"/>
  <c r="R38" i="17"/>
  <c r="AG38" i="17"/>
  <c r="V38" i="17"/>
  <c r="AI38" i="17"/>
  <c r="Z38" i="17"/>
  <c r="AG42" i="17"/>
  <c r="V42" i="17"/>
  <c r="Z43" i="17"/>
  <c r="AI43" i="17"/>
  <c r="AG44" i="17"/>
  <c r="V44" i="17"/>
  <c r="AG46" i="17"/>
  <c r="V46" i="17"/>
  <c r="V47" i="17"/>
  <c r="AG47" i="17"/>
  <c r="AI47" i="17"/>
  <c r="Z47" i="17"/>
  <c r="V49" i="17"/>
  <c r="AG49" i="17"/>
  <c r="Z49" i="17"/>
  <c r="AI49" i="17"/>
  <c r="AE50" i="17"/>
  <c r="R50" i="17"/>
  <c r="AG51" i="17"/>
  <c r="V51" i="17"/>
  <c r="R52" i="17"/>
  <c r="AE52" i="17"/>
  <c r="AG53" i="17"/>
  <c r="V53" i="17"/>
  <c r="AG55" i="17"/>
  <c r="V55" i="17"/>
  <c r="AI55" i="17"/>
  <c r="Z55" i="17"/>
  <c r="R56" i="17"/>
  <c r="AE56" i="17"/>
  <c r="Z56" i="17"/>
  <c r="AI56" i="17"/>
  <c r="AE57" i="17"/>
  <c r="R57" i="17"/>
  <c r="R60" i="17"/>
  <c r="AE60" i="17"/>
  <c r="V61" i="17"/>
  <c r="AG61" i="17"/>
  <c r="AE63" i="17"/>
  <c r="R63" i="17"/>
  <c r="Z64" i="17"/>
  <c r="AI64" i="17"/>
  <c r="AE65" i="17"/>
  <c r="R65" i="17"/>
  <c r="AI65" i="17"/>
  <c r="Z65" i="17"/>
  <c r="AG66" i="17"/>
  <c r="V66" i="17"/>
  <c r="AG68" i="17"/>
  <c r="V68" i="17"/>
  <c r="Z68" i="17"/>
  <c r="AI68" i="17"/>
  <c r="AE69" i="17"/>
  <c r="R69" i="17"/>
  <c r="R70" i="17"/>
  <c r="AE70" i="17"/>
  <c r="AI70" i="17"/>
  <c r="Z70" i="17"/>
  <c r="AE71" i="17"/>
  <c r="R71" i="17"/>
  <c r="V72" i="17"/>
  <c r="AG72" i="17"/>
  <c r="AG74" i="17"/>
  <c r="V74" i="17"/>
  <c r="Z74" i="17"/>
  <c r="AI74" i="17"/>
  <c r="V76" i="17"/>
  <c r="AG76" i="17"/>
  <c r="Z76" i="17"/>
  <c r="AI76" i="17"/>
  <c r="AE77" i="17"/>
  <c r="R77" i="17"/>
  <c r="AG78" i="17"/>
  <c r="V78" i="17"/>
  <c r="AG80" i="17"/>
  <c r="V80" i="17"/>
  <c r="Z80" i="17"/>
  <c r="AI80" i="17"/>
  <c r="AE81" i="17"/>
  <c r="R81" i="17"/>
  <c r="V82" i="17"/>
  <c r="AG82" i="17"/>
  <c r="AG84" i="17"/>
  <c r="V84" i="17"/>
  <c r="V86" i="17"/>
  <c r="AG86" i="17"/>
  <c r="Z86" i="17"/>
  <c r="AI86" i="17"/>
  <c r="AE87" i="17"/>
  <c r="R87" i="17"/>
  <c r="AE90" i="17"/>
  <c r="R90" i="17"/>
  <c r="AI90" i="17"/>
  <c r="Z90" i="17"/>
  <c r="AE91" i="17"/>
  <c r="R91" i="17"/>
  <c r="Z93" i="17"/>
  <c r="AI93" i="17"/>
  <c r="AE96" i="17"/>
  <c r="R96" i="17"/>
  <c r="AE98" i="17"/>
  <c r="R98" i="17"/>
  <c r="AG99" i="17"/>
  <c r="V99" i="17"/>
  <c r="AE100" i="17"/>
  <c r="R100" i="17"/>
  <c r="V100" i="17"/>
  <c r="AG100" i="17"/>
  <c r="AI101" i="17"/>
  <c r="Z101" i="17"/>
  <c r="AE102" i="17"/>
  <c r="R102" i="17"/>
  <c r="V102" i="17"/>
  <c r="AG102" i="17"/>
  <c r="V26" i="17"/>
  <c r="Z29" i="17"/>
  <c r="Z26" i="17"/>
  <c r="R30" i="17"/>
  <c r="V30" i="17"/>
  <c r="AE7" i="17"/>
  <c r="AE7" i="16"/>
  <c r="AE26" i="16"/>
  <c r="Q29" i="16"/>
  <c r="AE32" i="16"/>
  <c r="Q5" i="8"/>
  <c r="Z15" i="17"/>
  <c r="AE79" i="17"/>
  <c r="AE15" i="17"/>
  <c r="AE25" i="17"/>
  <c r="AE41" i="17"/>
  <c r="AE54" i="17"/>
  <c r="AE61" i="17"/>
  <c r="AE67" i="17"/>
  <c r="AE89" i="17"/>
  <c r="AE93" i="17"/>
  <c r="Q61" i="17"/>
  <c r="Q8" i="17"/>
  <c r="U14" i="17"/>
  <c r="Z20" i="17"/>
  <c r="Z42" i="17"/>
  <c r="AE45" i="17"/>
  <c r="R46" i="17"/>
  <c r="R48" i="17"/>
  <c r="Z53" i="17"/>
  <c r="AG57" i="17"/>
  <c r="V58" i="17"/>
  <c r="AG62" i="17"/>
  <c r="AE94" i="17"/>
  <c r="Z95" i="17"/>
  <c r="AG98" i="17"/>
  <c r="V10" i="17"/>
  <c r="Z51" i="17"/>
  <c r="Z58" i="17"/>
  <c r="AI62" i="17"/>
  <c r="AE84" i="17"/>
  <c r="V88" i="17"/>
  <c r="R10" i="17"/>
  <c r="Z24" i="17"/>
  <c r="V31" i="17"/>
  <c r="V33" i="17"/>
  <c r="V35" i="17"/>
  <c r="V37" i="17"/>
  <c r="V40" i="17"/>
  <c r="Z69" i="17"/>
  <c r="Z92" i="17"/>
  <c r="AI99" i="17"/>
  <c r="U5" i="17"/>
  <c r="AG14" i="17"/>
  <c r="V21" i="17"/>
  <c r="R43" i="17"/>
  <c r="Z59" i="17"/>
  <c r="AI66" i="17"/>
  <c r="AI78" i="17"/>
  <c r="AI103" i="17"/>
  <c r="AG25" i="17"/>
  <c r="V5" i="17"/>
  <c r="V15" i="17"/>
  <c r="AE40" i="17"/>
  <c r="AG64" i="17"/>
  <c r="Z67" i="17"/>
  <c r="V70" i="17"/>
  <c r="AE72" i="17"/>
  <c r="AE82" i="17"/>
  <c r="AE86" i="17"/>
  <c r="AI88" i="17"/>
  <c r="Z97" i="17"/>
  <c r="AG50" i="16"/>
  <c r="AE52" i="16"/>
  <c r="AE56" i="16"/>
  <c r="AG79" i="16"/>
  <c r="AE87" i="16"/>
  <c r="AE104" i="16"/>
  <c r="R6" i="16"/>
  <c r="AG19" i="16"/>
  <c r="AE34" i="16"/>
  <c r="Z35" i="16"/>
  <c r="AE37" i="16"/>
  <c r="AG42" i="16"/>
  <c r="Z51" i="16"/>
  <c r="AI52" i="16"/>
  <c r="R74" i="16"/>
  <c r="AE83" i="16"/>
  <c r="V84" i="16"/>
  <c r="AI88" i="16"/>
  <c r="Z99" i="16"/>
  <c r="R5" i="16"/>
  <c r="Q6" i="16"/>
  <c r="Z16" i="16"/>
  <c r="Z38" i="16"/>
  <c r="AI53" i="16"/>
  <c r="AE102" i="16"/>
  <c r="Z103" i="16"/>
  <c r="R8" i="16"/>
  <c r="AG52" i="16"/>
  <c r="Q10" i="16"/>
  <c r="Q7" i="16"/>
  <c r="AG29" i="16"/>
  <c r="AG51" i="16"/>
  <c r="AG54" i="16"/>
  <c r="R63" i="16"/>
  <c r="V76" i="16"/>
  <c r="AI80" i="16"/>
  <c r="R81" i="16"/>
  <c r="R90" i="16"/>
  <c r="V93" i="16"/>
  <c r="V10" i="16"/>
  <c r="AG104" i="16"/>
  <c r="Q5" i="16"/>
  <c r="AG16" i="16"/>
  <c r="AI21" i="16"/>
  <c r="AI22" i="16"/>
  <c r="AI29" i="16"/>
  <c r="AE38" i="16"/>
  <c r="AI54" i="16"/>
  <c r="AG58" i="16"/>
  <c r="AG71" i="16"/>
  <c r="R91" i="16"/>
  <c r="Z93" i="16"/>
  <c r="V11" i="16"/>
  <c r="AI23" i="16"/>
  <c r="AI24" i="16"/>
  <c r="AE25" i="16"/>
  <c r="AG30" i="16"/>
  <c r="AG31" i="16"/>
  <c r="AG44" i="16"/>
  <c r="V59" i="16"/>
  <c r="R75" i="16"/>
  <c r="AI86" i="16"/>
  <c r="R97" i="16"/>
  <c r="AE100" i="16"/>
  <c r="V101" i="16"/>
  <c r="F36" i="8"/>
  <c r="F36" i="17"/>
  <c r="F79" i="17"/>
  <c r="F56" i="17"/>
  <c r="F15" i="17"/>
  <c r="F100" i="17"/>
  <c r="F7" i="17"/>
  <c r="F99" i="8"/>
  <c r="F95" i="8"/>
  <c r="F85" i="8"/>
  <c r="F77" i="8"/>
  <c r="F59" i="8"/>
  <c r="F56" i="8"/>
  <c r="F27" i="8"/>
  <c r="F45" i="8"/>
  <c r="F87" i="17"/>
  <c r="F64" i="17"/>
  <c r="F44" i="17"/>
  <c r="F23" i="17"/>
  <c r="F68" i="17"/>
  <c r="F104" i="17"/>
  <c r="F84" i="17"/>
  <c r="F63" i="17"/>
  <c r="F40" i="17"/>
  <c r="F20" i="17"/>
  <c r="F88" i="17"/>
  <c r="F47" i="17"/>
  <c r="F24" i="17"/>
  <c r="F103" i="17"/>
  <c r="F80" i="17"/>
  <c r="F60" i="17"/>
  <c r="F39" i="17"/>
  <c r="F16" i="17"/>
  <c r="F96" i="17"/>
  <c r="F76" i="17"/>
  <c r="F55" i="17"/>
  <c r="F32" i="17"/>
  <c r="F12" i="17"/>
  <c r="F95" i="17"/>
  <c r="F72" i="17"/>
  <c r="F52" i="17"/>
  <c r="F31" i="17"/>
  <c r="F8" i="17"/>
  <c r="F92" i="17"/>
  <c r="F71" i="17"/>
  <c r="F48" i="17"/>
  <c r="F28" i="17"/>
  <c r="AD10" i="16"/>
  <c r="F73" i="8"/>
  <c r="F9" i="8"/>
  <c r="F101" i="8"/>
  <c r="F69" i="8"/>
  <c r="F88" i="8"/>
  <c r="F51" i="8"/>
  <c r="F84" i="8"/>
  <c r="F29" i="8"/>
  <c r="F93" i="8"/>
  <c r="F67" i="8"/>
  <c r="F20" i="8"/>
  <c r="F5" i="8"/>
  <c r="F79" i="8"/>
  <c r="AD14" i="16"/>
  <c r="F8" i="8"/>
  <c r="F9" i="17"/>
  <c r="F5" i="16"/>
  <c r="F102" i="17"/>
  <c r="F94" i="17"/>
  <c r="F86" i="17"/>
  <c r="F78" i="17"/>
  <c r="F70" i="17"/>
  <c r="F62" i="17"/>
  <c r="F54" i="17"/>
  <c r="F46" i="17"/>
  <c r="F38" i="17"/>
  <c r="F30" i="17"/>
  <c r="F22" i="17"/>
  <c r="F14" i="17"/>
  <c r="F6" i="17"/>
  <c r="F101" i="17"/>
  <c r="F93" i="17"/>
  <c r="F85" i="17"/>
  <c r="F77" i="17"/>
  <c r="F69" i="17"/>
  <c r="F61" i="17"/>
  <c r="F53" i="17"/>
  <c r="F45" i="17"/>
  <c r="F37" i="17"/>
  <c r="F29" i="17"/>
  <c r="F21" i="17"/>
  <c r="F13" i="17"/>
  <c r="F99" i="17"/>
  <c r="F91" i="17"/>
  <c r="F83" i="17"/>
  <c r="F75" i="17"/>
  <c r="F67" i="17"/>
  <c r="F59" i="17"/>
  <c r="F51" i="17"/>
  <c r="F43" i="17"/>
  <c r="F35" i="17"/>
  <c r="F27" i="17"/>
  <c r="F19" i="17"/>
  <c r="F11" i="17"/>
  <c r="F98" i="17"/>
  <c r="F90" i="17"/>
  <c r="F82" i="17"/>
  <c r="F74" i="17"/>
  <c r="F66" i="17"/>
  <c r="F58" i="17"/>
  <c r="F50" i="17"/>
  <c r="F42" i="17"/>
  <c r="F34" i="17"/>
  <c r="F26" i="17"/>
  <c r="F18" i="17"/>
  <c r="F10" i="17"/>
  <c r="F5" i="17"/>
  <c r="F97" i="17"/>
  <c r="F89" i="17"/>
  <c r="F81" i="17"/>
  <c r="F73" i="17"/>
  <c r="F65" i="17"/>
  <c r="F57" i="17"/>
  <c r="F49" i="17"/>
  <c r="F41" i="17"/>
  <c r="F33" i="17"/>
  <c r="F25" i="17"/>
  <c r="F17" i="17"/>
  <c r="F48" i="8"/>
  <c r="F21" i="8"/>
  <c r="F41" i="8"/>
  <c r="F16" i="8"/>
  <c r="F64" i="8"/>
  <c r="F37" i="8"/>
  <c r="F13" i="8"/>
  <c r="F11" i="8"/>
  <c r="F57" i="8"/>
  <c r="F31" i="8"/>
  <c r="F100" i="8"/>
  <c r="F80" i="8"/>
  <c r="F63" i="8"/>
  <c r="F43" i="8"/>
  <c r="F24" i="8"/>
  <c r="F91" i="8"/>
  <c r="F72" i="8"/>
  <c r="F52" i="8"/>
  <c r="F35" i="8"/>
  <c r="F15" i="8"/>
  <c r="F10" i="8"/>
  <c r="F104" i="8"/>
  <c r="F89" i="8"/>
  <c r="F75" i="8"/>
  <c r="F61" i="8"/>
  <c r="F47" i="8"/>
  <c r="F32" i="8"/>
  <c r="F19" i="8"/>
  <c r="F96" i="8"/>
  <c r="F83" i="8"/>
  <c r="F68" i="8"/>
  <c r="F53" i="8"/>
  <c r="F40" i="8"/>
  <c r="F25" i="8"/>
  <c r="F103" i="8"/>
  <c r="F92" i="8"/>
  <c r="F81" i="8"/>
  <c r="F71" i="8"/>
  <c r="F60" i="8"/>
  <c r="F49" i="8"/>
  <c r="F39" i="8"/>
  <c r="F28" i="8"/>
  <c r="F17" i="8"/>
  <c r="F7" i="8"/>
  <c r="F97" i="8"/>
  <c r="F87" i="8"/>
  <c r="F76" i="8"/>
  <c r="F65" i="8"/>
  <c r="F55" i="8"/>
  <c r="F44" i="8"/>
  <c r="F33" i="8"/>
  <c r="F23" i="8"/>
  <c r="F12" i="8"/>
  <c r="F102" i="8"/>
  <c r="F94" i="8"/>
  <c r="F86" i="8"/>
  <c r="F78" i="8"/>
  <c r="F70" i="8"/>
  <c r="F62" i="8"/>
  <c r="F54" i="8"/>
  <c r="F46" i="8"/>
  <c r="F38" i="8"/>
  <c r="F30" i="8"/>
  <c r="F22" i="8"/>
  <c r="F14" i="8"/>
  <c r="F6" i="8"/>
  <c r="F98" i="8"/>
  <c r="F90" i="8"/>
  <c r="F82" i="8"/>
  <c r="F74" i="8"/>
  <c r="F66" i="8"/>
  <c r="F58" i="8"/>
  <c r="F50" i="8"/>
  <c r="F42" i="8"/>
  <c r="F34" i="8"/>
  <c r="F26" i="8"/>
  <c r="F18" i="8"/>
  <c r="AH25" i="16"/>
  <c r="T29" i="17"/>
  <c r="AF93" i="16"/>
  <c r="AB87" i="17"/>
  <c r="AJ44" i="17"/>
  <c r="X45" i="17"/>
  <c r="AB89" i="16"/>
  <c r="AH72" i="16"/>
  <c r="AH59" i="17"/>
  <c r="AB60" i="17"/>
  <c r="AF97" i="16"/>
  <c r="AH85" i="17"/>
  <c r="AF95" i="16"/>
  <c r="X34" i="17"/>
  <c r="T62" i="17"/>
  <c r="AH102" i="17"/>
  <c r="AH15" i="16"/>
  <c r="AH65" i="16"/>
  <c r="X65" i="17"/>
  <c r="AH58" i="16"/>
  <c r="AJ85" i="17"/>
  <c r="AH87" i="17"/>
  <c r="AH49" i="16"/>
  <c r="T94" i="16"/>
  <c r="X38" i="17"/>
  <c r="X75" i="17"/>
  <c r="AF54" i="16"/>
  <c r="AJ50" i="17"/>
  <c r="AB19" i="17"/>
  <c r="AH7" i="16"/>
  <c r="AH33" i="16"/>
  <c r="AF88" i="16"/>
  <c r="AB35" i="17"/>
  <c r="AH36" i="17"/>
  <c r="AF67" i="17"/>
  <c r="AF69" i="17"/>
  <c r="AF71" i="17"/>
  <c r="AJ78" i="17"/>
  <c r="AF38" i="16"/>
  <c r="AF46" i="16"/>
  <c r="AH63" i="16"/>
  <c r="AF32" i="17"/>
  <c r="AF65" i="17"/>
  <c r="X79" i="17"/>
  <c r="X84" i="17"/>
  <c r="AF26" i="16"/>
  <c r="AH25" i="17"/>
  <c r="AF38" i="17"/>
  <c r="AH76" i="16"/>
  <c r="AH101" i="16"/>
  <c r="AF24" i="16"/>
  <c r="AH27" i="16"/>
  <c r="AH35" i="16"/>
  <c r="X44" i="16"/>
  <c r="AH69" i="16"/>
  <c r="AH78" i="16"/>
  <c r="X95" i="16"/>
  <c r="AH99" i="16"/>
  <c r="AF39" i="17"/>
  <c r="AH48" i="17"/>
  <c r="AF84" i="17"/>
  <c r="AB80" i="17"/>
  <c r="AH47" i="16"/>
  <c r="AF62" i="16"/>
  <c r="T27" i="17"/>
  <c r="AB74" i="17"/>
  <c r="AH17" i="16"/>
  <c r="AH23" i="16"/>
  <c r="AH29" i="16"/>
  <c r="AH31" i="16"/>
  <c r="X34" i="16"/>
  <c r="AF40" i="16"/>
  <c r="AF52" i="16"/>
  <c r="AH54" i="16"/>
  <c r="AF56" i="16"/>
  <c r="AF70" i="16"/>
  <c r="AF74" i="16"/>
  <c r="X87" i="16"/>
  <c r="AF91" i="16"/>
  <c r="T96" i="16"/>
  <c r="X97" i="16"/>
  <c r="X103" i="16"/>
  <c r="AF36" i="17"/>
  <c r="X41" i="17"/>
  <c r="AH52" i="17"/>
  <c r="AH63" i="17"/>
  <c r="T64" i="17"/>
  <c r="T74" i="17"/>
  <c r="AH77" i="17"/>
  <c r="AF7" i="16"/>
  <c r="AH21" i="16"/>
  <c r="X46" i="16"/>
  <c r="AF58" i="16"/>
  <c r="AH67" i="16"/>
  <c r="AF78" i="16"/>
  <c r="AH81" i="16"/>
  <c r="AF101" i="16"/>
  <c r="AF16" i="17"/>
  <c r="AF34" i="17"/>
  <c r="AH42" i="17"/>
  <c r="AF51" i="17"/>
  <c r="AJ52" i="17"/>
  <c r="X61" i="17"/>
  <c r="AB64" i="17"/>
  <c r="AF86" i="17"/>
  <c r="AF16" i="16"/>
  <c r="AH38" i="16"/>
  <c r="X42" i="16"/>
  <c r="AH56" i="16"/>
  <c r="AF72" i="16"/>
  <c r="AF80" i="16"/>
  <c r="AH83" i="16"/>
  <c r="AH85" i="16"/>
  <c r="X89" i="16"/>
  <c r="AH90" i="16"/>
  <c r="AH104" i="16"/>
  <c r="AJ17" i="17"/>
  <c r="AJ23" i="17"/>
  <c r="X67" i="17"/>
  <c r="X71" i="17"/>
  <c r="AF75" i="17"/>
  <c r="X83" i="17"/>
  <c r="AH104" i="17"/>
  <c r="AF34" i="16"/>
  <c r="AF64" i="16"/>
  <c r="AF103" i="16"/>
  <c r="AJ7" i="17"/>
  <c r="AF26" i="17"/>
  <c r="AH72" i="17"/>
  <c r="AH94" i="17"/>
  <c r="AF18" i="16"/>
  <c r="AF22" i="16"/>
  <c r="AF30" i="16"/>
  <c r="AF32" i="16"/>
  <c r="AH37" i="16"/>
  <c r="AF48" i="16"/>
  <c r="AF50" i="16"/>
  <c r="AF66" i="16"/>
  <c r="AF20" i="17"/>
  <c r="AF47" i="17"/>
  <c r="AF53" i="17"/>
  <c r="AH54" i="17"/>
  <c r="AF57" i="17"/>
  <c r="AF81" i="17"/>
  <c r="AF88" i="17"/>
  <c r="AH89" i="17"/>
  <c r="AH92" i="17"/>
  <c r="AH100" i="17"/>
  <c r="AF20" i="16"/>
  <c r="AF36" i="16"/>
  <c r="AF42" i="16"/>
  <c r="AF44" i="16"/>
  <c r="AH48" i="16"/>
  <c r="AH61" i="16"/>
  <c r="AF76" i="16"/>
  <c r="AF82" i="16"/>
  <c r="AF86" i="16"/>
  <c r="AF99" i="16"/>
  <c r="AH26" i="17"/>
  <c r="AF30" i="17"/>
  <c r="AH32" i="17"/>
  <c r="AH50" i="17"/>
  <c r="AF59" i="17"/>
  <c r="AH98" i="17"/>
  <c r="AF68" i="16"/>
  <c r="AH71" i="16"/>
  <c r="AF84" i="16"/>
  <c r="AF43" i="17"/>
  <c r="AF49" i="17"/>
  <c r="AF63" i="17"/>
  <c r="AF73" i="17"/>
  <c r="AF77" i="17"/>
  <c r="AE6" i="17"/>
  <c r="R11" i="17"/>
  <c r="Q11" i="17"/>
  <c r="Q30" i="17"/>
  <c r="R5" i="17"/>
  <c r="R6" i="17"/>
  <c r="Q7" i="17"/>
  <c r="Q9" i="17"/>
  <c r="Q10" i="17"/>
  <c r="AE12" i="17"/>
  <c r="R12" i="17"/>
  <c r="Q12" i="17"/>
  <c r="R8" i="17"/>
  <c r="R9" i="17"/>
  <c r="V11" i="17"/>
  <c r="U12" i="17"/>
  <c r="AI13" i="17"/>
  <c r="AE14" i="17"/>
  <c r="R14" i="17"/>
  <c r="Q14" i="17"/>
  <c r="U18" i="17"/>
  <c r="AF21" i="17"/>
  <c r="U26" i="17"/>
  <c r="Q27" i="17"/>
  <c r="AE27" i="17"/>
  <c r="R27" i="17"/>
  <c r="U39" i="17"/>
  <c r="Q42" i="17"/>
  <c r="AI15" i="17"/>
  <c r="V6" i="17"/>
  <c r="AG6" i="17"/>
  <c r="AF7" i="17"/>
  <c r="U7" i="17"/>
  <c r="AE8" i="17"/>
  <c r="U8" i="17"/>
  <c r="U9" i="17"/>
  <c r="AE10" i="17"/>
  <c r="U16" i="17"/>
  <c r="AF19" i="17"/>
  <c r="U24" i="17"/>
  <c r="Q25" i="17"/>
  <c r="Q29" i="17"/>
  <c r="AE29" i="17"/>
  <c r="R29" i="17"/>
  <c r="Q44" i="17"/>
  <c r="AI28" i="17"/>
  <c r="U99" i="17"/>
  <c r="U91" i="17"/>
  <c r="U97" i="17"/>
  <c r="U101" i="17"/>
  <c r="U94" i="17"/>
  <c r="U89" i="17"/>
  <c r="U96" i="17"/>
  <c r="U75" i="17"/>
  <c r="U85" i="17"/>
  <c r="U73" i="17"/>
  <c r="U77" i="17"/>
  <c r="U64" i="17"/>
  <c r="U57" i="17"/>
  <c r="U61" i="17"/>
  <c r="U52" i="17"/>
  <c r="U43" i="17"/>
  <c r="U50" i="17"/>
  <c r="U46" i="17"/>
  <c r="V14" i="17"/>
  <c r="V12" i="17"/>
  <c r="V28" i="17"/>
  <c r="V13" i="17"/>
  <c r="V7" i="17"/>
  <c r="V8" i="17"/>
  <c r="V9" i="17"/>
  <c r="AG9" i="17"/>
  <c r="U10" i="17"/>
  <c r="U38" i="17"/>
  <c r="AH7" i="17"/>
  <c r="AF17" i="17"/>
  <c r="U22" i="17"/>
  <c r="U25" i="17"/>
  <c r="Y49" i="17"/>
  <c r="Y42" i="17"/>
  <c r="Q23" i="17"/>
  <c r="Q31" i="17"/>
  <c r="AE31" i="17"/>
  <c r="R31" i="17"/>
  <c r="Q5" i="17"/>
  <c r="Q6" i="17"/>
  <c r="AI9" i="17"/>
  <c r="AI11" i="17"/>
  <c r="AF15" i="17"/>
  <c r="U20" i="17"/>
  <c r="T21" i="17"/>
  <c r="AF23" i="17"/>
  <c r="AG10" i="17"/>
  <c r="U11" i="17"/>
  <c r="U13" i="17"/>
  <c r="U15" i="17"/>
  <c r="Q16" i="17"/>
  <c r="U17" i="17"/>
  <c r="Q18" i="17"/>
  <c r="U19" i="17"/>
  <c r="Q20" i="17"/>
  <c r="U21" i="17"/>
  <c r="Q22" i="17"/>
  <c r="U23" i="17"/>
  <c r="Q24" i="17"/>
  <c r="AG24" i="17"/>
  <c r="U27" i="17"/>
  <c r="U29" i="17"/>
  <c r="U36" i="17"/>
  <c r="AF44" i="17"/>
  <c r="R16" i="17"/>
  <c r="AH16" i="17"/>
  <c r="R18" i="17"/>
  <c r="AH18" i="17"/>
  <c r="R20" i="17"/>
  <c r="AH20" i="17"/>
  <c r="R22" i="17"/>
  <c r="AH22" i="17"/>
  <c r="R24" i="17"/>
  <c r="AH24" i="17"/>
  <c r="V27" i="17"/>
  <c r="Q28" i="17"/>
  <c r="V29" i="17"/>
  <c r="U34" i="17"/>
  <c r="Q39" i="17"/>
  <c r="R47" i="17"/>
  <c r="AE47" i="17"/>
  <c r="Q47" i="17"/>
  <c r="U49" i="17"/>
  <c r="R28" i="17"/>
  <c r="X29" i="17"/>
  <c r="U32" i="17"/>
  <c r="Q37" i="17"/>
  <c r="AG45" i="17"/>
  <c r="U45" i="17"/>
  <c r="X17" i="17"/>
  <c r="X19" i="17"/>
  <c r="X21" i="17"/>
  <c r="X23" i="17"/>
  <c r="Q26" i="17"/>
  <c r="Z27" i="17"/>
  <c r="U30" i="17"/>
  <c r="Q35" i="17"/>
  <c r="AJ36" i="17"/>
  <c r="AB36" i="17"/>
  <c r="AF37" i="17"/>
  <c r="X40" i="17"/>
  <c r="U41" i="17"/>
  <c r="U42" i="17"/>
  <c r="Q13" i="17"/>
  <c r="Q15" i="17"/>
  <c r="Q17" i="17"/>
  <c r="Q19" i="17"/>
  <c r="Q21" i="17"/>
  <c r="Z25" i="17"/>
  <c r="R26" i="17"/>
  <c r="Q33" i="17"/>
  <c r="AJ34" i="17"/>
  <c r="AB34" i="17"/>
  <c r="AF35" i="17"/>
  <c r="AI48" i="17"/>
  <c r="Z48" i="17"/>
  <c r="R13" i="17"/>
  <c r="Z17" i="17"/>
  <c r="Z19" i="17"/>
  <c r="Z21" i="17"/>
  <c r="Z23" i="17"/>
  <c r="U28" i="17"/>
  <c r="Z30" i="17"/>
  <c r="AJ32" i="17"/>
  <c r="AB32" i="17"/>
  <c r="AF33" i="17"/>
  <c r="AI41" i="17"/>
  <c r="Z41" i="17"/>
  <c r="U55" i="17"/>
  <c r="Q98" i="17"/>
  <c r="Q96" i="17"/>
  <c r="Q100" i="17"/>
  <c r="Q94" i="17"/>
  <c r="Q102" i="17"/>
  <c r="Q97" i="17"/>
  <c r="Q88" i="17"/>
  <c r="Q86" i="17"/>
  <c r="Q91" i="17"/>
  <c r="Q82" i="17"/>
  <c r="Q78" i="17"/>
  <c r="Q70" i="17"/>
  <c r="Q68" i="17"/>
  <c r="Q71" i="17"/>
  <c r="Q72" i="17"/>
  <c r="Q69" i="17"/>
  <c r="Q67" i="17"/>
  <c r="Q65" i="17"/>
  <c r="Q66" i="17"/>
  <c r="Q63" i="17"/>
  <c r="Q54" i="17"/>
  <c r="Q52" i="17"/>
  <c r="Q50" i="17"/>
  <c r="Q48" i="17"/>
  <c r="Q62" i="17"/>
  <c r="Q56" i="17"/>
  <c r="Q55" i="17"/>
  <c r="Q53" i="17"/>
  <c r="Q64" i="17"/>
  <c r="Q57" i="17"/>
  <c r="Q46" i="17"/>
  <c r="Q40" i="17"/>
  <c r="Q51" i="17"/>
  <c r="Q41" i="17"/>
  <c r="Q38" i="17"/>
  <c r="Q36" i="17"/>
  <c r="Q34" i="17"/>
  <c r="Q32" i="17"/>
  <c r="Q58" i="17"/>
  <c r="Q43" i="17"/>
  <c r="T31" i="17"/>
  <c r="V45" i="17"/>
  <c r="R33" i="17"/>
  <c r="AH33" i="17"/>
  <c r="R35" i="17"/>
  <c r="AH35" i="17"/>
  <c r="R37" i="17"/>
  <c r="AH37" i="17"/>
  <c r="R39" i="17"/>
  <c r="T40" i="17"/>
  <c r="V41" i="17"/>
  <c r="R44" i="17"/>
  <c r="AG48" i="17"/>
  <c r="V48" i="17"/>
  <c r="R49" i="17"/>
  <c r="AE49" i="17"/>
  <c r="AI50" i="17"/>
  <c r="U51" i="17"/>
  <c r="AI57" i="17"/>
  <c r="Z57" i="17"/>
  <c r="AH62" i="17"/>
  <c r="X62" i="17"/>
  <c r="U40" i="17"/>
  <c r="AH51" i="17"/>
  <c r="X51" i="17"/>
  <c r="Z82" i="17"/>
  <c r="AI82" i="17"/>
  <c r="U31" i="17"/>
  <c r="U33" i="17"/>
  <c r="U35" i="17"/>
  <c r="U37" i="17"/>
  <c r="V39" i="17"/>
  <c r="AE39" i="17"/>
  <c r="R42" i="17"/>
  <c r="U44" i="17"/>
  <c r="AH46" i="17"/>
  <c r="AH49" i="17"/>
  <c r="X49" i="17"/>
  <c r="AH55" i="17"/>
  <c r="X55" i="17"/>
  <c r="AE44" i="17"/>
  <c r="U47" i="17"/>
  <c r="U56" i="17"/>
  <c r="R59" i="17"/>
  <c r="Q59" i="17"/>
  <c r="AE33" i="17"/>
  <c r="AE35" i="17"/>
  <c r="AE37" i="17"/>
  <c r="X39" i="17"/>
  <c r="Z40" i="17"/>
  <c r="T42" i="17"/>
  <c r="V43" i="17"/>
  <c r="Z46" i="17"/>
  <c r="AH47" i="17"/>
  <c r="X47" i="17"/>
  <c r="U48" i="17"/>
  <c r="Z50" i="17"/>
  <c r="U53" i="17"/>
  <c r="AH44" i="17"/>
  <c r="Q45" i="17"/>
  <c r="Z45" i="17"/>
  <c r="Q49" i="17"/>
  <c r="AG50" i="17"/>
  <c r="V50" i="17"/>
  <c r="AH53" i="17"/>
  <c r="X53" i="17"/>
  <c r="AE59" i="17"/>
  <c r="Z39" i="17"/>
  <c r="Z44" i="17"/>
  <c r="AG52" i="17"/>
  <c r="V52" i="17"/>
  <c r="AE51" i="17"/>
  <c r="AI52" i="17"/>
  <c r="AE53" i="17"/>
  <c r="AI54" i="17"/>
  <c r="AE55" i="17"/>
  <c r="AG56" i="17"/>
  <c r="AH57" i="17"/>
  <c r="R58" i="17"/>
  <c r="U59" i="17"/>
  <c r="T60" i="17"/>
  <c r="U63" i="17"/>
  <c r="AG63" i="17"/>
  <c r="AJ69" i="17"/>
  <c r="AB69" i="17"/>
  <c r="AI89" i="17"/>
  <c r="Z89" i="17"/>
  <c r="T46" i="17"/>
  <c r="T50" i="17"/>
  <c r="T52" i="17"/>
  <c r="T54" i="17"/>
  <c r="AG59" i="17"/>
  <c r="U60" i="17"/>
  <c r="V65" i="17"/>
  <c r="AG65" i="17"/>
  <c r="AF66" i="17"/>
  <c r="V67" i="17"/>
  <c r="U67" i="17"/>
  <c r="AG67" i="17"/>
  <c r="U71" i="17"/>
  <c r="AG71" i="17"/>
  <c r="U54" i="17"/>
  <c r="T58" i="17"/>
  <c r="V60" i="17"/>
  <c r="U66" i="17"/>
  <c r="R74" i="17"/>
  <c r="Q74" i="17"/>
  <c r="V54" i="17"/>
  <c r="U58" i="17"/>
  <c r="AI60" i="17"/>
  <c r="R64" i="17"/>
  <c r="AE64" i="17"/>
  <c r="AH66" i="17"/>
  <c r="X66" i="17"/>
  <c r="U68" i="17"/>
  <c r="U72" i="17"/>
  <c r="Q73" i="17"/>
  <c r="R62" i="17"/>
  <c r="AE62" i="17"/>
  <c r="Z63" i="17"/>
  <c r="AJ65" i="17"/>
  <c r="AB65" i="17"/>
  <c r="R76" i="17"/>
  <c r="Q76" i="17"/>
  <c r="R80" i="17"/>
  <c r="Q80" i="17"/>
  <c r="AE80" i="17"/>
  <c r="AB47" i="17"/>
  <c r="AB49" i="17"/>
  <c r="T56" i="17"/>
  <c r="Z61" i="17"/>
  <c r="U62" i="17"/>
  <c r="AI72" i="17"/>
  <c r="Z72" i="17"/>
  <c r="AE74" i="17"/>
  <c r="Q60" i="17"/>
  <c r="AH64" i="17"/>
  <c r="X64" i="17"/>
  <c r="U65" i="17"/>
  <c r="AF70" i="17"/>
  <c r="V71" i="17"/>
  <c r="AF78" i="17"/>
  <c r="T78" i="17"/>
  <c r="AG69" i="17"/>
  <c r="U70" i="17"/>
  <c r="AE73" i="17"/>
  <c r="U78" i="17"/>
  <c r="AF80" i="17"/>
  <c r="U74" i="17"/>
  <c r="U76" i="17"/>
  <c r="Q77" i="17"/>
  <c r="AH78" i="17"/>
  <c r="X78" i="17"/>
  <c r="U80" i="17"/>
  <c r="AE66" i="17"/>
  <c r="AE68" i="17"/>
  <c r="AG73" i="17"/>
  <c r="AH74" i="17"/>
  <c r="X74" i="17"/>
  <c r="R75" i="17"/>
  <c r="AH76" i="17"/>
  <c r="X76" i="17"/>
  <c r="Q79" i="17"/>
  <c r="Q81" i="17"/>
  <c r="X68" i="17"/>
  <c r="AH70" i="17"/>
  <c r="Z71" i="17"/>
  <c r="V77" i="17"/>
  <c r="AG77" i="17"/>
  <c r="U69" i="17"/>
  <c r="T72" i="17"/>
  <c r="AI73" i="17"/>
  <c r="Q75" i="17"/>
  <c r="Z91" i="17"/>
  <c r="AI75" i="17"/>
  <c r="AI77" i="17"/>
  <c r="T80" i="17"/>
  <c r="AF85" i="17"/>
  <c r="T85" i="17"/>
  <c r="AG87" i="17"/>
  <c r="V87" i="17"/>
  <c r="U87" i="17"/>
  <c r="V75" i="17"/>
  <c r="AG75" i="17"/>
  <c r="R78" i="17"/>
  <c r="AE78" i="17"/>
  <c r="AI79" i="17"/>
  <c r="Z79" i="17"/>
  <c r="AG83" i="17"/>
  <c r="V83" i="17"/>
  <c r="U83" i="17"/>
  <c r="AG79" i="17"/>
  <c r="AG81" i="17"/>
  <c r="Q84" i="17"/>
  <c r="AG85" i="17"/>
  <c r="V85" i="17"/>
  <c r="AE88" i="17"/>
  <c r="R88" i="17"/>
  <c r="U95" i="17"/>
  <c r="AE97" i="17"/>
  <c r="R97" i="17"/>
  <c r="Z81" i="17"/>
  <c r="Z83" i="17"/>
  <c r="AI87" i="17"/>
  <c r="Q93" i="17"/>
  <c r="Z85" i="17"/>
  <c r="U86" i="17"/>
  <c r="U88" i="17"/>
  <c r="X80" i="17"/>
  <c r="T82" i="17"/>
  <c r="X86" i="17"/>
  <c r="AH86" i="17"/>
  <c r="X88" i="17"/>
  <c r="AH88" i="17"/>
  <c r="Q89" i="17"/>
  <c r="U93" i="17"/>
  <c r="U104" i="17"/>
  <c r="U79" i="17"/>
  <c r="U81" i="17"/>
  <c r="U84" i="17"/>
  <c r="AI84" i="17"/>
  <c r="U82" i="17"/>
  <c r="Q83" i="17"/>
  <c r="T83" i="17"/>
  <c r="AE83" i="17"/>
  <c r="Q87" i="17"/>
  <c r="AG89" i="17"/>
  <c r="V89" i="17"/>
  <c r="AG93" i="17"/>
  <c r="V95" i="17"/>
  <c r="X82" i="17"/>
  <c r="Q85" i="17"/>
  <c r="AE85" i="17"/>
  <c r="R95" i="17"/>
  <c r="Q95" i="17"/>
  <c r="AE95" i="17"/>
  <c r="AH99" i="17"/>
  <c r="X99" i="17"/>
  <c r="Q90" i="17"/>
  <c r="V94" i="17"/>
  <c r="U98" i="17"/>
  <c r="Z100" i="17"/>
  <c r="R101" i="17"/>
  <c r="Q101" i="17"/>
  <c r="AE101" i="17"/>
  <c r="V101" i="17"/>
  <c r="AF87" i="17"/>
  <c r="AF89" i="17"/>
  <c r="Q92" i="17"/>
  <c r="AI94" i="17"/>
  <c r="V96" i="17"/>
  <c r="U103" i="17"/>
  <c r="Q104" i="17"/>
  <c r="U90" i="17"/>
  <c r="R92" i="17"/>
  <c r="AH96" i="17"/>
  <c r="V97" i="17"/>
  <c r="Z98" i="17"/>
  <c r="AH101" i="17"/>
  <c r="X101" i="17"/>
  <c r="Z102" i="17"/>
  <c r="R103" i="17"/>
  <c r="Q103" i="17"/>
  <c r="AE103" i="17"/>
  <c r="V103" i="17"/>
  <c r="AF104" i="17"/>
  <c r="V90" i="17"/>
  <c r="AI96" i="17"/>
  <c r="AG104" i="17"/>
  <c r="V104" i="17"/>
  <c r="AH90" i="17"/>
  <c r="V91" i="17"/>
  <c r="U92" i="17"/>
  <c r="V92" i="17"/>
  <c r="R99" i="17"/>
  <c r="Q99" i="17"/>
  <c r="AE99" i="17"/>
  <c r="AH103" i="17"/>
  <c r="X103" i="17"/>
  <c r="AF90" i="17"/>
  <c r="T91" i="17"/>
  <c r="AF92" i="17"/>
  <c r="AF94" i="17"/>
  <c r="T95" i="17"/>
  <c r="AB95" i="17"/>
  <c r="AF96" i="17"/>
  <c r="T97" i="17"/>
  <c r="AF98" i="17"/>
  <c r="T99" i="17"/>
  <c r="AB99" i="17"/>
  <c r="AF100" i="17"/>
  <c r="T101" i="17"/>
  <c r="AB101" i="17"/>
  <c r="AF102" i="17"/>
  <c r="T103" i="17"/>
  <c r="AI104" i="17"/>
  <c r="AB90" i="17"/>
  <c r="AB96" i="17"/>
  <c r="AB98" i="17"/>
  <c r="AB100" i="17"/>
  <c r="AB102" i="17"/>
  <c r="AE104" i="17"/>
  <c r="U100" i="17"/>
  <c r="U102" i="17"/>
  <c r="AE12" i="16"/>
  <c r="R12" i="16"/>
  <c r="R13" i="16"/>
  <c r="U18" i="16"/>
  <c r="AG20" i="16"/>
  <c r="V20" i="16"/>
  <c r="U20" i="16"/>
  <c r="U24" i="16"/>
  <c r="AG5" i="16"/>
  <c r="U6" i="16"/>
  <c r="AG7" i="16"/>
  <c r="U8" i="16"/>
  <c r="Q9" i="16"/>
  <c r="U9" i="16"/>
  <c r="AE9" i="16"/>
  <c r="V12" i="16"/>
  <c r="U13" i="16"/>
  <c r="Z13" i="16"/>
  <c r="AG15" i="16"/>
  <c r="V15" i="16"/>
  <c r="AG17" i="16"/>
  <c r="V17" i="16"/>
  <c r="Q30" i="16"/>
  <c r="V6" i="16"/>
  <c r="V8" i="16"/>
  <c r="R10" i="16"/>
  <c r="U11" i="16"/>
  <c r="Z11" i="16"/>
  <c r="Z12" i="16"/>
  <c r="AH16" i="16"/>
  <c r="X16" i="16"/>
  <c r="R19" i="16"/>
  <c r="Q19" i="16"/>
  <c r="AE19" i="16"/>
  <c r="Z20" i="16"/>
  <c r="Y20" i="16"/>
  <c r="U22" i="16"/>
  <c r="R24" i="16"/>
  <c r="AE24" i="16"/>
  <c r="Q24" i="16"/>
  <c r="V32" i="16"/>
  <c r="U32" i="16"/>
  <c r="AG32" i="16"/>
  <c r="Q104" i="16"/>
  <c r="Q90" i="16"/>
  <c r="Q89" i="16"/>
  <c r="Q87" i="16"/>
  <c r="Q86" i="16"/>
  <c r="Q83" i="16"/>
  <c r="Q82" i="16"/>
  <c r="Q85" i="16"/>
  <c r="Q88" i="16"/>
  <c r="Q75" i="16"/>
  <c r="Q61" i="16"/>
  <c r="Q53" i="16"/>
  <c r="Q52" i="16"/>
  <c r="Q35" i="16"/>
  <c r="Q38" i="16"/>
  <c r="Q34" i="16"/>
  <c r="Q48" i="16"/>
  <c r="Q31" i="16"/>
  <c r="Q25" i="16"/>
  <c r="Q23" i="16"/>
  <c r="Q32" i="16"/>
  <c r="Q33" i="16"/>
  <c r="Q27" i="16"/>
  <c r="Q26" i="16"/>
  <c r="AI5" i="16"/>
  <c r="AE6" i="16"/>
  <c r="AE8" i="16"/>
  <c r="AG9" i="16"/>
  <c r="V9" i="16"/>
  <c r="AE10" i="16"/>
  <c r="Q14" i="16"/>
  <c r="Y9" i="16"/>
  <c r="AI9" i="16"/>
  <c r="U10" i="16"/>
  <c r="Q13" i="16"/>
  <c r="AE13" i="16"/>
  <c r="AH18" i="16"/>
  <c r="X18" i="16"/>
  <c r="R22" i="16"/>
  <c r="AE22" i="16"/>
  <c r="Q22" i="16"/>
  <c r="U92" i="16"/>
  <c r="U90" i="16"/>
  <c r="U87" i="16"/>
  <c r="U72" i="16"/>
  <c r="U74" i="16"/>
  <c r="U78" i="16"/>
  <c r="U76" i="16"/>
  <c r="U55" i="16"/>
  <c r="U54" i="16"/>
  <c r="U52" i="16"/>
  <c r="U51" i="16"/>
  <c r="U40" i="16"/>
  <c r="U50" i="16"/>
  <c r="U36" i="16"/>
  <c r="U21" i="16"/>
  <c r="U16" i="16"/>
  <c r="U33" i="16"/>
  <c r="U29" i="16"/>
  <c r="U30" i="16"/>
  <c r="U28" i="16"/>
  <c r="U25" i="16"/>
  <c r="U23" i="16"/>
  <c r="U5" i="16"/>
  <c r="U7" i="16"/>
  <c r="Q8" i="16"/>
  <c r="Q11" i="16"/>
  <c r="AE11" i="16"/>
  <c r="Q12" i="16"/>
  <c r="AG13" i="16"/>
  <c r="Q16" i="16"/>
  <c r="X19" i="16"/>
  <c r="AH19" i="16"/>
  <c r="Q21" i="16"/>
  <c r="V5" i="16"/>
  <c r="Z8" i="16"/>
  <c r="R9" i="16"/>
  <c r="Z10" i="16"/>
  <c r="AI10" i="16"/>
  <c r="R11" i="16"/>
  <c r="AG11" i="16"/>
  <c r="U15" i="16"/>
  <c r="U17" i="16"/>
  <c r="V22" i="16"/>
  <c r="AG22" i="16"/>
  <c r="Q28" i="16"/>
  <c r="Y86" i="16"/>
  <c r="Y36" i="16"/>
  <c r="Z14" i="16"/>
  <c r="Y30" i="16"/>
  <c r="U12" i="16"/>
  <c r="V13" i="16"/>
  <c r="Q15" i="16"/>
  <c r="AE16" i="16"/>
  <c r="R16" i="16"/>
  <c r="AE17" i="16"/>
  <c r="R17" i="16"/>
  <c r="Q17" i="16"/>
  <c r="Y17" i="16"/>
  <c r="Q18" i="16"/>
  <c r="U14" i="16"/>
  <c r="AE15" i="16"/>
  <c r="R18" i="16"/>
  <c r="U19" i="16"/>
  <c r="AG23" i="16"/>
  <c r="AG25" i="16"/>
  <c r="AG27" i="16"/>
  <c r="V28" i="16"/>
  <c r="AG28" i="16"/>
  <c r="U31" i="16"/>
  <c r="AG33" i="16"/>
  <c r="V14" i="16"/>
  <c r="AG24" i="16"/>
  <c r="U26" i="16"/>
  <c r="AI28" i="16"/>
  <c r="Z28" i="16"/>
  <c r="Z15" i="16"/>
  <c r="T17" i="16"/>
  <c r="AH20" i="16"/>
  <c r="X20" i="16"/>
  <c r="AE27" i="16"/>
  <c r="R27" i="16"/>
  <c r="U27" i="16"/>
  <c r="U34" i="16"/>
  <c r="Q36" i="16"/>
  <c r="U39" i="16"/>
  <c r="AE29" i="16"/>
  <c r="R29" i="16"/>
  <c r="U37" i="16"/>
  <c r="AH22" i="16"/>
  <c r="X22" i="16"/>
  <c r="Y13" i="16"/>
  <c r="R14" i="16"/>
  <c r="T15" i="16"/>
  <c r="Q20" i="16"/>
  <c r="AI26" i="16"/>
  <c r="Z26" i="16"/>
  <c r="Y38" i="16"/>
  <c r="AG26" i="16"/>
  <c r="R31" i="16"/>
  <c r="R33" i="16"/>
  <c r="V34" i="16"/>
  <c r="R35" i="16"/>
  <c r="AG41" i="16"/>
  <c r="V41" i="16"/>
  <c r="Q42" i="16"/>
  <c r="AG43" i="16"/>
  <c r="V43" i="16"/>
  <c r="Q51" i="16"/>
  <c r="U61" i="16"/>
  <c r="AG38" i="16"/>
  <c r="Q39" i="16"/>
  <c r="R45" i="16"/>
  <c r="Q45" i="16"/>
  <c r="T19" i="16"/>
  <c r="T21" i="16"/>
  <c r="T23" i="16"/>
  <c r="X24" i="16"/>
  <c r="T25" i="16"/>
  <c r="X26" i="16"/>
  <c r="T27" i="16"/>
  <c r="T29" i="16"/>
  <c r="X30" i="16"/>
  <c r="T31" i="16"/>
  <c r="X32" i="16"/>
  <c r="T33" i="16"/>
  <c r="T35" i="16"/>
  <c r="V36" i="16"/>
  <c r="R39" i="16"/>
  <c r="Z43" i="16"/>
  <c r="AI49" i="16"/>
  <c r="Z49" i="16"/>
  <c r="AG34" i="16"/>
  <c r="U35" i="16"/>
  <c r="Z46" i="16"/>
  <c r="R28" i="16"/>
  <c r="Z30" i="16"/>
  <c r="Z32" i="16"/>
  <c r="Z34" i="16"/>
  <c r="V35" i="16"/>
  <c r="X36" i="16"/>
  <c r="Q37" i="16"/>
  <c r="Z37" i="16"/>
  <c r="T39" i="16"/>
  <c r="AE40" i="16"/>
  <c r="Q41" i="16"/>
  <c r="AE41" i="16"/>
  <c r="AE45" i="16"/>
  <c r="Q40" i="16"/>
  <c r="AI41" i="16"/>
  <c r="U43" i="16"/>
  <c r="AE44" i="16"/>
  <c r="Z45" i="16"/>
  <c r="AI45" i="16"/>
  <c r="AI46" i="16"/>
  <c r="AG48" i="16"/>
  <c r="U48" i="16"/>
  <c r="U38" i="16"/>
  <c r="AH39" i="16"/>
  <c r="X39" i="16"/>
  <c r="AG40" i="16"/>
  <c r="U41" i="16"/>
  <c r="R43" i="16"/>
  <c r="Q43" i="16"/>
  <c r="Q44" i="16"/>
  <c r="Q47" i="16"/>
  <c r="AE49" i="16"/>
  <c r="R49" i="16"/>
  <c r="Q49" i="16"/>
  <c r="Q50" i="16"/>
  <c r="T37" i="16"/>
  <c r="AI39" i="16"/>
  <c r="AI40" i="16"/>
  <c r="R46" i="16"/>
  <c r="Q46" i="16"/>
  <c r="AF47" i="16"/>
  <c r="X40" i="16"/>
  <c r="T41" i="16"/>
  <c r="T43" i="16"/>
  <c r="T45" i="16"/>
  <c r="U47" i="16"/>
  <c r="R48" i="16"/>
  <c r="R55" i="16"/>
  <c r="Q55" i="16"/>
  <c r="V55" i="16"/>
  <c r="R59" i="16"/>
  <c r="Q59" i="16"/>
  <c r="AE60" i="16"/>
  <c r="R60" i="16"/>
  <c r="Q60" i="16"/>
  <c r="U45" i="16"/>
  <c r="U53" i="16"/>
  <c r="AE53" i="16"/>
  <c r="R57" i="16"/>
  <c r="Q57" i="16"/>
  <c r="R58" i="16"/>
  <c r="Q58" i="16"/>
  <c r="V45" i="16"/>
  <c r="AH50" i="16"/>
  <c r="AE51" i="16"/>
  <c r="V53" i="16"/>
  <c r="Z62" i="16"/>
  <c r="Y62" i="16"/>
  <c r="AI62" i="16"/>
  <c r="Q65" i="16"/>
  <c r="AE65" i="16"/>
  <c r="R65" i="16"/>
  <c r="AH55" i="16"/>
  <c r="X55" i="16"/>
  <c r="AG61" i="16"/>
  <c r="V61" i="16"/>
  <c r="X41" i="16"/>
  <c r="X43" i="16"/>
  <c r="X45" i="16"/>
  <c r="Z47" i="16"/>
  <c r="U49" i="16"/>
  <c r="AH51" i="16"/>
  <c r="AH53" i="16"/>
  <c r="X53" i="16"/>
  <c r="Q54" i="16"/>
  <c r="Z55" i="16"/>
  <c r="Y55" i="16"/>
  <c r="AH57" i="16"/>
  <c r="X57" i="16"/>
  <c r="Z59" i="16"/>
  <c r="AI60" i="16"/>
  <c r="Z60" i="16"/>
  <c r="U42" i="16"/>
  <c r="U44" i="16"/>
  <c r="U46" i="16"/>
  <c r="V49" i="16"/>
  <c r="R54" i="16"/>
  <c r="Q56" i="16"/>
  <c r="AI56" i="16"/>
  <c r="Z57" i="16"/>
  <c r="Z58" i="16"/>
  <c r="AE59" i="16"/>
  <c r="Z48" i="16"/>
  <c r="AH52" i="16"/>
  <c r="AE55" i="16"/>
  <c r="Z56" i="16"/>
  <c r="AE57" i="16"/>
  <c r="AI59" i="16"/>
  <c r="R62" i="16"/>
  <c r="Q62" i="16"/>
  <c r="U64" i="16"/>
  <c r="T49" i="16"/>
  <c r="T51" i="16"/>
  <c r="T53" i="16"/>
  <c r="T55" i="16"/>
  <c r="T57" i="16"/>
  <c r="T59" i="16"/>
  <c r="AH60" i="16"/>
  <c r="R61" i="16"/>
  <c r="R66" i="16"/>
  <c r="Q66" i="16"/>
  <c r="R68" i="16"/>
  <c r="Q68" i="16"/>
  <c r="R70" i="16"/>
  <c r="Q70" i="16"/>
  <c r="U57" i="16"/>
  <c r="U59" i="16"/>
  <c r="R64" i="16"/>
  <c r="Q64" i="16"/>
  <c r="R67" i="16"/>
  <c r="R69" i="16"/>
  <c r="T61" i="16"/>
  <c r="U66" i="16"/>
  <c r="U68" i="16"/>
  <c r="U70" i="16"/>
  <c r="R71" i="16"/>
  <c r="Q71" i="16"/>
  <c r="AE71" i="16"/>
  <c r="AH66" i="16"/>
  <c r="X66" i="16"/>
  <c r="Q67" i="16"/>
  <c r="AH68" i="16"/>
  <c r="X68" i="16"/>
  <c r="Q69" i="16"/>
  <c r="AH70" i="16"/>
  <c r="X70" i="16"/>
  <c r="Q73" i="16"/>
  <c r="Q77" i="16"/>
  <c r="X59" i="16"/>
  <c r="U60" i="16"/>
  <c r="AI63" i="16"/>
  <c r="AH64" i="16"/>
  <c r="X64" i="16"/>
  <c r="Z66" i="16"/>
  <c r="AE66" i="16"/>
  <c r="Z68" i="16"/>
  <c r="AE68" i="16"/>
  <c r="Z70" i="16"/>
  <c r="AE70" i="16"/>
  <c r="AE79" i="16"/>
  <c r="R79" i="16"/>
  <c r="Q79" i="16"/>
  <c r="U56" i="16"/>
  <c r="U58" i="16"/>
  <c r="U62" i="16"/>
  <c r="Q63" i="16"/>
  <c r="Z64" i="16"/>
  <c r="AE64" i="16"/>
  <c r="U73" i="16"/>
  <c r="AF60" i="16"/>
  <c r="AH62" i="16"/>
  <c r="X62" i="16"/>
  <c r="Z63" i="16"/>
  <c r="AI71" i="16"/>
  <c r="Z71" i="16"/>
  <c r="X73" i="16"/>
  <c r="AH73" i="16"/>
  <c r="T63" i="16"/>
  <c r="T65" i="16"/>
  <c r="T67" i="16"/>
  <c r="T69" i="16"/>
  <c r="T71" i="16"/>
  <c r="V72" i="16"/>
  <c r="AE72" i="16"/>
  <c r="AG73" i="16"/>
  <c r="Q74" i="16"/>
  <c r="AH74" i="16"/>
  <c r="Q76" i="16"/>
  <c r="Q78" i="16"/>
  <c r="AG62" i="16"/>
  <c r="U63" i="16"/>
  <c r="AG64" i="16"/>
  <c r="U65" i="16"/>
  <c r="U67" i="16"/>
  <c r="U69" i="16"/>
  <c r="U71" i="16"/>
  <c r="U79" i="16"/>
  <c r="U82" i="16"/>
  <c r="AI97" i="16"/>
  <c r="Z97" i="16"/>
  <c r="V63" i="16"/>
  <c r="V65" i="16"/>
  <c r="V67" i="16"/>
  <c r="V69" i="16"/>
  <c r="Z73" i="16"/>
  <c r="AG78" i="16"/>
  <c r="V78" i="16"/>
  <c r="AF89" i="16"/>
  <c r="T89" i="16"/>
  <c r="T75" i="16"/>
  <c r="AE77" i="16"/>
  <c r="R77" i="16"/>
  <c r="Q72" i="16"/>
  <c r="AI74" i="16"/>
  <c r="Y74" i="16"/>
  <c r="U75" i="16"/>
  <c r="AI76" i="16"/>
  <c r="AI78" i="16"/>
  <c r="T73" i="16"/>
  <c r="X75" i="16"/>
  <c r="U77" i="16"/>
  <c r="X77" i="16"/>
  <c r="AH77" i="16"/>
  <c r="AH80" i="16"/>
  <c r="X80" i="16"/>
  <c r="AF83" i="16"/>
  <c r="V85" i="16"/>
  <c r="U85" i="16"/>
  <c r="AG85" i="16"/>
  <c r="AH79" i="16"/>
  <c r="Q81" i="16"/>
  <c r="AG82" i="16"/>
  <c r="U83" i="16"/>
  <c r="AG83" i="16"/>
  <c r="U84" i="16"/>
  <c r="AE84" i="16"/>
  <c r="AG89" i="16"/>
  <c r="V89" i="16"/>
  <c r="U94" i="16"/>
  <c r="U102" i="16"/>
  <c r="X82" i="16"/>
  <c r="Z85" i="16"/>
  <c r="AH94" i="16"/>
  <c r="X94" i="16"/>
  <c r="U96" i="16"/>
  <c r="U100" i="16"/>
  <c r="T77" i="16"/>
  <c r="T79" i="16"/>
  <c r="Q80" i="16"/>
  <c r="AI83" i="16"/>
  <c r="Q91" i="16"/>
  <c r="AH96" i="16"/>
  <c r="X96" i="16"/>
  <c r="R80" i="16"/>
  <c r="T81" i="16"/>
  <c r="X84" i="16"/>
  <c r="AI84" i="16"/>
  <c r="AF87" i="16"/>
  <c r="U81" i="16"/>
  <c r="AG86" i="16"/>
  <c r="AG87" i="16"/>
  <c r="V87" i="16"/>
  <c r="U91" i="16"/>
  <c r="AG91" i="16"/>
  <c r="Y92" i="16"/>
  <c r="AI92" i="16"/>
  <c r="R103" i="16"/>
  <c r="Q103" i="16"/>
  <c r="AE103" i="16"/>
  <c r="U80" i="16"/>
  <c r="V81" i="16"/>
  <c r="AF90" i="16"/>
  <c r="AH91" i="16"/>
  <c r="X91" i="16"/>
  <c r="R101" i="16"/>
  <c r="Q101" i="16"/>
  <c r="AE101" i="16"/>
  <c r="AE82" i="16"/>
  <c r="Q84" i="16"/>
  <c r="AF85" i="16"/>
  <c r="AE86" i="16"/>
  <c r="R86" i="16"/>
  <c r="U86" i="16"/>
  <c r="AI87" i="16"/>
  <c r="Z87" i="16"/>
  <c r="U89" i="16"/>
  <c r="AG90" i="16"/>
  <c r="V90" i="16"/>
  <c r="Z92" i="16"/>
  <c r="Y95" i="16"/>
  <c r="AI95" i="16"/>
  <c r="Q99" i="16"/>
  <c r="AE99" i="16"/>
  <c r="R99" i="16"/>
  <c r="AH86" i="16"/>
  <c r="R88" i="16"/>
  <c r="AH88" i="16"/>
  <c r="Q93" i="16"/>
  <c r="Z94" i="16"/>
  <c r="Z96" i="16"/>
  <c r="AI102" i="16"/>
  <c r="Z102" i="16"/>
  <c r="AH93" i="16"/>
  <c r="R98" i="16"/>
  <c r="Q98" i="16"/>
  <c r="AI100" i="16"/>
  <c r="Z100" i="16"/>
  <c r="Q92" i="16"/>
  <c r="T92" i="16"/>
  <c r="U88" i="16"/>
  <c r="Y89" i="16"/>
  <c r="Z90" i="16"/>
  <c r="Q95" i="16"/>
  <c r="Q97" i="16"/>
  <c r="U98" i="16"/>
  <c r="Z89" i="16"/>
  <c r="V92" i="16"/>
  <c r="AH92" i="16"/>
  <c r="R94" i="16"/>
  <c r="Q94" i="16"/>
  <c r="R96" i="16"/>
  <c r="Q96" i="16"/>
  <c r="AH98" i="16"/>
  <c r="X98" i="16"/>
  <c r="AE98" i="16"/>
  <c r="AI98" i="16"/>
  <c r="Z98" i="16"/>
  <c r="AF98" i="16"/>
  <c r="X100" i="16"/>
  <c r="AF100" i="16"/>
  <c r="X102" i="16"/>
  <c r="AF102" i="16"/>
  <c r="AI104" i="16"/>
  <c r="U93" i="16"/>
  <c r="AG94" i="16"/>
  <c r="U95" i="16"/>
  <c r="AG96" i="16"/>
  <c r="U97" i="16"/>
  <c r="AG98" i="16"/>
  <c r="U99" i="16"/>
  <c r="Q100" i="16"/>
  <c r="AG100" i="16"/>
  <c r="U101" i="16"/>
  <c r="Q102" i="16"/>
  <c r="AG102" i="16"/>
  <c r="U103" i="16"/>
  <c r="T104" i="16"/>
  <c r="V103" i="16"/>
  <c r="U104" i="16"/>
  <c r="BV11" i="18" l="1"/>
  <c r="BV16" i="18"/>
  <c r="BV17" i="18"/>
  <c r="BV15" i="18"/>
  <c r="BV19" i="18"/>
  <c r="BV13" i="18"/>
  <c r="BV18" i="18"/>
  <c r="BV10" i="18"/>
  <c r="BV20" i="18"/>
  <c r="BV14" i="18"/>
  <c r="BV12" i="18"/>
  <c r="BY5" i="18"/>
  <c r="P9" i="17"/>
  <c r="AV9" i="21"/>
  <c r="Y9" i="21"/>
  <c r="BY9" i="18"/>
  <c r="BU9" i="18"/>
  <c r="BY8" i="18"/>
  <c r="BU8" i="18"/>
  <c r="BV8" i="18"/>
  <c r="BY7" i="18"/>
  <c r="BV7" i="18"/>
  <c r="BV6" i="18"/>
  <c r="BU6" i="18"/>
  <c r="BU7" i="18"/>
  <c r="BU215" i="18"/>
  <c r="BU110" i="18"/>
  <c r="BU155" i="18"/>
  <c r="BU46" i="18"/>
  <c r="BU74" i="18"/>
  <c r="BU133" i="18"/>
  <c r="BU176" i="18"/>
  <c r="BU149" i="18"/>
  <c r="BU206" i="18"/>
  <c r="BU16" i="18"/>
  <c r="BU116" i="18"/>
  <c r="BU96" i="18"/>
  <c r="BU177" i="18"/>
  <c r="BU157" i="18"/>
  <c r="BU75" i="18"/>
  <c r="BU144" i="18"/>
  <c r="BU196" i="18"/>
  <c r="BU138" i="18"/>
  <c r="BU105" i="18"/>
  <c r="BU20" i="18"/>
  <c r="BU168" i="18"/>
  <c r="BU40" i="18"/>
  <c r="BU154" i="18"/>
  <c r="BU122" i="18"/>
  <c r="BU26" i="18"/>
  <c r="BU137" i="18"/>
  <c r="BU205" i="18"/>
  <c r="BU152" i="18"/>
  <c r="BU169" i="18"/>
  <c r="BU142" i="18"/>
  <c r="BU125" i="18"/>
  <c r="BU14" i="18"/>
  <c r="BU166" i="18"/>
  <c r="BU38" i="18"/>
  <c r="BU30" i="18"/>
  <c r="BU204" i="18"/>
  <c r="BU174" i="18"/>
  <c r="BU194" i="18"/>
  <c r="BU198" i="18"/>
  <c r="BU100" i="18"/>
  <c r="BU115" i="18"/>
  <c r="BU87" i="18"/>
  <c r="BU148" i="18"/>
  <c r="BU112" i="18"/>
  <c r="BU99" i="18"/>
  <c r="BU195" i="18"/>
  <c r="BU63" i="18"/>
  <c r="BU81" i="18"/>
  <c r="BU43" i="18"/>
  <c r="BU17" i="18"/>
  <c r="BU32" i="18"/>
  <c r="BU119" i="18"/>
  <c r="BU64" i="18"/>
  <c r="BU18" i="18"/>
  <c r="BU129" i="18"/>
  <c r="BU57" i="18"/>
  <c r="BU171" i="18"/>
  <c r="BU88" i="18"/>
  <c r="BU118" i="18"/>
  <c r="BU173" i="18"/>
  <c r="BU159" i="18"/>
  <c r="BU109" i="18"/>
  <c r="BU68" i="18"/>
  <c r="BU78" i="18"/>
  <c r="BU92" i="18"/>
  <c r="BU181" i="18"/>
  <c r="BU86" i="18"/>
  <c r="BU102" i="18"/>
  <c r="BU90" i="18"/>
  <c r="BU185" i="18"/>
  <c r="BU124" i="18"/>
  <c r="BU84" i="18"/>
  <c r="BU123" i="18"/>
  <c r="BU33" i="18"/>
  <c r="BU200" i="18"/>
  <c r="BU210" i="18"/>
  <c r="BU161" i="18"/>
  <c r="BU65" i="18"/>
  <c r="BU114" i="18"/>
  <c r="BU56" i="18"/>
  <c r="BU58" i="18"/>
  <c r="BU24" i="18"/>
  <c r="BU135" i="18"/>
  <c r="BU39" i="18"/>
  <c r="BU15" i="18"/>
  <c r="BU120" i="18"/>
  <c r="BU71" i="18"/>
  <c r="BU72" i="18"/>
  <c r="BU153" i="18"/>
  <c r="BU127" i="18"/>
  <c r="BU189" i="18"/>
  <c r="BU117" i="18"/>
  <c r="BU22" i="18"/>
  <c r="BU37" i="18"/>
  <c r="BU190" i="18"/>
  <c r="BU101" i="18"/>
  <c r="BU62" i="18"/>
  <c r="BU141" i="18"/>
  <c r="BU187" i="18"/>
  <c r="BU158" i="18"/>
  <c r="BU70" i="18"/>
  <c r="BU95" i="18"/>
  <c r="BU52" i="18"/>
  <c r="BU25" i="18"/>
  <c r="BU107" i="18"/>
  <c r="BV5" i="18"/>
  <c r="BU91" i="18"/>
  <c r="BU170" i="18"/>
  <c r="BU201" i="18"/>
  <c r="BU191" i="18"/>
  <c r="BU41" i="18"/>
  <c r="BU199" i="18"/>
  <c r="BU111" i="18"/>
  <c r="BU145" i="18"/>
  <c r="BU207" i="18"/>
  <c r="BU160" i="18"/>
  <c r="BU50" i="18"/>
  <c r="BU183" i="18"/>
  <c r="BU98" i="18"/>
  <c r="BU67" i="18"/>
  <c r="BU27" i="18"/>
  <c r="BU130" i="18"/>
  <c r="BU140" i="18"/>
  <c r="BU180" i="18"/>
  <c r="BU21" i="18"/>
  <c r="BU69" i="18"/>
  <c r="BU94" i="18"/>
  <c r="BU134" i="18"/>
  <c r="BU197" i="18"/>
  <c r="BU29" i="18"/>
  <c r="BU182" i="18"/>
  <c r="BU53" i="18"/>
  <c r="BU93" i="18"/>
  <c r="BU34" i="18"/>
  <c r="BU36" i="18"/>
  <c r="BU147" i="18"/>
  <c r="BU208" i="18"/>
  <c r="BU212" i="18"/>
  <c r="BU202" i="18"/>
  <c r="BU80" i="18"/>
  <c r="BU35" i="18"/>
  <c r="BU5" i="18"/>
  <c r="BU89" i="18"/>
  <c r="BU146" i="18"/>
  <c r="BU79" i="18"/>
  <c r="BU103" i="18"/>
  <c r="BU106" i="18"/>
  <c r="BU11" i="18"/>
  <c r="BU165" i="18"/>
  <c r="BU60" i="18"/>
  <c r="BU85" i="18"/>
  <c r="BU76" i="18"/>
  <c r="BU164" i="18"/>
  <c r="BU203" i="18"/>
  <c r="BU54" i="18"/>
  <c r="BU61" i="18"/>
  <c r="BU45" i="18"/>
  <c r="BU188" i="18"/>
  <c r="BU156" i="18"/>
  <c r="BU151" i="18"/>
  <c r="BU77" i="18"/>
  <c r="BU73" i="18"/>
  <c r="BU179" i="18"/>
  <c r="BU44" i="18"/>
  <c r="BU48" i="18"/>
  <c r="BU19" i="18"/>
  <c r="BU97" i="18"/>
  <c r="BU184" i="18"/>
  <c r="BU28" i="18"/>
  <c r="BU47" i="18"/>
  <c r="BU175" i="18"/>
  <c r="BU167" i="18"/>
  <c r="BU104" i="18"/>
  <c r="BU213" i="18"/>
  <c r="BU31" i="18"/>
  <c r="BU82" i="18"/>
  <c r="BU66" i="18"/>
  <c r="BU163" i="18"/>
  <c r="BU12" i="18"/>
  <c r="BU108" i="18"/>
  <c r="BU10" i="18"/>
  <c r="BU42" i="18"/>
  <c r="BU113" i="18"/>
  <c r="BU131" i="18"/>
  <c r="BU211" i="18"/>
  <c r="BU13" i="18"/>
  <c r="BU83" i="18"/>
  <c r="BU121" i="18"/>
  <c r="BU150" i="18"/>
  <c r="BU49" i="18"/>
  <c r="BU59" i="18"/>
  <c r="BU51" i="18"/>
  <c r="BU136" i="18"/>
  <c r="BU128" i="18"/>
  <c r="BU23" i="18"/>
  <c r="BU193" i="18"/>
  <c r="BU192" i="18"/>
  <c r="BU139" i="18"/>
  <c r="BU178" i="18"/>
  <c r="BU186" i="18"/>
  <c r="BU55" i="18"/>
  <c r="BU209" i="18"/>
  <c r="BU162" i="18"/>
  <c r="BU126" i="18"/>
  <c r="BU214" i="18"/>
  <c r="BU172" i="18"/>
  <c r="BU132" i="18"/>
  <c r="BU143" i="18"/>
  <c r="AH81" i="17"/>
  <c r="AH29" i="17"/>
  <c r="AH21" i="17"/>
  <c r="AJ21" i="17"/>
  <c r="AF104" i="16"/>
  <c r="T103" i="16"/>
  <c r="T102" i="16"/>
  <c r="AI101" i="16"/>
  <c r="Z101" i="16"/>
  <c r="T101" i="16"/>
  <c r="T100" i="16"/>
  <c r="T99" i="16"/>
  <c r="T98" i="16"/>
  <c r="T97" i="16"/>
  <c r="AF96" i="16"/>
  <c r="T95" i="16"/>
  <c r="AF94" i="16"/>
  <c r="T93" i="16"/>
  <c r="AF92" i="16"/>
  <c r="Z91" i="16"/>
  <c r="AI91" i="16"/>
  <c r="T91" i="16"/>
  <c r="T90" i="16"/>
  <c r="T88" i="16"/>
  <c r="T87" i="16"/>
  <c r="T86" i="16"/>
  <c r="T85" i="16"/>
  <c r="T84" i="16"/>
  <c r="T83" i="16"/>
  <c r="AI82" i="16"/>
  <c r="Z82" i="16"/>
  <c r="T82" i="16"/>
  <c r="AI81" i="16"/>
  <c r="Z81" i="16"/>
  <c r="AF81" i="16"/>
  <c r="T80" i="16"/>
  <c r="AI79" i="16"/>
  <c r="Z79" i="16"/>
  <c r="AF79" i="16"/>
  <c r="T78" i="16"/>
  <c r="Z77" i="16"/>
  <c r="AI77" i="16"/>
  <c r="AF77" i="16"/>
  <c r="T76" i="16"/>
  <c r="AI75" i="16"/>
  <c r="Z75" i="16"/>
  <c r="AF75" i="16"/>
  <c r="T74" i="16"/>
  <c r="AF73" i="16"/>
  <c r="AI72" i="16"/>
  <c r="Z72" i="16"/>
  <c r="T72" i="16"/>
  <c r="AF71" i="16"/>
  <c r="T70" i="16"/>
  <c r="AI69" i="16"/>
  <c r="Z69" i="16"/>
  <c r="AF69" i="16"/>
  <c r="T68" i="16"/>
  <c r="AI67" i="16"/>
  <c r="Z67" i="16"/>
  <c r="AF67" i="16"/>
  <c r="T66" i="16"/>
  <c r="AI65" i="16"/>
  <c r="Z65" i="16"/>
  <c r="AF65" i="16"/>
  <c r="T64" i="16"/>
  <c r="AF63" i="16"/>
  <c r="T62" i="16"/>
  <c r="AI61" i="16"/>
  <c r="Z61" i="16"/>
  <c r="AF61" i="16"/>
  <c r="T60" i="16"/>
  <c r="AF59" i="16"/>
  <c r="T58" i="16"/>
  <c r="AF57" i="16"/>
  <c r="T56" i="16"/>
  <c r="AF55" i="16"/>
  <c r="T54" i="16"/>
  <c r="AF53" i="16"/>
  <c r="T52" i="16"/>
  <c r="AF51" i="16"/>
  <c r="AI50" i="16"/>
  <c r="Z50" i="16"/>
  <c r="T50" i="16"/>
  <c r="AF49" i="16"/>
  <c r="T48" i="16"/>
  <c r="T47" i="16"/>
  <c r="T46" i="16"/>
  <c r="AF45" i="16"/>
  <c r="AI44" i="16"/>
  <c r="Z44" i="16"/>
  <c r="T44" i="16"/>
  <c r="AF43" i="16"/>
  <c r="AI42" i="16"/>
  <c r="Z42" i="16"/>
  <c r="T42" i="16"/>
  <c r="AF41" i="16"/>
  <c r="T40" i="16"/>
  <c r="AF39" i="16"/>
  <c r="T38" i="16"/>
  <c r="AF37" i="16"/>
  <c r="AI36" i="16"/>
  <c r="Z36" i="16"/>
  <c r="T36" i="16"/>
  <c r="AF35" i="16"/>
  <c r="T34" i="16"/>
  <c r="AI33" i="16"/>
  <c r="Z33" i="16"/>
  <c r="AF33" i="16"/>
  <c r="T32" i="16"/>
  <c r="AI31" i="16"/>
  <c r="Z31" i="16"/>
  <c r="AF31" i="16"/>
  <c r="T30" i="16"/>
  <c r="AF29" i="16"/>
  <c r="AI27" i="16"/>
  <c r="Z27" i="16"/>
  <c r="AF27" i="16"/>
  <c r="T26" i="16"/>
  <c r="AI25" i="16"/>
  <c r="Z25" i="16"/>
  <c r="AF25" i="16"/>
  <c r="T24" i="16"/>
  <c r="AF23" i="16"/>
  <c r="T22" i="16"/>
  <c r="AF21" i="16"/>
  <c r="T20" i="16"/>
  <c r="AI19" i="16"/>
  <c r="Z19" i="16"/>
  <c r="AF19" i="16"/>
  <c r="AI18" i="16"/>
  <c r="Z18" i="16"/>
  <c r="T18" i="16"/>
  <c r="AI17" i="16"/>
  <c r="Z17" i="16"/>
  <c r="AF17" i="16"/>
  <c r="T16" i="16"/>
  <c r="AF15" i="16"/>
  <c r="BU27" i="21"/>
  <c r="BU199" i="21"/>
  <c r="BU129" i="21"/>
  <c r="BU28" i="21"/>
  <c r="BU155" i="21"/>
  <c r="BU152" i="21"/>
  <c r="AB91" i="17"/>
  <c r="BU162" i="21"/>
  <c r="BU146" i="21"/>
  <c r="BU195" i="21"/>
  <c r="BU18" i="21"/>
  <c r="BU210" i="21"/>
  <c r="BU183" i="21"/>
  <c r="BU87" i="21"/>
  <c r="AH91" i="17"/>
  <c r="AH95" i="17"/>
  <c r="AB71" i="17"/>
  <c r="BU8" i="21"/>
  <c r="BU197" i="21"/>
  <c r="BU174" i="21"/>
  <c r="BU86" i="21"/>
  <c r="BU215" i="21"/>
  <c r="BU120" i="21"/>
  <c r="BU64" i="21"/>
  <c r="BU70" i="21"/>
  <c r="BV8" i="21"/>
  <c r="BU175" i="21"/>
  <c r="BU75" i="21"/>
  <c r="BU98" i="21"/>
  <c r="BU204" i="21"/>
  <c r="BU20" i="21"/>
  <c r="BU116" i="21"/>
  <c r="BU15" i="21"/>
  <c r="BU82" i="21"/>
  <c r="BU17" i="21"/>
  <c r="BU186" i="21"/>
  <c r="BU141" i="21"/>
  <c r="BU73" i="21"/>
  <c r="BU94" i="21"/>
  <c r="BU96" i="21"/>
  <c r="BU29" i="21"/>
  <c r="BU137" i="21"/>
  <c r="BU165" i="21"/>
  <c r="BU205" i="21"/>
  <c r="BU110" i="21"/>
  <c r="BU107" i="21"/>
  <c r="BU10" i="21"/>
  <c r="AB88" i="17"/>
  <c r="X69" i="17"/>
  <c r="BU147" i="21"/>
  <c r="BU190" i="21"/>
  <c r="BU126" i="21"/>
  <c r="BU31" i="21"/>
  <c r="BU156" i="21"/>
  <c r="BU56" i="21"/>
  <c r="BU99" i="21"/>
  <c r="BU148" i="21"/>
  <c r="BU177" i="21"/>
  <c r="BU80" i="21"/>
  <c r="BU66" i="21"/>
  <c r="BU104" i="21"/>
  <c r="BU7" i="21"/>
  <c r="AH58" i="17"/>
  <c r="X81" i="17"/>
  <c r="X30" i="17"/>
  <c r="AH43" i="17"/>
  <c r="AB59" i="17"/>
  <c r="AH27" i="17"/>
  <c r="AH97" i="17"/>
  <c r="AH93" i="17"/>
  <c r="X60" i="17"/>
  <c r="AH73" i="17"/>
  <c r="AJ103" i="17"/>
  <c r="AB103" i="17"/>
  <c r="AB62" i="17"/>
  <c r="AJ62" i="17"/>
  <c r="AB56" i="17"/>
  <c r="AJ56" i="17"/>
  <c r="T68" i="17"/>
  <c r="T55" i="17"/>
  <c r="AF76" i="17"/>
  <c r="AB77" i="17"/>
  <c r="AH56" i="17"/>
  <c r="AJ38" i="17"/>
  <c r="AF58" i="17"/>
  <c r="AF40" i="17"/>
  <c r="T26" i="17"/>
  <c r="T86" i="17"/>
  <c r="T25" i="17"/>
  <c r="AF68" i="17"/>
  <c r="X56" i="17"/>
  <c r="T92" i="17"/>
  <c r="T61" i="17"/>
  <c r="T24" i="17"/>
  <c r="T73" i="17"/>
  <c r="T20" i="17"/>
  <c r="AF83" i="17"/>
  <c r="T79" i="17"/>
  <c r="AH31" i="17"/>
  <c r="AF72" i="17"/>
  <c r="AF82" i="17"/>
  <c r="T16" i="17"/>
  <c r="T18" i="17"/>
  <c r="T43" i="17"/>
  <c r="T45" i="17"/>
  <c r="AF55" i="17"/>
  <c r="T51" i="17"/>
  <c r="T53" i="17"/>
  <c r="AF54" i="17"/>
  <c r="T30" i="17"/>
  <c r="AF79" i="17"/>
  <c r="T94" i="17"/>
  <c r="T89" i="17"/>
  <c r="AF48" i="17"/>
  <c r="T104" i="17"/>
  <c r="T75" i="17"/>
  <c r="T66" i="17"/>
  <c r="AF42" i="17"/>
  <c r="AB97" i="17"/>
  <c r="AF25" i="17"/>
  <c r="T67" i="17"/>
  <c r="T22" i="17"/>
  <c r="T41" i="17"/>
  <c r="AB21" i="17"/>
  <c r="AF93" i="17"/>
  <c r="AF46" i="17"/>
  <c r="T84" i="17"/>
  <c r="Y11" i="17"/>
  <c r="Y84" i="17"/>
  <c r="Y76" i="17"/>
  <c r="Y6" i="17"/>
  <c r="Y92" i="17"/>
  <c r="Y38" i="17"/>
  <c r="Y50" i="17"/>
  <c r="Y66" i="17"/>
  <c r="Y91" i="17"/>
  <c r="Y74" i="17"/>
  <c r="Y29" i="17"/>
  <c r="Y53" i="17"/>
  <c r="Y95" i="17"/>
  <c r="Y19" i="17"/>
  <c r="Z10" i="17"/>
  <c r="Y70" i="17"/>
  <c r="Y5" i="17"/>
  <c r="Y28" i="17"/>
  <c r="Y26" i="17"/>
  <c r="Y72" i="17"/>
  <c r="Y16" i="17"/>
  <c r="Y99" i="17"/>
  <c r="Y87" i="17"/>
  <c r="Y60" i="17"/>
  <c r="Y18" i="17"/>
  <c r="Y101" i="17"/>
  <c r="Y37" i="17"/>
  <c r="Y8" i="17"/>
  <c r="Y55" i="17"/>
  <c r="Y104" i="17"/>
  <c r="Y90" i="17"/>
  <c r="Y94" i="17"/>
  <c r="Y86" i="17"/>
  <c r="Y83" i="17"/>
  <c r="Y77" i="17"/>
  <c r="Y65" i="17"/>
  <c r="Y44" i="17"/>
  <c r="Y36" i="17"/>
  <c r="Y57" i="17"/>
  <c r="Y30" i="17"/>
  <c r="Y17" i="17"/>
  <c r="Y27" i="17"/>
  <c r="Y33" i="17"/>
  <c r="Y7" i="17"/>
  <c r="Y22" i="17"/>
  <c r="Y40" i="17"/>
  <c r="Y63" i="17"/>
  <c r="Y88" i="17"/>
  <c r="Y103" i="17"/>
  <c r="Y82" i="17"/>
  <c r="Y47" i="17"/>
  <c r="Y35" i="17"/>
  <c r="Y97" i="17"/>
  <c r="Y79" i="17"/>
  <c r="Y73" i="17"/>
  <c r="Y89" i="17"/>
  <c r="Y39" i="17"/>
  <c r="Y54" i="17"/>
  <c r="Z9" i="17"/>
  <c r="Z6" i="17"/>
  <c r="Z12" i="17"/>
  <c r="Y46" i="17"/>
  <c r="Y61" i="17"/>
  <c r="Y93" i="17"/>
  <c r="Y24" i="17"/>
  <c r="Y13" i="17"/>
  <c r="Y67" i="17"/>
  <c r="Z11" i="17"/>
  <c r="Y20" i="17"/>
  <c r="Y68" i="17"/>
  <c r="Y96" i="17"/>
  <c r="Y71" i="17"/>
  <c r="Y34" i="17"/>
  <c r="Y52" i="17"/>
  <c r="Y25" i="17"/>
  <c r="Z5" i="17"/>
  <c r="Z14" i="17"/>
  <c r="Y62" i="17"/>
  <c r="Y58" i="17"/>
  <c r="Y78" i="17"/>
  <c r="Z13" i="17"/>
  <c r="Y102" i="17"/>
  <c r="Y85" i="17"/>
  <c r="Y75" i="17"/>
  <c r="Y59" i="17"/>
  <c r="Y48" i="17"/>
  <c r="Y23" i="17"/>
  <c r="Z8" i="17"/>
  <c r="Y12" i="17"/>
  <c r="AI5" i="17"/>
  <c r="Y51" i="17"/>
  <c r="Y64" i="17"/>
  <c r="Y80" i="17"/>
  <c r="Y15" i="17"/>
  <c r="Y98" i="17"/>
  <c r="Y81" i="17"/>
  <c r="Y45" i="17"/>
  <c r="Y32" i="17"/>
  <c r="Y41" i="17"/>
  <c r="Y21" i="17"/>
  <c r="Y31" i="17"/>
  <c r="Y14" i="17"/>
  <c r="Y43" i="17"/>
  <c r="Y56" i="17"/>
  <c r="Y69" i="17"/>
  <c r="Y100" i="17"/>
  <c r="Y73" i="16"/>
  <c r="Y60" i="16"/>
  <c r="Y28" i="16"/>
  <c r="Y47" i="16"/>
  <c r="Y80" i="16"/>
  <c r="Y22" i="16"/>
  <c r="Y103" i="16"/>
  <c r="Y71" i="16"/>
  <c r="Y68" i="16"/>
  <c r="Y56" i="16"/>
  <c r="Y52" i="16"/>
  <c r="Y43" i="16"/>
  <c r="Y39" i="16"/>
  <c r="Y32" i="16"/>
  <c r="Y29" i="16"/>
  <c r="Y54" i="16"/>
  <c r="Y88" i="16"/>
  <c r="Y101" i="16"/>
  <c r="Y78" i="16"/>
  <c r="Y61" i="16"/>
  <c r="Y53" i="16"/>
  <c r="Y45" i="16"/>
  <c r="Y51" i="16"/>
  <c r="Y46" i="16"/>
  <c r="Y11" i="16"/>
  <c r="Y16" i="16"/>
  <c r="Y33" i="16"/>
  <c r="Y79" i="16"/>
  <c r="Y91" i="16"/>
  <c r="Y8" i="16"/>
  <c r="Y7" i="16"/>
  <c r="Y99" i="16"/>
  <c r="Y59" i="16"/>
  <c r="Y35" i="16"/>
  <c r="Y31" i="16"/>
  <c r="Y21" i="16"/>
  <c r="Y72" i="16"/>
  <c r="Y12" i="16"/>
  <c r="Z7" i="16"/>
  <c r="Y98" i="16"/>
  <c r="Y96" i="16"/>
  <c r="Y83" i="16"/>
  <c r="Y76" i="16"/>
  <c r="Y69" i="16"/>
  <c r="Y64" i="16"/>
  <c r="Y66" i="16"/>
  <c r="Y58" i="16"/>
  <c r="Y48" i="16"/>
  <c r="Y42" i="16"/>
  <c r="Y25" i="16"/>
  <c r="Y26" i="16"/>
  <c r="Y44" i="16"/>
  <c r="Y81" i="16"/>
  <c r="Y10" i="16"/>
  <c r="Y18" i="16"/>
  <c r="Z6" i="16"/>
  <c r="Y90" i="16"/>
  <c r="Y94" i="16"/>
  <c r="Y84" i="16"/>
  <c r="Y82" i="16"/>
  <c r="Y85" i="16"/>
  <c r="Y97" i="16"/>
  <c r="Y67" i="16"/>
  <c r="Y49" i="16"/>
  <c r="Y23" i="16"/>
  <c r="Y15" i="16"/>
  <c r="Y24" i="16"/>
  <c r="Y34" i="16"/>
  <c r="Y77" i="16"/>
  <c r="Y6" i="16"/>
  <c r="Y14" i="16"/>
  <c r="Y104" i="16"/>
  <c r="Y93" i="16"/>
  <c r="Y100" i="16"/>
  <c r="Y102" i="16"/>
  <c r="Y87" i="16"/>
  <c r="Y65" i="16"/>
  <c r="Y70" i="16"/>
  <c r="Y63" i="16"/>
  <c r="Y57" i="16"/>
  <c r="Y50" i="16"/>
  <c r="Y40" i="16"/>
  <c r="Y41" i="16"/>
  <c r="Y27" i="16"/>
  <c r="Y37" i="16"/>
  <c r="Y75" i="16"/>
  <c r="Y19" i="16"/>
  <c r="Z9" i="16"/>
  <c r="BU182" i="21"/>
  <c r="BU100" i="21"/>
  <c r="BU136" i="21"/>
  <c r="BU154" i="21"/>
  <c r="BU209" i="21"/>
  <c r="BU58" i="21"/>
  <c r="BU189" i="21"/>
  <c r="BU160" i="21"/>
  <c r="BU69" i="21"/>
  <c r="BU153" i="21"/>
  <c r="BU168" i="21"/>
  <c r="BU43" i="21"/>
  <c r="BU203" i="21"/>
  <c r="BU214" i="21"/>
  <c r="BU109" i="21"/>
  <c r="BU144" i="21"/>
  <c r="BU130" i="21"/>
  <c r="BU26" i="21"/>
  <c r="BU202" i="21"/>
  <c r="BU206" i="21"/>
  <c r="BU57" i="21"/>
  <c r="BU88" i="21"/>
  <c r="BU60" i="21"/>
  <c r="BU61" i="21"/>
  <c r="BU74" i="21"/>
  <c r="BU11" i="21"/>
  <c r="BU65" i="21"/>
  <c r="BU114" i="21"/>
  <c r="BU24" i="21"/>
  <c r="BU23" i="21"/>
  <c r="BU167" i="21"/>
  <c r="BU101" i="21"/>
  <c r="BV5" i="21"/>
  <c r="BU200" i="21"/>
  <c r="BU169" i="21"/>
  <c r="BU37" i="21"/>
  <c r="BU142" i="21"/>
  <c r="BU151" i="21"/>
  <c r="BU85" i="21"/>
  <c r="BU191" i="21"/>
  <c r="BU187" i="21"/>
  <c r="BU67" i="21"/>
  <c r="BU143" i="21"/>
  <c r="BU121" i="21"/>
  <c r="BU76" i="21"/>
  <c r="BU123" i="21"/>
  <c r="BU122" i="21"/>
  <c r="BU72" i="21"/>
  <c r="BU59" i="21"/>
  <c r="BU93" i="21"/>
  <c r="BU42" i="21"/>
  <c r="BU115" i="21"/>
  <c r="BV7" i="21"/>
  <c r="BV6" i="21"/>
  <c r="BV11" i="21"/>
  <c r="BU47" i="21"/>
  <c r="BU138" i="21"/>
  <c r="BU108" i="21"/>
  <c r="BU119" i="21"/>
  <c r="BU213" i="21"/>
  <c r="BU78" i="21"/>
  <c r="BU176" i="21"/>
  <c r="BU207" i="21"/>
  <c r="BU125" i="21"/>
  <c r="BU113" i="21"/>
  <c r="BU185" i="21"/>
  <c r="BU150" i="21"/>
  <c r="BU39" i="21"/>
  <c r="BU140" i="21"/>
  <c r="BU193" i="21"/>
  <c r="BU102" i="21"/>
  <c r="BU133" i="21"/>
  <c r="BU164" i="21"/>
  <c r="BU92" i="21"/>
  <c r="BU178" i="21"/>
  <c r="BU117" i="21"/>
  <c r="BU71" i="21"/>
  <c r="BU95" i="21"/>
  <c r="BU35" i="21"/>
  <c r="BU68" i="21"/>
  <c r="BV14" i="21"/>
  <c r="BU196" i="21"/>
  <c r="BU166" i="21"/>
  <c r="BU33" i="21"/>
  <c r="BU134" i="21"/>
  <c r="BU157" i="21"/>
  <c r="BU51" i="21"/>
  <c r="BU21" i="21"/>
  <c r="BU112" i="21"/>
  <c r="BU44" i="21"/>
  <c r="BU103" i="21"/>
  <c r="BU145" i="21"/>
  <c r="BU118" i="21"/>
  <c r="BU106" i="21"/>
  <c r="BU139" i="21"/>
  <c r="BU81" i="21"/>
  <c r="BU32" i="21"/>
  <c r="BU128" i="21"/>
  <c r="BU77" i="21"/>
  <c r="BU53" i="21"/>
  <c r="BU180" i="21"/>
  <c r="BU171" i="21"/>
  <c r="BU90" i="21"/>
  <c r="BU34" i="21"/>
  <c r="BU83" i="21"/>
  <c r="BU149" i="21"/>
  <c r="BV15" i="21"/>
  <c r="BU12" i="21"/>
  <c r="BU6" i="21"/>
  <c r="BV13" i="21"/>
  <c r="BU14" i="21"/>
  <c r="BU184" i="21"/>
  <c r="BU127" i="21"/>
  <c r="BU84" i="21"/>
  <c r="BU172" i="21"/>
  <c r="BU161" i="21"/>
  <c r="BU46" i="21"/>
  <c r="BU194" i="21"/>
  <c r="BU124" i="21"/>
  <c r="BU48" i="21"/>
  <c r="BU49" i="21"/>
  <c r="BU188" i="21"/>
  <c r="BU50" i="21"/>
  <c r="BU89" i="21"/>
  <c r="BU211" i="21"/>
  <c r="BU45" i="21"/>
  <c r="BU173" i="21"/>
  <c r="BU158" i="21"/>
  <c r="BU97" i="21"/>
  <c r="BU22" i="21"/>
  <c r="BU201" i="21"/>
  <c r="BU212" i="21"/>
  <c r="BU16" i="21"/>
  <c r="BU79" i="21"/>
  <c r="BU41" i="21"/>
  <c r="BU105" i="21"/>
  <c r="BY9" i="21"/>
  <c r="BU9" i="21"/>
  <c r="BV9" i="21"/>
  <c r="BU13" i="21"/>
  <c r="BU135" i="21"/>
  <c r="BU25" i="21"/>
  <c r="BU19" i="21"/>
  <c r="BU163" i="21"/>
  <c r="BU131" i="21"/>
  <c r="BU111" i="21"/>
  <c r="BU192" i="21"/>
  <c r="BU181" i="21"/>
  <c r="BU52" i="21"/>
  <c r="BU208" i="21"/>
  <c r="BU198" i="21"/>
  <c r="BU40" i="21"/>
  <c r="BU36" i="21"/>
  <c r="BU179" i="21"/>
  <c r="BU62" i="21"/>
  <c r="BU54" i="21"/>
  <c r="BU159" i="21"/>
  <c r="BU30" i="21"/>
  <c r="BU63" i="21"/>
  <c r="BU170" i="21"/>
  <c r="BU132" i="21"/>
  <c r="BU91" i="21"/>
  <c r="BU5" i="21"/>
  <c r="BU38" i="21"/>
  <c r="BU55" i="21"/>
  <c r="BV10" i="21"/>
  <c r="Y9" i="17"/>
  <c r="Z7" i="17"/>
  <c r="CF6" i="20"/>
  <c r="BS6" i="16" s="1"/>
  <c r="CE6" i="20"/>
  <c r="BR6" i="16" s="1"/>
  <c r="CF5" i="20"/>
  <c r="CE5" i="20"/>
  <c r="CD104" i="20"/>
  <c r="BQ104" i="16" s="1"/>
  <c r="CD102" i="20"/>
  <c r="BQ102" i="16" s="1"/>
  <c r="CE103" i="20"/>
  <c r="BR103" i="16" s="1"/>
  <c r="CE101" i="20"/>
  <c r="BR101" i="16" s="1"/>
  <c r="CF104" i="20"/>
  <c r="BS104" i="16" s="1"/>
  <c r="CF102" i="20"/>
  <c r="BS102" i="16" s="1"/>
  <c r="CF100" i="20"/>
  <c r="BS100" i="16" s="1"/>
  <c r="CF98" i="20"/>
  <c r="BS98" i="16" s="1"/>
  <c r="CF101" i="20"/>
  <c r="BS101" i="16" s="1"/>
  <c r="CE97" i="20"/>
  <c r="BR97" i="16" s="1"/>
  <c r="CD95" i="20"/>
  <c r="BQ95" i="16" s="1"/>
  <c r="CD93" i="20"/>
  <c r="BQ93" i="16" s="1"/>
  <c r="CD91" i="20"/>
  <c r="BQ91" i="16" s="1"/>
  <c r="CD89" i="20"/>
  <c r="BQ89" i="16" s="1"/>
  <c r="CD87" i="20"/>
  <c r="BQ87" i="16" s="1"/>
  <c r="CD85" i="20"/>
  <c r="BQ85" i="16" s="1"/>
  <c r="CD83" i="20"/>
  <c r="BQ83" i="16" s="1"/>
  <c r="CD81" i="20"/>
  <c r="BQ81" i="16" s="1"/>
  <c r="CD79" i="20"/>
  <c r="BQ79" i="16" s="1"/>
  <c r="CD77" i="20"/>
  <c r="BQ77" i="16" s="1"/>
  <c r="CD75" i="20"/>
  <c r="BQ75" i="16" s="1"/>
  <c r="CD73" i="20"/>
  <c r="BQ73" i="16" s="1"/>
  <c r="CE100" i="20"/>
  <c r="BR100" i="16" s="1"/>
  <c r="CD97" i="20"/>
  <c r="BQ97" i="16" s="1"/>
  <c r="CF96" i="20"/>
  <c r="BS96" i="16" s="1"/>
  <c r="CF94" i="20"/>
  <c r="BS94" i="16" s="1"/>
  <c r="CF92" i="20"/>
  <c r="BS92" i="16" s="1"/>
  <c r="CF90" i="20"/>
  <c r="BS90" i="16" s="1"/>
  <c r="CF88" i="20"/>
  <c r="BS88" i="16" s="1"/>
  <c r="CF86" i="20"/>
  <c r="BS86" i="16" s="1"/>
  <c r="CF84" i="20"/>
  <c r="BS84" i="16" s="1"/>
  <c r="CF82" i="20"/>
  <c r="BS82" i="16" s="1"/>
  <c r="CF80" i="20"/>
  <c r="BS80" i="16" s="1"/>
  <c r="CF78" i="20"/>
  <c r="BS78" i="16" s="1"/>
  <c r="CF76" i="20"/>
  <c r="BS76" i="16" s="1"/>
  <c r="CF74" i="20"/>
  <c r="BS74" i="16" s="1"/>
  <c r="CF72" i="20"/>
  <c r="BS72" i="16" s="1"/>
  <c r="CF70" i="20"/>
  <c r="BS70" i="16" s="1"/>
  <c r="CF68" i="20"/>
  <c r="BS68" i="16" s="1"/>
  <c r="CF66" i="20"/>
  <c r="BS66" i="16" s="1"/>
  <c r="CF103" i="20"/>
  <c r="BS103" i="16" s="1"/>
  <c r="CE102" i="20"/>
  <c r="BR102" i="16" s="1"/>
  <c r="CD101" i="20"/>
  <c r="BQ101" i="16" s="1"/>
  <c r="CD100" i="20"/>
  <c r="BQ100" i="16" s="1"/>
  <c r="CF99" i="20"/>
  <c r="BS99" i="16" s="1"/>
  <c r="CE96" i="20"/>
  <c r="BR96" i="16" s="1"/>
  <c r="CE94" i="20"/>
  <c r="BR94" i="16" s="1"/>
  <c r="CE92" i="20"/>
  <c r="BR92" i="16" s="1"/>
  <c r="CE90" i="20"/>
  <c r="BR90" i="16" s="1"/>
  <c r="CE88" i="20"/>
  <c r="BR88" i="16" s="1"/>
  <c r="CE86" i="20"/>
  <c r="BR86" i="16" s="1"/>
  <c r="CE84" i="20"/>
  <c r="BR84" i="16" s="1"/>
  <c r="CE82" i="20"/>
  <c r="BR82" i="16" s="1"/>
  <c r="CE80" i="20"/>
  <c r="BR80" i="16" s="1"/>
  <c r="CE78" i="20"/>
  <c r="BR78" i="16" s="1"/>
  <c r="CE76" i="20"/>
  <c r="BR76" i="16" s="1"/>
  <c r="CE74" i="20"/>
  <c r="BR74" i="16" s="1"/>
  <c r="CE104" i="20"/>
  <c r="BR104" i="16" s="1"/>
  <c r="CD103" i="20"/>
  <c r="BQ103" i="16" s="1"/>
  <c r="CE99" i="20"/>
  <c r="BR99" i="16" s="1"/>
  <c r="CD96" i="20"/>
  <c r="BQ96" i="16" s="1"/>
  <c r="CD94" i="20"/>
  <c r="BQ94" i="16" s="1"/>
  <c r="CD92" i="20"/>
  <c r="BQ92" i="16" s="1"/>
  <c r="CD90" i="20"/>
  <c r="BQ90" i="16" s="1"/>
  <c r="CD88" i="20"/>
  <c r="BQ88" i="16" s="1"/>
  <c r="CD86" i="20"/>
  <c r="BQ86" i="16" s="1"/>
  <c r="CD84" i="20"/>
  <c r="BQ84" i="16" s="1"/>
  <c r="CD82" i="20"/>
  <c r="BQ82" i="16" s="1"/>
  <c r="CD80" i="20"/>
  <c r="BQ80" i="16" s="1"/>
  <c r="CD78" i="20"/>
  <c r="BQ78" i="16" s="1"/>
  <c r="CD76" i="20"/>
  <c r="BQ76" i="16" s="1"/>
  <c r="CD74" i="20"/>
  <c r="BQ74" i="16" s="1"/>
  <c r="CD72" i="20"/>
  <c r="BQ72" i="16" s="1"/>
  <c r="CD70" i="20"/>
  <c r="BQ70" i="16" s="1"/>
  <c r="CD68" i="20"/>
  <c r="BQ68" i="16" s="1"/>
  <c r="CD99" i="20"/>
  <c r="BQ99" i="16" s="1"/>
  <c r="CE98" i="20"/>
  <c r="BR98" i="16" s="1"/>
  <c r="CF95" i="20"/>
  <c r="BS95" i="16" s="1"/>
  <c r="CF93" i="20"/>
  <c r="BS93" i="16" s="1"/>
  <c r="CF91" i="20"/>
  <c r="BS91" i="16" s="1"/>
  <c r="CF89" i="20"/>
  <c r="BS89" i="16" s="1"/>
  <c r="CF87" i="20"/>
  <c r="BS87" i="16" s="1"/>
  <c r="CF85" i="20"/>
  <c r="BS85" i="16" s="1"/>
  <c r="CF83" i="20"/>
  <c r="BS83" i="16" s="1"/>
  <c r="CF81" i="20"/>
  <c r="BS81" i="16" s="1"/>
  <c r="CF79" i="20"/>
  <c r="BS79" i="16" s="1"/>
  <c r="CF77" i="20"/>
  <c r="BS77" i="16" s="1"/>
  <c r="CF75" i="20"/>
  <c r="BS75" i="16" s="1"/>
  <c r="CF73" i="20"/>
  <c r="BS73" i="16" s="1"/>
  <c r="CF71" i="20"/>
  <c r="BS71" i="16" s="1"/>
  <c r="CD98" i="20"/>
  <c r="BQ98" i="16" s="1"/>
  <c r="CF97" i="20"/>
  <c r="BS97" i="16" s="1"/>
  <c r="CE89" i="20"/>
  <c r="BR89" i="16" s="1"/>
  <c r="CE73" i="20"/>
  <c r="BR73" i="16" s="1"/>
  <c r="CD71" i="20"/>
  <c r="BQ71" i="16" s="1"/>
  <c r="CE67" i="20"/>
  <c r="BR67" i="16" s="1"/>
  <c r="CD66" i="20"/>
  <c r="BQ66" i="16" s="1"/>
  <c r="CE83" i="20"/>
  <c r="BR83" i="16" s="1"/>
  <c r="CE68" i="20"/>
  <c r="BR68" i="16" s="1"/>
  <c r="CD67" i="20"/>
  <c r="BQ67" i="16" s="1"/>
  <c r="CE65" i="20"/>
  <c r="BR65" i="16" s="1"/>
  <c r="CE63" i="20"/>
  <c r="BR63" i="16" s="1"/>
  <c r="CE61" i="20"/>
  <c r="BR61" i="16" s="1"/>
  <c r="CE59" i="20"/>
  <c r="BR59" i="16" s="1"/>
  <c r="CE57" i="20"/>
  <c r="BR57" i="16" s="1"/>
  <c r="CE55" i="20"/>
  <c r="BR55" i="16" s="1"/>
  <c r="CE53" i="20"/>
  <c r="BR53" i="16" s="1"/>
  <c r="CE51" i="20"/>
  <c r="BR51" i="16" s="1"/>
  <c r="CE49" i="20"/>
  <c r="BR49" i="16" s="1"/>
  <c r="CE47" i="20"/>
  <c r="BR47" i="16" s="1"/>
  <c r="CE45" i="20"/>
  <c r="BR45" i="16" s="1"/>
  <c r="CE43" i="20"/>
  <c r="BR43" i="16" s="1"/>
  <c r="CE41" i="20"/>
  <c r="BR41" i="16" s="1"/>
  <c r="CE39" i="20"/>
  <c r="BR39" i="16" s="1"/>
  <c r="CE37" i="20"/>
  <c r="BR37" i="16" s="1"/>
  <c r="CE35" i="20"/>
  <c r="BR35" i="16" s="1"/>
  <c r="CE33" i="20"/>
  <c r="BR33" i="16" s="1"/>
  <c r="CE93" i="20"/>
  <c r="BR93" i="16" s="1"/>
  <c r="CE77" i="20"/>
  <c r="BR77" i="16" s="1"/>
  <c r="CF69" i="20"/>
  <c r="BS69" i="16" s="1"/>
  <c r="CD65" i="20"/>
  <c r="BQ65" i="16" s="1"/>
  <c r="CD63" i="20"/>
  <c r="BQ63" i="16" s="1"/>
  <c r="CD61" i="20"/>
  <c r="BQ61" i="16" s="1"/>
  <c r="CD59" i="20"/>
  <c r="BQ59" i="16" s="1"/>
  <c r="CD57" i="20"/>
  <c r="BQ57" i="16" s="1"/>
  <c r="CD55" i="20"/>
  <c r="BQ55" i="16" s="1"/>
  <c r="CD53" i="20"/>
  <c r="BQ53" i="16" s="1"/>
  <c r="CD51" i="20"/>
  <c r="BQ51" i="16" s="1"/>
  <c r="CD49" i="20"/>
  <c r="BQ49" i="16" s="1"/>
  <c r="CD47" i="20"/>
  <c r="BQ47" i="16" s="1"/>
  <c r="CD45" i="20"/>
  <c r="BQ45" i="16" s="1"/>
  <c r="CD43" i="20"/>
  <c r="BQ43" i="16" s="1"/>
  <c r="CD41" i="20"/>
  <c r="BQ41" i="16" s="1"/>
  <c r="CD39" i="20"/>
  <c r="BQ39" i="16" s="1"/>
  <c r="CD37" i="20"/>
  <c r="BQ37" i="16" s="1"/>
  <c r="CD35" i="20"/>
  <c r="BQ35" i="16" s="1"/>
  <c r="CD33" i="20"/>
  <c r="BQ33" i="16" s="1"/>
  <c r="CD31" i="20"/>
  <c r="BQ31" i="16" s="1"/>
  <c r="CD29" i="20"/>
  <c r="BQ29" i="16" s="1"/>
  <c r="CD27" i="20"/>
  <c r="BQ27" i="16" s="1"/>
  <c r="CD25" i="20"/>
  <c r="BQ25" i="16" s="1"/>
  <c r="CD23" i="20"/>
  <c r="BQ23" i="16" s="1"/>
  <c r="CD21" i="20"/>
  <c r="BQ21" i="16" s="1"/>
  <c r="CD19" i="20"/>
  <c r="BQ19" i="16" s="1"/>
  <c r="CE87" i="20"/>
  <c r="BR87" i="16" s="1"/>
  <c r="CE72" i="20"/>
  <c r="BR72" i="16" s="1"/>
  <c r="CE69" i="20"/>
  <c r="BR69" i="16" s="1"/>
  <c r="CF64" i="20"/>
  <c r="BS64" i="16" s="1"/>
  <c r="CF62" i="20"/>
  <c r="BS62" i="16" s="1"/>
  <c r="CF60" i="20"/>
  <c r="BS60" i="16" s="1"/>
  <c r="CF58" i="20"/>
  <c r="BS58" i="16" s="1"/>
  <c r="CF56" i="20"/>
  <c r="BS56" i="16" s="1"/>
  <c r="CF54" i="20"/>
  <c r="BS54" i="16" s="1"/>
  <c r="CF52" i="20"/>
  <c r="BS52" i="16" s="1"/>
  <c r="CF50" i="20"/>
  <c r="BS50" i="16" s="1"/>
  <c r="CF48" i="20"/>
  <c r="BS48" i="16" s="1"/>
  <c r="CF46" i="20"/>
  <c r="BS46" i="16" s="1"/>
  <c r="CF44" i="20"/>
  <c r="BS44" i="16" s="1"/>
  <c r="CF42" i="20"/>
  <c r="BS42" i="16" s="1"/>
  <c r="CF40" i="20"/>
  <c r="BS40" i="16" s="1"/>
  <c r="CF38" i="20"/>
  <c r="BS38" i="16" s="1"/>
  <c r="CF36" i="20"/>
  <c r="BS36" i="16" s="1"/>
  <c r="CF34" i="20"/>
  <c r="BS34" i="16" s="1"/>
  <c r="CF32" i="20"/>
  <c r="BS32" i="16" s="1"/>
  <c r="CF30" i="20"/>
  <c r="BS30" i="16" s="1"/>
  <c r="CF28" i="20"/>
  <c r="BS28" i="16" s="1"/>
  <c r="CE81" i="20"/>
  <c r="BR81" i="16" s="1"/>
  <c r="CE70" i="20"/>
  <c r="BR70" i="16" s="1"/>
  <c r="CD69" i="20"/>
  <c r="BQ69" i="16" s="1"/>
  <c r="CE91" i="20"/>
  <c r="BR91" i="16" s="1"/>
  <c r="CE75" i="20"/>
  <c r="BR75" i="16" s="1"/>
  <c r="CE64" i="20"/>
  <c r="BR64" i="16" s="1"/>
  <c r="CE62" i="20"/>
  <c r="BR62" i="16" s="1"/>
  <c r="CE60" i="20"/>
  <c r="BR60" i="16" s="1"/>
  <c r="CE58" i="20"/>
  <c r="BR58" i="16" s="1"/>
  <c r="CE56" i="20"/>
  <c r="BR56" i="16" s="1"/>
  <c r="CE54" i="20"/>
  <c r="BR54" i="16" s="1"/>
  <c r="CE52" i="20"/>
  <c r="BR52" i="16" s="1"/>
  <c r="CE50" i="20"/>
  <c r="BR50" i="16" s="1"/>
  <c r="CE48" i="20"/>
  <c r="BR48" i="16" s="1"/>
  <c r="CE46" i="20"/>
  <c r="BR46" i="16" s="1"/>
  <c r="CE44" i="20"/>
  <c r="BR44" i="16" s="1"/>
  <c r="CE42" i="20"/>
  <c r="BR42" i="16" s="1"/>
  <c r="CE40" i="20"/>
  <c r="BR40" i="16" s="1"/>
  <c r="CE38" i="20"/>
  <c r="BR38" i="16" s="1"/>
  <c r="CE36" i="20"/>
  <c r="BR36" i="16" s="1"/>
  <c r="CE34" i="20"/>
  <c r="BR34" i="16" s="1"/>
  <c r="CE32" i="20"/>
  <c r="BR32" i="16" s="1"/>
  <c r="CE85" i="20"/>
  <c r="BR85" i="16" s="1"/>
  <c r="CD64" i="20"/>
  <c r="BQ64" i="16" s="1"/>
  <c r="CD62" i="20"/>
  <c r="BQ62" i="16" s="1"/>
  <c r="CD60" i="20"/>
  <c r="BQ60" i="16" s="1"/>
  <c r="CD58" i="20"/>
  <c r="BQ58" i="16" s="1"/>
  <c r="CD56" i="20"/>
  <c r="BQ56" i="16" s="1"/>
  <c r="CD54" i="20"/>
  <c r="BQ54" i="16" s="1"/>
  <c r="CD52" i="20"/>
  <c r="BQ52" i="16" s="1"/>
  <c r="CD50" i="20"/>
  <c r="BQ50" i="16" s="1"/>
  <c r="CD48" i="20"/>
  <c r="BQ48" i="16" s="1"/>
  <c r="CD46" i="20"/>
  <c r="BQ46" i="16" s="1"/>
  <c r="CD44" i="20"/>
  <c r="BQ44" i="16" s="1"/>
  <c r="CD42" i="20"/>
  <c r="BQ42" i="16" s="1"/>
  <c r="CD40" i="20"/>
  <c r="BQ40" i="16" s="1"/>
  <c r="CD38" i="20"/>
  <c r="BQ38" i="16" s="1"/>
  <c r="CD36" i="20"/>
  <c r="BQ36" i="16" s="1"/>
  <c r="CD34" i="20"/>
  <c r="BQ34" i="16" s="1"/>
  <c r="CD32" i="20"/>
  <c r="BQ32" i="16" s="1"/>
  <c r="CD30" i="20"/>
  <c r="BQ30" i="16" s="1"/>
  <c r="CD28" i="20"/>
  <c r="BQ28" i="16" s="1"/>
  <c r="CD26" i="20"/>
  <c r="BQ26" i="16" s="1"/>
  <c r="CD22" i="20"/>
  <c r="BQ22" i="16" s="1"/>
  <c r="CF21" i="20"/>
  <c r="BS21" i="16" s="1"/>
  <c r="CF18" i="20"/>
  <c r="BS18" i="16" s="1"/>
  <c r="CF16" i="20"/>
  <c r="BS16" i="16" s="1"/>
  <c r="CF14" i="20"/>
  <c r="BS14" i="16" s="1"/>
  <c r="CF12" i="20"/>
  <c r="BS12" i="16" s="1"/>
  <c r="CF10" i="20"/>
  <c r="BS10" i="16" s="1"/>
  <c r="CF8" i="20"/>
  <c r="BS8" i="16" s="1"/>
  <c r="CE66" i="20"/>
  <c r="BR66" i="16" s="1"/>
  <c r="CD17" i="20"/>
  <c r="BQ17" i="16" s="1"/>
  <c r="CD9" i="20"/>
  <c r="BQ9" i="16" s="1"/>
  <c r="CF65" i="20"/>
  <c r="BS65" i="16" s="1"/>
  <c r="CF61" i="20"/>
  <c r="BS61" i="16" s="1"/>
  <c r="CF57" i="20"/>
  <c r="BS57" i="16" s="1"/>
  <c r="CF53" i="20"/>
  <c r="BS53" i="16" s="1"/>
  <c r="CF49" i="20"/>
  <c r="BS49" i="16" s="1"/>
  <c r="CF45" i="20"/>
  <c r="BS45" i="16" s="1"/>
  <c r="CF41" i="20"/>
  <c r="BS41" i="16" s="1"/>
  <c r="CF37" i="20"/>
  <c r="BS37" i="16" s="1"/>
  <c r="CF33" i="20"/>
  <c r="BS33" i="16" s="1"/>
  <c r="CE30" i="20"/>
  <c r="BR30" i="16" s="1"/>
  <c r="CF27" i="20"/>
  <c r="BS27" i="16" s="1"/>
  <c r="CF25" i="20"/>
  <c r="BS25" i="16" s="1"/>
  <c r="CD5" i="20"/>
  <c r="BQ5" i="16" s="1"/>
  <c r="CE79" i="20"/>
  <c r="BR79" i="16" s="1"/>
  <c r="CE71" i="20"/>
  <c r="BR71" i="16" s="1"/>
  <c r="CF26" i="20"/>
  <c r="BS26" i="16" s="1"/>
  <c r="CF24" i="20"/>
  <c r="BS24" i="16" s="1"/>
  <c r="CE21" i="20"/>
  <c r="BR21" i="16" s="1"/>
  <c r="CF20" i="20"/>
  <c r="BS20" i="16" s="1"/>
  <c r="CE18" i="20"/>
  <c r="BR18" i="16" s="1"/>
  <c r="CE16" i="20"/>
  <c r="BR16" i="16" s="1"/>
  <c r="CE14" i="20"/>
  <c r="BR14" i="16" s="1"/>
  <c r="CE12" i="20"/>
  <c r="BR12" i="16" s="1"/>
  <c r="CE10" i="20"/>
  <c r="BR10" i="16" s="1"/>
  <c r="CE8" i="20"/>
  <c r="BR8" i="16" s="1"/>
  <c r="CE13" i="20"/>
  <c r="BR13" i="16" s="1"/>
  <c r="CE9" i="20"/>
  <c r="BR9" i="16" s="1"/>
  <c r="CE19" i="20"/>
  <c r="BR19" i="16" s="1"/>
  <c r="CD13" i="20"/>
  <c r="BQ13" i="16" s="1"/>
  <c r="CD11" i="20"/>
  <c r="BQ11" i="16" s="1"/>
  <c r="CE28" i="20"/>
  <c r="BR28" i="16" s="1"/>
  <c r="CE27" i="20"/>
  <c r="BR27" i="16" s="1"/>
  <c r="CE26" i="20"/>
  <c r="BR26" i="16" s="1"/>
  <c r="CE25" i="20"/>
  <c r="BR25" i="16" s="1"/>
  <c r="CE24" i="20"/>
  <c r="BR24" i="16" s="1"/>
  <c r="CF23" i="20"/>
  <c r="BS23" i="16" s="1"/>
  <c r="CD18" i="20"/>
  <c r="BQ18" i="16" s="1"/>
  <c r="CD16" i="20"/>
  <c r="BQ16" i="16" s="1"/>
  <c r="CD14" i="20"/>
  <c r="BQ14" i="16" s="1"/>
  <c r="CD12" i="20"/>
  <c r="BQ12" i="16" s="1"/>
  <c r="CD10" i="20"/>
  <c r="BQ10" i="16" s="1"/>
  <c r="CD8" i="20"/>
  <c r="BQ8" i="16" s="1"/>
  <c r="CE11" i="20"/>
  <c r="BR11" i="16" s="1"/>
  <c r="CE29" i="20"/>
  <c r="BR29" i="16" s="1"/>
  <c r="CE95" i="20"/>
  <c r="BR95" i="16" s="1"/>
  <c r="CD24" i="20"/>
  <c r="BQ24" i="16" s="1"/>
  <c r="CE20" i="20"/>
  <c r="BR20" i="16" s="1"/>
  <c r="CF17" i="20"/>
  <c r="BS17" i="16" s="1"/>
  <c r="CF15" i="20"/>
  <c r="BS15" i="16" s="1"/>
  <c r="CF13" i="20"/>
  <c r="BS13" i="16" s="1"/>
  <c r="CF11" i="20"/>
  <c r="BS11" i="16" s="1"/>
  <c r="CF9" i="20"/>
  <c r="BS9" i="16" s="1"/>
  <c r="CF7" i="20"/>
  <c r="BS7" i="16" s="1"/>
  <c r="CD6" i="20"/>
  <c r="BQ6" i="16" s="1"/>
  <c r="CE31" i="20"/>
  <c r="BR31" i="16" s="1"/>
  <c r="CF29" i="20"/>
  <c r="BS29" i="16" s="1"/>
  <c r="CE17" i="20"/>
  <c r="BR17" i="16" s="1"/>
  <c r="CE7" i="20"/>
  <c r="BR7" i="16" s="1"/>
  <c r="CE22" i="20"/>
  <c r="BR22" i="16" s="1"/>
  <c r="CD15" i="20"/>
  <c r="BQ15" i="16" s="1"/>
  <c r="CD7" i="20"/>
  <c r="BQ7" i="16" s="1"/>
  <c r="CF67" i="20"/>
  <c r="BS67" i="16" s="1"/>
  <c r="CF63" i="20"/>
  <c r="BS63" i="16" s="1"/>
  <c r="CF59" i="20"/>
  <c r="BS59" i="16" s="1"/>
  <c r="CF55" i="20"/>
  <c r="BS55" i="16" s="1"/>
  <c r="CF51" i="20"/>
  <c r="BS51" i="16" s="1"/>
  <c r="CF47" i="20"/>
  <c r="BS47" i="16" s="1"/>
  <c r="CF43" i="20"/>
  <c r="BS43" i="16" s="1"/>
  <c r="CF39" i="20"/>
  <c r="BS39" i="16" s="1"/>
  <c r="CF35" i="20"/>
  <c r="BS35" i="16" s="1"/>
  <c r="CF31" i="20"/>
  <c r="BS31" i="16" s="1"/>
  <c r="CE23" i="20"/>
  <c r="BR23" i="16" s="1"/>
  <c r="CF22" i="20"/>
  <c r="BS22" i="16" s="1"/>
  <c r="CD20" i="20"/>
  <c r="BQ20" i="16" s="1"/>
  <c r="CF19" i="20"/>
  <c r="BS19" i="16" s="1"/>
  <c r="CE15" i="20"/>
  <c r="BR15" i="16" s="1"/>
  <c r="AI6" i="16"/>
  <c r="Z5" i="16"/>
  <c r="AY7" i="17"/>
  <c r="AN11" i="16"/>
  <c r="AM7" i="16"/>
  <c r="AO7" i="16" s="1"/>
  <c r="AN7" i="16"/>
  <c r="AN5" i="16"/>
  <c r="G4" i="19" s="1"/>
  <c r="AM5" i="16"/>
  <c r="AO5" i="16" s="1"/>
  <c r="H4" i="19" s="1"/>
  <c r="AN9" i="16"/>
  <c r="AJ5" i="16"/>
  <c r="AH13" i="17"/>
  <c r="AJ10" i="17"/>
  <c r="AH14" i="16"/>
  <c r="AD30" i="16"/>
  <c r="AD21" i="16"/>
  <c r="AD5" i="16"/>
  <c r="AD7" i="17"/>
  <c r="AD20" i="16"/>
  <c r="AD28" i="16"/>
  <c r="AD7" i="16"/>
  <c r="AH28" i="17"/>
  <c r="AH10" i="16"/>
  <c r="AD26" i="17"/>
  <c r="AD19" i="17"/>
  <c r="AD23" i="17"/>
  <c r="AD27" i="17"/>
  <c r="AD31" i="17"/>
  <c r="AD24" i="17"/>
  <c r="AH11" i="17"/>
  <c r="AD21" i="17"/>
  <c r="AH12" i="17"/>
  <c r="AD25" i="17"/>
  <c r="AD15" i="16"/>
  <c r="AD29" i="17"/>
  <c r="AD16" i="16"/>
  <c r="AD27" i="16"/>
  <c r="AH12" i="16"/>
  <c r="AD17" i="17"/>
  <c r="AD26" i="16"/>
  <c r="AD24" i="16"/>
  <c r="AD31" i="16"/>
  <c r="AJ8" i="17"/>
  <c r="AD18" i="17"/>
  <c r="AD11" i="16"/>
  <c r="AD22" i="16"/>
  <c r="AD17" i="16"/>
  <c r="AD13" i="16"/>
  <c r="AD6" i="16"/>
  <c r="AD23" i="16"/>
  <c r="AD30" i="17"/>
  <c r="AD22" i="17"/>
  <c r="AD18" i="16"/>
  <c r="AD29" i="16"/>
  <c r="AD19" i="16"/>
  <c r="AD16" i="17"/>
  <c r="AD6" i="17"/>
  <c r="AD15" i="17"/>
  <c r="AD20" i="17"/>
  <c r="AD25" i="16"/>
  <c r="AX7" i="17"/>
  <c r="AZ7" i="17" s="1"/>
  <c r="AX5" i="17"/>
  <c r="AZ5" i="17" s="1"/>
  <c r="L12" i="19" s="1"/>
  <c r="Y10" i="17"/>
  <c r="Z28" i="17"/>
  <c r="AY5" i="17"/>
  <c r="K12" i="19" s="1"/>
  <c r="AX9" i="17"/>
  <c r="AZ9" i="17" s="1"/>
  <c r="AX11" i="17"/>
  <c r="AZ11" i="17" s="1"/>
  <c r="AX8" i="17"/>
  <c r="AZ8" i="17" s="1"/>
  <c r="AX10" i="17"/>
  <c r="AZ10" i="17" s="1"/>
  <c r="AX31" i="17"/>
  <c r="AZ31" i="17" s="1"/>
  <c r="AX12" i="17"/>
  <c r="AZ12" i="17" s="1"/>
  <c r="AY9" i="17"/>
  <c r="AX102" i="17"/>
  <c r="AZ102" i="17" s="1"/>
  <c r="AY8" i="17"/>
  <c r="BH7" i="16"/>
  <c r="BG7" i="16"/>
  <c r="BJ7" i="16" s="1"/>
  <c r="AM9" i="16"/>
  <c r="AO9" i="16" s="1"/>
  <c r="AM8" i="16"/>
  <c r="AO8" i="16" s="1"/>
  <c r="AH8" i="17"/>
  <c r="AJ11" i="17"/>
  <c r="AF8" i="17"/>
  <c r="AH11" i="16"/>
  <c r="AD8" i="17"/>
  <c r="AD5" i="17"/>
  <c r="AF11" i="17"/>
  <c r="AJ10" i="16"/>
  <c r="AJ12" i="17"/>
  <c r="AF12" i="17"/>
  <c r="AD11" i="17"/>
  <c r="AD12" i="17"/>
  <c r="AH8" i="16"/>
  <c r="AH28" i="16"/>
  <c r="AF28" i="17"/>
  <c r="AJ28" i="17"/>
  <c r="AD28" i="17"/>
  <c r="AD8" i="16"/>
  <c r="BI5" i="16" s="1"/>
  <c r="AJ12" i="16"/>
  <c r="AH10" i="17"/>
  <c r="AD10" i="17"/>
  <c r="AJ13" i="17"/>
  <c r="AD13" i="17"/>
  <c r="AF13" i="17"/>
  <c r="AD12" i="16"/>
  <c r="AD14" i="17"/>
  <c r="AF14" i="17"/>
  <c r="AH9" i="16"/>
  <c r="AD9" i="16"/>
  <c r="AH13" i="16"/>
  <c r="AD9" i="17"/>
  <c r="X7" i="16"/>
  <c r="T7" i="16"/>
  <c r="AJ6" i="17"/>
  <c r="AH6" i="17"/>
  <c r="AH9" i="17"/>
  <c r="AX23" i="17"/>
  <c r="AZ23" i="17" s="1"/>
  <c r="AY21" i="17"/>
  <c r="AX14" i="17"/>
  <c r="AZ14" i="17" s="1"/>
  <c r="AY12" i="17"/>
  <c r="AY38" i="17"/>
  <c r="AX33" i="17"/>
  <c r="AZ33" i="17" s="1"/>
  <c r="AX41" i="17"/>
  <c r="AZ41" i="17" s="1"/>
  <c r="AY47" i="17"/>
  <c r="AX38" i="17"/>
  <c r="AZ38" i="17" s="1"/>
  <c r="AY52" i="17"/>
  <c r="AY76" i="17"/>
  <c r="AY55" i="17"/>
  <c r="AY68" i="17"/>
  <c r="AY78" i="17"/>
  <c r="AY67" i="17"/>
  <c r="AY70" i="17"/>
  <c r="AY80" i="17"/>
  <c r="AX101" i="17"/>
  <c r="AZ101" i="17" s="1"/>
  <c r="AY75" i="17"/>
  <c r="AY99" i="17"/>
  <c r="AX88" i="17"/>
  <c r="AZ88" i="17" s="1"/>
  <c r="AX90" i="17"/>
  <c r="AZ90" i="17" s="1"/>
  <c r="AX99" i="17"/>
  <c r="AZ99" i="17" s="1"/>
  <c r="AY98" i="17"/>
  <c r="AX6" i="17"/>
  <c r="AZ6" i="17" s="1"/>
  <c r="L13" i="19" s="1"/>
  <c r="AX27" i="17"/>
  <c r="AZ27" i="17" s="1"/>
  <c r="AY23" i="17"/>
  <c r="AX16" i="17"/>
  <c r="AZ16" i="17" s="1"/>
  <c r="AY14" i="17"/>
  <c r="AY39" i="17"/>
  <c r="AX35" i="17"/>
  <c r="AZ35" i="17" s="1"/>
  <c r="AY42" i="17"/>
  <c r="AY41" i="17"/>
  <c r="AX50" i="17"/>
  <c r="AZ50" i="17" s="1"/>
  <c r="AX39" i="17"/>
  <c r="AZ39" i="17" s="1"/>
  <c r="AX54" i="17"/>
  <c r="AZ54" i="17" s="1"/>
  <c r="AY54" i="17"/>
  <c r="AX66" i="17"/>
  <c r="AZ66" i="17" s="1"/>
  <c r="AX71" i="17"/>
  <c r="AZ71" i="17" s="1"/>
  <c r="AY69" i="17"/>
  <c r="AX74" i="17"/>
  <c r="AZ74" i="17" s="1"/>
  <c r="AY77" i="17"/>
  <c r="AY81" i="17"/>
  <c r="AY96" i="17"/>
  <c r="AY100" i="17"/>
  <c r="AX29" i="17"/>
  <c r="AZ29" i="17" s="1"/>
  <c r="AY29" i="17"/>
  <c r="AY26" i="17"/>
  <c r="AY31" i="17"/>
  <c r="AX18" i="17"/>
  <c r="AZ18" i="17" s="1"/>
  <c r="AY16" i="17"/>
  <c r="AY25" i="17"/>
  <c r="AX43" i="17"/>
  <c r="AZ43" i="17" s="1"/>
  <c r="AX37" i="17"/>
  <c r="AZ37" i="17" s="1"/>
  <c r="AY49" i="17"/>
  <c r="AX26" i="17"/>
  <c r="AZ26" i="17" s="1"/>
  <c r="AY40" i="17"/>
  <c r="AX58" i="17"/>
  <c r="AZ58" i="17" s="1"/>
  <c r="AY57" i="17"/>
  <c r="AX56" i="17"/>
  <c r="AZ56" i="17" s="1"/>
  <c r="AX68" i="17"/>
  <c r="AZ68" i="17" s="1"/>
  <c r="AY72" i="17"/>
  <c r="AX70" i="17"/>
  <c r="AZ70" i="17" s="1"/>
  <c r="AX76" i="17"/>
  <c r="AZ76" i="17" s="1"/>
  <c r="AY91" i="17"/>
  <c r="AY88" i="17"/>
  <c r="AY79" i="17"/>
  <c r="AY83" i="17"/>
  <c r="AY94" i="17"/>
  <c r="AY95" i="17"/>
  <c r="AX97" i="17"/>
  <c r="AZ97" i="17" s="1"/>
  <c r="AY97" i="17"/>
  <c r="AY102" i="17"/>
  <c r="AY6" i="17"/>
  <c r="K13" i="19" s="1"/>
  <c r="AX13" i="17"/>
  <c r="AZ13" i="17" s="1"/>
  <c r="AY11" i="17"/>
  <c r="AY27" i="17"/>
  <c r="AX63" i="17"/>
  <c r="AZ63" i="17" s="1"/>
  <c r="AX20" i="17"/>
  <c r="AZ20" i="17" s="1"/>
  <c r="AY18" i="17"/>
  <c r="AX44" i="17"/>
  <c r="AZ44" i="17" s="1"/>
  <c r="AY44" i="17"/>
  <c r="AX42" i="17"/>
  <c r="AZ42" i="17" s="1"/>
  <c r="AX45" i="17"/>
  <c r="AZ45" i="17" s="1"/>
  <c r="AX28" i="17"/>
  <c r="AZ28" i="17" s="1"/>
  <c r="AX61" i="17"/>
  <c r="AZ61" i="17" s="1"/>
  <c r="AX55" i="17"/>
  <c r="AZ55" i="17" s="1"/>
  <c r="AY62" i="17"/>
  <c r="AY74" i="17"/>
  <c r="AX73" i="17"/>
  <c r="AZ73" i="17" s="1"/>
  <c r="AX77" i="17"/>
  <c r="AZ77" i="17" s="1"/>
  <c r="AX78" i="17"/>
  <c r="AZ78" i="17" s="1"/>
  <c r="AX94" i="17"/>
  <c r="AZ94" i="17" s="1"/>
  <c r="AX92" i="17"/>
  <c r="AZ92" i="17" s="1"/>
  <c r="AY85" i="17"/>
  <c r="AX95" i="17"/>
  <c r="AZ95" i="17" s="1"/>
  <c r="AX96" i="17"/>
  <c r="AZ96" i="17" s="1"/>
  <c r="AX98" i="17"/>
  <c r="AZ98" i="17" s="1"/>
  <c r="AX15" i="17"/>
  <c r="AZ15" i="17" s="1"/>
  <c r="AY13" i="17"/>
  <c r="AY28" i="17"/>
  <c r="AX22" i="17"/>
  <c r="AZ22" i="17" s="1"/>
  <c r="AY20" i="17"/>
  <c r="AY30" i="17"/>
  <c r="AX48" i="17"/>
  <c r="AZ48" i="17" s="1"/>
  <c r="AX46" i="17"/>
  <c r="AZ46" i="17" s="1"/>
  <c r="AX52" i="17"/>
  <c r="AZ52" i="17" s="1"/>
  <c r="AX30" i="17"/>
  <c r="AZ30" i="17" s="1"/>
  <c r="AY51" i="17"/>
  <c r="AX59" i="17"/>
  <c r="AZ59" i="17" s="1"/>
  <c r="AY56" i="17"/>
  <c r="AX47" i="17"/>
  <c r="AZ47" i="17" s="1"/>
  <c r="AY82" i="17"/>
  <c r="AX75" i="17"/>
  <c r="AZ75" i="17" s="1"/>
  <c r="AY59" i="17"/>
  <c r="AX80" i="17"/>
  <c r="AZ80" i="17" s="1"/>
  <c r="AX79" i="17"/>
  <c r="AZ79" i="17" s="1"/>
  <c r="AY86" i="17"/>
  <c r="AY87" i="17"/>
  <c r="AY101" i="17"/>
  <c r="AY103" i="17"/>
  <c r="AY104" i="17"/>
  <c r="AY10" i="17"/>
  <c r="AO102" i="17"/>
  <c r="AO100" i="17"/>
  <c r="AO98" i="17"/>
  <c r="AN102" i="17"/>
  <c r="AP102" i="17" s="1"/>
  <c r="AN100" i="17"/>
  <c r="AP100" i="17" s="1"/>
  <c r="AO104" i="17"/>
  <c r="AN101" i="17"/>
  <c r="AP101" i="17" s="1"/>
  <c r="AN97" i="17"/>
  <c r="AP97" i="17" s="1"/>
  <c r="AO96" i="17"/>
  <c r="AN89" i="17"/>
  <c r="AP89" i="17" s="1"/>
  <c r="AN96" i="17"/>
  <c r="AP96" i="17" s="1"/>
  <c r="AO95" i="17"/>
  <c r="AO99" i="17"/>
  <c r="AN95" i="17"/>
  <c r="AP95" i="17" s="1"/>
  <c r="AO94" i="17"/>
  <c r="AN99" i="17"/>
  <c r="AP99" i="17" s="1"/>
  <c r="AN94" i="17"/>
  <c r="AP94" i="17" s="1"/>
  <c r="AO93" i="17"/>
  <c r="AN88" i="17"/>
  <c r="AP88" i="17" s="1"/>
  <c r="AN86" i="17"/>
  <c r="AP86" i="17" s="1"/>
  <c r="AN84" i="17"/>
  <c r="AP84" i="17" s="1"/>
  <c r="AN82" i="17"/>
  <c r="AP82" i="17" s="1"/>
  <c r="AN93" i="17"/>
  <c r="AP93" i="17" s="1"/>
  <c r="AO92" i="17"/>
  <c r="AN104" i="17"/>
  <c r="AP104" i="17" s="1"/>
  <c r="AN103" i="17"/>
  <c r="AP103" i="17" s="1"/>
  <c r="AN98" i="17"/>
  <c r="AP98" i="17" s="1"/>
  <c r="AN91" i="17"/>
  <c r="AP91" i="17" s="1"/>
  <c r="AO90" i="17"/>
  <c r="AO87" i="17"/>
  <c r="AO85" i="17"/>
  <c r="AO83" i="17"/>
  <c r="AO101" i="17"/>
  <c r="AO103" i="17"/>
  <c r="AN87" i="17"/>
  <c r="AP87" i="17" s="1"/>
  <c r="AO84" i="17"/>
  <c r="AO81" i="17"/>
  <c r="AO79" i="17"/>
  <c r="AO77" i="17"/>
  <c r="AO75" i="17"/>
  <c r="AO73" i="17"/>
  <c r="AO97" i="17"/>
  <c r="AN90" i="17"/>
  <c r="AP90" i="17" s="1"/>
  <c r="AN81" i="17"/>
  <c r="AP81" i="17" s="1"/>
  <c r="AN79" i="17"/>
  <c r="AP79" i="17" s="1"/>
  <c r="AO89" i="17"/>
  <c r="AN92" i="17"/>
  <c r="AP92" i="17" s="1"/>
  <c r="AO86" i="17"/>
  <c r="AN85" i="17"/>
  <c r="AP85" i="17" s="1"/>
  <c r="AN83" i="17"/>
  <c r="AP83" i="17" s="1"/>
  <c r="AO82" i="17"/>
  <c r="AO80" i="17"/>
  <c r="AO91" i="17"/>
  <c r="AO88" i="17"/>
  <c r="AN80" i="17"/>
  <c r="AP80" i="17" s="1"/>
  <c r="AN78" i="17"/>
  <c r="AP78" i="17" s="1"/>
  <c r="AN76" i="17"/>
  <c r="AP76" i="17" s="1"/>
  <c r="AN74" i="17"/>
  <c r="AP74" i="17" s="1"/>
  <c r="AN75" i="17"/>
  <c r="AP75" i="17" s="1"/>
  <c r="AN70" i="17"/>
  <c r="AP70" i="17" s="1"/>
  <c r="AN73" i="17"/>
  <c r="AP73" i="17" s="1"/>
  <c r="AO71" i="17"/>
  <c r="AO69" i="17"/>
  <c r="AO67" i="17"/>
  <c r="AO65" i="17"/>
  <c r="AO63" i="17"/>
  <c r="AO61" i="17"/>
  <c r="AO59" i="17"/>
  <c r="AO72" i="17"/>
  <c r="AN71" i="17"/>
  <c r="AP71" i="17" s="1"/>
  <c r="AN69" i="17"/>
  <c r="AP69" i="17" s="1"/>
  <c r="AN67" i="17"/>
  <c r="AP67" i="17" s="1"/>
  <c r="AO76" i="17"/>
  <c r="AO74" i="17"/>
  <c r="AN72" i="17"/>
  <c r="AP72" i="17" s="1"/>
  <c r="AO68" i="17"/>
  <c r="AO66" i="17"/>
  <c r="AN77" i="17"/>
  <c r="AP77" i="17" s="1"/>
  <c r="AN68" i="17"/>
  <c r="AP68" i="17" s="1"/>
  <c r="AN66" i="17"/>
  <c r="AP66" i="17" s="1"/>
  <c r="AN64" i="17"/>
  <c r="AP64" i="17" s="1"/>
  <c r="AO60" i="17"/>
  <c r="AO55" i="17"/>
  <c r="AN53" i="17"/>
  <c r="AP53" i="17" s="1"/>
  <c r="AN51" i="17"/>
  <c r="AP51" i="17" s="1"/>
  <c r="AN49" i="17"/>
  <c r="AP49" i="17" s="1"/>
  <c r="AN47" i="17"/>
  <c r="AP47" i="17" s="1"/>
  <c r="AN65" i="17"/>
  <c r="AP65" i="17" s="1"/>
  <c r="AN60" i="17"/>
  <c r="AP60" i="17" s="1"/>
  <c r="AO56" i="17"/>
  <c r="AN55" i="17"/>
  <c r="AP55" i="17" s="1"/>
  <c r="AN59" i="17"/>
  <c r="AP59" i="17" s="1"/>
  <c r="AN56" i="17"/>
  <c r="AP56" i="17" s="1"/>
  <c r="AN61" i="17"/>
  <c r="AP61" i="17" s="1"/>
  <c r="AO57" i="17"/>
  <c r="AO54" i="17"/>
  <c r="AO52" i="17"/>
  <c r="AO50" i="17"/>
  <c r="AO48" i="17"/>
  <c r="AO46" i="17"/>
  <c r="AO70" i="17"/>
  <c r="AN63" i="17"/>
  <c r="AP63" i="17" s="1"/>
  <c r="AO58" i="17"/>
  <c r="AN57" i="17"/>
  <c r="AP57" i="17" s="1"/>
  <c r="AN54" i="17"/>
  <c r="AP54" i="17" s="1"/>
  <c r="AO78" i="17"/>
  <c r="AN58" i="17"/>
  <c r="AP58" i="17" s="1"/>
  <c r="AO62" i="17"/>
  <c r="AN45" i="17"/>
  <c r="AP45" i="17" s="1"/>
  <c r="AN40" i="17"/>
  <c r="AP40" i="17" s="1"/>
  <c r="AN38" i="17"/>
  <c r="AP38" i="17" s="1"/>
  <c r="AN36" i="17"/>
  <c r="AP36" i="17" s="1"/>
  <c r="AN34" i="17"/>
  <c r="AP34" i="17" s="1"/>
  <c r="AN32" i="17"/>
  <c r="AP32" i="17" s="1"/>
  <c r="AN30" i="17"/>
  <c r="AP30" i="17" s="1"/>
  <c r="AN28" i="17"/>
  <c r="AP28" i="17" s="1"/>
  <c r="AN26" i="17"/>
  <c r="AP26" i="17" s="1"/>
  <c r="AO41" i="17"/>
  <c r="AO51" i="17"/>
  <c r="AN48" i="17"/>
  <c r="AP48" i="17" s="1"/>
  <c r="AN46" i="17"/>
  <c r="AP46" i="17" s="1"/>
  <c r="AO42" i="17"/>
  <c r="AN41" i="17"/>
  <c r="AP41" i="17" s="1"/>
  <c r="AN42" i="17"/>
  <c r="AP42" i="17" s="1"/>
  <c r="AO37" i="17"/>
  <c r="AO35" i="17"/>
  <c r="AO33" i="17"/>
  <c r="AO64" i="17"/>
  <c r="AN52" i="17"/>
  <c r="AP52" i="17" s="1"/>
  <c r="AN50" i="17"/>
  <c r="AP50" i="17" s="1"/>
  <c r="AO47" i="17"/>
  <c r="AO43" i="17"/>
  <c r="AN37" i="17"/>
  <c r="AP37" i="17" s="1"/>
  <c r="AN35" i="17"/>
  <c r="AP35" i="17" s="1"/>
  <c r="AN33" i="17"/>
  <c r="AP33" i="17" s="1"/>
  <c r="AN31" i="17"/>
  <c r="AP31" i="17" s="1"/>
  <c r="AO49" i="17"/>
  <c r="AN44" i="17"/>
  <c r="AP44" i="17" s="1"/>
  <c r="AO39" i="17"/>
  <c r="AO53" i="17"/>
  <c r="AO45" i="17"/>
  <c r="AO40" i="17"/>
  <c r="AN39" i="17"/>
  <c r="AP39" i="17" s="1"/>
  <c r="AO38" i="17"/>
  <c r="AO36" i="17"/>
  <c r="AO34" i="17"/>
  <c r="AO32" i="17"/>
  <c r="AO30" i="17"/>
  <c r="AO28" i="17"/>
  <c r="AN25" i="17"/>
  <c r="AP25" i="17" s="1"/>
  <c r="AO24" i="17"/>
  <c r="AO22" i="17"/>
  <c r="AO20" i="17"/>
  <c r="AO18" i="17"/>
  <c r="AO16" i="17"/>
  <c r="AO14" i="17"/>
  <c r="AO12" i="17"/>
  <c r="AO27" i="17"/>
  <c r="AN24" i="17"/>
  <c r="AP24" i="17" s="1"/>
  <c r="AN22" i="17"/>
  <c r="AP22" i="17" s="1"/>
  <c r="AN20" i="17"/>
  <c r="AP20" i="17" s="1"/>
  <c r="AN18" i="17"/>
  <c r="AP18" i="17" s="1"/>
  <c r="AN16" i="17"/>
  <c r="AP16" i="17" s="1"/>
  <c r="AN14" i="17"/>
  <c r="AP14" i="17" s="1"/>
  <c r="AN12" i="17"/>
  <c r="AP12" i="17" s="1"/>
  <c r="AN10" i="17"/>
  <c r="AP10" i="17" s="1"/>
  <c r="AN62" i="17"/>
  <c r="AP62" i="17" s="1"/>
  <c r="AO44" i="17"/>
  <c r="AO29" i="17"/>
  <c r="AN27" i="17"/>
  <c r="AP27" i="17" s="1"/>
  <c r="AO26" i="17"/>
  <c r="AN43" i="17"/>
  <c r="AP43" i="17" s="1"/>
  <c r="AN29" i="17"/>
  <c r="AP29" i="17" s="1"/>
  <c r="AO23" i="17"/>
  <c r="AO21" i="17"/>
  <c r="AO19" i="17"/>
  <c r="AO17" i="17"/>
  <c r="AO15" i="17"/>
  <c r="AO13" i="17"/>
  <c r="AO11" i="17"/>
  <c r="AN23" i="17"/>
  <c r="AP23" i="17" s="1"/>
  <c r="AN21" i="17"/>
  <c r="AP21" i="17" s="1"/>
  <c r="AN19" i="17"/>
  <c r="AP19" i="17" s="1"/>
  <c r="AN17" i="17"/>
  <c r="AP17" i="17" s="1"/>
  <c r="AN15" i="17"/>
  <c r="AP15" i="17" s="1"/>
  <c r="AN13" i="17"/>
  <c r="AP13" i="17" s="1"/>
  <c r="AN11" i="17"/>
  <c r="AP11" i="17" s="1"/>
  <c r="AN9" i="17"/>
  <c r="AP9" i="17" s="1"/>
  <c r="AN8" i="17"/>
  <c r="AP8" i="17" s="1"/>
  <c r="AN7" i="17"/>
  <c r="AP7" i="17" s="1"/>
  <c r="AO6" i="17"/>
  <c r="K5" i="19" s="1"/>
  <c r="AO5" i="17"/>
  <c r="K4" i="19" s="1"/>
  <c r="AN6" i="17"/>
  <c r="AP6" i="17" s="1"/>
  <c r="L5" i="19" s="1"/>
  <c r="AN5" i="17"/>
  <c r="AP5" i="17" s="1"/>
  <c r="L4" i="19" s="1"/>
  <c r="AO10" i="17"/>
  <c r="AO31" i="17"/>
  <c r="AO25" i="17"/>
  <c r="AO9" i="17"/>
  <c r="AO8" i="17"/>
  <c r="AO7" i="17"/>
  <c r="AX17" i="17"/>
  <c r="AZ17" i="17" s="1"/>
  <c r="AY15" i="17"/>
  <c r="AY43" i="17"/>
  <c r="AX24" i="17"/>
  <c r="AZ24" i="17" s="1"/>
  <c r="AY22" i="17"/>
  <c r="AY32" i="17"/>
  <c r="AY33" i="17"/>
  <c r="AX40" i="17"/>
  <c r="AZ40" i="17" s="1"/>
  <c r="AX32" i="17"/>
  <c r="AZ32" i="17" s="1"/>
  <c r="AX65" i="17"/>
  <c r="AZ65" i="17" s="1"/>
  <c r="AY46" i="17"/>
  <c r="AX60" i="17"/>
  <c r="AZ60" i="17" s="1"/>
  <c r="AY60" i="17"/>
  <c r="AX49" i="17"/>
  <c r="AZ49" i="17" s="1"/>
  <c r="AX67" i="17"/>
  <c r="AZ67" i="17" s="1"/>
  <c r="AY61" i="17"/>
  <c r="AX81" i="17"/>
  <c r="AZ81" i="17" s="1"/>
  <c r="AX83" i="17"/>
  <c r="AZ83" i="17" s="1"/>
  <c r="AX82" i="17"/>
  <c r="AZ82" i="17" s="1"/>
  <c r="AX103" i="17"/>
  <c r="AZ103" i="17" s="1"/>
  <c r="AY90" i="17"/>
  <c r="AX19" i="17"/>
  <c r="AZ19" i="17" s="1"/>
  <c r="AY17" i="17"/>
  <c r="AY24" i="17"/>
  <c r="AY34" i="17"/>
  <c r="AY53" i="17"/>
  <c r="AY35" i="17"/>
  <c r="AX34" i="17"/>
  <c r="AZ34" i="17" s="1"/>
  <c r="AX57" i="17"/>
  <c r="AZ57" i="17" s="1"/>
  <c r="AY48" i="17"/>
  <c r="AX64" i="17"/>
  <c r="AZ64" i="17" s="1"/>
  <c r="AX62" i="17"/>
  <c r="AZ62" i="17" s="1"/>
  <c r="AX51" i="17"/>
  <c r="AZ51" i="17" s="1"/>
  <c r="AX69" i="17"/>
  <c r="AZ69" i="17" s="1"/>
  <c r="AY63" i="17"/>
  <c r="AX87" i="17"/>
  <c r="AZ87" i="17" s="1"/>
  <c r="AX85" i="17"/>
  <c r="AZ85" i="17" s="1"/>
  <c r="AY92" i="17"/>
  <c r="AX84" i="17"/>
  <c r="AZ84" i="17" s="1"/>
  <c r="AX104" i="17"/>
  <c r="AZ104" i="17" s="1"/>
  <c r="AX91" i="17"/>
  <c r="AZ91" i="17" s="1"/>
  <c r="AX100" i="17"/>
  <c r="AZ100" i="17" s="1"/>
  <c r="AX21" i="17"/>
  <c r="AZ21" i="17" s="1"/>
  <c r="AY19" i="17"/>
  <c r="AX25" i="17"/>
  <c r="AZ25" i="17" s="1"/>
  <c r="AY36" i="17"/>
  <c r="AY37" i="17"/>
  <c r="AY45" i="17"/>
  <c r="AX36" i="17"/>
  <c r="AZ36" i="17" s="1"/>
  <c r="AY58" i="17"/>
  <c r="AY50" i="17"/>
  <c r="AY64" i="17"/>
  <c r="AX53" i="17"/>
  <c r="AZ53" i="17" s="1"/>
  <c r="AY66" i="17"/>
  <c r="AX72" i="17"/>
  <c r="AZ72" i="17" s="1"/>
  <c r="AY71" i="17"/>
  <c r="AY65" i="17"/>
  <c r="AY93" i="17"/>
  <c r="AY84" i="17"/>
  <c r="AY73" i="17"/>
  <c r="AX93" i="17"/>
  <c r="AZ93" i="17" s="1"/>
  <c r="AX86" i="17"/>
  <c r="AZ86" i="17" s="1"/>
  <c r="AX89" i="17"/>
  <c r="AZ89" i="17" s="1"/>
  <c r="AY89" i="17"/>
  <c r="AM19" i="16"/>
  <c r="AO19" i="16" s="1"/>
  <c r="AM41" i="16"/>
  <c r="AO41" i="16" s="1"/>
  <c r="AN58" i="16"/>
  <c r="AN98" i="16"/>
  <c r="AM17" i="16"/>
  <c r="AO17" i="16" s="1"/>
  <c r="BI94" i="16"/>
  <c r="AM26" i="16"/>
  <c r="AO26" i="16" s="1"/>
  <c r="AM12" i="16"/>
  <c r="AO12" i="16" s="1"/>
  <c r="AM23" i="16"/>
  <c r="AO23" i="16" s="1"/>
  <c r="AN19" i="16"/>
  <c r="AN36" i="16"/>
  <c r="AM38" i="16"/>
  <c r="AO38" i="16" s="1"/>
  <c r="AM37" i="16"/>
  <c r="AO37" i="16" s="1"/>
  <c r="AM45" i="16"/>
  <c r="AO45" i="16" s="1"/>
  <c r="AN45" i="16"/>
  <c r="AN40" i="16"/>
  <c r="AM57" i="16"/>
  <c r="AO57" i="16" s="1"/>
  <c r="AN57" i="16"/>
  <c r="AM58" i="16"/>
  <c r="AO58" i="16" s="1"/>
  <c r="AM67" i="16"/>
  <c r="AO67" i="16" s="1"/>
  <c r="AN69" i="16"/>
  <c r="AM70" i="16"/>
  <c r="AO70" i="16" s="1"/>
  <c r="AM73" i="16"/>
  <c r="AO73" i="16" s="1"/>
  <c r="AN91" i="16"/>
  <c r="AN96" i="16"/>
  <c r="AN97" i="16"/>
  <c r="AN104" i="16"/>
  <c r="AN100" i="16"/>
  <c r="AN10" i="16"/>
  <c r="AN34" i="16"/>
  <c r="AN33" i="16"/>
  <c r="AM53" i="16"/>
  <c r="AO53" i="16" s="1"/>
  <c r="AM78" i="16"/>
  <c r="AO78" i="16" s="1"/>
  <c r="AM65" i="16"/>
  <c r="AO65" i="16" s="1"/>
  <c r="AM85" i="16"/>
  <c r="AO85" i="16" s="1"/>
  <c r="AN92" i="16"/>
  <c r="AN94" i="16"/>
  <c r="AN20" i="16"/>
  <c r="AM31" i="16"/>
  <c r="AO31" i="16" s="1"/>
  <c r="AN22" i="16"/>
  <c r="AM39" i="16"/>
  <c r="AO39" i="16" s="1"/>
  <c r="AN21" i="16"/>
  <c r="AM48" i="16"/>
  <c r="AO48" i="16" s="1"/>
  <c r="AM49" i="16"/>
  <c r="AO49" i="16" s="1"/>
  <c r="AM50" i="16"/>
  <c r="AO50" i="16" s="1"/>
  <c r="AN42" i="16"/>
  <c r="AN51" i="16"/>
  <c r="AM59" i="16"/>
  <c r="AO59" i="16" s="1"/>
  <c r="AN59" i="16"/>
  <c r="AM69" i="16"/>
  <c r="AO69" i="16" s="1"/>
  <c r="AN74" i="16"/>
  <c r="AM72" i="16"/>
  <c r="AO72" i="16" s="1"/>
  <c r="AM87" i="16"/>
  <c r="AO87" i="16" s="1"/>
  <c r="AM75" i="16"/>
  <c r="AO75" i="16" s="1"/>
  <c r="AN79" i="16"/>
  <c r="AM86" i="16"/>
  <c r="AO86" i="16" s="1"/>
  <c r="AM93" i="16"/>
  <c r="AO93" i="16" s="1"/>
  <c r="AN99" i="16"/>
  <c r="AN102" i="16"/>
  <c r="AM35" i="16"/>
  <c r="AO35" i="16" s="1"/>
  <c r="AN43" i="16"/>
  <c r="AN53" i="16"/>
  <c r="AM56" i="16"/>
  <c r="AO56" i="16" s="1"/>
  <c r="AN67" i="16"/>
  <c r="AM68" i="16"/>
  <c r="AO68" i="16" s="1"/>
  <c r="AN88" i="16"/>
  <c r="AN95" i="16"/>
  <c r="AM13" i="16"/>
  <c r="AO13" i="16" s="1"/>
  <c r="AN8" i="16"/>
  <c r="AN18" i="16"/>
  <c r="AM16" i="16"/>
  <c r="AO16" i="16" s="1"/>
  <c r="AM25" i="16"/>
  <c r="AO25" i="16" s="1"/>
  <c r="AM32" i="16"/>
  <c r="AO32" i="16" s="1"/>
  <c r="AN24" i="16"/>
  <c r="AM40" i="16"/>
  <c r="AO40" i="16" s="1"/>
  <c r="AN23" i="16"/>
  <c r="AN48" i="16"/>
  <c r="AM42" i="16"/>
  <c r="AO42" i="16" s="1"/>
  <c r="AN44" i="16"/>
  <c r="AM61" i="16"/>
  <c r="AO61" i="16" s="1"/>
  <c r="AM60" i="16"/>
  <c r="AO60" i="16" s="1"/>
  <c r="AN75" i="16"/>
  <c r="AM77" i="16"/>
  <c r="AO77" i="16" s="1"/>
  <c r="AN80" i="16"/>
  <c r="AN81" i="16"/>
  <c r="AM95" i="16"/>
  <c r="AO95" i="16" s="1"/>
  <c r="AN101" i="16"/>
  <c r="AM92" i="16"/>
  <c r="AO92" i="16" s="1"/>
  <c r="AN13" i="16"/>
  <c r="AN16" i="16"/>
  <c r="AN12" i="16"/>
  <c r="BI63" i="16"/>
  <c r="AM21" i="16"/>
  <c r="AO21" i="16" s="1"/>
  <c r="AN17" i="16"/>
  <c r="AM27" i="16"/>
  <c r="AO27" i="16" s="1"/>
  <c r="AM10" i="16"/>
  <c r="AO10" i="16" s="1"/>
  <c r="AN26" i="16"/>
  <c r="AN25" i="16"/>
  <c r="AM55" i="16"/>
  <c r="AO55" i="16" s="1"/>
  <c r="AN55" i="16"/>
  <c r="AM44" i="16"/>
  <c r="AO44" i="16" s="1"/>
  <c r="AN46" i="16"/>
  <c r="AN64" i="16"/>
  <c r="AN61" i="16"/>
  <c r="AN71" i="16"/>
  <c r="AM74" i="16"/>
  <c r="AO74" i="16" s="1"/>
  <c r="AN73" i="16"/>
  <c r="AN77" i="16"/>
  <c r="AM81" i="16"/>
  <c r="AO81" i="16" s="1"/>
  <c r="AM79" i="16"/>
  <c r="AO79" i="16" s="1"/>
  <c r="AN83" i="16"/>
  <c r="AM88" i="16"/>
  <c r="AO88" i="16" s="1"/>
  <c r="AM97" i="16"/>
  <c r="AO97" i="16" s="1"/>
  <c r="AN103" i="16"/>
  <c r="AM94" i="16"/>
  <c r="AO94" i="16" s="1"/>
  <c r="AM102" i="16"/>
  <c r="AO102" i="16" s="1"/>
  <c r="AH5" i="16"/>
  <c r="AM6" i="16"/>
  <c r="AO6" i="16" s="1"/>
  <c r="H5" i="19" s="1"/>
  <c r="BG8" i="16"/>
  <c r="BJ8" i="16" s="1"/>
  <c r="AM20" i="16"/>
  <c r="AO20" i="16" s="1"/>
  <c r="AM29" i="16"/>
  <c r="AO29" i="16" s="1"/>
  <c r="AM11" i="16"/>
  <c r="AO11" i="16" s="1"/>
  <c r="AN28" i="16"/>
  <c r="AN35" i="16"/>
  <c r="AN27" i="16"/>
  <c r="AM34" i="16"/>
  <c r="AO34" i="16" s="1"/>
  <c r="AM52" i="16"/>
  <c r="AO52" i="16" s="1"/>
  <c r="AN60" i="16"/>
  <c r="AM46" i="16"/>
  <c r="AO46" i="16" s="1"/>
  <c r="AN47" i="16"/>
  <c r="AN66" i="16"/>
  <c r="AN62" i="16"/>
  <c r="AN52" i="16"/>
  <c r="AM76" i="16"/>
  <c r="AO76" i="16" s="1"/>
  <c r="AM62" i="16"/>
  <c r="AO62" i="16" s="1"/>
  <c r="AN72" i="16"/>
  <c r="AM82" i="16"/>
  <c r="AO82" i="16" s="1"/>
  <c r="AM80" i="16"/>
  <c r="AO80" i="16" s="1"/>
  <c r="AM83" i="16"/>
  <c r="AO83" i="16" s="1"/>
  <c r="AN85" i="16"/>
  <c r="AM91" i="16"/>
  <c r="AO91" i="16" s="1"/>
  <c r="AM99" i="16"/>
  <c r="AO99" i="16" s="1"/>
  <c r="AM104" i="16"/>
  <c r="AO104" i="16" s="1"/>
  <c r="AM96" i="16"/>
  <c r="AO96" i="16" s="1"/>
  <c r="AM71" i="16"/>
  <c r="AO71" i="16" s="1"/>
  <c r="AN14" i="16"/>
  <c r="AX102" i="16"/>
  <c r="AX100" i="16"/>
  <c r="AW102" i="16"/>
  <c r="AY102" i="16" s="1"/>
  <c r="AW100" i="16"/>
  <c r="AY100" i="16" s="1"/>
  <c r="AW98" i="16"/>
  <c r="AY98" i="16" s="1"/>
  <c r="AW96" i="16"/>
  <c r="AY96" i="16" s="1"/>
  <c r="AW94" i="16"/>
  <c r="AY94" i="16" s="1"/>
  <c r="AW92" i="16"/>
  <c r="AY92" i="16" s="1"/>
  <c r="AX104" i="16"/>
  <c r="AW104" i="16"/>
  <c r="AY104" i="16" s="1"/>
  <c r="AX103" i="16"/>
  <c r="AX101" i="16"/>
  <c r="AX99" i="16"/>
  <c r="AX97" i="16"/>
  <c r="AX95" i="16"/>
  <c r="AW103" i="16"/>
  <c r="AY103" i="16" s="1"/>
  <c r="AW101" i="16"/>
  <c r="AY101" i="16" s="1"/>
  <c r="AW99" i="16"/>
  <c r="AY99" i="16" s="1"/>
  <c r="AW97" i="16"/>
  <c r="AY97" i="16" s="1"/>
  <c r="AW95" i="16"/>
  <c r="AY95" i="16" s="1"/>
  <c r="AW93" i="16"/>
  <c r="AY93" i="16" s="1"/>
  <c r="AX90" i="16"/>
  <c r="AW89" i="16"/>
  <c r="AY89" i="16" s="1"/>
  <c r="AX92" i="16"/>
  <c r="AW90" i="16"/>
  <c r="AY90" i="16" s="1"/>
  <c r="AX88" i="16"/>
  <c r="AX86" i="16"/>
  <c r="AX91" i="16"/>
  <c r="AW88" i="16"/>
  <c r="AY88" i="16" s="1"/>
  <c r="AW86" i="16"/>
  <c r="AY86" i="16" s="1"/>
  <c r="AW91" i="16"/>
  <c r="AY91" i="16" s="1"/>
  <c r="AX96" i="16"/>
  <c r="AX94" i="16"/>
  <c r="AX98" i="16"/>
  <c r="AX93" i="16"/>
  <c r="AX87" i="16"/>
  <c r="AX85" i="16"/>
  <c r="AX83" i="16"/>
  <c r="AX81" i="16"/>
  <c r="AX89" i="16"/>
  <c r="AW85" i="16"/>
  <c r="AY85" i="16" s="1"/>
  <c r="AX79" i="16"/>
  <c r="AW87" i="16"/>
  <c r="AY87" i="16" s="1"/>
  <c r="AX80" i="16"/>
  <c r="AW79" i="16"/>
  <c r="AY79" i="16" s="1"/>
  <c r="AW77" i="16"/>
  <c r="AY77" i="16" s="1"/>
  <c r="AW75" i="16"/>
  <c r="AY75" i="16" s="1"/>
  <c r="AW73" i="16"/>
  <c r="AY73" i="16" s="1"/>
  <c r="AX84" i="16"/>
  <c r="AW83" i="16"/>
  <c r="AY83" i="16" s="1"/>
  <c r="AW80" i="16"/>
  <c r="AY80" i="16" s="1"/>
  <c r="AW84" i="16"/>
  <c r="AY84" i="16" s="1"/>
  <c r="AX82" i="16"/>
  <c r="AW82" i="16"/>
  <c r="AY82" i="16" s="1"/>
  <c r="AW81" i="16"/>
  <c r="AY81" i="16" s="1"/>
  <c r="AX78" i="16"/>
  <c r="AX76" i="16"/>
  <c r="AW74" i="16"/>
  <c r="AY74" i="16" s="1"/>
  <c r="AW71" i="16"/>
  <c r="AY71" i="16" s="1"/>
  <c r="AX72" i="16"/>
  <c r="AW70" i="16"/>
  <c r="AY70" i="16" s="1"/>
  <c r="AW68" i="16"/>
  <c r="AY68" i="16" s="1"/>
  <c r="AW66" i="16"/>
  <c r="AY66" i="16" s="1"/>
  <c r="AW64" i="16"/>
  <c r="AY64" i="16" s="1"/>
  <c r="AW62" i="16"/>
  <c r="AY62" i="16" s="1"/>
  <c r="AX75" i="16"/>
  <c r="AW72" i="16"/>
  <c r="AY72" i="16" s="1"/>
  <c r="AW76" i="16"/>
  <c r="AY76" i="16" s="1"/>
  <c r="AX73" i="16"/>
  <c r="AX69" i="16"/>
  <c r="AX67" i="16"/>
  <c r="AX65" i="16"/>
  <c r="AX63" i="16"/>
  <c r="AW78" i="16"/>
  <c r="AY78" i="16" s="1"/>
  <c r="AW69" i="16"/>
  <c r="AY69" i="16" s="1"/>
  <c r="AW67" i="16"/>
  <c r="AY67" i="16" s="1"/>
  <c r="AW65" i="16"/>
  <c r="AY65" i="16" s="1"/>
  <c r="AW63" i="16"/>
  <c r="AY63" i="16" s="1"/>
  <c r="AX77" i="16"/>
  <c r="AX58" i="16"/>
  <c r="AX56" i="16"/>
  <c r="AX54" i="16"/>
  <c r="AX52" i="16"/>
  <c r="AX62" i="16"/>
  <c r="AW58" i="16"/>
  <c r="AY58" i="16" s="1"/>
  <c r="AW56" i="16"/>
  <c r="AY56" i="16" s="1"/>
  <c r="AW54" i="16"/>
  <c r="AY54" i="16" s="1"/>
  <c r="AX70" i="16"/>
  <c r="AX68" i="16"/>
  <c r="AX66" i="16"/>
  <c r="AX74" i="16"/>
  <c r="AX71" i="16"/>
  <c r="AX60" i="16"/>
  <c r="AX59" i="16"/>
  <c r="AX57" i="16"/>
  <c r="AW60" i="16"/>
  <c r="AY60" i="16" s="1"/>
  <c r="AW59" i="16"/>
  <c r="AY59" i="16" s="1"/>
  <c r="AW57" i="16"/>
  <c r="AY57" i="16" s="1"/>
  <c r="AW55" i="16"/>
  <c r="AY55" i="16" s="1"/>
  <c r="AX61" i="16"/>
  <c r="AX64" i="16"/>
  <c r="AX48" i="16"/>
  <c r="AX46" i="16"/>
  <c r="AX44" i="16"/>
  <c r="AX42" i="16"/>
  <c r="AX40" i="16"/>
  <c r="AX55" i="16"/>
  <c r="AW52" i="16"/>
  <c r="AY52" i="16" s="1"/>
  <c r="AX51" i="16"/>
  <c r="AW48" i="16"/>
  <c r="AY48" i="16" s="1"/>
  <c r="AW46" i="16"/>
  <c r="AY46" i="16" s="1"/>
  <c r="AW44" i="16"/>
  <c r="AY44" i="16" s="1"/>
  <c r="AW42" i="16"/>
  <c r="AY42" i="16" s="1"/>
  <c r="AW51" i="16"/>
  <c r="AY51" i="16" s="1"/>
  <c r="AX47" i="16"/>
  <c r="AX53" i="16"/>
  <c r="AX50" i="16"/>
  <c r="AW53" i="16"/>
  <c r="AY53" i="16" s="1"/>
  <c r="AW50" i="16"/>
  <c r="AY50" i="16" s="1"/>
  <c r="AX45" i="16"/>
  <c r="AX43" i="16"/>
  <c r="AX41" i="16"/>
  <c r="AX39" i="16"/>
  <c r="AW61" i="16"/>
  <c r="AY61" i="16" s="1"/>
  <c r="AX49" i="16"/>
  <c r="AW45" i="16"/>
  <c r="AY45" i="16" s="1"/>
  <c r="AW49" i="16"/>
  <c r="AY49" i="16" s="1"/>
  <c r="AX36" i="16"/>
  <c r="AW34" i="16"/>
  <c r="AY34" i="16" s="1"/>
  <c r="AW47" i="16"/>
  <c r="AY47" i="16" s="1"/>
  <c r="AX37" i="16"/>
  <c r="AW36" i="16"/>
  <c r="AY36" i="16" s="1"/>
  <c r="AW39" i="16"/>
  <c r="AY39" i="16" s="1"/>
  <c r="AW37" i="16"/>
  <c r="AY37" i="16" s="1"/>
  <c r="AW40" i="16"/>
  <c r="AY40" i="16" s="1"/>
  <c r="AX38" i="16"/>
  <c r="AX33" i="16"/>
  <c r="AX31" i="16"/>
  <c r="AX29" i="16"/>
  <c r="AX27" i="16"/>
  <c r="AX25" i="16"/>
  <c r="AX23" i="16"/>
  <c r="AX21" i="16"/>
  <c r="AX19" i="16"/>
  <c r="AW38" i="16"/>
  <c r="AY38" i="16" s="1"/>
  <c r="AW33" i="16"/>
  <c r="AY33" i="16" s="1"/>
  <c r="AW41" i="16"/>
  <c r="AY41" i="16" s="1"/>
  <c r="AX35" i="16"/>
  <c r="AW43" i="16"/>
  <c r="AY43" i="16" s="1"/>
  <c r="AW35" i="16"/>
  <c r="AY35" i="16" s="1"/>
  <c r="AX34" i="16"/>
  <c r="AX32" i="16"/>
  <c r="AX30" i="16"/>
  <c r="AX28" i="16"/>
  <c r="AX26" i="16"/>
  <c r="AX24" i="16"/>
  <c r="AX22" i="16"/>
  <c r="AW32" i="16"/>
  <c r="AY32" i="16" s="1"/>
  <c r="AW27" i="16"/>
  <c r="AY27" i="16" s="1"/>
  <c r="AW24" i="16"/>
  <c r="AY24" i="16" s="1"/>
  <c r="AW22" i="16"/>
  <c r="AY22" i="16" s="1"/>
  <c r="AW29" i="16"/>
  <c r="AY29" i="16" s="1"/>
  <c r="AW21" i="16"/>
  <c r="AY21" i="16" s="1"/>
  <c r="AX14" i="16"/>
  <c r="AX11" i="16"/>
  <c r="AW10" i="16"/>
  <c r="AY10" i="16" s="1"/>
  <c r="AW8" i="16"/>
  <c r="AY8" i="16" s="1"/>
  <c r="AX15" i="16"/>
  <c r="AW14" i="16"/>
  <c r="AY14" i="16" s="1"/>
  <c r="AW28" i="16"/>
  <c r="AY28" i="16" s="1"/>
  <c r="AW30" i="16"/>
  <c r="AY30" i="16" s="1"/>
  <c r="AW26" i="16"/>
  <c r="AY26" i="16" s="1"/>
  <c r="AX16" i="16"/>
  <c r="AX12" i="16"/>
  <c r="AX9" i="16"/>
  <c r="AX20" i="16"/>
  <c r="AW17" i="16"/>
  <c r="AY17" i="16" s="1"/>
  <c r="AW25" i="16"/>
  <c r="AY25" i="16" s="1"/>
  <c r="AW23" i="16"/>
  <c r="AY23" i="16" s="1"/>
  <c r="AW20" i="16"/>
  <c r="AY20" i="16" s="1"/>
  <c r="AX18" i="16"/>
  <c r="AW13" i="16"/>
  <c r="AY13" i="16" s="1"/>
  <c r="AW16" i="16"/>
  <c r="AY16" i="16" s="1"/>
  <c r="AX10" i="16"/>
  <c r="AX7" i="16"/>
  <c r="AX5" i="16"/>
  <c r="G12" i="19" s="1"/>
  <c r="AW31" i="16"/>
  <c r="AY31" i="16" s="1"/>
  <c r="AW12" i="16"/>
  <c r="AY12" i="16" s="1"/>
  <c r="AW11" i="16"/>
  <c r="AY11" i="16" s="1"/>
  <c r="AW7" i="16"/>
  <c r="AY7" i="16" s="1"/>
  <c r="AW5" i="16"/>
  <c r="AY5" i="16" s="1"/>
  <c r="H12" i="19" s="1"/>
  <c r="AX13" i="16"/>
  <c r="AW9" i="16"/>
  <c r="AY9" i="16" s="1"/>
  <c r="AW18" i="16"/>
  <c r="AY18" i="16" s="1"/>
  <c r="AX17" i="16"/>
  <c r="AX6" i="16"/>
  <c r="G13" i="19" s="1"/>
  <c r="AW19" i="16"/>
  <c r="AY19" i="16" s="1"/>
  <c r="AX8" i="16"/>
  <c r="AW6" i="16"/>
  <c r="AY6" i="16" s="1"/>
  <c r="H13" i="19" s="1"/>
  <c r="AW15" i="16"/>
  <c r="AY15" i="16" s="1"/>
  <c r="AF5" i="16"/>
  <c r="AM28" i="16"/>
  <c r="AO28" i="16" s="1"/>
  <c r="AM22" i="16"/>
  <c r="AO22" i="16" s="1"/>
  <c r="AM15" i="16"/>
  <c r="AO15" i="16" s="1"/>
  <c r="AM14" i="16"/>
  <c r="AO14" i="16" s="1"/>
  <c r="AN30" i="16"/>
  <c r="AN29" i="16"/>
  <c r="AN38" i="16"/>
  <c r="AM36" i="16"/>
  <c r="AO36" i="16" s="1"/>
  <c r="AN39" i="16"/>
  <c r="AM47" i="16"/>
  <c r="AO47" i="16" s="1"/>
  <c r="AN68" i="16"/>
  <c r="AN54" i="16"/>
  <c r="AN63" i="16"/>
  <c r="AM64" i="16"/>
  <c r="AO64" i="16" s="1"/>
  <c r="AN76" i="16"/>
  <c r="AN90" i="16"/>
  <c r="AM84" i="16"/>
  <c r="AO84" i="16" s="1"/>
  <c r="AN84" i="16"/>
  <c r="AN87" i="16"/>
  <c r="AN93" i="16"/>
  <c r="AM90" i="16"/>
  <c r="AO90" i="16" s="1"/>
  <c r="AM101" i="16"/>
  <c r="AO101" i="16" s="1"/>
  <c r="AM98" i="16"/>
  <c r="AO98" i="16" s="1"/>
  <c r="AN6" i="16"/>
  <c r="G5" i="19" s="1"/>
  <c r="AM18" i="16"/>
  <c r="AO18" i="16" s="1"/>
  <c r="AM30" i="16"/>
  <c r="AO30" i="16" s="1"/>
  <c r="AM24" i="16"/>
  <c r="AO24" i="16" s="1"/>
  <c r="AN15" i="16"/>
  <c r="AN32" i="16"/>
  <c r="AM33" i="16"/>
  <c r="AO33" i="16" s="1"/>
  <c r="AN31" i="16"/>
  <c r="AM43" i="16"/>
  <c r="AO43" i="16" s="1"/>
  <c r="AN37" i="16"/>
  <c r="AN41" i="16"/>
  <c r="AN49" i="16"/>
  <c r="AN50" i="16"/>
  <c r="AM51" i="16"/>
  <c r="AO51" i="16" s="1"/>
  <c r="AN70" i="16"/>
  <c r="AM54" i="16"/>
  <c r="AO54" i="16" s="1"/>
  <c r="AN56" i="16"/>
  <c r="AM63" i="16"/>
  <c r="AO63" i="16" s="1"/>
  <c r="AN65" i="16"/>
  <c r="AM66" i="16"/>
  <c r="AO66" i="16" s="1"/>
  <c r="AN78" i="16"/>
  <c r="AN82" i="16"/>
  <c r="AM89" i="16"/>
  <c r="AO89" i="16" s="1"/>
  <c r="AN89" i="16"/>
  <c r="AN86" i="16"/>
  <c r="AM103" i="16"/>
  <c r="AO103" i="16" s="1"/>
  <c r="AM100" i="16"/>
  <c r="AO100" i="16" s="1"/>
  <c r="CD6" i="18" l="1"/>
  <c r="BP6" i="8" s="1"/>
  <c r="CE6" i="18"/>
  <c r="BQ6" i="8" s="1"/>
  <c r="CF6" i="18"/>
  <c r="BR6" i="8" s="1"/>
  <c r="CD7" i="18"/>
  <c r="BP7" i="8" s="1"/>
  <c r="CE7" i="18"/>
  <c r="BQ7" i="8" s="1"/>
  <c r="CF7" i="18"/>
  <c r="BR7" i="8" s="1"/>
  <c r="CD8" i="18"/>
  <c r="BP8" i="8" s="1"/>
  <c r="CE8" i="18"/>
  <c r="BQ8" i="8" s="1"/>
  <c r="CF8" i="18"/>
  <c r="BR8" i="8" s="1"/>
  <c r="CD9" i="18"/>
  <c r="BP9" i="8" s="1"/>
  <c r="CE9" i="18"/>
  <c r="BQ9" i="8" s="1"/>
  <c r="CF9" i="18"/>
  <c r="BR9" i="8" s="1"/>
  <c r="CD10" i="18"/>
  <c r="BP10" i="8" s="1"/>
  <c r="CE10" i="18"/>
  <c r="BQ10" i="8" s="1"/>
  <c r="CF10" i="18"/>
  <c r="BR10" i="8" s="1"/>
  <c r="CD11" i="18"/>
  <c r="BP11" i="8" s="1"/>
  <c r="CE11" i="18"/>
  <c r="BQ11" i="8" s="1"/>
  <c r="CF11" i="18"/>
  <c r="BR11" i="8" s="1"/>
  <c r="CD12" i="18"/>
  <c r="BP12" i="8" s="1"/>
  <c r="CE12" i="18"/>
  <c r="BQ12" i="8" s="1"/>
  <c r="CF12" i="18"/>
  <c r="BR12" i="8" s="1"/>
  <c r="CD13" i="18"/>
  <c r="BP13" i="8" s="1"/>
  <c r="CE13" i="18"/>
  <c r="BQ13" i="8" s="1"/>
  <c r="CF13" i="18"/>
  <c r="BR13" i="8" s="1"/>
  <c r="CD14" i="18"/>
  <c r="BP14" i="8" s="1"/>
  <c r="CE14" i="18"/>
  <c r="BQ14" i="8" s="1"/>
  <c r="CF14" i="18"/>
  <c r="BR14" i="8" s="1"/>
  <c r="CD15" i="18"/>
  <c r="BP15" i="8" s="1"/>
  <c r="CE15" i="18"/>
  <c r="BQ15" i="8" s="1"/>
  <c r="CF15" i="18"/>
  <c r="BR15" i="8" s="1"/>
  <c r="CD16" i="18"/>
  <c r="BP16" i="8" s="1"/>
  <c r="CE16" i="18"/>
  <c r="BQ16" i="8" s="1"/>
  <c r="CF16" i="18"/>
  <c r="BR16" i="8" s="1"/>
  <c r="CD17" i="18"/>
  <c r="BP17" i="8" s="1"/>
  <c r="CE17" i="18"/>
  <c r="BQ17" i="8" s="1"/>
  <c r="CF17" i="18"/>
  <c r="BR17" i="8" s="1"/>
  <c r="CD18" i="18"/>
  <c r="BP18" i="8" s="1"/>
  <c r="CE18" i="18"/>
  <c r="BQ18" i="8" s="1"/>
  <c r="CF18" i="18"/>
  <c r="BR18" i="8" s="1"/>
  <c r="CD19" i="18"/>
  <c r="BP19" i="8" s="1"/>
  <c r="CE19" i="18"/>
  <c r="BQ19" i="8" s="1"/>
  <c r="CF19" i="18"/>
  <c r="BR19" i="8" s="1"/>
  <c r="CD20" i="18"/>
  <c r="BP20" i="8" s="1"/>
  <c r="CE20" i="18"/>
  <c r="BQ20" i="8" s="1"/>
  <c r="CF20" i="18"/>
  <c r="BR20" i="8" s="1"/>
  <c r="CD21" i="18"/>
  <c r="BP21" i="8" s="1"/>
  <c r="CE21" i="18"/>
  <c r="BQ21" i="8" s="1"/>
  <c r="CF21" i="18"/>
  <c r="BR21" i="8" s="1"/>
  <c r="CD22" i="18"/>
  <c r="BP22" i="8" s="1"/>
  <c r="CE22" i="18"/>
  <c r="BQ22" i="8" s="1"/>
  <c r="CF22" i="18"/>
  <c r="BR22" i="8" s="1"/>
  <c r="CD23" i="18"/>
  <c r="BP23" i="8" s="1"/>
  <c r="CE23" i="18"/>
  <c r="BQ23" i="8" s="1"/>
  <c r="CF23" i="18"/>
  <c r="BR23" i="8" s="1"/>
  <c r="CD24" i="18"/>
  <c r="BP24" i="8" s="1"/>
  <c r="CE24" i="18"/>
  <c r="BQ24" i="8" s="1"/>
  <c r="CF24" i="18"/>
  <c r="BR24" i="8" s="1"/>
  <c r="CD25" i="18"/>
  <c r="BP25" i="8" s="1"/>
  <c r="CE25" i="18"/>
  <c r="BQ25" i="8" s="1"/>
  <c r="CF25" i="18"/>
  <c r="BR25" i="8" s="1"/>
  <c r="CD26" i="18"/>
  <c r="BP26" i="8" s="1"/>
  <c r="CE26" i="18"/>
  <c r="BQ26" i="8" s="1"/>
  <c r="CF26" i="18"/>
  <c r="BR26" i="8" s="1"/>
  <c r="CD27" i="18"/>
  <c r="BP27" i="8" s="1"/>
  <c r="CE27" i="18"/>
  <c r="BQ27" i="8" s="1"/>
  <c r="CF27" i="18"/>
  <c r="BR27" i="8" s="1"/>
  <c r="CD28" i="18"/>
  <c r="BP28" i="8" s="1"/>
  <c r="CE28" i="18"/>
  <c r="BQ28" i="8" s="1"/>
  <c r="CF28" i="18"/>
  <c r="BR28" i="8" s="1"/>
  <c r="CD29" i="18"/>
  <c r="BP29" i="8" s="1"/>
  <c r="CE29" i="18"/>
  <c r="BQ29" i="8" s="1"/>
  <c r="CF29" i="18"/>
  <c r="BR29" i="8" s="1"/>
  <c r="CD30" i="18"/>
  <c r="BP30" i="8" s="1"/>
  <c r="CE30" i="18"/>
  <c r="BQ30" i="8" s="1"/>
  <c r="CF30" i="18"/>
  <c r="BR30" i="8" s="1"/>
  <c r="CD31" i="18"/>
  <c r="BP31" i="8" s="1"/>
  <c r="CE31" i="18"/>
  <c r="BQ31" i="8" s="1"/>
  <c r="CF31" i="18"/>
  <c r="BR31" i="8" s="1"/>
  <c r="CD32" i="18"/>
  <c r="BP32" i="8" s="1"/>
  <c r="CE32" i="18"/>
  <c r="BQ32" i="8" s="1"/>
  <c r="CF32" i="18"/>
  <c r="BR32" i="8" s="1"/>
  <c r="CD33" i="18"/>
  <c r="BP33" i="8" s="1"/>
  <c r="CE33" i="18"/>
  <c r="BQ33" i="8" s="1"/>
  <c r="CF33" i="18"/>
  <c r="BR33" i="8" s="1"/>
  <c r="CD34" i="18"/>
  <c r="BP34" i="8" s="1"/>
  <c r="CE34" i="18"/>
  <c r="BQ34" i="8" s="1"/>
  <c r="CF34" i="18"/>
  <c r="BR34" i="8" s="1"/>
  <c r="CD35" i="18"/>
  <c r="BP35" i="8" s="1"/>
  <c r="CE35" i="18"/>
  <c r="BQ35" i="8" s="1"/>
  <c r="CF35" i="18"/>
  <c r="BR35" i="8" s="1"/>
  <c r="CD36" i="18"/>
  <c r="BP36" i="8" s="1"/>
  <c r="CE36" i="18"/>
  <c r="BQ36" i="8" s="1"/>
  <c r="CF36" i="18"/>
  <c r="BR36" i="8" s="1"/>
  <c r="CD37" i="18"/>
  <c r="BP37" i="8" s="1"/>
  <c r="CE37" i="18"/>
  <c r="BQ37" i="8" s="1"/>
  <c r="CF37" i="18"/>
  <c r="BR37" i="8" s="1"/>
  <c r="CD38" i="18"/>
  <c r="BP38" i="8" s="1"/>
  <c r="CE38" i="18"/>
  <c r="BQ38" i="8" s="1"/>
  <c r="CF38" i="18"/>
  <c r="BR38" i="8" s="1"/>
  <c r="CD39" i="18"/>
  <c r="BP39" i="8" s="1"/>
  <c r="CE39" i="18"/>
  <c r="BQ39" i="8" s="1"/>
  <c r="CF39" i="18"/>
  <c r="BR39" i="8" s="1"/>
  <c r="CD40" i="18"/>
  <c r="BP40" i="8" s="1"/>
  <c r="CE40" i="18"/>
  <c r="BQ40" i="8" s="1"/>
  <c r="CF40" i="18"/>
  <c r="BR40" i="8" s="1"/>
  <c r="CD41" i="18"/>
  <c r="BP41" i="8" s="1"/>
  <c r="CE41" i="18"/>
  <c r="BQ41" i="8" s="1"/>
  <c r="CF41" i="18"/>
  <c r="BR41" i="8" s="1"/>
  <c r="CD42" i="18"/>
  <c r="BP42" i="8" s="1"/>
  <c r="CE42" i="18"/>
  <c r="BQ42" i="8" s="1"/>
  <c r="CF42" i="18"/>
  <c r="BR42" i="8" s="1"/>
  <c r="CD43" i="18"/>
  <c r="BP43" i="8" s="1"/>
  <c r="CE43" i="18"/>
  <c r="BQ43" i="8" s="1"/>
  <c r="CF43" i="18"/>
  <c r="BR43" i="8" s="1"/>
  <c r="CD44" i="18"/>
  <c r="BP44" i="8" s="1"/>
  <c r="CE44" i="18"/>
  <c r="BQ44" i="8" s="1"/>
  <c r="CF44" i="18"/>
  <c r="BR44" i="8" s="1"/>
  <c r="CD45" i="18"/>
  <c r="BP45" i="8" s="1"/>
  <c r="CE45" i="18"/>
  <c r="BQ45" i="8" s="1"/>
  <c r="CF45" i="18"/>
  <c r="BR45" i="8" s="1"/>
  <c r="CD46" i="18"/>
  <c r="BP46" i="8" s="1"/>
  <c r="CE46" i="18"/>
  <c r="BQ46" i="8" s="1"/>
  <c r="CF46" i="18"/>
  <c r="BR46" i="8" s="1"/>
  <c r="CD47" i="18"/>
  <c r="BP47" i="8" s="1"/>
  <c r="CE47" i="18"/>
  <c r="BQ47" i="8" s="1"/>
  <c r="CF47" i="18"/>
  <c r="BR47" i="8" s="1"/>
  <c r="CD48" i="18"/>
  <c r="BP48" i="8" s="1"/>
  <c r="CE48" i="18"/>
  <c r="BQ48" i="8" s="1"/>
  <c r="CF48" i="18"/>
  <c r="BR48" i="8" s="1"/>
  <c r="CD49" i="18"/>
  <c r="BP49" i="8" s="1"/>
  <c r="CE49" i="18"/>
  <c r="BQ49" i="8" s="1"/>
  <c r="CF49" i="18"/>
  <c r="BR49" i="8" s="1"/>
  <c r="CD50" i="18"/>
  <c r="BP50" i="8" s="1"/>
  <c r="CE50" i="18"/>
  <c r="BQ50" i="8" s="1"/>
  <c r="CF50" i="18"/>
  <c r="BR50" i="8" s="1"/>
  <c r="CD51" i="18"/>
  <c r="BP51" i="8" s="1"/>
  <c r="CE51" i="18"/>
  <c r="BQ51" i="8" s="1"/>
  <c r="CF51" i="18"/>
  <c r="BR51" i="8" s="1"/>
  <c r="CD52" i="18"/>
  <c r="BP52" i="8" s="1"/>
  <c r="CE52" i="18"/>
  <c r="BQ52" i="8" s="1"/>
  <c r="CF52" i="18"/>
  <c r="BR52" i="8" s="1"/>
  <c r="CD53" i="18"/>
  <c r="BP53" i="8" s="1"/>
  <c r="CE53" i="18"/>
  <c r="BQ53" i="8" s="1"/>
  <c r="CF53" i="18"/>
  <c r="BR53" i="8" s="1"/>
  <c r="CD54" i="18"/>
  <c r="BP54" i="8" s="1"/>
  <c r="CE54" i="18"/>
  <c r="BQ54" i="8" s="1"/>
  <c r="CF54" i="18"/>
  <c r="BR54" i="8" s="1"/>
  <c r="CD55" i="18"/>
  <c r="BP55" i="8" s="1"/>
  <c r="CE55" i="18"/>
  <c r="BQ55" i="8" s="1"/>
  <c r="CF55" i="18"/>
  <c r="BR55" i="8" s="1"/>
  <c r="CD56" i="18"/>
  <c r="BP56" i="8" s="1"/>
  <c r="CE56" i="18"/>
  <c r="BQ56" i="8" s="1"/>
  <c r="CF56" i="18"/>
  <c r="BR56" i="8" s="1"/>
  <c r="CD57" i="18"/>
  <c r="BP57" i="8" s="1"/>
  <c r="CE57" i="18"/>
  <c r="BQ57" i="8" s="1"/>
  <c r="CF57" i="18"/>
  <c r="BR57" i="8" s="1"/>
  <c r="CD58" i="18"/>
  <c r="BP58" i="8" s="1"/>
  <c r="CE58" i="18"/>
  <c r="BQ58" i="8" s="1"/>
  <c r="CF58" i="18"/>
  <c r="BR58" i="8" s="1"/>
  <c r="CD59" i="18"/>
  <c r="BP59" i="8" s="1"/>
  <c r="CE59" i="18"/>
  <c r="BQ59" i="8" s="1"/>
  <c r="CF59" i="18"/>
  <c r="BR59" i="8" s="1"/>
  <c r="CD60" i="18"/>
  <c r="BP60" i="8" s="1"/>
  <c r="CE60" i="18"/>
  <c r="BQ60" i="8" s="1"/>
  <c r="CF60" i="18"/>
  <c r="BR60" i="8" s="1"/>
  <c r="CD61" i="18"/>
  <c r="BP61" i="8" s="1"/>
  <c r="CE61" i="18"/>
  <c r="BQ61" i="8" s="1"/>
  <c r="CF61" i="18"/>
  <c r="BR61" i="8" s="1"/>
  <c r="CD62" i="18"/>
  <c r="BP62" i="8" s="1"/>
  <c r="CE62" i="18"/>
  <c r="BQ62" i="8" s="1"/>
  <c r="CF62" i="18"/>
  <c r="BR62" i="8" s="1"/>
  <c r="CD63" i="18"/>
  <c r="BP63" i="8" s="1"/>
  <c r="CE63" i="18"/>
  <c r="BQ63" i="8" s="1"/>
  <c r="CF63" i="18"/>
  <c r="BR63" i="8" s="1"/>
  <c r="CD64" i="18"/>
  <c r="BP64" i="8" s="1"/>
  <c r="CE64" i="18"/>
  <c r="BQ64" i="8" s="1"/>
  <c r="CF64" i="18"/>
  <c r="BR64" i="8" s="1"/>
  <c r="CD65" i="18"/>
  <c r="BP65" i="8" s="1"/>
  <c r="CE65" i="18"/>
  <c r="BQ65" i="8" s="1"/>
  <c r="CF65" i="18"/>
  <c r="BR65" i="8" s="1"/>
  <c r="CD66" i="18"/>
  <c r="BP66" i="8" s="1"/>
  <c r="CE66" i="18"/>
  <c r="BQ66" i="8" s="1"/>
  <c r="CF66" i="18"/>
  <c r="BR66" i="8" s="1"/>
  <c r="CD67" i="18"/>
  <c r="BP67" i="8" s="1"/>
  <c r="CE67" i="18"/>
  <c r="BQ67" i="8" s="1"/>
  <c r="CF67" i="18"/>
  <c r="BR67" i="8" s="1"/>
  <c r="CD68" i="18"/>
  <c r="BP68" i="8" s="1"/>
  <c r="CE68" i="18"/>
  <c r="BQ68" i="8" s="1"/>
  <c r="CF68" i="18"/>
  <c r="BR68" i="8" s="1"/>
  <c r="CD69" i="18"/>
  <c r="BP69" i="8" s="1"/>
  <c r="CE69" i="18"/>
  <c r="BQ69" i="8" s="1"/>
  <c r="CF69" i="18"/>
  <c r="BR69" i="8" s="1"/>
  <c r="CD70" i="18"/>
  <c r="BP70" i="8" s="1"/>
  <c r="CE70" i="18"/>
  <c r="BQ70" i="8" s="1"/>
  <c r="CF70" i="18"/>
  <c r="BR70" i="8" s="1"/>
  <c r="CD71" i="18"/>
  <c r="BP71" i="8" s="1"/>
  <c r="CE71" i="18"/>
  <c r="BQ71" i="8" s="1"/>
  <c r="CF71" i="18"/>
  <c r="BR71" i="8" s="1"/>
  <c r="CD72" i="18"/>
  <c r="BP72" i="8" s="1"/>
  <c r="CE72" i="18"/>
  <c r="BQ72" i="8" s="1"/>
  <c r="CF72" i="18"/>
  <c r="BR72" i="8" s="1"/>
  <c r="CD73" i="18"/>
  <c r="BP73" i="8" s="1"/>
  <c r="CE73" i="18"/>
  <c r="BQ73" i="8" s="1"/>
  <c r="CF73" i="18"/>
  <c r="BR73" i="8" s="1"/>
  <c r="CD74" i="18"/>
  <c r="BP74" i="8" s="1"/>
  <c r="CE74" i="18"/>
  <c r="BQ74" i="8" s="1"/>
  <c r="CF74" i="18"/>
  <c r="BR74" i="8" s="1"/>
  <c r="CD75" i="18"/>
  <c r="BP75" i="8" s="1"/>
  <c r="CE75" i="18"/>
  <c r="BQ75" i="8" s="1"/>
  <c r="CF75" i="18"/>
  <c r="BR75" i="8" s="1"/>
  <c r="CD76" i="18"/>
  <c r="BP76" i="8" s="1"/>
  <c r="CE76" i="18"/>
  <c r="BQ76" i="8" s="1"/>
  <c r="CF76" i="18"/>
  <c r="BR76" i="8" s="1"/>
  <c r="CD77" i="18"/>
  <c r="BP77" i="8" s="1"/>
  <c r="CE77" i="18"/>
  <c r="BQ77" i="8" s="1"/>
  <c r="CF77" i="18"/>
  <c r="BR77" i="8" s="1"/>
  <c r="CD78" i="18"/>
  <c r="BP78" i="8" s="1"/>
  <c r="CE78" i="18"/>
  <c r="BQ78" i="8" s="1"/>
  <c r="CF78" i="18"/>
  <c r="BR78" i="8" s="1"/>
  <c r="CD79" i="18"/>
  <c r="BP79" i="8" s="1"/>
  <c r="CE79" i="18"/>
  <c r="BQ79" i="8" s="1"/>
  <c r="CF79" i="18"/>
  <c r="BR79" i="8" s="1"/>
  <c r="CD80" i="18"/>
  <c r="BP80" i="8" s="1"/>
  <c r="CE80" i="18"/>
  <c r="BQ80" i="8" s="1"/>
  <c r="CF80" i="18"/>
  <c r="BR80" i="8" s="1"/>
  <c r="CD81" i="18"/>
  <c r="BP81" i="8" s="1"/>
  <c r="CE81" i="18"/>
  <c r="BQ81" i="8" s="1"/>
  <c r="CF81" i="18"/>
  <c r="BR81" i="8" s="1"/>
  <c r="CD82" i="18"/>
  <c r="BP82" i="8" s="1"/>
  <c r="CE82" i="18"/>
  <c r="BQ82" i="8" s="1"/>
  <c r="CF82" i="18"/>
  <c r="BR82" i="8" s="1"/>
  <c r="CD83" i="18"/>
  <c r="BP83" i="8" s="1"/>
  <c r="CE83" i="18"/>
  <c r="BQ83" i="8" s="1"/>
  <c r="CF83" i="18"/>
  <c r="BR83" i="8" s="1"/>
  <c r="CD84" i="18"/>
  <c r="BP84" i="8" s="1"/>
  <c r="CE84" i="18"/>
  <c r="BQ84" i="8" s="1"/>
  <c r="CF84" i="18"/>
  <c r="BR84" i="8" s="1"/>
  <c r="CD85" i="18"/>
  <c r="BP85" i="8" s="1"/>
  <c r="CE85" i="18"/>
  <c r="BQ85" i="8" s="1"/>
  <c r="CF85" i="18"/>
  <c r="BR85" i="8" s="1"/>
  <c r="CD86" i="18"/>
  <c r="BP86" i="8" s="1"/>
  <c r="CE86" i="18"/>
  <c r="BQ86" i="8" s="1"/>
  <c r="CF86" i="18"/>
  <c r="BR86" i="8" s="1"/>
  <c r="CD87" i="18"/>
  <c r="BP87" i="8" s="1"/>
  <c r="CE87" i="18"/>
  <c r="BQ87" i="8" s="1"/>
  <c r="CF87" i="18"/>
  <c r="BR87" i="8" s="1"/>
  <c r="CD88" i="18"/>
  <c r="BP88" i="8" s="1"/>
  <c r="CE88" i="18"/>
  <c r="BQ88" i="8" s="1"/>
  <c r="CF88" i="18"/>
  <c r="BR88" i="8" s="1"/>
  <c r="CD89" i="18"/>
  <c r="BP89" i="8" s="1"/>
  <c r="CE89" i="18"/>
  <c r="BQ89" i="8" s="1"/>
  <c r="CF89" i="18"/>
  <c r="BR89" i="8" s="1"/>
  <c r="CD90" i="18"/>
  <c r="BP90" i="8" s="1"/>
  <c r="CE90" i="18"/>
  <c r="BQ90" i="8" s="1"/>
  <c r="CF90" i="18"/>
  <c r="BR90" i="8" s="1"/>
  <c r="CD91" i="18"/>
  <c r="BP91" i="8" s="1"/>
  <c r="CE91" i="18"/>
  <c r="BQ91" i="8" s="1"/>
  <c r="CF91" i="18"/>
  <c r="BR91" i="8" s="1"/>
  <c r="CD92" i="18"/>
  <c r="BP92" i="8" s="1"/>
  <c r="CE92" i="18"/>
  <c r="BQ92" i="8" s="1"/>
  <c r="CF92" i="18"/>
  <c r="BR92" i="8" s="1"/>
  <c r="CD93" i="18"/>
  <c r="BP93" i="8" s="1"/>
  <c r="CE93" i="18"/>
  <c r="BQ93" i="8" s="1"/>
  <c r="CF93" i="18"/>
  <c r="BR93" i="8" s="1"/>
  <c r="CD94" i="18"/>
  <c r="BP94" i="8" s="1"/>
  <c r="CE94" i="18"/>
  <c r="BQ94" i="8" s="1"/>
  <c r="CF94" i="18"/>
  <c r="BR94" i="8" s="1"/>
  <c r="CD95" i="18"/>
  <c r="BP95" i="8" s="1"/>
  <c r="CE95" i="18"/>
  <c r="BQ95" i="8" s="1"/>
  <c r="CF95" i="18"/>
  <c r="BR95" i="8" s="1"/>
  <c r="CD96" i="18"/>
  <c r="BP96" i="8" s="1"/>
  <c r="CE96" i="18"/>
  <c r="BQ96" i="8" s="1"/>
  <c r="CF96" i="18"/>
  <c r="BR96" i="8" s="1"/>
  <c r="CD97" i="18"/>
  <c r="BP97" i="8" s="1"/>
  <c r="CE97" i="18"/>
  <c r="BQ97" i="8" s="1"/>
  <c r="CF97" i="18"/>
  <c r="BR97" i="8" s="1"/>
  <c r="CD98" i="18"/>
  <c r="BP98" i="8" s="1"/>
  <c r="CE98" i="18"/>
  <c r="BQ98" i="8" s="1"/>
  <c r="CF98" i="18"/>
  <c r="BR98" i="8" s="1"/>
  <c r="CD99" i="18"/>
  <c r="BP99" i="8" s="1"/>
  <c r="CE99" i="18"/>
  <c r="BQ99" i="8" s="1"/>
  <c r="CF99" i="18"/>
  <c r="BR99" i="8" s="1"/>
  <c r="CD100" i="18"/>
  <c r="BP100" i="8" s="1"/>
  <c r="CE100" i="18"/>
  <c r="BQ100" i="8" s="1"/>
  <c r="CF100" i="18"/>
  <c r="BR100" i="8" s="1"/>
  <c r="CD101" i="18"/>
  <c r="BP101" i="8" s="1"/>
  <c r="CE101" i="18"/>
  <c r="BQ101" i="8" s="1"/>
  <c r="CF101" i="18"/>
  <c r="BR101" i="8" s="1"/>
  <c r="CD102" i="18"/>
  <c r="BP102" i="8" s="1"/>
  <c r="CE102" i="18"/>
  <c r="BQ102" i="8" s="1"/>
  <c r="CF102" i="18"/>
  <c r="BR102" i="8" s="1"/>
  <c r="CD103" i="18"/>
  <c r="BP103" i="8" s="1"/>
  <c r="CE103" i="18"/>
  <c r="BQ103" i="8" s="1"/>
  <c r="CF103" i="18"/>
  <c r="BR103" i="8" s="1"/>
  <c r="CD104" i="18"/>
  <c r="BP104" i="8" s="1"/>
  <c r="CE104" i="18"/>
  <c r="BQ104" i="8" s="1"/>
  <c r="CF104" i="18"/>
  <c r="BR104" i="8" s="1"/>
  <c r="CF5" i="18"/>
  <c r="CE5" i="18"/>
  <c r="CD5" i="18"/>
  <c r="G28" i="19"/>
  <c r="BR5" i="16"/>
  <c r="H28" i="19"/>
  <c r="BS5" i="16"/>
  <c r="BR5" i="8"/>
  <c r="D28" i="19"/>
  <c r="BP5" i="8"/>
  <c r="AJ29" i="17"/>
  <c r="AB29" i="17"/>
  <c r="AJ81" i="17"/>
  <c r="AB81" i="17"/>
  <c r="BG5" i="16"/>
  <c r="BJ5" i="16" s="1"/>
  <c r="H20" i="19" s="1"/>
  <c r="AB15" i="16"/>
  <c r="AJ15" i="16"/>
  <c r="AJ16" i="16"/>
  <c r="AB16" i="16"/>
  <c r="AB17" i="16"/>
  <c r="AJ17" i="16"/>
  <c r="AJ18" i="16"/>
  <c r="AB18" i="16"/>
  <c r="AB19" i="16"/>
  <c r="AJ19" i="16"/>
  <c r="AJ20" i="16"/>
  <c r="AB20" i="16"/>
  <c r="AB21" i="16"/>
  <c r="AJ21" i="16"/>
  <c r="AJ22" i="16"/>
  <c r="AB22" i="16"/>
  <c r="AJ23" i="16"/>
  <c r="AB23" i="16"/>
  <c r="AJ24" i="16"/>
  <c r="AB24" i="16"/>
  <c r="AB25" i="16"/>
  <c r="AJ25" i="16"/>
  <c r="AJ26" i="16"/>
  <c r="AB26" i="16"/>
  <c r="AJ27" i="16"/>
  <c r="AB27" i="16"/>
  <c r="AB29" i="16"/>
  <c r="AJ29" i="16"/>
  <c r="AJ30" i="16"/>
  <c r="AB30" i="16"/>
  <c r="AJ31" i="16"/>
  <c r="AB31" i="16"/>
  <c r="AJ32" i="16"/>
  <c r="AB32" i="16"/>
  <c r="AB33" i="16"/>
  <c r="AJ33" i="16"/>
  <c r="AJ34" i="16"/>
  <c r="AB34" i="16"/>
  <c r="AB35" i="16"/>
  <c r="AJ35" i="16"/>
  <c r="AJ36" i="16"/>
  <c r="AB36" i="16"/>
  <c r="AJ37" i="16"/>
  <c r="AB37" i="16"/>
  <c r="AJ38" i="16"/>
  <c r="AB38" i="16"/>
  <c r="AB39" i="16"/>
  <c r="AJ39" i="16"/>
  <c r="AJ40" i="16"/>
  <c r="AB40" i="16"/>
  <c r="AJ41" i="16"/>
  <c r="AB41" i="16"/>
  <c r="AJ42" i="16"/>
  <c r="AB42" i="16"/>
  <c r="AJ43" i="16"/>
  <c r="AB43" i="16"/>
  <c r="AJ44" i="16"/>
  <c r="AB44" i="16"/>
  <c r="AJ45" i="16"/>
  <c r="AB45" i="16"/>
  <c r="AJ46" i="16"/>
  <c r="AB46" i="16"/>
  <c r="AJ47" i="16"/>
  <c r="AB47" i="16"/>
  <c r="AJ48" i="16"/>
  <c r="AB48" i="16"/>
  <c r="AJ49" i="16"/>
  <c r="AB49" i="16"/>
  <c r="AJ50" i="16"/>
  <c r="AB50" i="16"/>
  <c r="AJ51" i="16"/>
  <c r="AB51" i="16"/>
  <c r="AJ52" i="16"/>
  <c r="AB52" i="16"/>
  <c r="AJ53" i="16"/>
  <c r="AB53" i="16"/>
  <c r="AJ54" i="16"/>
  <c r="AB54" i="16"/>
  <c r="AB55" i="16"/>
  <c r="AJ55" i="16"/>
  <c r="AJ56" i="16"/>
  <c r="AB56" i="16"/>
  <c r="AB57" i="16"/>
  <c r="AJ57" i="16"/>
  <c r="AJ58" i="16"/>
  <c r="AB58" i="16"/>
  <c r="AB59" i="16"/>
  <c r="AJ59" i="16"/>
  <c r="AJ60" i="16"/>
  <c r="AB60" i="16"/>
  <c r="AJ61" i="16"/>
  <c r="AB61" i="16"/>
  <c r="AJ62" i="16"/>
  <c r="AB62" i="16"/>
  <c r="AB63" i="16"/>
  <c r="AJ63" i="16"/>
  <c r="AJ64" i="16"/>
  <c r="AB64" i="16"/>
  <c r="AB65" i="16"/>
  <c r="AJ65" i="16"/>
  <c r="AJ66" i="16"/>
  <c r="AB66" i="16"/>
  <c r="AJ67" i="16"/>
  <c r="AB67" i="16"/>
  <c r="AJ68" i="16"/>
  <c r="AB68" i="16"/>
  <c r="AJ69" i="16"/>
  <c r="AB69" i="16"/>
  <c r="AJ70" i="16"/>
  <c r="AB70" i="16"/>
  <c r="AJ71" i="16"/>
  <c r="AB71" i="16"/>
  <c r="AJ72" i="16"/>
  <c r="AB72" i="16"/>
  <c r="AB73" i="16"/>
  <c r="AJ73" i="16"/>
  <c r="AJ74" i="16"/>
  <c r="AB74" i="16"/>
  <c r="AJ75" i="16"/>
  <c r="AB75" i="16"/>
  <c r="AJ76" i="16"/>
  <c r="AB76" i="16"/>
  <c r="AJ77" i="16"/>
  <c r="AB77" i="16"/>
  <c r="AJ78" i="16"/>
  <c r="AB78" i="16"/>
  <c r="AB79" i="16"/>
  <c r="AJ79" i="16"/>
  <c r="AJ80" i="16"/>
  <c r="AB80" i="16"/>
  <c r="AB81" i="16"/>
  <c r="AJ81" i="16"/>
  <c r="AJ82" i="16"/>
  <c r="AB82" i="16"/>
  <c r="AJ83" i="16"/>
  <c r="AB83" i="16"/>
  <c r="AJ84" i="16"/>
  <c r="AB84" i="16"/>
  <c r="AJ85" i="16"/>
  <c r="AB85" i="16"/>
  <c r="AJ86" i="16"/>
  <c r="AB86" i="16"/>
  <c r="AJ87" i="16"/>
  <c r="AB87" i="16"/>
  <c r="AJ88" i="16"/>
  <c r="AB88" i="16"/>
  <c r="AJ90" i="16"/>
  <c r="AB90" i="16"/>
  <c r="AJ91" i="16"/>
  <c r="AB91" i="16"/>
  <c r="AJ92" i="16"/>
  <c r="AB92" i="16"/>
  <c r="AJ93" i="16"/>
  <c r="AB93" i="16"/>
  <c r="AB94" i="16"/>
  <c r="AJ94" i="16"/>
  <c r="AJ95" i="16"/>
  <c r="AB95" i="16"/>
  <c r="AJ96" i="16"/>
  <c r="AB96" i="16"/>
  <c r="AJ97" i="16"/>
  <c r="AB97" i="16"/>
  <c r="AB98" i="16"/>
  <c r="AJ98" i="16"/>
  <c r="AJ99" i="16"/>
  <c r="AB99" i="16"/>
  <c r="AJ100" i="16"/>
  <c r="AB100" i="16"/>
  <c r="AJ101" i="16"/>
  <c r="AB101" i="16"/>
  <c r="AB102" i="16"/>
  <c r="AJ102" i="16"/>
  <c r="AJ103" i="16"/>
  <c r="AB103" i="16"/>
  <c r="AJ104" i="16"/>
  <c r="AB104" i="16"/>
  <c r="BI88" i="16"/>
  <c r="BG94" i="16"/>
  <c r="BJ94" i="16" s="1"/>
  <c r="BI28" i="16"/>
  <c r="BI72" i="16"/>
  <c r="BH74" i="16"/>
  <c r="BI36" i="16"/>
  <c r="BG99" i="16"/>
  <c r="BJ99" i="16" s="1"/>
  <c r="BI91" i="16"/>
  <c r="BG80" i="16"/>
  <c r="BJ80" i="16" s="1"/>
  <c r="BH46" i="16"/>
  <c r="BI59" i="16"/>
  <c r="BG68" i="16"/>
  <c r="BJ68" i="16" s="1"/>
  <c r="BG20" i="16"/>
  <c r="BJ20" i="16" s="1"/>
  <c r="BG93" i="16"/>
  <c r="BJ93" i="16" s="1"/>
  <c r="BH63" i="16"/>
  <c r="BI62" i="16"/>
  <c r="BG103" i="16"/>
  <c r="BH8" i="16"/>
  <c r="BG48" i="16"/>
  <c r="BJ48" i="16" s="1"/>
  <c r="BI32" i="16"/>
  <c r="BH5" i="16"/>
  <c r="G20" i="19" s="1"/>
  <c r="BI70" i="16"/>
  <c r="BI9" i="16"/>
  <c r="BH47" i="16"/>
  <c r="BH29" i="16"/>
  <c r="BH70" i="16"/>
  <c r="BH9" i="16"/>
  <c r="BI8" i="16"/>
  <c r="BG96" i="16"/>
  <c r="BJ96" i="16" s="1"/>
  <c r="BI27" i="16"/>
  <c r="BH22" i="16"/>
  <c r="BI13" i="16"/>
  <c r="BG53" i="16"/>
  <c r="BJ53" i="16" s="1"/>
  <c r="BH102" i="16"/>
  <c r="BH76" i="16"/>
  <c r="BH49" i="16"/>
  <c r="BG6" i="16"/>
  <c r="BJ6" i="16" s="1"/>
  <c r="H21" i="19" s="1"/>
  <c r="BG9" i="16"/>
  <c r="BJ9" i="16" s="1"/>
  <c r="BI47" i="16"/>
  <c r="BH6" i="16"/>
  <c r="G21" i="19" s="1"/>
  <c r="BH38" i="16"/>
  <c r="BG75" i="16"/>
  <c r="BJ75" i="16" s="1"/>
  <c r="AJ93" i="17"/>
  <c r="AB93" i="17"/>
  <c r="AJ75" i="17"/>
  <c r="AB75" i="17"/>
  <c r="AJ53" i="17"/>
  <c r="AB53" i="17"/>
  <c r="AJ72" i="17"/>
  <c r="AB72" i="17"/>
  <c r="AB83" i="17"/>
  <c r="AJ83" i="17"/>
  <c r="AJ58" i="17"/>
  <c r="AB58" i="17"/>
  <c r="AJ51" i="17"/>
  <c r="AB51" i="17"/>
  <c r="AJ94" i="17"/>
  <c r="AB94" i="17"/>
  <c r="AB18" i="17"/>
  <c r="AJ18" i="17"/>
  <c r="AB33" i="17"/>
  <c r="AJ33" i="17"/>
  <c r="AJ63" i="17"/>
  <c r="AB63" i="17"/>
  <c r="AB61" i="17"/>
  <c r="AJ61" i="17"/>
  <c r="AJ86" i="17"/>
  <c r="AB86" i="17"/>
  <c r="AJ68" i="17"/>
  <c r="AB68" i="17"/>
  <c r="AB104" i="17"/>
  <c r="AJ104" i="17"/>
  <c r="AJ41" i="17"/>
  <c r="AB41" i="17"/>
  <c r="AJ16" i="17"/>
  <c r="AB16" i="17"/>
  <c r="AJ31" i="17"/>
  <c r="AB31" i="17"/>
  <c r="AJ20" i="17"/>
  <c r="AB20" i="17"/>
  <c r="AJ92" i="17"/>
  <c r="AB92" i="17"/>
  <c r="AB26" i="17"/>
  <c r="AJ26" i="17"/>
  <c r="AB27" i="17"/>
  <c r="AJ27" i="17"/>
  <c r="AJ84" i="17"/>
  <c r="AB84" i="17"/>
  <c r="AJ42" i="17"/>
  <c r="AB42" i="17"/>
  <c r="AB48" i="17"/>
  <c r="AJ48" i="17"/>
  <c r="AJ30" i="17"/>
  <c r="AB30" i="17"/>
  <c r="AJ22" i="17"/>
  <c r="AB22" i="17"/>
  <c r="AJ70" i="17"/>
  <c r="AB70" i="17"/>
  <c r="AJ45" i="17"/>
  <c r="AB45" i="17"/>
  <c r="AJ82" i="17"/>
  <c r="AB82" i="17"/>
  <c r="AJ79" i="17"/>
  <c r="AB79" i="17"/>
  <c r="AJ73" i="17"/>
  <c r="AB73" i="17"/>
  <c r="AJ40" i="17"/>
  <c r="AB40" i="17"/>
  <c r="AB76" i="17"/>
  <c r="AJ76" i="17"/>
  <c r="AB46" i="17"/>
  <c r="AJ46" i="17"/>
  <c r="AB66" i="17"/>
  <c r="AJ66" i="17"/>
  <c r="AJ54" i="17"/>
  <c r="AB54" i="17"/>
  <c r="AB37" i="17"/>
  <c r="AJ37" i="17"/>
  <c r="AJ57" i="17"/>
  <c r="AB57" i="17"/>
  <c r="AJ39" i="17"/>
  <c r="AB39" i="17"/>
  <c r="AJ67" i="17"/>
  <c r="AB67" i="17"/>
  <c r="AJ89" i="17"/>
  <c r="AB89" i="17"/>
  <c r="AJ43" i="17"/>
  <c r="AB43" i="17"/>
  <c r="AJ24" i="17"/>
  <c r="AB24" i="17"/>
  <c r="AJ25" i="17"/>
  <c r="AB25" i="17"/>
  <c r="AJ55" i="17"/>
  <c r="AB55" i="17"/>
  <c r="BH81" i="17"/>
  <c r="BJ81" i="17" s="1"/>
  <c r="BG91" i="16"/>
  <c r="BJ91" i="16" s="1"/>
  <c r="BG63" i="16"/>
  <c r="BJ63" i="16" s="1"/>
  <c r="BG47" i="16"/>
  <c r="BJ47" i="16" s="1"/>
  <c r="BH14" i="16"/>
  <c r="BH95" i="16"/>
  <c r="BH71" i="16"/>
  <c r="BI65" i="16"/>
  <c r="BG43" i="16"/>
  <c r="BJ43" i="16" s="1"/>
  <c r="BH93" i="16"/>
  <c r="BG62" i="16"/>
  <c r="BJ62" i="16" s="1"/>
  <c r="BG46" i="16"/>
  <c r="BJ46" i="16" s="1"/>
  <c r="BG39" i="16"/>
  <c r="BJ39" i="16" s="1"/>
  <c r="BH11" i="16"/>
  <c r="BI101" i="16"/>
  <c r="BG85" i="16"/>
  <c r="BJ85" i="16" s="1"/>
  <c r="BG59" i="16"/>
  <c r="BJ59" i="16" s="1"/>
  <c r="BH25" i="16"/>
  <c r="BI56" i="16"/>
  <c r="BH89" i="16"/>
  <c r="BI78" i="16"/>
  <c r="BG42" i="16"/>
  <c r="BJ42" i="16" s="1"/>
  <c r="BI34" i="16"/>
  <c r="BG12" i="16"/>
  <c r="BJ12" i="16" s="1"/>
  <c r="BI15" i="16"/>
  <c r="BH86" i="16"/>
  <c r="BH69" i="16"/>
  <c r="BG52" i="16"/>
  <c r="BJ52" i="16" s="1"/>
  <c r="BH28" i="16"/>
  <c r="BG65" i="16"/>
  <c r="BJ65" i="16" s="1"/>
  <c r="BH79" i="16"/>
  <c r="BI61" i="16"/>
  <c r="BH37" i="16"/>
  <c r="BG24" i="16"/>
  <c r="BJ24" i="16" s="1"/>
  <c r="BH92" i="16"/>
  <c r="BI12" i="16"/>
  <c r="BG82" i="16"/>
  <c r="BJ82" i="16" s="1"/>
  <c r="BH66" i="16"/>
  <c r="BG34" i="16"/>
  <c r="BJ34" i="16" s="1"/>
  <c r="BG21" i="16"/>
  <c r="BJ21" i="16" s="1"/>
  <c r="BH94" i="16"/>
  <c r="BG64" i="16"/>
  <c r="BJ64" i="16" s="1"/>
  <c r="BI48" i="16"/>
  <c r="BI40" i="16"/>
  <c r="BH90" i="16"/>
  <c r="BG72" i="16"/>
  <c r="BJ72" i="16" s="1"/>
  <c r="BI52" i="16"/>
  <c r="BH34" i="16"/>
  <c r="BG101" i="16"/>
  <c r="BJ101" i="16" s="1"/>
  <c r="BI74" i="16"/>
  <c r="BG49" i="16"/>
  <c r="BJ49" i="16" s="1"/>
  <c r="BG33" i="16"/>
  <c r="BJ33" i="16" s="1"/>
  <c r="BH33" i="16"/>
  <c r="BH88" i="16"/>
  <c r="BH82" i="16"/>
  <c r="BI54" i="16"/>
  <c r="BH30" i="16"/>
  <c r="BI84" i="16"/>
  <c r="BG13" i="16"/>
  <c r="BJ13" i="16" s="1"/>
  <c r="BI92" i="16"/>
  <c r="BG69" i="16"/>
  <c r="BJ69" i="16" s="1"/>
  <c r="BI55" i="16"/>
  <c r="BH20" i="16"/>
  <c r="BH59" i="16"/>
  <c r="BG100" i="16"/>
  <c r="BJ100" i="16" s="1"/>
  <c r="BH80" i="16"/>
  <c r="BI60" i="16"/>
  <c r="BG37" i="16"/>
  <c r="BJ37" i="16" s="1"/>
  <c r="BG19" i="16"/>
  <c r="BJ19" i="16" s="1"/>
  <c r="BI85" i="16"/>
  <c r="BI80" i="16"/>
  <c r="BG56" i="16"/>
  <c r="BJ56" i="16" s="1"/>
  <c r="BI33" i="16"/>
  <c r="BG16" i="16"/>
  <c r="BJ16" i="16" s="1"/>
  <c r="BI97" i="16"/>
  <c r="BG74" i="16"/>
  <c r="BJ74" i="16" s="1"/>
  <c r="BH48" i="16"/>
  <c r="BH35" i="16"/>
  <c r="BG88" i="16"/>
  <c r="BJ88" i="16" s="1"/>
  <c r="BH84" i="16"/>
  <c r="BH43" i="16"/>
  <c r="BI26" i="16"/>
  <c r="BI90" i="16"/>
  <c r="BI81" i="16"/>
  <c r="BG44" i="16"/>
  <c r="BJ44" i="16" s="1"/>
  <c r="BI35" i="16"/>
  <c r="BI21" i="16"/>
  <c r="BH24" i="16"/>
  <c r="BH98" i="16"/>
  <c r="BI73" i="16"/>
  <c r="BH39" i="16"/>
  <c r="BG26" i="16"/>
  <c r="BJ26" i="16" s="1"/>
  <c r="BI95" i="16"/>
  <c r="BH81" i="16"/>
  <c r="BI64" i="16"/>
  <c r="BI49" i="16"/>
  <c r="BI23" i="16"/>
  <c r="BH50" i="16"/>
  <c r="BH101" i="16"/>
  <c r="BH78" i="16"/>
  <c r="BI76" i="16"/>
  <c r="BH19" i="16"/>
  <c r="BH13" i="16"/>
  <c r="BH65" i="16"/>
  <c r="BI14" i="16"/>
  <c r="BI83" i="16"/>
  <c r="BH57" i="16"/>
  <c r="BH31" i="16"/>
  <c r="BG11" i="16"/>
  <c r="BJ11" i="16" s="1"/>
  <c r="BG90" i="16"/>
  <c r="BJ90" i="16" s="1"/>
  <c r="BH61" i="16"/>
  <c r="BH45" i="16"/>
  <c r="BG28" i="16"/>
  <c r="BJ28" i="16" s="1"/>
  <c r="BH87" i="16"/>
  <c r="BH73" i="16"/>
  <c r="BH55" i="16"/>
  <c r="BH17" i="16"/>
  <c r="BG89" i="16"/>
  <c r="BJ89" i="16" s="1"/>
  <c r="BI96" i="16"/>
  <c r="BH51" i="16"/>
  <c r="BH32" i="16"/>
  <c r="BG14" i="16"/>
  <c r="BJ14" i="16" s="1"/>
  <c r="BH83" i="16"/>
  <c r="BI66" i="16"/>
  <c r="BG50" i="16"/>
  <c r="BJ50" i="16" s="1"/>
  <c r="BI25" i="16"/>
  <c r="BI17" i="16"/>
  <c r="BG78" i="16"/>
  <c r="BJ78" i="16" s="1"/>
  <c r="BI75" i="16"/>
  <c r="BH52" i="16"/>
  <c r="BG41" i="16"/>
  <c r="BJ41" i="16" s="1"/>
  <c r="BI22" i="16"/>
  <c r="BG38" i="16"/>
  <c r="BJ38" i="16" s="1"/>
  <c r="BG95" i="16"/>
  <c r="BJ95" i="16" s="1"/>
  <c r="BG70" i="16"/>
  <c r="BJ70" i="16" s="1"/>
  <c r="BH42" i="16"/>
  <c r="BI39" i="16"/>
  <c r="BG58" i="16"/>
  <c r="BJ58" i="16" s="1"/>
  <c r="BH97" i="16"/>
  <c r="BG76" i="16"/>
  <c r="BJ76" i="16" s="1"/>
  <c r="BG60" i="16"/>
  <c r="BJ60" i="16" s="1"/>
  <c r="BI45" i="16"/>
  <c r="BI87" i="16"/>
  <c r="BG61" i="16"/>
  <c r="BJ61" i="16" s="1"/>
  <c r="BG45" i="16"/>
  <c r="BJ45" i="16" s="1"/>
  <c r="BG10" i="16"/>
  <c r="BJ10" i="16" s="1"/>
  <c r="BG27" i="16"/>
  <c r="BJ27" i="16" s="1"/>
  <c r="BG87" i="16"/>
  <c r="BJ87" i="16" s="1"/>
  <c r="BH58" i="16"/>
  <c r="BI37" i="16"/>
  <c r="BG25" i="16"/>
  <c r="BJ25" i="16" s="1"/>
  <c r="BH15" i="16"/>
  <c r="BG86" i="16"/>
  <c r="BJ86" i="16" s="1"/>
  <c r="BH75" i="16"/>
  <c r="BH41" i="16"/>
  <c r="BI20" i="16"/>
  <c r="BH10" i="16"/>
  <c r="BI77" i="16"/>
  <c r="BH54" i="16"/>
  <c r="BI44" i="16"/>
  <c r="BG23" i="16"/>
  <c r="BJ23" i="16" s="1"/>
  <c r="BH68" i="16"/>
  <c r="BG102" i="16"/>
  <c r="BJ102" i="16" s="1"/>
  <c r="BI93" i="16"/>
  <c r="BI67" i="16"/>
  <c r="BI38" i="16"/>
  <c r="BG32" i="16"/>
  <c r="BJ32" i="16" s="1"/>
  <c r="BH99" i="16"/>
  <c r="BG22" i="16"/>
  <c r="BJ22" i="16" s="1"/>
  <c r="BI86" i="16"/>
  <c r="BH72" i="16"/>
  <c r="BI58" i="16"/>
  <c r="BI30" i="16"/>
  <c r="BH12" i="16"/>
  <c r="BI50" i="16"/>
  <c r="BH40" i="16"/>
  <c r="BI10" i="16"/>
  <c r="BH96" i="16"/>
  <c r="BG66" i="16"/>
  <c r="BJ66" i="16" s="1"/>
  <c r="BI57" i="16"/>
  <c r="BI42" i="16"/>
  <c r="BG81" i="16"/>
  <c r="BJ81" i="16" s="1"/>
  <c r="BH64" i="16"/>
  <c r="BI41" i="16"/>
  <c r="BG31" i="16"/>
  <c r="BJ31" i="16" s="1"/>
  <c r="BG77" i="16"/>
  <c r="BJ77" i="16" s="1"/>
  <c r="BI71" i="16"/>
  <c r="BI29" i="16"/>
  <c r="BG15" i="16"/>
  <c r="BJ15" i="16" s="1"/>
  <c r="BH85" i="16"/>
  <c r="BI68" i="16"/>
  <c r="BH53" i="16"/>
  <c r="BG30" i="16"/>
  <c r="BJ30" i="16" s="1"/>
  <c r="BH100" i="16"/>
  <c r="BG73" i="16"/>
  <c r="BJ73" i="16" s="1"/>
  <c r="BI69" i="16"/>
  <c r="BI43" i="16"/>
  <c r="BH62" i="16"/>
  <c r="BG104" i="16"/>
  <c r="BI82" i="16"/>
  <c r="BG55" i="16"/>
  <c r="BJ55" i="16" s="1"/>
  <c r="BH21" i="16"/>
  <c r="BG17" i="16"/>
  <c r="BJ17" i="16" s="1"/>
  <c r="BI98" i="16"/>
  <c r="BI102" i="16"/>
  <c r="BH67" i="16"/>
  <c r="BG51" i="16"/>
  <c r="BJ51" i="16" s="1"/>
  <c r="BH26" i="16"/>
  <c r="BH16" i="16"/>
  <c r="BG36" i="16"/>
  <c r="BJ36" i="16" s="1"/>
  <c r="BI19" i="16"/>
  <c r="BI100" i="16"/>
  <c r="BH77" i="16"/>
  <c r="BI51" i="16"/>
  <c r="BG40" i="16"/>
  <c r="BJ40" i="16" s="1"/>
  <c r="BG79" i="16"/>
  <c r="BJ79" i="16" s="1"/>
  <c r="BG54" i="16"/>
  <c r="BJ54" i="16" s="1"/>
  <c r="BI31" i="16"/>
  <c r="BI16" i="16"/>
  <c r="BG92" i="16"/>
  <c r="BJ92" i="16" s="1"/>
  <c r="BI89" i="16"/>
  <c r="BH60" i="16"/>
  <c r="BH27" i="16"/>
  <c r="BG29" i="16"/>
  <c r="BJ29" i="16" s="1"/>
  <c r="BI79" i="16"/>
  <c r="BH56" i="16"/>
  <c r="BH36" i="16"/>
  <c r="BI24" i="16"/>
  <c r="BI99" i="16"/>
  <c r="BG83" i="16"/>
  <c r="BJ83" i="16" s="1"/>
  <c r="BG57" i="16"/>
  <c r="BJ57" i="16" s="1"/>
  <c r="BH23" i="16"/>
  <c r="BI18" i="16"/>
  <c r="BG35" i="16"/>
  <c r="BJ35" i="16" s="1"/>
  <c r="BG97" i="16"/>
  <c r="BJ97" i="16" s="1"/>
  <c r="BG71" i="16"/>
  <c r="BJ71" i="16" s="1"/>
  <c r="BH44" i="16"/>
  <c r="BI46" i="16"/>
  <c r="BG84" i="16"/>
  <c r="BJ84" i="16" s="1"/>
  <c r="BH91" i="16"/>
  <c r="BG67" i="16"/>
  <c r="BJ67" i="16" s="1"/>
  <c r="BI53" i="16"/>
  <c r="BG18" i="16"/>
  <c r="BJ18" i="16" s="1"/>
  <c r="BH18" i="16"/>
  <c r="BG98" i="16"/>
  <c r="BJ98" i="16" s="1"/>
  <c r="BH42" i="17"/>
  <c r="BJ42" i="17" s="1"/>
  <c r="BI33" i="17"/>
  <c r="BI102" i="17"/>
  <c r="CD6" i="21"/>
  <c r="BQ6" i="17" s="1"/>
  <c r="CD8" i="21"/>
  <c r="BQ8" i="17" s="1"/>
  <c r="CD10" i="21"/>
  <c r="BQ10" i="17" s="1"/>
  <c r="CD12" i="21"/>
  <c r="BQ12" i="17" s="1"/>
  <c r="CD14" i="21"/>
  <c r="BQ14" i="17" s="1"/>
  <c r="CD16" i="21"/>
  <c r="BQ16" i="17" s="1"/>
  <c r="CD18" i="21"/>
  <c r="BQ18" i="17" s="1"/>
  <c r="CD20" i="21"/>
  <c r="BQ20" i="17" s="1"/>
  <c r="CE95" i="21"/>
  <c r="BR95" i="17" s="1"/>
  <c r="CE79" i="21"/>
  <c r="BR79" i="17" s="1"/>
  <c r="CD97" i="21"/>
  <c r="BQ97" i="17" s="1"/>
  <c r="CD81" i="21"/>
  <c r="BQ81" i="17" s="1"/>
  <c r="CF94" i="21"/>
  <c r="BS94" i="17" s="1"/>
  <c r="CF78" i="21"/>
  <c r="BS78" i="17" s="1"/>
  <c r="CE96" i="21"/>
  <c r="BR96" i="17" s="1"/>
  <c r="CE80" i="21"/>
  <c r="BR80" i="17" s="1"/>
  <c r="CD98" i="21"/>
  <c r="BQ98" i="17" s="1"/>
  <c r="CD82" i="21"/>
  <c r="BQ82" i="17" s="1"/>
  <c r="CF97" i="21"/>
  <c r="BS97" i="17" s="1"/>
  <c r="CE59" i="21"/>
  <c r="BR59" i="17" s="1"/>
  <c r="CE43" i="21"/>
  <c r="BR43" i="17" s="1"/>
  <c r="CD59" i="21"/>
  <c r="BQ59" i="17" s="1"/>
  <c r="CD43" i="21"/>
  <c r="BQ43" i="17" s="1"/>
  <c r="CD73" i="21"/>
  <c r="BQ73" i="17" s="1"/>
  <c r="CF54" i="21"/>
  <c r="BS54" i="17" s="1"/>
  <c r="CF103" i="21"/>
  <c r="BS103" i="17" s="1"/>
  <c r="CE62" i="21"/>
  <c r="BR62" i="17" s="1"/>
  <c r="CE46" i="21"/>
  <c r="BR46" i="17" s="1"/>
  <c r="CE30" i="21"/>
  <c r="BR30" i="17" s="1"/>
  <c r="CD62" i="21"/>
  <c r="BQ62" i="17" s="1"/>
  <c r="CD46" i="21"/>
  <c r="BQ46" i="17" s="1"/>
  <c r="CD30" i="21"/>
  <c r="BQ30" i="17" s="1"/>
  <c r="CE22" i="21"/>
  <c r="BR22" i="17" s="1"/>
  <c r="CF65" i="21"/>
  <c r="BS65" i="17" s="1"/>
  <c r="CD26" i="21"/>
  <c r="BQ26" i="17" s="1"/>
  <c r="CF36" i="21"/>
  <c r="BS36" i="17" s="1"/>
  <c r="CF37" i="21"/>
  <c r="BS37" i="17" s="1"/>
  <c r="CF67" i="21"/>
  <c r="BS67" i="17" s="1"/>
  <c r="CF34" i="21"/>
  <c r="BS34" i="17" s="1"/>
  <c r="CF47" i="21"/>
  <c r="BS47" i="17" s="1"/>
  <c r="CF7" i="21"/>
  <c r="BS7" i="17" s="1"/>
  <c r="CF80" i="21"/>
  <c r="BS80" i="17" s="1"/>
  <c r="CF101" i="21"/>
  <c r="BS101" i="17" s="1"/>
  <c r="CD45" i="21"/>
  <c r="BQ45" i="17" s="1"/>
  <c r="CE24" i="21"/>
  <c r="BR24" i="17" s="1"/>
  <c r="CE37" i="21"/>
  <c r="BR37" i="17" s="1"/>
  <c r="CE6" i="21"/>
  <c r="BR6" i="17" s="1"/>
  <c r="CE8" i="21"/>
  <c r="BR8" i="17" s="1"/>
  <c r="CE10" i="21"/>
  <c r="BR10" i="17" s="1"/>
  <c r="CE12" i="21"/>
  <c r="BR12" i="17" s="1"/>
  <c r="CE14" i="21"/>
  <c r="BR14" i="17" s="1"/>
  <c r="CE16" i="21"/>
  <c r="BR16" i="17" s="1"/>
  <c r="CE18" i="21"/>
  <c r="BR18" i="17" s="1"/>
  <c r="CE20" i="21"/>
  <c r="BR20" i="17" s="1"/>
  <c r="CE93" i="21"/>
  <c r="BR93" i="17" s="1"/>
  <c r="CE77" i="21"/>
  <c r="BR77" i="17" s="1"/>
  <c r="CD95" i="21"/>
  <c r="BQ95" i="17" s="1"/>
  <c r="CD79" i="21"/>
  <c r="BQ79" i="17" s="1"/>
  <c r="CF92" i="21"/>
  <c r="BS92" i="17" s="1"/>
  <c r="CF76" i="21"/>
  <c r="BS76" i="17" s="1"/>
  <c r="CE94" i="21"/>
  <c r="BR94" i="17" s="1"/>
  <c r="CE78" i="21"/>
  <c r="BR78" i="17" s="1"/>
  <c r="CD96" i="21"/>
  <c r="BQ96" i="17" s="1"/>
  <c r="CD80" i="21"/>
  <c r="BQ80" i="17" s="1"/>
  <c r="CF93" i="21"/>
  <c r="BS93" i="17" s="1"/>
  <c r="CE57" i="21"/>
  <c r="BR57" i="17" s="1"/>
  <c r="CE104" i="21"/>
  <c r="BR104" i="17" s="1"/>
  <c r="CD57" i="21"/>
  <c r="BQ57" i="17" s="1"/>
  <c r="CD41" i="21"/>
  <c r="BQ41" i="17" s="1"/>
  <c r="CF68" i="21"/>
  <c r="BS68" i="17" s="1"/>
  <c r="CF52" i="21"/>
  <c r="BS52" i="17" s="1"/>
  <c r="CF99" i="21"/>
  <c r="BS99" i="17" s="1"/>
  <c r="CE60" i="21"/>
  <c r="BR60" i="17" s="1"/>
  <c r="CE44" i="21"/>
  <c r="BR44" i="17" s="1"/>
  <c r="CE28" i="21"/>
  <c r="BR28" i="17" s="1"/>
  <c r="CD60" i="21"/>
  <c r="BQ60" i="17" s="1"/>
  <c r="CD44" i="21"/>
  <c r="BQ44" i="17" s="1"/>
  <c r="CE70" i="21"/>
  <c r="BR70" i="17" s="1"/>
  <c r="CE35" i="21"/>
  <c r="BR35" i="17" s="1"/>
  <c r="CF61" i="21"/>
  <c r="BS61" i="17" s="1"/>
  <c r="CF25" i="21"/>
  <c r="BS25" i="17" s="1"/>
  <c r="CF33" i="21"/>
  <c r="BS33" i="17" s="1"/>
  <c r="CE29" i="21"/>
  <c r="BR29" i="17" s="1"/>
  <c r="CF63" i="21"/>
  <c r="BS63" i="17" s="1"/>
  <c r="CF31" i="21"/>
  <c r="BS31" i="17" s="1"/>
  <c r="CE5" i="21"/>
  <c r="CF17" i="21"/>
  <c r="BS17" i="17" s="1"/>
  <c r="CE81" i="21"/>
  <c r="BR81" i="17" s="1"/>
  <c r="CE98" i="21"/>
  <c r="BR98" i="17" s="1"/>
  <c r="CF56" i="21"/>
  <c r="BS56" i="17" s="1"/>
  <c r="CE32" i="21"/>
  <c r="BR32" i="17" s="1"/>
  <c r="CE39" i="21"/>
  <c r="BR39" i="17" s="1"/>
  <c r="CE91" i="21"/>
  <c r="BR91" i="17" s="1"/>
  <c r="CE75" i="21"/>
  <c r="BR75" i="17" s="1"/>
  <c r="CD93" i="21"/>
  <c r="BQ93" i="17" s="1"/>
  <c r="CD77" i="21"/>
  <c r="BQ77" i="17" s="1"/>
  <c r="CF90" i="21"/>
  <c r="BS90" i="17" s="1"/>
  <c r="CF74" i="21"/>
  <c r="BS74" i="17" s="1"/>
  <c r="CE92" i="21"/>
  <c r="BR92" i="17" s="1"/>
  <c r="CE76" i="21"/>
  <c r="BR76" i="17" s="1"/>
  <c r="CD94" i="21"/>
  <c r="BQ94" i="17" s="1"/>
  <c r="CD78" i="21"/>
  <c r="BQ78" i="17" s="1"/>
  <c r="CF89" i="21"/>
  <c r="BS89" i="17" s="1"/>
  <c r="CF73" i="21"/>
  <c r="BS73" i="17" s="1"/>
  <c r="CE55" i="21"/>
  <c r="BR55" i="17" s="1"/>
  <c r="CD55" i="21"/>
  <c r="BQ55" i="17" s="1"/>
  <c r="CD39" i="21"/>
  <c r="BQ39" i="17" s="1"/>
  <c r="CF66" i="21"/>
  <c r="BS66" i="17" s="1"/>
  <c r="CF50" i="21"/>
  <c r="BS50" i="17" s="1"/>
  <c r="CF95" i="21"/>
  <c r="BS95" i="17" s="1"/>
  <c r="CE58" i="21"/>
  <c r="BR58" i="17" s="1"/>
  <c r="CE42" i="21"/>
  <c r="BR42" i="17" s="1"/>
  <c r="CE26" i="21"/>
  <c r="BR26" i="17" s="1"/>
  <c r="CD58" i="21"/>
  <c r="BQ58" i="17" s="1"/>
  <c r="CD42" i="21"/>
  <c r="BQ42" i="17" s="1"/>
  <c r="CF38" i="21"/>
  <c r="BS38" i="17" s="1"/>
  <c r="CF32" i="21"/>
  <c r="BS32" i="17" s="1"/>
  <c r="CF57" i="21"/>
  <c r="BS57" i="17" s="1"/>
  <c r="CF23" i="21"/>
  <c r="BS23" i="17" s="1"/>
  <c r="CF29" i="21"/>
  <c r="BS29" i="17" s="1"/>
  <c r="CE25" i="21"/>
  <c r="BR25" i="17" s="1"/>
  <c r="CD28" i="21"/>
  <c r="BQ28" i="17" s="1"/>
  <c r="CF59" i="21"/>
  <c r="BS59" i="17" s="1"/>
  <c r="CF30" i="21"/>
  <c r="BS30" i="17" s="1"/>
  <c r="CF22" i="21"/>
  <c r="BS22" i="17" s="1"/>
  <c r="CF15" i="21"/>
  <c r="BS15" i="17" s="1"/>
  <c r="CF40" i="21"/>
  <c r="BS40" i="17" s="1"/>
  <c r="CD48" i="21"/>
  <c r="BQ48" i="17" s="1"/>
  <c r="CF6" i="21"/>
  <c r="BS6" i="17" s="1"/>
  <c r="CF8" i="21"/>
  <c r="BS8" i="17" s="1"/>
  <c r="CF10" i="21"/>
  <c r="BS10" i="17" s="1"/>
  <c r="CF12" i="21"/>
  <c r="BS12" i="17" s="1"/>
  <c r="CF14" i="21"/>
  <c r="BS14" i="17" s="1"/>
  <c r="CF16" i="21"/>
  <c r="BS16" i="17" s="1"/>
  <c r="CF18" i="21"/>
  <c r="BS18" i="17" s="1"/>
  <c r="CF20" i="21"/>
  <c r="BS20" i="17" s="1"/>
  <c r="CE89" i="21"/>
  <c r="BR89" i="17" s="1"/>
  <c r="CE73" i="21"/>
  <c r="BR73" i="17" s="1"/>
  <c r="CD91" i="21"/>
  <c r="BQ91" i="17" s="1"/>
  <c r="CD75" i="21"/>
  <c r="BQ75" i="17" s="1"/>
  <c r="CF88" i="21"/>
  <c r="BS88" i="17" s="1"/>
  <c r="CE90" i="21"/>
  <c r="BR90" i="17" s="1"/>
  <c r="CE74" i="21"/>
  <c r="BR74" i="17" s="1"/>
  <c r="CD92" i="21"/>
  <c r="BQ92" i="17" s="1"/>
  <c r="CD76" i="21"/>
  <c r="BQ76" i="17" s="1"/>
  <c r="CF85" i="21"/>
  <c r="BS85" i="17" s="1"/>
  <c r="CE69" i="21"/>
  <c r="BR69" i="17" s="1"/>
  <c r="CE53" i="21"/>
  <c r="BR53" i="17" s="1"/>
  <c r="CD69" i="21"/>
  <c r="BQ69" i="17" s="1"/>
  <c r="CD53" i="21"/>
  <c r="BQ53" i="17" s="1"/>
  <c r="CD37" i="21"/>
  <c r="BQ37" i="17" s="1"/>
  <c r="CF64" i="21"/>
  <c r="BS64" i="17" s="1"/>
  <c r="CF48" i="21"/>
  <c r="BS48" i="17" s="1"/>
  <c r="CF91" i="21"/>
  <c r="BS91" i="17" s="1"/>
  <c r="CE56" i="21"/>
  <c r="BR56" i="17" s="1"/>
  <c r="CE40" i="21"/>
  <c r="BR40" i="17" s="1"/>
  <c r="CD56" i="21"/>
  <c r="BQ56" i="17" s="1"/>
  <c r="CD40" i="21"/>
  <c r="BQ40" i="17" s="1"/>
  <c r="CF35" i="21"/>
  <c r="BS35" i="17" s="1"/>
  <c r="CF53" i="21"/>
  <c r="BS53" i="17" s="1"/>
  <c r="CF21" i="21"/>
  <c r="BS21" i="17" s="1"/>
  <c r="CF28" i="21"/>
  <c r="BS28" i="17" s="1"/>
  <c r="CE23" i="21"/>
  <c r="BR23" i="17" s="1"/>
  <c r="CF27" i="21"/>
  <c r="BS27" i="17" s="1"/>
  <c r="CF55" i="21"/>
  <c r="BS55" i="17" s="1"/>
  <c r="CF43" i="21"/>
  <c r="BS43" i="17" s="1"/>
  <c r="CF19" i="21"/>
  <c r="BS19" i="17" s="1"/>
  <c r="CE97" i="21"/>
  <c r="BR97" i="17" s="1"/>
  <c r="CD29" i="21"/>
  <c r="BQ29" i="17" s="1"/>
  <c r="CE48" i="21"/>
  <c r="BR48" i="17" s="1"/>
  <c r="CF39" i="21"/>
  <c r="BS39" i="17" s="1"/>
  <c r="CD7" i="21"/>
  <c r="BQ7" i="17" s="1"/>
  <c r="CD9" i="21"/>
  <c r="BQ9" i="17" s="1"/>
  <c r="CD11" i="21"/>
  <c r="BQ11" i="17" s="1"/>
  <c r="CD13" i="21"/>
  <c r="BQ13" i="17" s="1"/>
  <c r="CD15" i="21"/>
  <c r="BQ15" i="17" s="1"/>
  <c r="CD17" i="21"/>
  <c r="BQ17" i="17" s="1"/>
  <c r="CD19" i="21"/>
  <c r="BQ19" i="17" s="1"/>
  <c r="CD104" i="21"/>
  <c r="BQ104" i="17" s="1"/>
  <c r="CE103" i="21"/>
  <c r="BR103" i="17" s="1"/>
  <c r="CE87" i="21"/>
  <c r="BR87" i="17" s="1"/>
  <c r="CE71" i="21"/>
  <c r="BR71" i="17" s="1"/>
  <c r="CD89" i="21"/>
  <c r="BQ89" i="17" s="1"/>
  <c r="CF102" i="21"/>
  <c r="BS102" i="17" s="1"/>
  <c r="CF86" i="21"/>
  <c r="BS86" i="17" s="1"/>
  <c r="CF104" i="21"/>
  <c r="BS104" i="17" s="1"/>
  <c r="CE88" i="21"/>
  <c r="BR88" i="17" s="1"/>
  <c r="CE72" i="21"/>
  <c r="BR72" i="17" s="1"/>
  <c r="CD90" i="21"/>
  <c r="BQ90" i="17" s="1"/>
  <c r="CD74" i="21"/>
  <c r="BQ74" i="17" s="1"/>
  <c r="CF81" i="21"/>
  <c r="BS81" i="17" s="1"/>
  <c r="CE67" i="21"/>
  <c r="BR67" i="17" s="1"/>
  <c r="CE51" i="21"/>
  <c r="BR51" i="17" s="1"/>
  <c r="CD67" i="21"/>
  <c r="BQ67" i="17" s="1"/>
  <c r="CD51" i="21"/>
  <c r="BQ51" i="17" s="1"/>
  <c r="CD35" i="21"/>
  <c r="BQ35" i="17" s="1"/>
  <c r="CF62" i="21"/>
  <c r="BS62" i="17" s="1"/>
  <c r="CF46" i="21"/>
  <c r="BS46" i="17" s="1"/>
  <c r="CF87" i="21"/>
  <c r="BS87" i="17" s="1"/>
  <c r="CF71" i="21"/>
  <c r="BS71" i="17" s="1"/>
  <c r="CE54" i="21"/>
  <c r="BR54" i="17" s="1"/>
  <c r="CE38" i="21"/>
  <c r="BR38" i="17" s="1"/>
  <c r="CF70" i="21"/>
  <c r="BS70" i="17" s="1"/>
  <c r="CD54" i="21"/>
  <c r="BQ54" i="17" s="1"/>
  <c r="CD38" i="21"/>
  <c r="BQ38" i="17" s="1"/>
  <c r="CE31" i="21"/>
  <c r="BR31" i="17" s="1"/>
  <c r="CD24" i="21"/>
  <c r="BQ24" i="17" s="1"/>
  <c r="CF49" i="21"/>
  <c r="BS49" i="17" s="1"/>
  <c r="CE27" i="21"/>
  <c r="BR27" i="17" s="1"/>
  <c r="CE21" i="21"/>
  <c r="BR21" i="17" s="1"/>
  <c r="CD25" i="21"/>
  <c r="BQ25" i="17" s="1"/>
  <c r="CF51" i="21"/>
  <c r="BS51" i="17" s="1"/>
  <c r="CF24" i="21"/>
  <c r="BS24" i="17" s="1"/>
  <c r="CD23" i="21"/>
  <c r="BQ23" i="17" s="1"/>
  <c r="CF9" i="21"/>
  <c r="BS9" i="17" s="1"/>
  <c r="CF96" i="21"/>
  <c r="BS96" i="17" s="1"/>
  <c r="CD84" i="21"/>
  <c r="BQ84" i="17" s="1"/>
  <c r="CD61" i="21"/>
  <c r="BQ61" i="17" s="1"/>
  <c r="CE64" i="21"/>
  <c r="BR64" i="17" s="1"/>
  <c r="CF69" i="21"/>
  <c r="BS69" i="17" s="1"/>
  <c r="CD71" i="21"/>
  <c r="BQ71" i="17" s="1"/>
  <c r="CE7" i="21"/>
  <c r="BR7" i="17" s="1"/>
  <c r="CE9" i="21"/>
  <c r="BR9" i="17" s="1"/>
  <c r="CE11" i="21"/>
  <c r="BR11" i="17" s="1"/>
  <c r="CE13" i="21"/>
  <c r="BR13" i="17" s="1"/>
  <c r="CE15" i="21"/>
  <c r="BR15" i="17" s="1"/>
  <c r="CE17" i="21"/>
  <c r="BR17" i="17" s="1"/>
  <c r="CE19" i="21"/>
  <c r="BR19" i="17" s="1"/>
  <c r="CE101" i="21"/>
  <c r="BR101" i="17" s="1"/>
  <c r="CE85" i="21"/>
  <c r="BR85" i="17" s="1"/>
  <c r="CD103" i="21"/>
  <c r="BQ103" i="17" s="1"/>
  <c r="CD87" i="21"/>
  <c r="BQ87" i="17" s="1"/>
  <c r="CF100" i="21"/>
  <c r="BS100" i="17" s="1"/>
  <c r="CF84" i="21"/>
  <c r="BS84" i="17" s="1"/>
  <c r="CE102" i="21"/>
  <c r="BR102" i="17" s="1"/>
  <c r="CE86" i="21"/>
  <c r="BR86" i="17" s="1"/>
  <c r="CD88" i="21"/>
  <c r="BQ88" i="17" s="1"/>
  <c r="CD72" i="21"/>
  <c r="BQ72" i="17" s="1"/>
  <c r="CF77" i="21"/>
  <c r="BS77" i="17" s="1"/>
  <c r="CE65" i="21"/>
  <c r="BR65" i="17" s="1"/>
  <c r="CE49" i="21"/>
  <c r="BR49" i="17" s="1"/>
  <c r="CD65" i="21"/>
  <c r="BQ65" i="17" s="1"/>
  <c r="CD49" i="21"/>
  <c r="BQ49" i="17" s="1"/>
  <c r="CD33" i="21"/>
  <c r="BQ33" i="17" s="1"/>
  <c r="CF60" i="21"/>
  <c r="BS60" i="17" s="1"/>
  <c r="CF44" i="21"/>
  <c r="BS44" i="17" s="1"/>
  <c r="CF83" i="21"/>
  <c r="BS83" i="17" s="1"/>
  <c r="CE68" i="21"/>
  <c r="BR68" i="17" s="1"/>
  <c r="CE52" i="21"/>
  <c r="BR52" i="17" s="1"/>
  <c r="CE36" i="21"/>
  <c r="BR36" i="17" s="1"/>
  <c r="CD68" i="21"/>
  <c r="BQ68" i="17" s="1"/>
  <c r="CD52" i="21"/>
  <c r="BQ52" i="17" s="1"/>
  <c r="CD36" i="21"/>
  <c r="BQ36" i="17" s="1"/>
  <c r="CD27" i="21"/>
  <c r="BQ27" i="17" s="1"/>
  <c r="CD22" i="21"/>
  <c r="BQ22" i="17" s="1"/>
  <c r="CF45" i="21"/>
  <c r="BS45" i="17" s="1"/>
  <c r="CF5" i="21"/>
  <c r="CF11" i="21"/>
  <c r="BS11" i="17" s="1"/>
  <c r="CD99" i="21"/>
  <c r="BQ99" i="17" s="1"/>
  <c r="CE82" i="21"/>
  <c r="BR82" i="17" s="1"/>
  <c r="CE61" i="21"/>
  <c r="BR61" i="17" s="1"/>
  <c r="CF75" i="21"/>
  <c r="BS75" i="17" s="1"/>
  <c r="CD64" i="21"/>
  <c r="BQ64" i="17" s="1"/>
  <c r="CE33" i="21"/>
  <c r="BR33" i="17" s="1"/>
  <c r="CE99" i="21"/>
  <c r="BR99" i="17" s="1"/>
  <c r="CE83" i="21"/>
  <c r="BR83" i="17" s="1"/>
  <c r="CD101" i="21"/>
  <c r="BQ101" i="17" s="1"/>
  <c r="CD85" i="21"/>
  <c r="BQ85" i="17" s="1"/>
  <c r="CF98" i="21"/>
  <c r="BS98" i="17" s="1"/>
  <c r="CF82" i="21"/>
  <c r="BS82" i="17" s="1"/>
  <c r="CE100" i="21"/>
  <c r="BR100" i="17" s="1"/>
  <c r="CE84" i="21"/>
  <c r="BR84" i="17" s="1"/>
  <c r="CD102" i="21"/>
  <c r="BQ102" i="17" s="1"/>
  <c r="CD86" i="21"/>
  <c r="BQ86" i="17" s="1"/>
  <c r="CD70" i="21"/>
  <c r="BQ70" i="17" s="1"/>
  <c r="CF72" i="21"/>
  <c r="BS72" i="17" s="1"/>
  <c r="CE63" i="21"/>
  <c r="BR63" i="17" s="1"/>
  <c r="CE47" i="21"/>
  <c r="BR47" i="17" s="1"/>
  <c r="CD63" i="21"/>
  <c r="BQ63" i="17" s="1"/>
  <c r="CD47" i="21"/>
  <c r="BQ47" i="17" s="1"/>
  <c r="CD31" i="21"/>
  <c r="BQ31" i="17" s="1"/>
  <c r="CF58" i="21"/>
  <c r="BS58" i="17" s="1"/>
  <c r="CF42" i="21"/>
  <c r="BS42" i="17" s="1"/>
  <c r="CF79" i="21"/>
  <c r="BS79" i="17" s="1"/>
  <c r="CE66" i="21"/>
  <c r="BR66" i="17" s="1"/>
  <c r="CE50" i="21"/>
  <c r="BR50" i="17" s="1"/>
  <c r="CE34" i="21"/>
  <c r="BR34" i="17" s="1"/>
  <c r="CD66" i="21"/>
  <c r="BQ66" i="17" s="1"/>
  <c r="CD50" i="21"/>
  <c r="BQ50" i="17" s="1"/>
  <c r="CD34" i="21"/>
  <c r="BQ34" i="17" s="1"/>
  <c r="CF26" i="21"/>
  <c r="BS26" i="17" s="1"/>
  <c r="CD5" i="21"/>
  <c r="BQ5" i="17" s="1"/>
  <c r="CF41" i="21"/>
  <c r="BS41" i="17" s="1"/>
  <c r="CE41" i="21"/>
  <c r="BR41" i="17" s="1"/>
  <c r="CD21" i="21"/>
  <c r="BQ21" i="17" s="1"/>
  <c r="CF13" i="21"/>
  <c r="BS13" i="17" s="1"/>
  <c r="CD83" i="21"/>
  <c r="BQ83" i="17" s="1"/>
  <c r="CD100" i="21"/>
  <c r="BQ100" i="17" s="1"/>
  <c r="CE45" i="21"/>
  <c r="BR45" i="17" s="1"/>
  <c r="CD32" i="21"/>
  <c r="BQ32" i="17" s="1"/>
  <c r="AH5" i="17"/>
  <c r="X7" i="17"/>
  <c r="AJ14" i="17"/>
  <c r="AH14" i="17"/>
  <c r="X15" i="17"/>
  <c r="AF10" i="17"/>
  <c r="T15" i="17"/>
  <c r="BI6" i="16"/>
  <c r="AJ7" i="16"/>
  <c r="AF9" i="17"/>
  <c r="T7" i="17"/>
  <c r="BH66" i="17"/>
  <c r="BJ66" i="17" s="1"/>
  <c r="BH24" i="17"/>
  <c r="BJ24" i="17" s="1"/>
  <c r="BI40" i="17"/>
  <c r="BI72" i="17"/>
  <c r="BH96" i="17"/>
  <c r="BJ96" i="17" s="1"/>
  <c r="BI18" i="17"/>
  <c r="BH38" i="17"/>
  <c r="BJ38" i="17" s="1"/>
  <c r="BI94" i="17"/>
  <c r="BH69" i="17"/>
  <c r="BJ69" i="17" s="1"/>
  <c r="BH82" i="17"/>
  <c r="BJ82" i="17" s="1"/>
  <c r="BI9" i="17"/>
  <c r="BI34" i="17"/>
  <c r="BI69" i="17"/>
  <c r="BH15" i="17"/>
  <c r="BJ15" i="17" s="1"/>
  <c r="BI60" i="17"/>
  <c r="BI91" i="17"/>
  <c r="BI11" i="17"/>
  <c r="BH31" i="17"/>
  <c r="BJ31" i="17" s="1"/>
  <c r="BI56" i="17"/>
  <c r="BH104" i="17"/>
  <c r="BI5" i="17"/>
  <c r="K20" i="19" s="1"/>
  <c r="BH17" i="17"/>
  <c r="BJ17" i="17" s="1"/>
  <c r="BI13" i="17"/>
  <c r="BH10" i="17"/>
  <c r="BJ10" i="17" s="1"/>
  <c r="BH25" i="17"/>
  <c r="BJ25" i="17" s="1"/>
  <c r="BI20" i="17"/>
  <c r="BI36" i="17"/>
  <c r="BH33" i="17"/>
  <c r="BJ33" i="17" s="1"/>
  <c r="BI35" i="17"/>
  <c r="BI39" i="17"/>
  <c r="BI62" i="17"/>
  <c r="BH61" i="17"/>
  <c r="BJ61" i="17" s="1"/>
  <c r="BH68" i="17"/>
  <c r="BJ68" i="17" s="1"/>
  <c r="BH71" i="17"/>
  <c r="BJ71" i="17" s="1"/>
  <c r="BH70" i="17"/>
  <c r="BJ70" i="17" s="1"/>
  <c r="BI70" i="17"/>
  <c r="BH99" i="17"/>
  <c r="BJ99" i="17" s="1"/>
  <c r="BI80" i="17"/>
  <c r="BH83" i="17"/>
  <c r="BJ83" i="17" s="1"/>
  <c r="BI73" i="17"/>
  <c r="BH95" i="17"/>
  <c r="BJ95" i="17" s="1"/>
  <c r="BH84" i="17"/>
  <c r="BJ84" i="17" s="1"/>
  <c r="BH92" i="17"/>
  <c r="BJ92" i="17" s="1"/>
  <c r="BI6" i="17"/>
  <c r="K21" i="19" s="1"/>
  <c r="BI10" i="17"/>
  <c r="BH19" i="17"/>
  <c r="BJ19" i="17" s="1"/>
  <c r="BI15" i="17"/>
  <c r="BH12" i="17"/>
  <c r="BJ12" i="17" s="1"/>
  <c r="BI29" i="17"/>
  <c r="BI22" i="17"/>
  <c r="BI38" i="17"/>
  <c r="BI43" i="17"/>
  <c r="BH35" i="17"/>
  <c r="BJ35" i="17" s="1"/>
  <c r="BI37" i="17"/>
  <c r="BH26" i="17"/>
  <c r="BJ26" i="17" s="1"/>
  <c r="BH60" i="17"/>
  <c r="BJ60" i="17" s="1"/>
  <c r="BI46" i="17"/>
  <c r="BH65" i="17"/>
  <c r="BJ65" i="17" s="1"/>
  <c r="BH72" i="17"/>
  <c r="BJ72" i="17" s="1"/>
  <c r="BI74" i="17"/>
  <c r="BH74" i="17"/>
  <c r="BJ74" i="17" s="1"/>
  <c r="BI93" i="17"/>
  <c r="BI75" i="17"/>
  <c r="BI88" i="17"/>
  <c r="BH98" i="17"/>
  <c r="BJ98" i="17" s="1"/>
  <c r="BH86" i="17"/>
  <c r="BJ86" i="17" s="1"/>
  <c r="BI90" i="17"/>
  <c r="BI101" i="17"/>
  <c r="BH7" i="17"/>
  <c r="BJ7" i="17" s="1"/>
  <c r="BH5" i="17"/>
  <c r="BJ5" i="17" s="1"/>
  <c r="L20" i="19" s="1"/>
  <c r="BH21" i="17"/>
  <c r="BJ21" i="17" s="1"/>
  <c r="BI17" i="17"/>
  <c r="BH14" i="17"/>
  <c r="BJ14" i="17" s="1"/>
  <c r="BI31" i="17"/>
  <c r="BI24" i="17"/>
  <c r="BH37" i="17"/>
  <c r="BJ37" i="17" s="1"/>
  <c r="BI41" i="17"/>
  <c r="BH28" i="17"/>
  <c r="BJ28" i="17" s="1"/>
  <c r="BH44" i="17"/>
  <c r="BJ44" i="17" s="1"/>
  <c r="BH57" i="17"/>
  <c r="BJ57" i="17" s="1"/>
  <c r="BH62" i="17"/>
  <c r="BJ62" i="17" s="1"/>
  <c r="BI48" i="17"/>
  <c r="BH47" i="17"/>
  <c r="BJ47" i="17" s="1"/>
  <c r="BH73" i="17"/>
  <c r="BJ73" i="17" s="1"/>
  <c r="BI71" i="17"/>
  <c r="BI59" i="17"/>
  <c r="BI78" i="17"/>
  <c r="BH76" i="17"/>
  <c r="BJ76" i="17" s="1"/>
  <c r="BH87" i="17"/>
  <c r="BJ87" i="17" s="1"/>
  <c r="BI77" i="17"/>
  <c r="BI81" i="17"/>
  <c r="BH89" i="17"/>
  <c r="BJ89" i="17" s="1"/>
  <c r="BH88" i="17"/>
  <c r="BJ88" i="17" s="1"/>
  <c r="BH91" i="17"/>
  <c r="BJ91" i="17" s="1"/>
  <c r="BH100" i="17"/>
  <c r="BJ100" i="17" s="1"/>
  <c r="BH8" i="17"/>
  <c r="BJ8" i="17" s="1"/>
  <c r="BH6" i="17"/>
  <c r="BJ6" i="17" s="1"/>
  <c r="L21" i="19" s="1"/>
  <c r="BH23" i="17"/>
  <c r="BJ23" i="17" s="1"/>
  <c r="BI19" i="17"/>
  <c r="BH16" i="17"/>
  <c r="BJ16" i="17" s="1"/>
  <c r="BI25" i="17"/>
  <c r="BH43" i="17"/>
  <c r="BJ43" i="17" s="1"/>
  <c r="BI47" i="17"/>
  <c r="BH41" i="17"/>
  <c r="BJ41" i="17" s="1"/>
  <c r="BH40" i="17"/>
  <c r="BJ40" i="17" s="1"/>
  <c r="BH30" i="17"/>
  <c r="BJ30" i="17" s="1"/>
  <c r="BI49" i="17"/>
  <c r="BI58" i="17"/>
  <c r="BI64" i="17"/>
  <c r="BI50" i="17"/>
  <c r="BH49" i="17"/>
  <c r="BJ49" i="17" s="1"/>
  <c r="BH75" i="17"/>
  <c r="BJ75" i="17" s="1"/>
  <c r="BI84" i="17"/>
  <c r="BI76" i="17"/>
  <c r="BI61" i="17"/>
  <c r="BH78" i="17"/>
  <c r="BJ78" i="17" s="1"/>
  <c r="BI79" i="17"/>
  <c r="BI83" i="17"/>
  <c r="BI89" i="17"/>
  <c r="BH101" i="17"/>
  <c r="BJ101" i="17" s="1"/>
  <c r="BI92" i="17"/>
  <c r="BH102" i="17"/>
  <c r="BJ102" i="17" s="1"/>
  <c r="BH9" i="17"/>
  <c r="BJ9" i="17" s="1"/>
  <c r="BI26" i="17"/>
  <c r="BI21" i="17"/>
  <c r="BH18" i="17"/>
  <c r="BJ18" i="17" s="1"/>
  <c r="BI12" i="17"/>
  <c r="BH27" i="17"/>
  <c r="BJ27" i="17" s="1"/>
  <c r="BI27" i="17"/>
  <c r="BI44" i="17"/>
  <c r="BH50" i="17"/>
  <c r="BJ50" i="17" s="1"/>
  <c r="BI42" i="17"/>
  <c r="BH32" i="17"/>
  <c r="BJ32" i="17" s="1"/>
  <c r="BH52" i="17"/>
  <c r="BJ52" i="17" s="1"/>
  <c r="BH59" i="17"/>
  <c r="BJ59" i="17" s="1"/>
  <c r="BH54" i="17"/>
  <c r="BJ54" i="17" s="1"/>
  <c r="BI52" i="17"/>
  <c r="BI55" i="17"/>
  <c r="BH51" i="17"/>
  <c r="BJ51" i="17" s="1"/>
  <c r="BH77" i="17"/>
  <c r="BJ77" i="17" s="1"/>
  <c r="BI63" i="17"/>
  <c r="BH80" i="17"/>
  <c r="BJ80" i="17" s="1"/>
  <c r="BH79" i="17"/>
  <c r="BJ79" i="17" s="1"/>
  <c r="BI82" i="17"/>
  <c r="BI85" i="17"/>
  <c r="BI96" i="17"/>
  <c r="BH90" i="17"/>
  <c r="BJ90" i="17" s="1"/>
  <c r="BH93" i="17"/>
  <c r="BJ93" i="17" s="1"/>
  <c r="BI98" i="17"/>
  <c r="BI7" i="17"/>
  <c r="BH11" i="17"/>
  <c r="BJ11" i="17" s="1"/>
  <c r="BI28" i="17"/>
  <c r="BI23" i="17"/>
  <c r="BH20" i="17"/>
  <c r="BJ20" i="17" s="1"/>
  <c r="BI14" i="17"/>
  <c r="BH45" i="17"/>
  <c r="BJ45" i="17" s="1"/>
  <c r="BI30" i="17"/>
  <c r="BI51" i="17"/>
  <c r="BI45" i="17"/>
  <c r="BH46" i="17"/>
  <c r="BJ46" i="17" s="1"/>
  <c r="BH34" i="17"/>
  <c r="BJ34" i="17" s="1"/>
  <c r="BH64" i="17"/>
  <c r="BJ64" i="17" s="1"/>
  <c r="BH56" i="17"/>
  <c r="BJ56" i="17" s="1"/>
  <c r="BI54" i="17"/>
  <c r="BH53" i="17"/>
  <c r="BJ53" i="17" s="1"/>
  <c r="BI66" i="17"/>
  <c r="BH97" i="17"/>
  <c r="BJ97" i="17" s="1"/>
  <c r="BI65" i="17"/>
  <c r="BH85" i="17"/>
  <c r="BJ85" i="17" s="1"/>
  <c r="BI87" i="17"/>
  <c r="BI97" i="17"/>
  <c r="BI100" i="17"/>
  <c r="BI8" i="17"/>
  <c r="BH13" i="17"/>
  <c r="BJ13" i="17" s="1"/>
  <c r="BI53" i="17"/>
  <c r="BH29" i="17"/>
  <c r="BJ29" i="17" s="1"/>
  <c r="BH22" i="17"/>
  <c r="BJ22" i="17" s="1"/>
  <c r="BI16" i="17"/>
  <c r="BI32" i="17"/>
  <c r="BH58" i="17"/>
  <c r="BJ58" i="17" s="1"/>
  <c r="BH48" i="17"/>
  <c r="BJ48" i="17" s="1"/>
  <c r="BH39" i="17"/>
  <c r="BJ39" i="17" s="1"/>
  <c r="BH36" i="17"/>
  <c r="BJ36" i="17" s="1"/>
  <c r="BI57" i="17"/>
  <c r="BH55" i="17"/>
  <c r="BJ55" i="17" s="1"/>
  <c r="BH63" i="17"/>
  <c r="BJ63" i="17" s="1"/>
  <c r="BI68" i="17"/>
  <c r="BH67" i="17"/>
  <c r="BJ67" i="17" s="1"/>
  <c r="BI67" i="17"/>
  <c r="BI86" i="17"/>
  <c r="BH94" i="17"/>
  <c r="BJ94" i="17" s="1"/>
  <c r="BI95" i="17"/>
  <c r="BI99" i="17"/>
  <c r="BH103" i="17"/>
  <c r="BI7" i="16"/>
  <c r="AJ8" i="16"/>
  <c r="AF8" i="16"/>
  <c r="BI11" i="16"/>
  <c r="AF28" i="16"/>
  <c r="AJ28" i="16"/>
  <c r="AF6" i="16"/>
  <c r="AF14" i="16"/>
  <c r="AJ14" i="16"/>
  <c r="AF9" i="16"/>
  <c r="AJ9" i="16"/>
  <c r="AF13" i="16"/>
  <c r="AJ13" i="16"/>
  <c r="AF11" i="16"/>
  <c r="AJ11" i="16"/>
  <c r="S7" i="16"/>
  <c r="AF10" i="16"/>
  <c r="AF5" i="17"/>
  <c r="S77" i="16"/>
  <c r="T11" i="16"/>
  <c r="S16" i="16"/>
  <c r="S85" i="16"/>
  <c r="S74" i="16"/>
  <c r="S20" i="16"/>
  <c r="S95" i="16"/>
  <c r="S37" i="16"/>
  <c r="AF12" i="16"/>
  <c r="S49" i="16"/>
  <c r="S26" i="16"/>
  <c r="S71" i="16"/>
  <c r="S56" i="16"/>
  <c r="S62" i="16"/>
  <c r="S80" i="16"/>
  <c r="S19" i="16"/>
  <c r="S21" i="16"/>
  <c r="S46" i="16"/>
  <c r="S65" i="16"/>
  <c r="S97" i="16"/>
  <c r="S23" i="16"/>
  <c r="S40" i="16"/>
  <c r="S70" i="16"/>
  <c r="S91" i="16"/>
  <c r="S94" i="16"/>
  <c r="S15" i="16"/>
  <c r="S44" i="16"/>
  <c r="S64" i="16"/>
  <c r="S36" i="16"/>
  <c r="S50" i="16"/>
  <c r="S81" i="16"/>
  <c r="S96" i="16"/>
  <c r="S61" i="16"/>
  <c r="S43" i="16"/>
  <c r="S54" i="16"/>
  <c r="T28" i="16"/>
  <c r="S53" i="17"/>
  <c r="W59" i="16"/>
  <c r="T6" i="17"/>
  <c r="S8" i="17"/>
  <c r="T9" i="16"/>
  <c r="X5" i="17"/>
  <c r="W42" i="17"/>
  <c r="W15" i="17"/>
  <c r="X6" i="16"/>
  <c r="W67" i="16"/>
  <c r="W9" i="16"/>
  <c r="W91" i="16"/>
  <c r="X14" i="16"/>
  <c r="S92" i="16"/>
  <c r="S16" i="17"/>
  <c r="X5" i="16"/>
  <c r="W99" i="16"/>
  <c r="AJ9" i="17"/>
  <c r="W80" i="16"/>
  <c r="W26" i="16"/>
  <c r="W81" i="16"/>
  <c r="W45" i="16"/>
  <c r="W13" i="16"/>
  <c r="W50" i="16"/>
  <c r="W33" i="16"/>
  <c r="AH6" i="16"/>
  <c r="X9" i="16"/>
  <c r="W88" i="16"/>
  <c r="W35" i="16"/>
  <c r="W101" i="16"/>
  <c r="W68" i="16"/>
  <c r="S43" i="17"/>
  <c r="S75" i="16"/>
  <c r="X12" i="16"/>
  <c r="W22" i="16"/>
  <c r="W5" i="16"/>
  <c r="W87" i="16"/>
  <c r="W18" i="16"/>
  <c r="W32" i="16"/>
  <c r="W89" i="16"/>
  <c r="W92" i="16"/>
  <c r="W38" i="16"/>
  <c r="W93" i="16"/>
  <c r="S27" i="16"/>
  <c r="S31" i="16"/>
  <c r="S30" i="16"/>
  <c r="S45" i="16"/>
  <c r="S55" i="16"/>
  <c r="S67" i="16"/>
  <c r="S84" i="16"/>
  <c r="S76" i="16"/>
  <c r="S103" i="16"/>
  <c r="S83" i="16"/>
  <c r="T8" i="16"/>
  <c r="W19" i="16"/>
  <c r="W15" i="16"/>
  <c r="W34" i="16"/>
  <c r="W46" i="16"/>
  <c r="W53" i="16"/>
  <c r="W63" i="16"/>
  <c r="W90" i="16"/>
  <c r="W28" i="16"/>
  <c r="W76" i="16"/>
  <c r="W11" i="16"/>
  <c r="W37" i="16"/>
  <c r="S12" i="16"/>
  <c r="W86" i="16"/>
  <c r="S90" i="17"/>
  <c r="S60" i="17"/>
  <c r="S68" i="17"/>
  <c r="W72" i="16"/>
  <c r="W23" i="16"/>
  <c r="W69" i="16"/>
  <c r="W7" i="16"/>
  <c r="W57" i="16"/>
  <c r="W55" i="16"/>
  <c r="W103" i="16"/>
  <c r="S25" i="16"/>
  <c r="W48" i="16"/>
  <c r="S9" i="16"/>
  <c r="S5" i="16"/>
  <c r="S18" i="16"/>
  <c r="S33" i="16"/>
  <c r="S32" i="16"/>
  <c r="S51" i="16"/>
  <c r="S59" i="16"/>
  <c r="S69" i="16"/>
  <c r="S73" i="16"/>
  <c r="S78" i="16"/>
  <c r="S99" i="16"/>
  <c r="W94" i="16"/>
  <c r="W24" i="16"/>
  <c r="W42" i="16"/>
  <c r="W39" i="16"/>
  <c r="W56" i="16"/>
  <c r="W78" i="16"/>
  <c r="W102" i="16"/>
  <c r="X28" i="16"/>
  <c r="W79" i="16"/>
  <c r="T12" i="16"/>
  <c r="W60" i="16"/>
  <c r="W98" i="16"/>
  <c r="T11" i="17"/>
  <c r="S50" i="17"/>
  <c r="W49" i="16"/>
  <c r="T6" i="16"/>
  <c r="S22" i="16"/>
  <c r="S34" i="16"/>
  <c r="S60" i="16"/>
  <c r="S82" i="16"/>
  <c r="W16" i="16"/>
  <c r="S87" i="16"/>
  <c r="S8" i="16"/>
  <c r="W8" i="16"/>
  <c r="W20" i="16"/>
  <c r="W21" i="16"/>
  <c r="W27" i="16"/>
  <c r="W41" i="16"/>
  <c r="W62" i="16"/>
  <c r="W85" i="16"/>
  <c r="W95" i="16"/>
  <c r="X11" i="16"/>
  <c r="W52" i="16"/>
  <c r="S11" i="16"/>
  <c r="S63" i="17"/>
  <c r="S62" i="17"/>
  <c r="S69" i="17"/>
  <c r="W74" i="16"/>
  <c r="W30" i="16"/>
  <c r="W65" i="16"/>
  <c r="W51" i="16"/>
  <c r="W12" i="16"/>
  <c r="W43" i="16"/>
  <c r="W104" i="16"/>
  <c r="X13" i="16"/>
  <c r="W70" i="16"/>
  <c r="T5" i="16"/>
  <c r="S35" i="16"/>
  <c r="S53" i="16"/>
  <c r="S63" i="16"/>
  <c r="S72" i="16"/>
  <c r="S101" i="16"/>
  <c r="W73" i="16"/>
  <c r="S10" i="16"/>
  <c r="S14" i="16"/>
  <c r="S24" i="16"/>
  <c r="S42" i="16"/>
  <c r="S38" i="16"/>
  <c r="S48" i="16"/>
  <c r="S57" i="16"/>
  <c r="S66" i="16"/>
  <c r="S79" i="16"/>
  <c r="S86" i="16"/>
  <c r="S98" i="16"/>
  <c r="T14" i="16"/>
  <c r="S13" i="16"/>
  <c r="X8" i="16"/>
  <c r="W14" i="16"/>
  <c r="W40" i="16"/>
  <c r="W29" i="16"/>
  <c r="W54" i="16"/>
  <c r="W64" i="16"/>
  <c r="W83" i="16"/>
  <c r="W97" i="16"/>
  <c r="S104" i="16"/>
  <c r="X10" i="16"/>
  <c r="W77" i="16"/>
  <c r="W6" i="16"/>
  <c r="S100" i="16"/>
  <c r="S102" i="16"/>
  <c r="W36" i="16"/>
  <c r="W75" i="16"/>
  <c r="W61" i="16"/>
  <c r="W47" i="16"/>
  <c r="W10" i="16"/>
  <c r="S89" i="16"/>
  <c r="S6" i="16"/>
  <c r="T10" i="16"/>
  <c r="S17" i="16"/>
  <c r="S29" i="16"/>
  <c r="S39" i="16"/>
  <c r="S41" i="16"/>
  <c r="S52" i="16"/>
  <c r="S58" i="16"/>
  <c r="S68" i="16"/>
  <c r="S93" i="16"/>
  <c r="S88" i="16"/>
  <c r="W17" i="16"/>
  <c r="S90" i="16"/>
  <c r="T13" i="16"/>
  <c r="W25" i="16"/>
  <c r="W44" i="16"/>
  <c r="W31" i="16"/>
  <c r="W58" i="16"/>
  <c r="W71" i="16"/>
  <c r="W84" i="16"/>
  <c r="W100" i="16"/>
  <c r="S28" i="16"/>
  <c r="W96" i="16"/>
  <c r="S47" i="16"/>
  <c r="S92" i="17"/>
  <c r="S38" i="17"/>
  <c r="S51" i="17"/>
  <c r="S34" i="17"/>
  <c r="S77" i="17"/>
  <c r="T8" i="17"/>
  <c r="S100" i="17"/>
  <c r="S71" i="17"/>
  <c r="S12" i="17"/>
  <c r="S59" i="17"/>
  <c r="S19" i="17"/>
  <c r="S85" i="17"/>
  <c r="S74" i="17"/>
  <c r="S82" i="17"/>
  <c r="S47" i="17"/>
  <c r="S36" i="17"/>
  <c r="S45" i="17"/>
  <c r="S86" i="17"/>
  <c r="S91" i="17"/>
  <c r="S73" i="17"/>
  <c r="T12" i="17"/>
  <c r="S25" i="17"/>
  <c r="S104" i="17"/>
  <c r="S7" i="17"/>
  <c r="S27" i="17"/>
  <c r="S24" i="17"/>
  <c r="S39" i="17"/>
  <c r="S13" i="17"/>
  <c r="S20" i="17"/>
  <c r="S57" i="17"/>
  <c r="S84" i="17"/>
  <c r="S58" i="17"/>
  <c r="S101" i="17"/>
  <c r="S94" i="17"/>
  <c r="S10" i="17"/>
  <c r="S76" i="17"/>
  <c r="S89" i="17"/>
  <c r="S21" i="17"/>
  <c r="S22" i="17"/>
  <c r="S32" i="17"/>
  <c r="S97" i="17"/>
  <c r="S44" i="17"/>
  <c r="S42" i="17"/>
  <c r="AF6" i="17"/>
  <c r="S96" i="17"/>
  <c r="S95" i="17"/>
  <c r="T10" i="17"/>
  <c r="S28" i="17"/>
  <c r="S29" i="17"/>
  <c r="S46" i="17"/>
  <c r="S93" i="17"/>
  <c r="S99" i="17"/>
  <c r="S5" i="17"/>
  <c r="S64" i="17"/>
  <c r="S9" i="17"/>
  <c r="S26" i="17"/>
  <c r="T5" i="17"/>
  <c r="S75" i="17"/>
  <c r="S37" i="17"/>
  <c r="S88" i="17"/>
  <c r="T28" i="17"/>
  <c r="S83" i="17"/>
  <c r="S80" i="17"/>
  <c r="S40" i="17"/>
  <c r="S103" i="17"/>
  <c r="S87" i="17"/>
  <c r="S79" i="17"/>
  <c r="S14" i="17"/>
  <c r="S18" i="17"/>
  <c r="S30" i="17"/>
  <c r="S11" i="17"/>
  <c r="S6" i="17"/>
  <c r="S56" i="17"/>
  <c r="S35" i="17"/>
  <c r="S55" i="17"/>
  <c r="S102" i="17"/>
  <c r="S70" i="17"/>
  <c r="S65" i="17"/>
  <c r="S81" i="17"/>
  <c r="S61" i="17"/>
  <c r="T14" i="17"/>
  <c r="S31" i="17"/>
  <c r="S98" i="17"/>
  <c r="T13" i="17"/>
  <c r="S49" i="17"/>
  <c r="T9" i="17"/>
  <c r="S41" i="17"/>
  <c r="S23" i="17"/>
  <c r="S48" i="17"/>
  <c r="X8" i="17"/>
  <c r="W20" i="17"/>
  <c r="W14" i="17"/>
  <c r="S33" i="17"/>
  <c r="S66" i="17"/>
  <c r="W99" i="17"/>
  <c r="W16" i="17"/>
  <c r="S54" i="17"/>
  <c r="S17" i="17"/>
  <c r="W57" i="17"/>
  <c r="W6" i="17"/>
  <c r="W100" i="17"/>
  <c r="W8" i="17"/>
  <c r="W81" i="17"/>
  <c r="S78" i="17"/>
  <c r="S15" i="17"/>
  <c r="S72" i="17"/>
  <c r="S52" i="17"/>
  <c r="W86" i="17"/>
  <c r="W85" i="17"/>
  <c r="S67" i="17"/>
  <c r="W13" i="17"/>
  <c r="W79" i="17"/>
  <c r="W77" i="17"/>
  <c r="X12" i="17"/>
  <c r="W59" i="17"/>
  <c r="W72" i="17"/>
  <c r="W69" i="17"/>
  <c r="W55" i="17"/>
  <c r="W76" i="17"/>
  <c r="W88" i="17"/>
  <c r="X13" i="17"/>
  <c r="W48" i="17"/>
  <c r="W5" i="17"/>
  <c r="W93" i="17"/>
  <c r="W62" i="17"/>
  <c r="W39" i="17"/>
  <c r="X10" i="17"/>
  <c r="W74" i="17"/>
  <c r="W24" i="17"/>
  <c r="W35" i="17"/>
  <c r="X11" i="17"/>
  <c r="W41" i="17"/>
  <c r="W89" i="17"/>
  <c r="W84" i="17"/>
  <c r="W23" i="17"/>
  <c r="W43" i="17"/>
  <c r="W83" i="17"/>
  <c r="X28" i="17"/>
  <c r="W40" i="17"/>
  <c r="W97" i="17"/>
  <c r="W30" i="17"/>
  <c r="W75" i="17"/>
  <c r="W18" i="17"/>
  <c r="W61" i="17"/>
  <c r="W98" i="17"/>
  <c r="W54" i="17"/>
  <c r="W44" i="17"/>
  <c r="W37" i="17"/>
  <c r="W95" i="17"/>
  <c r="W29" i="17"/>
  <c r="W26" i="17"/>
  <c r="W33" i="17"/>
  <c r="W47" i="17"/>
  <c r="W45" i="17"/>
  <c r="W7" i="17"/>
  <c r="W52" i="17"/>
  <c r="W34" i="17"/>
  <c r="W25" i="17"/>
  <c r="W17" i="17"/>
  <c r="W68" i="17"/>
  <c r="W53" i="17"/>
  <c r="W101" i="17"/>
  <c r="W49" i="17"/>
  <c r="W56" i="17"/>
  <c r="W28" i="17"/>
  <c r="W36" i="17"/>
  <c r="W9" i="17"/>
  <c r="W94" i="17"/>
  <c r="W90" i="17"/>
  <c r="W66" i="17"/>
  <c r="W51" i="17"/>
  <c r="W60" i="17"/>
  <c r="W71" i="17"/>
  <c r="X14" i="17"/>
  <c r="W11" i="17"/>
  <c r="W10" i="17"/>
  <c r="W102" i="17"/>
  <c r="X9" i="17"/>
  <c r="W21" i="17"/>
  <c r="W32" i="17"/>
  <c r="W73" i="17"/>
  <c r="W78" i="17"/>
  <c r="W58" i="17"/>
  <c r="W82" i="17"/>
  <c r="W104" i="17"/>
  <c r="W80" i="17"/>
  <c r="W87" i="17"/>
  <c r="W67" i="17"/>
  <c r="W12" i="17"/>
  <c r="W66" i="16"/>
  <c r="W19" i="17"/>
  <c r="W82" i="16"/>
  <c r="W22" i="17"/>
  <c r="W70" i="17"/>
  <c r="W64" i="17"/>
  <c r="W92" i="17"/>
  <c r="X6" i="17"/>
  <c r="W91" i="17"/>
  <c r="W65" i="17"/>
  <c r="W63" i="17"/>
  <c r="W50" i="17"/>
  <c r="W46" i="17"/>
  <c r="W27" i="17"/>
  <c r="W96" i="17"/>
  <c r="W31" i="17"/>
  <c r="W103" i="17"/>
  <c r="W38" i="17"/>
  <c r="C28" i="19" l="1"/>
  <c r="BQ5" i="8"/>
  <c r="L28" i="19"/>
  <c r="BS5" i="17"/>
  <c r="K28" i="19"/>
  <c r="BR5" i="17"/>
  <c r="AJ5" i="17"/>
  <c r="AB7" i="17"/>
  <c r="AB15" i="17"/>
  <c r="BC6" i="16"/>
  <c r="BC5" i="16"/>
  <c r="G16" i="19" s="1"/>
  <c r="AJ6" i="16"/>
  <c r="AB7" i="16"/>
  <c r="AA29" i="17"/>
  <c r="AA77" i="17"/>
  <c r="AA81" i="17"/>
  <c r="AA47" i="17"/>
  <c r="AA63" i="17"/>
  <c r="AB12" i="17"/>
  <c r="AA64" i="17"/>
  <c r="AA30" i="17"/>
  <c r="AA94" i="17"/>
  <c r="AA61" i="17"/>
  <c r="AA28" i="17"/>
  <c r="AA36" i="17"/>
  <c r="AA41" i="17"/>
  <c r="AA79" i="17"/>
  <c r="AA24" i="17"/>
  <c r="AA98" i="17"/>
  <c r="AA86" i="17"/>
  <c r="AA44" i="17"/>
  <c r="AA97" i="17"/>
  <c r="AA95" i="17"/>
  <c r="AA87" i="17"/>
  <c r="AA53" i="17"/>
  <c r="AA60" i="17"/>
  <c r="AA49" i="17"/>
  <c r="AA68" i="17"/>
  <c r="AA10" i="17"/>
  <c r="AA90" i="17"/>
  <c r="AB8" i="17"/>
  <c r="AA66" i="17"/>
  <c r="AA48" i="17"/>
  <c r="AB10" i="17"/>
  <c r="AA17" i="17"/>
  <c r="AA26" i="17"/>
  <c r="AA12" i="17"/>
  <c r="AA31" i="17"/>
  <c r="AB9" i="17"/>
  <c r="AA39" i="17"/>
  <c r="AB5" i="17"/>
  <c r="AA78" i="17"/>
  <c r="AA102" i="17"/>
  <c r="AA103" i="17"/>
  <c r="AA16" i="17"/>
  <c r="AB6" i="17"/>
  <c r="AA6" i="17"/>
  <c r="AA67" i="17"/>
  <c r="AA82" i="17"/>
  <c r="AA54" i="17"/>
  <c r="AA73" i="17"/>
  <c r="AB13" i="17"/>
  <c r="AA22" i="17"/>
  <c r="AA25" i="17"/>
  <c r="AB28" i="17"/>
  <c r="AA21" i="17"/>
  <c r="AA55" i="17"/>
  <c r="AA71" i="17"/>
  <c r="AA70" i="17"/>
  <c r="AA85" i="17"/>
  <c r="AA93" i="17"/>
  <c r="AA101" i="17"/>
  <c r="AA59" i="17"/>
  <c r="AA5" i="17"/>
  <c r="AA65" i="17"/>
  <c r="AA52" i="17"/>
  <c r="AA32" i="17"/>
  <c r="AA69" i="17"/>
  <c r="AA8" i="17"/>
  <c r="AA38" i="17"/>
  <c r="AA9" i="17"/>
  <c r="AA56" i="17"/>
  <c r="AA76" i="17"/>
  <c r="AA84" i="17"/>
  <c r="AA99" i="17"/>
  <c r="AA14" i="17"/>
  <c r="AA88" i="17"/>
  <c r="AB14" i="17"/>
  <c r="AA18" i="17"/>
  <c r="AA42" i="17"/>
  <c r="AA91" i="17"/>
  <c r="AA51" i="17"/>
  <c r="AA100" i="17"/>
  <c r="AA23" i="17"/>
  <c r="AA46" i="17"/>
  <c r="AA75" i="17"/>
  <c r="AA57" i="17"/>
  <c r="AA74" i="17"/>
  <c r="AA72" i="17"/>
  <c r="AA34" i="17"/>
  <c r="AA96" i="17"/>
  <c r="AA13" i="17"/>
  <c r="AA20" i="17"/>
  <c r="AA43" i="17"/>
  <c r="AA89" i="17"/>
  <c r="AA80" i="17"/>
  <c r="AA35" i="17"/>
  <c r="AA7" i="17"/>
  <c r="AA83" i="17"/>
  <c r="AB11" i="17"/>
  <c r="AA33" i="17"/>
  <c r="AA104" i="17"/>
  <c r="AA40" i="17"/>
  <c r="AA45" i="17"/>
  <c r="AA62" i="17"/>
  <c r="AA58" i="17"/>
  <c r="AA92" i="17"/>
  <c r="AA19" i="17"/>
  <c r="AA50" i="17"/>
  <c r="AA37" i="17"/>
  <c r="AA11" i="17"/>
  <c r="AA15" i="17"/>
  <c r="AA27" i="17"/>
  <c r="AA18" i="16"/>
  <c r="AA58" i="16"/>
  <c r="AA86" i="16"/>
  <c r="AA35" i="16"/>
  <c r="AA43" i="16"/>
  <c r="AA9" i="16"/>
  <c r="AA33" i="16"/>
  <c r="AA104" i="16"/>
  <c r="AA7" i="16"/>
  <c r="AA10" i="16"/>
  <c r="AA55" i="16"/>
  <c r="AA12" i="16"/>
  <c r="AA40" i="16"/>
  <c r="AA47" i="16"/>
  <c r="AA42" i="16"/>
  <c r="AB9" i="16"/>
  <c r="AA98" i="16"/>
  <c r="AA19" i="16"/>
  <c r="AA74" i="16"/>
  <c r="AA26" i="16"/>
  <c r="AA50" i="16"/>
  <c r="AB11" i="16"/>
  <c r="AA28" i="16"/>
  <c r="AB14" i="16"/>
  <c r="AA52" i="16"/>
  <c r="AA100" i="16"/>
  <c r="AB13" i="16"/>
  <c r="AA84" i="16"/>
  <c r="AA97" i="16"/>
  <c r="AB5" i="16"/>
  <c r="AA16" i="16"/>
  <c r="AB12" i="16"/>
  <c r="AA31" i="16"/>
  <c r="AA17" i="16"/>
  <c r="AA91" i="16"/>
  <c r="AA6" i="16"/>
  <c r="AA66" i="16"/>
  <c r="AB10" i="16"/>
  <c r="AA44" i="16"/>
  <c r="AA93" i="16"/>
  <c r="AB6" i="16"/>
  <c r="AA71" i="16"/>
  <c r="AA95" i="16"/>
  <c r="AA89" i="16"/>
  <c r="AA25" i="16"/>
  <c r="AA88" i="16"/>
  <c r="AA46" i="16"/>
  <c r="AA76" i="16"/>
  <c r="AA34" i="16"/>
  <c r="AA14" i="16"/>
  <c r="AA61" i="16"/>
  <c r="AA77" i="16"/>
  <c r="AA13" i="16"/>
  <c r="AB8" i="16"/>
  <c r="AA65" i="16"/>
  <c r="AA53" i="16"/>
  <c r="AA101" i="16"/>
  <c r="AA103" i="16"/>
  <c r="AA5" i="16"/>
  <c r="AA87" i="16"/>
  <c r="AA92" i="16"/>
  <c r="AA38" i="16"/>
  <c r="AA85" i="16"/>
  <c r="AA21" i="16"/>
  <c r="AA81" i="16"/>
  <c r="AA8" i="16"/>
  <c r="AA39" i="16"/>
  <c r="AA56" i="16"/>
  <c r="AA23" i="16"/>
  <c r="AA54" i="16"/>
  <c r="AA78" i="16"/>
  <c r="AA96" i="16"/>
  <c r="AA64" i="16"/>
  <c r="AA57" i="16"/>
  <c r="AA48" i="16"/>
  <c r="AA11" i="16"/>
  <c r="AA83" i="16"/>
  <c r="AA79" i="16"/>
  <c r="AA22" i="16"/>
  <c r="AA67" i="16"/>
  <c r="AA59" i="16"/>
  <c r="AA27" i="16"/>
  <c r="AA72" i="16"/>
  <c r="AA62" i="16"/>
  <c r="AA49" i="16"/>
  <c r="AA68" i="16"/>
  <c r="AA20" i="16"/>
  <c r="AB28" i="16"/>
  <c r="AA15" i="16"/>
  <c r="AA73" i="16"/>
  <c r="AA63" i="16"/>
  <c r="AA24" i="16"/>
  <c r="AA99" i="16"/>
  <c r="AA80" i="16"/>
  <c r="AA37" i="16"/>
  <c r="AA82" i="16"/>
  <c r="AA30" i="16"/>
  <c r="AA75" i="16"/>
  <c r="AA69" i="16"/>
  <c r="AA51" i="16"/>
  <c r="AA29" i="16"/>
  <c r="AA45" i="16"/>
  <c r="AA32" i="16"/>
  <c r="AA70" i="16"/>
  <c r="AA60" i="16"/>
  <c r="AA102" i="16"/>
  <c r="AA90" i="16"/>
  <c r="AA36" i="16"/>
  <c r="AA41" i="16"/>
  <c r="AA94" i="16"/>
  <c r="AT5" i="17"/>
  <c r="K8" i="19" s="1"/>
  <c r="G17" i="19"/>
  <c r="BD5" i="17"/>
  <c r="K16" i="19" s="1"/>
  <c r="BC5" i="17"/>
  <c r="BE5" i="17" s="1"/>
  <c r="L16" i="19" s="1"/>
  <c r="AS5" i="17"/>
  <c r="AT11" i="17"/>
  <c r="AS101" i="17"/>
  <c r="AS38" i="17"/>
  <c r="AT75" i="17"/>
  <c r="BD7" i="17"/>
  <c r="BD9" i="17"/>
  <c r="AT84" i="17"/>
  <c r="AT56" i="17"/>
  <c r="BC7" i="17"/>
  <c r="BE7" i="17" s="1"/>
  <c r="AS50" i="17"/>
  <c r="AS91" i="17"/>
  <c r="AS30" i="17"/>
  <c r="AS98" i="17"/>
  <c r="AT42" i="17"/>
  <c r="AS69" i="17"/>
  <c r="AT91" i="17"/>
  <c r="AS8" i="17"/>
  <c r="AS39" i="17"/>
  <c r="AT64" i="17"/>
  <c r="AT24" i="17"/>
  <c r="AS37" i="17"/>
  <c r="AT83" i="17"/>
  <c r="AS22" i="17"/>
  <c r="AS81" i="17"/>
  <c r="AT74" i="17"/>
  <c r="AT50" i="17"/>
  <c r="AS17" i="17"/>
  <c r="AT47" i="17"/>
  <c r="AT30" i="17"/>
  <c r="AS46" i="17"/>
  <c r="AT77" i="17"/>
  <c r="AT8" i="17"/>
  <c r="AT16" i="17"/>
  <c r="AT31" i="17"/>
  <c r="AS9" i="17"/>
  <c r="AS18" i="17"/>
  <c r="AS13" i="17"/>
  <c r="AT23" i="17"/>
  <c r="AS34" i="17"/>
  <c r="AT36" i="17"/>
  <c r="AS33" i="17"/>
  <c r="AS53" i="17"/>
  <c r="AS65" i="17"/>
  <c r="AT60" i="17"/>
  <c r="AS102" i="17"/>
  <c r="AT85" i="17"/>
  <c r="AS90" i="17"/>
  <c r="AS100" i="17"/>
  <c r="AT26" i="17"/>
  <c r="AS20" i="17"/>
  <c r="AT22" i="17"/>
  <c r="AS15" i="17"/>
  <c r="AS49" i="17"/>
  <c r="AT27" i="17"/>
  <c r="AT37" i="17"/>
  <c r="AS36" i="17"/>
  <c r="AT38" i="17"/>
  <c r="AT44" i="17"/>
  <c r="AS35" i="17"/>
  <c r="AT72" i="17"/>
  <c r="AT55" i="17"/>
  <c r="AS48" i="17"/>
  <c r="AS67" i="17"/>
  <c r="AT73" i="17"/>
  <c r="AT62" i="17"/>
  <c r="AS79" i="17"/>
  <c r="AS95" i="17"/>
  <c r="AS89" i="17"/>
  <c r="AT82" i="17"/>
  <c r="AT97" i="17"/>
  <c r="AT98" i="17"/>
  <c r="AS99" i="17"/>
  <c r="AS6" i="17"/>
  <c r="AT10" i="17"/>
  <c r="AS24" i="17"/>
  <c r="AS25" i="17"/>
  <c r="AS19" i="17"/>
  <c r="AT13" i="17"/>
  <c r="AT41" i="17"/>
  <c r="AT46" i="17"/>
  <c r="AT40" i="17"/>
  <c r="AS44" i="17"/>
  <c r="AS43" i="17"/>
  <c r="AS42" i="17"/>
  <c r="AT59" i="17"/>
  <c r="AT49" i="17"/>
  <c r="AS52" i="17"/>
  <c r="AS71" i="17"/>
  <c r="AT87" i="17"/>
  <c r="AT66" i="17"/>
  <c r="AS84" i="17"/>
  <c r="AS86" i="17"/>
  <c r="AT76" i="17"/>
  <c r="AT86" i="17"/>
  <c r="AT102" i="17"/>
  <c r="AS92" i="17"/>
  <c r="AS103" i="17"/>
  <c r="AS7" i="17"/>
  <c r="AS10" i="17"/>
  <c r="AT12" i="17"/>
  <c r="AS28" i="17"/>
  <c r="AS21" i="17"/>
  <c r="AT15" i="17"/>
  <c r="AS26" i="17"/>
  <c r="AS41" i="17"/>
  <c r="AT45" i="17"/>
  <c r="AS47" i="17"/>
  <c r="AS51" i="17"/>
  <c r="AT43" i="17"/>
  <c r="AS60" i="17"/>
  <c r="AT51" i="17"/>
  <c r="AS54" i="17"/>
  <c r="AS73" i="17"/>
  <c r="AT70" i="17"/>
  <c r="AT68" i="17"/>
  <c r="AT94" i="17"/>
  <c r="AT96" i="17"/>
  <c r="AT78" i="17"/>
  <c r="AT88" i="17"/>
  <c r="AS83" i="17"/>
  <c r="AT92" i="17"/>
  <c r="AT99" i="17"/>
  <c r="AT25" i="17"/>
  <c r="AT54" i="17"/>
  <c r="AT53" i="17"/>
  <c r="AS74" i="17"/>
  <c r="AS78" i="17"/>
  <c r="AT80" i="17"/>
  <c r="AT95" i="17"/>
  <c r="AS85" i="17"/>
  <c r="AS93" i="17"/>
  <c r="AT101" i="17"/>
  <c r="AS12" i="17"/>
  <c r="AS23" i="17"/>
  <c r="AT52" i="17"/>
  <c r="AT67" i="17"/>
  <c r="AT29" i="17"/>
  <c r="AT32" i="17"/>
  <c r="AT48" i="17"/>
  <c r="AS58" i="17"/>
  <c r="AT69" i="17"/>
  <c r="AS72" i="17"/>
  <c r="AS80" i="17"/>
  <c r="AS87" i="17"/>
  <c r="AT103" i="17"/>
  <c r="AT7" i="17"/>
  <c r="AT17" i="17"/>
  <c r="AS27" i="17"/>
  <c r="AS57" i="17"/>
  <c r="AT28" i="17"/>
  <c r="AT61" i="17"/>
  <c r="AT65" i="17"/>
  <c r="AS29" i="17"/>
  <c r="AS55" i="17"/>
  <c r="AS61" i="17"/>
  <c r="AS68" i="17"/>
  <c r="AT81" i="17"/>
  <c r="AS97" i="17"/>
  <c r="AS96" i="17"/>
  <c r="AT93" i="17"/>
  <c r="AT9" i="17"/>
  <c r="AS16" i="17"/>
  <c r="AT18" i="17"/>
  <c r="AS11" i="17"/>
  <c r="AS40" i="17"/>
  <c r="AT21" i="17"/>
  <c r="AT33" i="17"/>
  <c r="AS32" i="17"/>
  <c r="AT34" i="17"/>
  <c r="AS66" i="17"/>
  <c r="AS31" i="17"/>
  <c r="AS56" i="17"/>
  <c r="AS62" i="17"/>
  <c r="AT58" i="17"/>
  <c r="AT63" i="17"/>
  <c r="AS70" i="17"/>
  <c r="AS76" i="17"/>
  <c r="AS75" i="17"/>
  <c r="AS88" i="17"/>
  <c r="AS82" i="17"/>
  <c r="AT104" i="17"/>
  <c r="AT89" i="17"/>
  <c r="AT90" i="17"/>
  <c r="AS94" i="17"/>
  <c r="AS104" i="17"/>
  <c r="AT14" i="17"/>
  <c r="AS59" i="17"/>
  <c r="AS64" i="17"/>
  <c r="AT79" i="17"/>
  <c r="AS14" i="17"/>
  <c r="AT19" i="17"/>
  <c r="AT6" i="17"/>
  <c r="K9" i="19" s="1"/>
  <c r="AT20" i="17"/>
  <c r="AS45" i="17"/>
  <c r="AT35" i="17"/>
  <c r="AT39" i="17"/>
  <c r="AT57" i="17"/>
  <c r="AS63" i="17"/>
  <c r="AT71" i="17"/>
  <c r="AS77" i="17"/>
  <c r="AT100" i="17"/>
  <c r="BC7" i="16"/>
  <c r="BB8" i="16"/>
  <c r="BD8" i="16" s="1"/>
  <c r="BC24" i="16"/>
  <c r="BB7" i="16"/>
  <c r="BD7" i="16" s="1"/>
  <c r="AS72" i="16"/>
  <c r="BC99" i="16"/>
  <c r="BB10" i="16"/>
  <c r="BD10" i="16" s="1"/>
  <c r="BC10" i="16"/>
  <c r="BB6" i="16"/>
  <c r="BB59" i="16"/>
  <c r="BD59" i="16" s="1"/>
  <c r="BC8" i="16"/>
  <c r="BB24" i="16"/>
  <c r="BD24" i="16" s="1"/>
  <c r="BB63" i="16"/>
  <c r="BD63" i="16" s="1"/>
  <c r="BB64" i="16"/>
  <c r="BD64" i="16" s="1"/>
  <c r="BB48" i="16"/>
  <c r="BD48" i="16" s="1"/>
  <c r="BC83" i="16"/>
  <c r="BB25" i="16"/>
  <c r="BD25" i="16" s="1"/>
  <c r="BB12" i="16"/>
  <c r="BD12" i="16" s="1"/>
  <c r="BC25" i="16"/>
  <c r="BC41" i="16"/>
  <c r="AR100" i="16"/>
  <c r="BC11" i="16"/>
  <c r="BC65" i="16"/>
  <c r="AS7" i="16"/>
  <c r="BB21" i="16"/>
  <c r="BD21" i="16" s="1"/>
  <c r="BB31" i="16"/>
  <c r="BD31" i="16" s="1"/>
  <c r="BB16" i="16"/>
  <c r="BD16" i="16" s="1"/>
  <c r="BC27" i="16"/>
  <c r="BC26" i="16"/>
  <c r="BB40" i="16"/>
  <c r="BD40" i="16" s="1"/>
  <c r="BC51" i="16"/>
  <c r="BC40" i="16"/>
  <c r="BC43" i="16"/>
  <c r="BC67" i="16"/>
  <c r="BB68" i="16"/>
  <c r="BD68" i="16" s="1"/>
  <c r="BB75" i="16"/>
  <c r="BD75" i="16" s="1"/>
  <c r="BB85" i="16"/>
  <c r="BD85" i="16" s="1"/>
  <c r="BB94" i="16"/>
  <c r="BD94" i="16" s="1"/>
  <c r="AS6" i="16"/>
  <c r="G9" i="19" s="1"/>
  <c r="AS40" i="16"/>
  <c r="AR73" i="16"/>
  <c r="AT73" i="16" s="1"/>
  <c r="AS35" i="16"/>
  <c r="BB27" i="16"/>
  <c r="BD27" i="16" s="1"/>
  <c r="BB30" i="16"/>
  <c r="BD30" i="16" s="1"/>
  <c r="BC29" i="16"/>
  <c r="BC28" i="16"/>
  <c r="BB38" i="16"/>
  <c r="BD38" i="16" s="1"/>
  <c r="BC54" i="16"/>
  <c r="BC42" i="16"/>
  <c r="BB47" i="16"/>
  <c r="BD47" i="16" s="1"/>
  <c r="BC61" i="16"/>
  <c r="BB70" i="16"/>
  <c r="BD70" i="16" s="1"/>
  <c r="BC75" i="16"/>
  <c r="BC84" i="16"/>
  <c r="BB100" i="16"/>
  <c r="BD100" i="16" s="1"/>
  <c r="AS16" i="16"/>
  <c r="AR54" i="16"/>
  <c r="AS93" i="16"/>
  <c r="BB17" i="16"/>
  <c r="BD17" i="16" s="1"/>
  <c r="BB23" i="16"/>
  <c r="BD23" i="16" s="1"/>
  <c r="BB13" i="16"/>
  <c r="BD13" i="16" s="1"/>
  <c r="BC17" i="16"/>
  <c r="BB19" i="16"/>
  <c r="BD19" i="16" s="1"/>
  <c r="BC31" i="16"/>
  <c r="BB34" i="16"/>
  <c r="BD34" i="16" s="1"/>
  <c r="BC30" i="16"/>
  <c r="BB39" i="16"/>
  <c r="BD39" i="16" s="1"/>
  <c r="BB44" i="16"/>
  <c r="BD44" i="16" s="1"/>
  <c r="BC44" i="16"/>
  <c r="BB41" i="16"/>
  <c r="BD41" i="16" s="1"/>
  <c r="BC50" i="16"/>
  <c r="BC63" i="16"/>
  <c r="BC55" i="16"/>
  <c r="BC62" i="16"/>
  <c r="BB88" i="16"/>
  <c r="BD88" i="16" s="1"/>
  <c r="BC100" i="16"/>
  <c r="AR33" i="16"/>
  <c r="AT33" i="16" s="1"/>
  <c r="AS41" i="16"/>
  <c r="AR81" i="16"/>
  <c r="BB32" i="16"/>
  <c r="BD32" i="16" s="1"/>
  <c r="BC14" i="16"/>
  <c r="BB11" i="16"/>
  <c r="BD11" i="16" s="1"/>
  <c r="BB14" i="16"/>
  <c r="BD14" i="16" s="1"/>
  <c r="BB28" i="16"/>
  <c r="BD28" i="16" s="1"/>
  <c r="BC33" i="16"/>
  <c r="BC37" i="16"/>
  <c r="BB35" i="16"/>
  <c r="BD35" i="16" s="1"/>
  <c r="BC32" i="16"/>
  <c r="BB46" i="16"/>
  <c r="BD46" i="16" s="1"/>
  <c r="BC46" i="16"/>
  <c r="BB43" i="16"/>
  <c r="BD43" i="16" s="1"/>
  <c r="BC57" i="16"/>
  <c r="BC64" i="16"/>
  <c r="BB74" i="16"/>
  <c r="BD74" i="16" s="1"/>
  <c r="AS17" i="16"/>
  <c r="AR58" i="16"/>
  <c r="AS88" i="16"/>
  <c r="BC18" i="16"/>
  <c r="BC13" i="16"/>
  <c r="BB18" i="16"/>
  <c r="BD18" i="16" s="1"/>
  <c r="BB26" i="16"/>
  <c r="BD26" i="16" s="1"/>
  <c r="BC19" i="16"/>
  <c r="BB37" i="16"/>
  <c r="BD37" i="16" s="1"/>
  <c r="BC36" i="16"/>
  <c r="BC34" i="16"/>
  <c r="BB42" i="16"/>
  <c r="BD42" i="16" s="1"/>
  <c r="BC48" i="16"/>
  <c r="BB54" i="16"/>
  <c r="BD54" i="16" s="1"/>
  <c r="BC60" i="16"/>
  <c r="BC68" i="16"/>
  <c r="BC91" i="16"/>
  <c r="BB99" i="16"/>
  <c r="BD99" i="16" s="1"/>
  <c r="AS29" i="16"/>
  <c r="AS55" i="16"/>
  <c r="AS89" i="16"/>
  <c r="BB15" i="16"/>
  <c r="BD15" i="16" s="1"/>
  <c r="BC15" i="16"/>
  <c r="BC21" i="16"/>
  <c r="BB20" i="16"/>
  <c r="BD20" i="16" s="1"/>
  <c r="BB33" i="16"/>
  <c r="BD33" i="16" s="1"/>
  <c r="BB29" i="16"/>
  <c r="BD29" i="16" s="1"/>
  <c r="BC38" i="16"/>
  <c r="BC20" i="16"/>
  <c r="BC35" i="16"/>
  <c r="BC47" i="16"/>
  <c r="BC56" i="16"/>
  <c r="BB50" i="16"/>
  <c r="BD50" i="16" s="1"/>
  <c r="BB79" i="16"/>
  <c r="BD79" i="16" s="1"/>
  <c r="BC70" i="16"/>
  <c r="BB82" i="16"/>
  <c r="BD82" i="16" s="1"/>
  <c r="AR40" i="16"/>
  <c r="AT40" i="16" s="1"/>
  <c r="AR75" i="16"/>
  <c r="BB103" i="16"/>
  <c r="BD103" i="16" s="1"/>
  <c r="BB98" i="16"/>
  <c r="BD98" i="16" s="1"/>
  <c r="BB89" i="16"/>
  <c r="BD89" i="16" s="1"/>
  <c r="BC82" i="16"/>
  <c r="BB91" i="16"/>
  <c r="BD91" i="16" s="1"/>
  <c r="BB61" i="16"/>
  <c r="BD61" i="16" s="1"/>
  <c r="BB101" i="16"/>
  <c r="BD101" i="16" s="1"/>
  <c r="BC102" i="16"/>
  <c r="BB96" i="16"/>
  <c r="BD96" i="16" s="1"/>
  <c r="BC93" i="16"/>
  <c r="BC92" i="16"/>
  <c r="BC78" i="16"/>
  <c r="BB81" i="16"/>
  <c r="BD81" i="16" s="1"/>
  <c r="BC76" i="16"/>
  <c r="BB73" i="16"/>
  <c r="BD73" i="16" s="1"/>
  <c r="BC66" i="16"/>
  <c r="BB66" i="16"/>
  <c r="BD66" i="16" s="1"/>
  <c r="BC59" i="16"/>
  <c r="BB60" i="16"/>
  <c r="BD60" i="16" s="1"/>
  <c r="BB56" i="16"/>
  <c r="BD56" i="16" s="1"/>
  <c r="BC45" i="16"/>
  <c r="BB45" i="16"/>
  <c r="BD45" i="16" s="1"/>
  <c r="BB49" i="16"/>
  <c r="BD49" i="16" s="1"/>
  <c r="BC52" i="16"/>
  <c r="BB97" i="16"/>
  <c r="BD97" i="16" s="1"/>
  <c r="BC98" i="16"/>
  <c r="BB92" i="16"/>
  <c r="BD92" i="16" s="1"/>
  <c r="BB87" i="16"/>
  <c r="BD87" i="16" s="1"/>
  <c r="BB86" i="16"/>
  <c r="BD86" i="16" s="1"/>
  <c r="BC73" i="16"/>
  <c r="BB104" i="16"/>
  <c r="BD104" i="16" s="1"/>
  <c r="BB95" i="16"/>
  <c r="BD95" i="16" s="1"/>
  <c r="BC96" i="16"/>
  <c r="BC87" i="16"/>
  <c r="BC97" i="16"/>
  <c r="BC90" i="16"/>
  <c r="BB80" i="16"/>
  <c r="BD80" i="16" s="1"/>
  <c r="BC81" i="16"/>
  <c r="BB69" i="16"/>
  <c r="BD69" i="16" s="1"/>
  <c r="BC74" i="16"/>
  <c r="BB77" i="16"/>
  <c r="BD77" i="16" s="1"/>
  <c r="BC80" i="16"/>
  <c r="BC53" i="16"/>
  <c r="BB55" i="16"/>
  <c r="BD55" i="16" s="1"/>
  <c r="BC58" i="16"/>
  <c r="BB52" i="16"/>
  <c r="BD52" i="16" s="1"/>
  <c r="BC39" i="16"/>
  <c r="BC103" i="16"/>
  <c r="BB93" i="16"/>
  <c r="BD93" i="16" s="1"/>
  <c r="BC94" i="16"/>
  <c r="BC104" i="16"/>
  <c r="BC85" i="16"/>
  <c r="BC89" i="16"/>
  <c r="BC88" i="16"/>
  <c r="BB90" i="16"/>
  <c r="BD90" i="16" s="1"/>
  <c r="BB84" i="16"/>
  <c r="BD84" i="16" s="1"/>
  <c r="BB78" i="16"/>
  <c r="BD78" i="16" s="1"/>
  <c r="BC79" i="16"/>
  <c r="BB67" i="16"/>
  <c r="BD67" i="16" s="1"/>
  <c r="BC72" i="16"/>
  <c r="BB72" i="16"/>
  <c r="BD72" i="16" s="1"/>
  <c r="BC69" i="16"/>
  <c r="BB51" i="16"/>
  <c r="BD51" i="16" s="1"/>
  <c r="BC49" i="16"/>
  <c r="BC101" i="16"/>
  <c r="BB102" i="16"/>
  <c r="BD102" i="16" s="1"/>
  <c r="BC86" i="16"/>
  <c r="BB83" i="16"/>
  <c r="BD83" i="16" s="1"/>
  <c r="BB76" i="16"/>
  <c r="BD76" i="16" s="1"/>
  <c r="BC77" i="16"/>
  <c r="BB65" i="16"/>
  <c r="BD65" i="16" s="1"/>
  <c r="BC71" i="16"/>
  <c r="BB71" i="16"/>
  <c r="BD71" i="16" s="1"/>
  <c r="AR104" i="16"/>
  <c r="AT104" i="16" s="1"/>
  <c r="AR93" i="16"/>
  <c r="AR98" i="16"/>
  <c r="AR87" i="16"/>
  <c r="AT87" i="16" s="1"/>
  <c r="AS86" i="16"/>
  <c r="AS78" i="16"/>
  <c r="AR86" i="16"/>
  <c r="AT86" i="16" s="1"/>
  <c r="AS74" i="16"/>
  <c r="AR71" i="16"/>
  <c r="AT71" i="16" s="1"/>
  <c r="AR72" i="16"/>
  <c r="AT72" i="16" s="1"/>
  <c r="AS63" i="16"/>
  <c r="AS53" i="16"/>
  <c r="AR56" i="16"/>
  <c r="AS39" i="16"/>
  <c r="AS52" i="16"/>
  <c r="AR51" i="16"/>
  <c r="AT51" i="16" s="1"/>
  <c r="AR50" i="16"/>
  <c r="AT50" i="16" s="1"/>
  <c r="AS26" i="16"/>
  <c r="AS37" i="16"/>
  <c r="AS27" i="16"/>
  <c r="AR9" i="16"/>
  <c r="AT9" i="16" s="1"/>
  <c r="AR28" i="16"/>
  <c r="AR15" i="16"/>
  <c r="AR8" i="16"/>
  <c r="AS5" i="16"/>
  <c r="AS103" i="16"/>
  <c r="AS102" i="16"/>
  <c r="AR96" i="16"/>
  <c r="AT96" i="16" s="1"/>
  <c r="AR89" i="16"/>
  <c r="AS84" i="16"/>
  <c r="AS97" i="16"/>
  <c r="AS80" i="16"/>
  <c r="AR69" i="16"/>
  <c r="AT69" i="16" s="1"/>
  <c r="AS70" i="16"/>
  <c r="AR70" i="16"/>
  <c r="AS69" i="16"/>
  <c r="AR59" i="16"/>
  <c r="AT59" i="16" s="1"/>
  <c r="AR80" i="16"/>
  <c r="AR49" i="16"/>
  <c r="AR52" i="16"/>
  <c r="AT52" i="16" s="1"/>
  <c r="AS47" i="16"/>
  <c r="AR42" i="16"/>
  <c r="AT42" i="16" s="1"/>
  <c r="AS24" i="16"/>
  <c r="AS38" i="16"/>
  <c r="AS25" i="16"/>
  <c r="AR29" i="16"/>
  <c r="AT29" i="16" s="1"/>
  <c r="AR21" i="16"/>
  <c r="AS12" i="16"/>
  <c r="AR6" i="16"/>
  <c r="AR26" i="16"/>
  <c r="AT26" i="16" s="1"/>
  <c r="AS101" i="16"/>
  <c r="AS100" i="16"/>
  <c r="AR94" i="16"/>
  <c r="AS92" i="16"/>
  <c r="AS82" i="16"/>
  <c r="AR78" i="16"/>
  <c r="AT78" i="16" s="1"/>
  <c r="AS79" i="16"/>
  <c r="AR67" i="16"/>
  <c r="AS68" i="16"/>
  <c r="AR68" i="16"/>
  <c r="AT68" i="16" s="1"/>
  <c r="AS67" i="16"/>
  <c r="AR57" i="16"/>
  <c r="AT57" i="16" s="1"/>
  <c r="AS73" i="16"/>
  <c r="AR45" i="16"/>
  <c r="AT45" i="16" s="1"/>
  <c r="AS51" i="16"/>
  <c r="AR46" i="16"/>
  <c r="AS36" i="16"/>
  <c r="AS22" i="16"/>
  <c r="AR37" i="16"/>
  <c r="AT37" i="16" s="1"/>
  <c r="AS23" i="16"/>
  <c r="AR27" i="16"/>
  <c r="AT27" i="16" s="1"/>
  <c r="AS14" i="16"/>
  <c r="AS21" i="16"/>
  <c r="AR12" i="16"/>
  <c r="AT12" i="16" s="1"/>
  <c r="AR18" i="16"/>
  <c r="AT18" i="16" s="1"/>
  <c r="AR103" i="16"/>
  <c r="AS98" i="16"/>
  <c r="AR92" i="16"/>
  <c r="AT92" i="16" s="1"/>
  <c r="AS90" i="16"/>
  <c r="AR83" i="16"/>
  <c r="AT83" i="16" s="1"/>
  <c r="AR76" i="16"/>
  <c r="AT76" i="16" s="1"/>
  <c r="AS77" i="16"/>
  <c r="AR65" i="16"/>
  <c r="AT65" i="16" s="1"/>
  <c r="AS66" i="16"/>
  <c r="AR66" i="16"/>
  <c r="AS65" i="16"/>
  <c r="AR55" i="16"/>
  <c r="AT55" i="16" s="1"/>
  <c r="AS56" i="16"/>
  <c r="AR43" i="16"/>
  <c r="AT43" i="16" s="1"/>
  <c r="AR48" i="16"/>
  <c r="AR44" i="16"/>
  <c r="AR35" i="16"/>
  <c r="AS20" i="16"/>
  <c r="AS48" i="16"/>
  <c r="AR32" i="16"/>
  <c r="AT32" i="16" s="1"/>
  <c r="AR24" i="16"/>
  <c r="AS10" i="16"/>
  <c r="AR30" i="16"/>
  <c r="AT30" i="16" s="1"/>
  <c r="AS11" i="16"/>
  <c r="AR13" i="16"/>
  <c r="AT13" i="16" s="1"/>
  <c r="AR101" i="16"/>
  <c r="AT101" i="16" s="1"/>
  <c r="AS96" i="16"/>
  <c r="AS104" i="16"/>
  <c r="AS95" i="16"/>
  <c r="AR82" i="16"/>
  <c r="AT82" i="16" s="1"/>
  <c r="AR74" i="16"/>
  <c r="AT74" i="16" s="1"/>
  <c r="AR88" i="16"/>
  <c r="AR63" i="16"/>
  <c r="AS64" i="16"/>
  <c r="AR64" i="16"/>
  <c r="AT64" i="16" s="1"/>
  <c r="AR60" i="16"/>
  <c r="AT60" i="16" s="1"/>
  <c r="AS61" i="16"/>
  <c r="AS49" i="16"/>
  <c r="AR41" i="16"/>
  <c r="AS46" i="16"/>
  <c r="AR53" i="16"/>
  <c r="AS34" i="16"/>
  <c r="AR39" i="16"/>
  <c r="AR38" i="16"/>
  <c r="AR25" i="16"/>
  <c r="AT25" i="16" s="1"/>
  <c r="AR22" i="16"/>
  <c r="AR31" i="16"/>
  <c r="AT31" i="16" s="1"/>
  <c r="AR16" i="16"/>
  <c r="AT16" i="16" s="1"/>
  <c r="AR10" i="16"/>
  <c r="AT10" i="16" s="1"/>
  <c r="AS9" i="16"/>
  <c r="AR99" i="16"/>
  <c r="AT99" i="16" s="1"/>
  <c r="AS94" i="16"/>
  <c r="AS87" i="16"/>
  <c r="AS91" i="16"/>
  <c r="AS81" i="16"/>
  <c r="AR85" i="16"/>
  <c r="AR79" i="16"/>
  <c r="AR61" i="16"/>
  <c r="AT61" i="16" s="1"/>
  <c r="AS62" i="16"/>
  <c r="AR62" i="16"/>
  <c r="AT62" i="16" s="1"/>
  <c r="AS59" i="16"/>
  <c r="AS58" i="16"/>
  <c r="AS45" i="16"/>
  <c r="AS54" i="16"/>
  <c r="AS44" i="16"/>
  <c r="AS50" i="16"/>
  <c r="AS32" i="16"/>
  <c r="AR36" i="16"/>
  <c r="AS33" i="16"/>
  <c r="AR23" i="16"/>
  <c r="AT23" i="16" s="1"/>
  <c r="AS18" i="16"/>
  <c r="AR19" i="16"/>
  <c r="AT19" i="16" s="1"/>
  <c r="AR14" i="16"/>
  <c r="AS13" i="16"/>
  <c r="AR7" i="16"/>
  <c r="AT7" i="16" s="1"/>
  <c r="AR97" i="16"/>
  <c r="AT97" i="16" s="1"/>
  <c r="AR102" i="16"/>
  <c r="AT102" i="16" s="1"/>
  <c r="AS85" i="16"/>
  <c r="AR90" i="16"/>
  <c r="AT90" i="16" s="1"/>
  <c r="AS99" i="16"/>
  <c r="AR91" i="16"/>
  <c r="AR77" i="16"/>
  <c r="AT77" i="16" s="1"/>
  <c r="AS76" i="16"/>
  <c r="AS83" i="16"/>
  <c r="AR84" i="16"/>
  <c r="AT84" i="16" s="1"/>
  <c r="AS57" i="16"/>
  <c r="AS71" i="16"/>
  <c r="AS43" i="16"/>
  <c r="AS60" i="16"/>
  <c r="AS42" i="16"/>
  <c r="AR47" i="16"/>
  <c r="AT47" i="16" s="1"/>
  <c r="AS30" i="16"/>
  <c r="AR34" i="16"/>
  <c r="AS31" i="16"/>
  <c r="AR20" i="16"/>
  <c r="AT20" i="16" s="1"/>
  <c r="AR17" i="16"/>
  <c r="AT17" i="16" s="1"/>
  <c r="AS15" i="16"/>
  <c r="AS8" i="16"/>
  <c r="AR11" i="16"/>
  <c r="AR5" i="16"/>
  <c r="AT5" i="16" s="1"/>
  <c r="H8" i="19" s="1"/>
  <c r="BB5" i="16"/>
  <c r="BD5" i="16" s="1"/>
  <c r="BC16" i="16"/>
  <c r="BC12" i="16"/>
  <c r="BC9" i="16"/>
  <c r="BB22" i="16"/>
  <c r="BD22" i="16" s="1"/>
  <c r="BB9" i="16"/>
  <c r="BD9" i="16" s="1"/>
  <c r="BC23" i="16"/>
  <c r="BB36" i="16"/>
  <c r="BD36" i="16" s="1"/>
  <c r="BC22" i="16"/>
  <c r="BB53" i="16"/>
  <c r="BD53" i="16" s="1"/>
  <c r="BB58" i="16"/>
  <c r="BD58" i="16" s="1"/>
  <c r="BB57" i="16"/>
  <c r="BD57" i="16" s="1"/>
  <c r="BB62" i="16"/>
  <c r="BD62" i="16" s="1"/>
  <c r="BC95" i="16"/>
  <c r="AS19" i="16"/>
  <c r="AS28" i="16"/>
  <c r="AS75" i="16"/>
  <c r="AR95" i="16"/>
  <c r="BD92" i="17"/>
  <c r="BD12" i="17"/>
  <c r="BC54" i="17"/>
  <c r="BE54" i="17" s="1"/>
  <c r="BD39" i="17"/>
  <c r="BD62" i="17"/>
  <c r="BC8" i="17"/>
  <c r="BD66" i="17"/>
  <c r="BD8" i="17"/>
  <c r="BC59" i="17"/>
  <c r="BE59" i="17" s="1"/>
  <c r="BD13" i="17"/>
  <c r="BD33" i="17"/>
  <c r="BD10" i="17"/>
  <c r="BC6" i="17"/>
  <c r="BE6" i="17" s="1"/>
  <c r="L17" i="19" s="1"/>
  <c r="BD81" i="17"/>
  <c r="BD65" i="17"/>
  <c r="BC46" i="17"/>
  <c r="BE46" i="17" s="1"/>
  <c r="BD37" i="17"/>
  <c r="BC15" i="17"/>
  <c r="BE15" i="17" s="1"/>
  <c r="BD11" i="17"/>
  <c r="BC12" i="17"/>
  <c r="BE12" i="17" s="1"/>
  <c r="BD27" i="17"/>
  <c r="BC13" i="17"/>
  <c r="BE13" i="17" s="1"/>
  <c r="BC9" i="17"/>
  <c r="BE9" i="17" s="1"/>
  <c r="BC10" i="17"/>
  <c r="BE10" i="17" s="1"/>
  <c r="BD72" i="17"/>
  <c r="BC70" i="17"/>
  <c r="BE70" i="17" s="1"/>
  <c r="BD17" i="17"/>
  <c r="BD79" i="17"/>
  <c r="BC58" i="17"/>
  <c r="BE58" i="17" s="1"/>
  <c r="BD22" i="17"/>
  <c r="BD86" i="17"/>
  <c r="BD70" i="17"/>
  <c r="BD43" i="17"/>
  <c r="BD93" i="17"/>
  <c r="BC96" i="17"/>
  <c r="BE96" i="17" s="1"/>
  <c r="BD83" i="17"/>
  <c r="BD51" i="17"/>
  <c r="BD41" i="17"/>
  <c r="BD18" i="17"/>
  <c r="BD104" i="17"/>
  <c r="BC66" i="17"/>
  <c r="BE66" i="17" s="1"/>
  <c r="BD50" i="17"/>
  <c r="BC18" i="17"/>
  <c r="BE18" i="17" s="1"/>
  <c r="BC99" i="17"/>
  <c r="BE99" i="17" s="1"/>
  <c r="BC68" i="17"/>
  <c r="BE68" i="17" s="1"/>
  <c r="BD30" i="17"/>
  <c r="BD76" i="17"/>
  <c r="BD57" i="17"/>
  <c r="BD46" i="17"/>
  <c r="BC19" i="17"/>
  <c r="BE19" i="17" s="1"/>
  <c r="BD94" i="17"/>
  <c r="BD75" i="17"/>
  <c r="BC24" i="17"/>
  <c r="BE24" i="17" s="1"/>
  <c r="BC100" i="17"/>
  <c r="BE100" i="17" s="1"/>
  <c r="BC67" i="17"/>
  <c r="BE67" i="17" s="1"/>
  <c r="BD78" i="17"/>
  <c r="BC51" i="17"/>
  <c r="BE51" i="17" s="1"/>
  <c r="BC20" i="17"/>
  <c r="BE20" i="17" s="1"/>
  <c r="BC86" i="17"/>
  <c r="BE86" i="17" s="1"/>
  <c r="BD60" i="17"/>
  <c r="BD31" i="17"/>
  <c r="BC102" i="17"/>
  <c r="BE102" i="17" s="1"/>
  <c r="BD34" i="17"/>
  <c r="BC16" i="17"/>
  <c r="BE16" i="17" s="1"/>
  <c r="BD32" i="17"/>
  <c r="BC78" i="17"/>
  <c r="BE78" i="17" s="1"/>
  <c r="BC33" i="17"/>
  <c r="BE33" i="17" s="1"/>
  <c r="BC87" i="17"/>
  <c r="BE87" i="17" s="1"/>
  <c r="BC62" i="17"/>
  <c r="BE62" i="17" s="1"/>
  <c r="BC36" i="17"/>
  <c r="BE36" i="17" s="1"/>
  <c r="BC85" i="17"/>
  <c r="BE85" i="17" s="1"/>
  <c r="BC76" i="17"/>
  <c r="BE76" i="17" s="1"/>
  <c r="BC34" i="17"/>
  <c r="BE34" i="17" s="1"/>
  <c r="BC61" i="17"/>
  <c r="BE61" i="17" s="1"/>
  <c r="BC30" i="17"/>
  <c r="BE30" i="17" s="1"/>
  <c r="BD24" i="17"/>
  <c r="BC92" i="17"/>
  <c r="BE92" i="17" s="1"/>
  <c r="BD42" i="17"/>
  <c r="BD97" i="17"/>
  <c r="BD87" i="17"/>
  <c r="BC57" i="17"/>
  <c r="BE57" i="17" s="1"/>
  <c r="BD63" i="17"/>
  <c r="BC35" i="17"/>
  <c r="BE35" i="17" s="1"/>
  <c r="BD28" i="17"/>
  <c r="BD82" i="17"/>
  <c r="BD67" i="17"/>
  <c r="BD26" i="17"/>
  <c r="BC90" i="17"/>
  <c r="BE90" i="17" s="1"/>
  <c r="BC48" i="17"/>
  <c r="BE48" i="17" s="1"/>
  <c r="BC71" i="17"/>
  <c r="BE71" i="17" s="1"/>
  <c r="BC95" i="17"/>
  <c r="BE95" i="17" s="1"/>
  <c r="BC73" i="17"/>
  <c r="BE73" i="17" s="1"/>
  <c r="BC63" i="17"/>
  <c r="BE63" i="17" s="1"/>
  <c r="BC25" i="17"/>
  <c r="BE25" i="17" s="1"/>
  <c r="BD88" i="17"/>
  <c r="BC98" i="17"/>
  <c r="BE98" i="17" s="1"/>
  <c r="BD85" i="17"/>
  <c r="BD53" i="17"/>
  <c r="BD20" i="17"/>
  <c r="BC27" i="17"/>
  <c r="BE27" i="17" s="1"/>
  <c r="BD84" i="17"/>
  <c r="BD69" i="17"/>
  <c r="BC42" i="17"/>
  <c r="BE42" i="17" s="1"/>
  <c r="BD40" i="17"/>
  <c r="BD48" i="17"/>
  <c r="BC72" i="17"/>
  <c r="BE72" i="17" s="1"/>
  <c r="BC84" i="17"/>
  <c r="BE84" i="17" s="1"/>
  <c r="BD29" i="17"/>
  <c r="BC64" i="17"/>
  <c r="BE64" i="17" s="1"/>
  <c r="BC83" i="17"/>
  <c r="BE83" i="17" s="1"/>
  <c r="BD68" i="17"/>
  <c r="BC55" i="17"/>
  <c r="BE55" i="17" s="1"/>
  <c r="BC41" i="17"/>
  <c r="BE41" i="17" s="1"/>
  <c r="BC69" i="17"/>
  <c r="BE69" i="17" s="1"/>
  <c r="BD15" i="17"/>
  <c r="BD73" i="17"/>
  <c r="BC53" i="17"/>
  <c r="BE53" i="17" s="1"/>
  <c r="BD56" i="17"/>
  <c r="BC22" i="17"/>
  <c r="BE22" i="17" s="1"/>
  <c r="BC89" i="17"/>
  <c r="BE89" i="17" s="1"/>
  <c r="BC65" i="17"/>
  <c r="BE65" i="17" s="1"/>
  <c r="BD19" i="17"/>
  <c r="BC50" i="17"/>
  <c r="BE50" i="17" s="1"/>
  <c r="BD36" i="17"/>
  <c r="BC11" i="17"/>
  <c r="BE11" i="17" s="1"/>
  <c r="BD59" i="17"/>
  <c r="BC88" i="17"/>
  <c r="BE88" i="17" s="1"/>
  <c r="BD55" i="17"/>
  <c r="BD54" i="17"/>
  <c r="BC80" i="17"/>
  <c r="BE80" i="17" s="1"/>
  <c r="BD77" i="17"/>
  <c r="BD98" i="17"/>
  <c r="BD100" i="17"/>
  <c r="BC74" i="17"/>
  <c r="BE74" i="17" s="1"/>
  <c r="BD74" i="17"/>
  <c r="BC56" i="17"/>
  <c r="BE56" i="17" s="1"/>
  <c r="BD44" i="17"/>
  <c r="BC17" i="17"/>
  <c r="BE17" i="17" s="1"/>
  <c r="BC93" i="17"/>
  <c r="BE93" i="17" s="1"/>
  <c r="BD64" i="17"/>
  <c r="BD35" i="17"/>
  <c r="BC21" i="17"/>
  <c r="BE21" i="17" s="1"/>
  <c r="BD96" i="17"/>
  <c r="BC52" i="17"/>
  <c r="BE52" i="17" s="1"/>
  <c r="BD38" i="17"/>
  <c r="BC101" i="17"/>
  <c r="BE101" i="17" s="1"/>
  <c r="BD58" i="17"/>
  <c r="BC38" i="17"/>
  <c r="BE38" i="17" s="1"/>
  <c r="BC32" i="17"/>
  <c r="BE32" i="17" s="1"/>
  <c r="BC26" i="17"/>
  <c r="BE26" i="17" s="1"/>
  <c r="BC28" i="17"/>
  <c r="BE28" i="17" s="1"/>
  <c r="BC47" i="17"/>
  <c r="BE47" i="17" s="1"/>
  <c r="BD21" i="17"/>
  <c r="BC43" i="17"/>
  <c r="BE43" i="17" s="1"/>
  <c r="BD89" i="17"/>
  <c r="BD52" i="17"/>
  <c r="BD99" i="17"/>
  <c r="BC91" i="17"/>
  <c r="BE91" i="17" s="1"/>
  <c r="BC44" i="17"/>
  <c r="BE44" i="17" s="1"/>
  <c r="BD91" i="17"/>
  <c r="BC37" i="17"/>
  <c r="BE37" i="17" s="1"/>
  <c r="BC103" i="17"/>
  <c r="BE103" i="17" s="1"/>
  <c r="BC82" i="17"/>
  <c r="BE82" i="17" s="1"/>
  <c r="BD61" i="17"/>
  <c r="BC39" i="17"/>
  <c r="BE39" i="17" s="1"/>
  <c r="BD95" i="17"/>
  <c r="BD49" i="17"/>
  <c r="BC40" i="17"/>
  <c r="BE40" i="17" s="1"/>
  <c r="BD16" i="17"/>
  <c r="BD25" i="17"/>
  <c r="BC31" i="17"/>
  <c r="BE31" i="17" s="1"/>
  <c r="BC104" i="17"/>
  <c r="BE104" i="17" s="1"/>
  <c r="BC77" i="17"/>
  <c r="BE77" i="17" s="1"/>
  <c r="BC29" i="17"/>
  <c r="BE29" i="17" s="1"/>
  <c r="BD103" i="17"/>
  <c r="BC45" i="17"/>
  <c r="BE45" i="17" s="1"/>
  <c r="BC97" i="17"/>
  <c r="BE97" i="17" s="1"/>
  <c r="BC49" i="17"/>
  <c r="BE49" i="17" s="1"/>
  <c r="BD23" i="17"/>
  <c r="BC94" i="17"/>
  <c r="BE94" i="17" s="1"/>
  <c r="BD90" i="17"/>
  <c r="BC81" i="17"/>
  <c r="BE81" i="17" s="1"/>
  <c r="BD45" i="17"/>
  <c r="BC14" i="17"/>
  <c r="BE14" i="17" s="1"/>
  <c r="BD6" i="17"/>
  <c r="K17" i="19" s="1"/>
  <c r="BD101" i="17"/>
  <c r="BD102" i="17"/>
  <c r="BC79" i="17"/>
  <c r="BE79" i="17" s="1"/>
  <c r="BD47" i="17"/>
  <c r="BD14" i="17"/>
  <c r="BD80" i="17"/>
  <c r="BC60" i="17"/>
  <c r="BE60" i="17" s="1"/>
  <c r="BC23" i="17"/>
  <c r="BE23" i="17" s="1"/>
  <c r="BC75" i="17"/>
  <c r="BE75" i="17" s="1"/>
  <c r="BD71" i="17"/>
  <c r="AU81" i="17"/>
  <c r="AU54" i="17"/>
  <c r="AU45" i="17" l="1"/>
  <c r="AU64" i="17"/>
  <c r="AU59" i="17"/>
  <c r="AU94" i="17"/>
  <c r="AU82" i="17"/>
  <c r="AU88" i="17"/>
  <c r="AU76" i="17"/>
  <c r="AU70" i="17"/>
  <c r="AU56" i="17"/>
  <c r="AU31" i="17"/>
  <c r="AU66" i="17"/>
  <c r="AU32" i="17"/>
  <c r="AU96" i="17"/>
  <c r="AU97" i="17"/>
  <c r="AU57" i="17"/>
  <c r="AU87" i="17"/>
  <c r="AU78" i="17"/>
  <c r="AU83" i="17"/>
  <c r="AU60" i="17"/>
  <c r="AU51" i="17"/>
  <c r="AU47" i="17"/>
  <c r="AU41" i="17"/>
  <c r="AU26" i="17"/>
  <c r="AU103" i="17"/>
  <c r="AU92" i="17"/>
  <c r="AU71" i="17"/>
  <c r="AU52" i="17"/>
  <c r="AU42" i="17"/>
  <c r="AU44" i="17"/>
  <c r="AU19" i="17"/>
  <c r="AU25" i="17"/>
  <c r="AU24" i="17"/>
  <c r="AU6" i="17"/>
  <c r="L9" i="19" s="1"/>
  <c r="AU99" i="17"/>
  <c r="AU67" i="17"/>
  <c r="AU48" i="17"/>
  <c r="AU35" i="17"/>
  <c r="AU36" i="17"/>
  <c r="AU100" i="17"/>
  <c r="AU90" i="17"/>
  <c r="AU65" i="17"/>
  <c r="AU33" i="17"/>
  <c r="AU34" i="17"/>
  <c r="AU18" i="17"/>
  <c r="AU46" i="17"/>
  <c r="AU37" i="17"/>
  <c r="AU39" i="17"/>
  <c r="AU8" i="17"/>
  <c r="AU69" i="17"/>
  <c r="AU98" i="17"/>
  <c r="AU30" i="17"/>
  <c r="AU91" i="17"/>
  <c r="AU50" i="17"/>
  <c r="AU38" i="17"/>
  <c r="AU55" i="17"/>
  <c r="BM6" i="17"/>
  <c r="BO6" i="17" s="1"/>
  <c r="L25" i="19" s="1"/>
  <c r="BN6" i="17"/>
  <c r="K25" i="19" s="1"/>
  <c r="BM7" i="17"/>
  <c r="BO7" i="17" s="1"/>
  <c r="BN7" i="17"/>
  <c r="BM8" i="17"/>
  <c r="BO8" i="17" s="1"/>
  <c r="BN8" i="17"/>
  <c r="BM9" i="17"/>
  <c r="BO9" i="17" s="1"/>
  <c r="BN9" i="17"/>
  <c r="BM10" i="17"/>
  <c r="BO10" i="17" s="1"/>
  <c r="BN10" i="17"/>
  <c r="BM11" i="17"/>
  <c r="BO11" i="17" s="1"/>
  <c r="BN11" i="17"/>
  <c r="BM12" i="17"/>
  <c r="BO12" i="17" s="1"/>
  <c r="BN12" i="17"/>
  <c r="BM13" i="17"/>
  <c r="BO13" i="17" s="1"/>
  <c r="BN13" i="17"/>
  <c r="BM14" i="17"/>
  <c r="BO14" i="17" s="1"/>
  <c r="BN14" i="17"/>
  <c r="BM15" i="17"/>
  <c r="BO15" i="17" s="1"/>
  <c r="BN15" i="17"/>
  <c r="BM16" i="17"/>
  <c r="BO16" i="17" s="1"/>
  <c r="BN16" i="17"/>
  <c r="BM17" i="17"/>
  <c r="BO17" i="17" s="1"/>
  <c r="BN17" i="17"/>
  <c r="BM18" i="17"/>
  <c r="BO18" i="17" s="1"/>
  <c r="BN18" i="17"/>
  <c r="BM19" i="17"/>
  <c r="BO19" i="17" s="1"/>
  <c r="BN19" i="17"/>
  <c r="BM20" i="17"/>
  <c r="BO20" i="17" s="1"/>
  <c r="BN20" i="17"/>
  <c r="BM21" i="17"/>
  <c r="BO21" i="17" s="1"/>
  <c r="BN21" i="17"/>
  <c r="BM22" i="17"/>
  <c r="BO22" i="17" s="1"/>
  <c r="BN22" i="17"/>
  <c r="BM23" i="17"/>
  <c r="BO23" i="17" s="1"/>
  <c r="BN23" i="17"/>
  <c r="BM24" i="17"/>
  <c r="BO24" i="17" s="1"/>
  <c r="BN24" i="17"/>
  <c r="BM25" i="17"/>
  <c r="BO25" i="17" s="1"/>
  <c r="BN25" i="17"/>
  <c r="BM26" i="17"/>
  <c r="BO26" i="17" s="1"/>
  <c r="BN26" i="17"/>
  <c r="BM27" i="17"/>
  <c r="BO27" i="17" s="1"/>
  <c r="BN27" i="17"/>
  <c r="BM28" i="17"/>
  <c r="BO28" i="17" s="1"/>
  <c r="BN28" i="17"/>
  <c r="BM29" i="17"/>
  <c r="BO29" i="17" s="1"/>
  <c r="BN29" i="17"/>
  <c r="BM30" i="17"/>
  <c r="BO30" i="17" s="1"/>
  <c r="BN30" i="17"/>
  <c r="BM31" i="17"/>
  <c r="BO31" i="17" s="1"/>
  <c r="BN31" i="17"/>
  <c r="BM32" i="17"/>
  <c r="BO32" i="17" s="1"/>
  <c r="BN32" i="17"/>
  <c r="BM33" i="17"/>
  <c r="BO33" i="17" s="1"/>
  <c r="BN33" i="17"/>
  <c r="BM34" i="17"/>
  <c r="BO34" i="17" s="1"/>
  <c r="BN34" i="17"/>
  <c r="BM35" i="17"/>
  <c r="BO35" i="17" s="1"/>
  <c r="BN35" i="17"/>
  <c r="BM36" i="17"/>
  <c r="BO36" i="17" s="1"/>
  <c r="BN36" i="17"/>
  <c r="BM37" i="17"/>
  <c r="BO37" i="17" s="1"/>
  <c r="BN37" i="17"/>
  <c r="BM38" i="17"/>
  <c r="BO38" i="17" s="1"/>
  <c r="BN38" i="17"/>
  <c r="BM39" i="17"/>
  <c r="BO39" i="17" s="1"/>
  <c r="BN39" i="17"/>
  <c r="BM40" i="17"/>
  <c r="BO40" i="17" s="1"/>
  <c r="BN40" i="17"/>
  <c r="BM41" i="17"/>
  <c r="BO41" i="17" s="1"/>
  <c r="BN41" i="17"/>
  <c r="BM42" i="17"/>
  <c r="BO42" i="17" s="1"/>
  <c r="BN42" i="17"/>
  <c r="BM43" i="17"/>
  <c r="BO43" i="17" s="1"/>
  <c r="BN43" i="17"/>
  <c r="BM44" i="17"/>
  <c r="BO44" i="17" s="1"/>
  <c r="BN44" i="17"/>
  <c r="BM45" i="17"/>
  <c r="BO45" i="17" s="1"/>
  <c r="BN45" i="17"/>
  <c r="BM46" i="17"/>
  <c r="BO46" i="17" s="1"/>
  <c r="BN46" i="17"/>
  <c r="BM47" i="17"/>
  <c r="BO47" i="17" s="1"/>
  <c r="BN47" i="17"/>
  <c r="BM48" i="17"/>
  <c r="BO48" i="17" s="1"/>
  <c r="BN48" i="17"/>
  <c r="BM49" i="17"/>
  <c r="BO49" i="17" s="1"/>
  <c r="BN49" i="17"/>
  <c r="BM50" i="17"/>
  <c r="BO50" i="17" s="1"/>
  <c r="BN50" i="17"/>
  <c r="BM51" i="17"/>
  <c r="BO51" i="17" s="1"/>
  <c r="BN51" i="17"/>
  <c r="BM52" i="17"/>
  <c r="BO52" i="17" s="1"/>
  <c r="BN52" i="17"/>
  <c r="BM53" i="17"/>
  <c r="BO53" i="17" s="1"/>
  <c r="BN53" i="17"/>
  <c r="BM54" i="17"/>
  <c r="BO54" i="17" s="1"/>
  <c r="BN54" i="17"/>
  <c r="BM55" i="17"/>
  <c r="BO55" i="17" s="1"/>
  <c r="BN55" i="17"/>
  <c r="BM56" i="17"/>
  <c r="BO56" i="17" s="1"/>
  <c r="BN56" i="17"/>
  <c r="BM57" i="17"/>
  <c r="BO57" i="17" s="1"/>
  <c r="BN57" i="17"/>
  <c r="BM58" i="17"/>
  <c r="BO58" i="17" s="1"/>
  <c r="BN58" i="17"/>
  <c r="BM59" i="17"/>
  <c r="BO59" i="17" s="1"/>
  <c r="BN59" i="17"/>
  <c r="BM60" i="17"/>
  <c r="BO60" i="17" s="1"/>
  <c r="BN60" i="17"/>
  <c r="BM61" i="17"/>
  <c r="BO61" i="17" s="1"/>
  <c r="BN61" i="17"/>
  <c r="BM62" i="17"/>
  <c r="BO62" i="17" s="1"/>
  <c r="BN62" i="17"/>
  <c r="BM63" i="17"/>
  <c r="BO63" i="17" s="1"/>
  <c r="BN63" i="17"/>
  <c r="BM64" i="17"/>
  <c r="BO64" i="17" s="1"/>
  <c r="BN64" i="17"/>
  <c r="BM65" i="17"/>
  <c r="BO65" i="17" s="1"/>
  <c r="BN65" i="17"/>
  <c r="BM66" i="17"/>
  <c r="BO66" i="17" s="1"/>
  <c r="BN66" i="17"/>
  <c r="BM67" i="17"/>
  <c r="BO67" i="17" s="1"/>
  <c r="BN67" i="17"/>
  <c r="BM68" i="17"/>
  <c r="BO68" i="17" s="1"/>
  <c r="BN68" i="17"/>
  <c r="BM69" i="17"/>
  <c r="BO69" i="17" s="1"/>
  <c r="BN69" i="17"/>
  <c r="BM70" i="17"/>
  <c r="BO70" i="17" s="1"/>
  <c r="BN70" i="17"/>
  <c r="BM71" i="17"/>
  <c r="BO71" i="17" s="1"/>
  <c r="BN71" i="17"/>
  <c r="BM72" i="17"/>
  <c r="BO72" i="17" s="1"/>
  <c r="BN72" i="17"/>
  <c r="BM73" i="17"/>
  <c r="BO73" i="17" s="1"/>
  <c r="BN73" i="17"/>
  <c r="BM74" i="17"/>
  <c r="BO74" i="17" s="1"/>
  <c r="BN74" i="17"/>
  <c r="BM75" i="17"/>
  <c r="BO75" i="17" s="1"/>
  <c r="BN75" i="17"/>
  <c r="BM76" i="17"/>
  <c r="BO76" i="17" s="1"/>
  <c r="BN76" i="17"/>
  <c r="BM77" i="17"/>
  <c r="BO77" i="17" s="1"/>
  <c r="BN77" i="17"/>
  <c r="BM78" i="17"/>
  <c r="BO78" i="17" s="1"/>
  <c r="BN78" i="17"/>
  <c r="BM79" i="17"/>
  <c r="BO79" i="17" s="1"/>
  <c r="BN79" i="17"/>
  <c r="BM80" i="17"/>
  <c r="BO80" i="17" s="1"/>
  <c r="BN80" i="17"/>
  <c r="BM81" i="17"/>
  <c r="BO81" i="17" s="1"/>
  <c r="BN81" i="17"/>
  <c r="BM82" i="17"/>
  <c r="BO82" i="17" s="1"/>
  <c r="BN82" i="17"/>
  <c r="BM83" i="17"/>
  <c r="BO83" i="17" s="1"/>
  <c r="BN83" i="17"/>
  <c r="BM84" i="17"/>
  <c r="BO84" i="17" s="1"/>
  <c r="BN84" i="17"/>
  <c r="BM85" i="17"/>
  <c r="BO85" i="17" s="1"/>
  <c r="BN85" i="17"/>
  <c r="BM86" i="17"/>
  <c r="BO86" i="17" s="1"/>
  <c r="BN86" i="17"/>
  <c r="BM87" i="17"/>
  <c r="BO87" i="17" s="1"/>
  <c r="BN87" i="17"/>
  <c r="BM88" i="17"/>
  <c r="BO88" i="17" s="1"/>
  <c r="BN88" i="17"/>
  <c r="BM89" i="17"/>
  <c r="BO89" i="17" s="1"/>
  <c r="BN89" i="17"/>
  <c r="BM90" i="17"/>
  <c r="BO90" i="17" s="1"/>
  <c r="BN90" i="17"/>
  <c r="BM91" i="17"/>
  <c r="BO91" i="17" s="1"/>
  <c r="BN91" i="17"/>
  <c r="BM92" i="17"/>
  <c r="BO92" i="17" s="1"/>
  <c r="BN92" i="17"/>
  <c r="BM93" i="17"/>
  <c r="BO93" i="17" s="1"/>
  <c r="BN93" i="17"/>
  <c r="BM94" i="17"/>
  <c r="BO94" i="17" s="1"/>
  <c r="BN94" i="17"/>
  <c r="BM95" i="17"/>
  <c r="BO95" i="17" s="1"/>
  <c r="BN95" i="17"/>
  <c r="BM96" i="17"/>
  <c r="BO96" i="17" s="1"/>
  <c r="BN96" i="17"/>
  <c r="BM97" i="17"/>
  <c r="BO97" i="17" s="1"/>
  <c r="BN97" i="17"/>
  <c r="BM98" i="17"/>
  <c r="BO98" i="17" s="1"/>
  <c r="BN98" i="17"/>
  <c r="BM99" i="17"/>
  <c r="BO99" i="17" s="1"/>
  <c r="BN99" i="17"/>
  <c r="BM100" i="17"/>
  <c r="BO100" i="17" s="1"/>
  <c r="BN100" i="17"/>
  <c r="BM101" i="17"/>
  <c r="BO101" i="17" s="1"/>
  <c r="BN101" i="17"/>
  <c r="BM102" i="17"/>
  <c r="BO102" i="17" s="1"/>
  <c r="BN102" i="17"/>
  <c r="BM103" i="17"/>
  <c r="BO103" i="17" s="1"/>
  <c r="BN103" i="17"/>
  <c r="BM104" i="17"/>
  <c r="BO104" i="17" s="1"/>
  <c r="BN104" i="17"/>
  <c r="BN5" i="17"/>
  <c r="K24" i="19" s="1"/>
  <c r="BM5" i="17"/>
  <c r="BO5" i="17" s="1"/>
  <c r="L24" i="19" s="1"/>
  <c r="AU13" i="17"/>
  <c r="BD6" i="16"/>
  <c r="H17" i="19" s="1"/>
  <c r="H16" i="19"/>
  <c r="AU85" i="17"/>
  <c r="AU63" i="17"/>
  <c r="AU79" i="17"/>
  <c r="AU14" i="17"/>
  <c r="AU20" i="17"/>
  <c r="AU75" i="17"/>
  <c r="AU16" i="17"/>
  <c r="G8" i="19"/>
  <c r="AU61" i="17"/>
  <c r="AU9" i="17"/>
  <c r="AU95" i="17"/>
  <c r="AU28" i="17"/>
  <c r="AU5" i="17"/>
  <c r="L8" i="19" s="1"/>
  <c r="AT75" i="16"/>
  <c r="AU102" i="17"/>
  <c r="AU89" i="17"/>
  <c r="AU10" i="17"/>
  <c r="BM12" i="16"/>
  <c r="BO12" i="16" s="1"/>
  <c r="BN13" i="16"/>
  <c r="BN9" i="16"/>
  <c r="AU43" i="17"/>
  <c r="AU49" i="17"/>
  <c r="BM6" i="16"/>
  <c r="AU93" i="17"/>
  <c r="AU40" i="17"/>
  <c r="AU101" i="17"/>
  <c r="BM14" i="16"/>
  <c r="BO14" i="16" s="1"/>
  <c r="BN10" i="16"/>
  <c r="BM13" i="16"/>
  <c r="BO13" i="16" s="1"/>
  <c r="BN11" i="16"/>
  <c r="BM11" i="16"/>
  <c r="BO11" i="16" s="1"/>
  <c r="BN20" i="16"/>
  <c r="BN7" i="16"/>
  <c r="BN12" i="16"/>
  <c r="BN8" i="16"/>
  <c r="BN14" i="16"/>
  <c r="BM7" i="16"/>
  <c r="BO7" i="16" s="1"/>
  <c r="BM77" i="16"/>
  <c r="BO77" i="16" s="1"/>
  <c r="BM42" i="16"/>
  <c r="BO42" i="16" s="1"/>
  <c r="BM9" i="16"/>
  <c r="BO9" i="16" s="1"/>
  <c r="BM10" i="16"/>
  <c r="BO10" i="16" s="1"/>
  <c r="BM8" i="16"/>
  <c r="BO8" i="16" s="1"/>
  <c r="BN6" i="16"/>
  <c r="G25" i="19" s="1"/>
  <c r="BM96" i="16"/>
  <c r="BO96" i="16" s="1"/>
  <c r="BN25" i="16"/>
  <c r="BN38" i="16"/>
  <c r="BM70" i="16"/>
  <c r="BO70" i="16" s="1"/>
  <c r="BM31" i="16"/>
  <c r="BO31" i="16" s="1"/>
  <c r="BN35" i="16"/>
  <c r="BM16" i="16"/>
  <c r="BO16" i="16" s="1"/>
  <c r="BN89" i="16"/>
  <c r="BN47" i="16"/>
  <c r="AT15" i="16"/>
  <c r="BM61" i="16"/>
  <c r="BO61" i="16" s="1"/>
  <c r="BN82" i="16"/>
  <c r="BM47" i="16"/>
  <c r="BO47" i="16" s="1"/>
  <c r="BM100" i="16"/>
  <c r="BO100" i="16" s="1"/>
  <c r="BN63" i="16"/>
  <c r="BN73" i="16"/>
  <c r="BN36" i="16"/>
  <c r="BN91" i="16"/>
  <c r="BM91" i="16"/>
  <c r="BO91" i="16" s="1"/>
  <c r="BN43" i="16"/>
  <c r="BM98" i="16"/>
  <c r="BO98" i="16" s="1"/>
  <c r="BM93" i="16"/>
  <c r="BO93" i="16" s="1"/>
  <c r="BM17" i="16"/>
  <c r="BO17" i="16" s="1"/>
  <c r="BN22" i="16"/>
  <c r="BM81" i="16"/>
  <c r="BO81" i="16" s="1"/>
  <c r="BN40" i="16"/>
  <c r="BN80" i="16"/>
  <c r="BM39" i="16"/>
  <c r="BO39" i="16" s="1"/>
  <c r="BN51" i="16"/>
  <c r="BM65" i="16"/>
  <c r="BO65" i="16" s="1"/>
  <c r="BN94" i="16"/>
  <c r="BN16" i="16"/>
  <c r="BN44" i="16"/>
  <c r="BM90" i="16"/>
  <c r="BO90" i="16" s="1"/>
  <c r="BN68" i="16"/>
  <c r="BN85" i="16"/>
  <c r="BM18" i="16"/>
  <c r="BO18" i="16" s="1"/>
  <c r="BN48" i="16"/>
  <c r="BN77" i="16"/>
  <c r="BN102" i="16"/>
  <c r="BM68" i="16"/>
  <c r="BO68" i="16" s="1"/>
  <c r="BM69" i="16"/>
  <c r="BO69" i="16" s="1"/>
  <c r="BM92" i="16"/>
  <c r="BO92" i="16" s="1"/>
  <c r="BN78" i="16"/>
  <c r="BN52" i="16"/>
  <c r="BN37" i="16"/>
  <c r="BN74" i="16"/>
  <c r="BM85" i="16"/>
  <c r="BO85" i="16" s="1"/>
  <c r="BM95" i="16"/>
  <c r="BO95" i="16" s="1"/>
  <c r="BM30" i="16"/>
  <c r="BO30" i="16" s="1"/>
  <c r="BM50" i="16"/>
  <c r="BO50" i="16" s="1"/>
  <c r="BM62" i="16"/>
  <c r="BO62" i="16" s="1"/>
  <c r="BN26" i="16"/>
  <c r="BM72" i="16"/>
  <c r="BO72" i="16" s="1"/>
  <c r="BN81" i="16"/>
  <c r="BM54" i="16"/>
  <c r="BO54" i="16" s="1"/>
  <c r="BM66" i="16"/>
  <c r="BO66" i="16" s="1"/>
  <c r="BN95" i="16"/>
  <c r="BM40" i="16"/>
  <c r="BO40" i="16" s="1"/>
  <c r="BN41" i="16"/>
  <c r="BM94" i="16"/>
  <c r="BO94" i="16" s="1"/>
  <c r="BN34" i="16"/>
  <c r="BN58" i="16"/>
  <c r="BM83" i="16"/>
  <c r="BO83" i="16" s="1"/>
  <c r="BN104" i="16"/>
  <c r="BM58" i="16"/>
  <c r="BO58" i="16" s="1"/>
  <c r="BM103" i="16"/>
  <c r="BO103" i="16" s="1"/>
  <c r="BM20" i="16"/>
  <c r="BO20" i="16" s="1"/>
  <c r="BN90" i="16"/>
  <c r="BM59" i="16"/>
  <c r="BO59" i="16" s="1"/>
  <c r="BM27" i="16"/>
  <c r="BO27" i="16" s="1"/>
  <c r="BM28" i="16"/>
  <c r="BO28" i="16" s="1"/>
  <c r="BM38" i="16"/>
  <c r="BO38" i="16" s="1"/>
  <c r="BN60" i="16"/>
  <c r="BN29" i="16"/>
  <c r="BM41" i="16"/>
  <c r="BO41" i="16" s="1"/>
  <c r="BN65" i="16"/>
  <c r="BM76" i="16"/>
  <c r="BO76" i="16" s="1"/>
  <c r="BM99" i="16"/>
  <c r="BO99" i="16" s="1"/>
  <c r="BN33" i="16"/>
  <c r="BM45" i="16"/>
  <c r="BO45" i="16" s="1"/>
  <c r="BN64" i="16"/>
  <c r="BM87" i="16"/>
  <c r="BO87" i="16" s="1"/>
  <c r="BN17" i="16"/>
  <c r="BN100" i="16"/>
  <c r="BM19" i="16"/>
  <c r="BO19" i="16" s="1"/>
  <c r="BM57" i="16"/>
  <c r="BO57" i="16" s="1"/>
  <c r="BM88" i="16"/>
  <c r="BO88" i="16" s="1"/>
  <c r="BN101" i="16"/>
  <c r="BN88" i="16"/>
  <c r="BN57" i="16"/>
  <c r="BN92" i="16"/>
  <c r="BM49" i="16"/>
  <c r="BO49" i="16" s="1"/>
  <c r="BN59" i="16"/>
  <c r="BM79" i="16"/>
  <c r="BO79" i="16" s="1"/>
  <c r="BM36" i="16"/>
  <c r="BO36" i="16" s="1"/>
  <c r="BN56" i="16"/>
  <c r="BM75" i="16"/>
  <c r="BO75" i="16" s="1"/>
  <c r="BM37" i="16"/>
  <c r="BO37" i="16" s="1"/>
  <c r="BM5" i="16"/>
  <c r="BO5" i="16" s="1"/>
  <c r="H24" i="19" s="1"/>
  <c r="BM35" i="16"/>
  <c r="BO35" i="16" s="1"/>
  <c r="BN75" i="16"/>
  <c r="BN97" i="16"/>
  <c r="BM26" i="16"/>
  <c r="BO26" i="16" s="1"/>
  <c r="BN32" i="16"/>
  <c r="BM82" i="16"/>
  <c r="BO82" i="16" s="1"/>
  <c r="BM24" i="16"/>
  <c r="BO24" i="16" s="1"/>
  <c r="BM44" i="16"/>
  <c r="BO44" i="16" s="1"/>
  <c r="BN55" i="16"/>
  <c r="BM80" i="16"/>
  <c r="BO80" i="16" s="1"/>
  <c r="BN30" i="16"/>
  <c r="BN46" i="16"/>
  <c r="BN45" i="16"/>
  <c r="BM25" i="16"/>
  <c r="BO25" i="16" s="1"/>
  <c r="BN79" i="16"/>
  <c r="BM89" i="16"/>
  <c r="BO89" i="16" s="1"/>
  <c r="BM48" i="16"/>
  <c r="BO48" i="16" s="1"/>
  <c r="BM63" i="16"/>
  <c r="BO63" i="16" s="1"/>
  <c r="BM102" i="16"/>
  <c r="BO102" i="16" s="1"/>
  <c r="BM15" i="16"/>
  <c r="BO15" i="16" s="1"/>
  <c r="BN42" i="16"/>
  <c r="BN61" i="16"/>
  <c r="BM86" i="16"/>
  <c r="BO86" i="16" s="1"/>
  <c r="BN15" i="16"/>
  <c r="BM67" i="16"/>
  <c r="BO67" i="16" s="1"/>
  <c r="BN96" i="16"/>
  <c r="BN18" i="16"/>
  <c r="BM55" i="16"/>
  <c r="BO55" i="16" s="1"/>
  <c r="BN83" i="16"/>
  <c r="BN99" i="16"/>
  <c r="BM23" i="16"/>
  <c r="BO23" i="16" s="1"/>
  <c r="BM53" i="16"/>
  <c r="BO53" i="16" s="1"/>
  <c r="BN72" i="16"/>
  <c r="BN86" i="16"/>
  <c r="BN76" i="16"/>
  <c r="BM46" i="16"/>
  <c r="BO46" i="16" s="1"/>
  <c r="BN39" i="16"/>
  <c r="BM21" i="16"/>
  <c r="BO21" i="16" s="1"/>
  <c r="BN66" i="16"/>
  <c r="BM52" i="16"/>
  <c r="BO52" i="16" s="1"/>
  <c r="BN27" i="16"/>
  <c r="BN54" i="16"/>
  <c r="BN24" i="16"/>
  <c r="BM33" i="16"/>
  <c r="BO33" i="16" s="1"/>
  <c r="BM64" i="16"/>
  <c r="BO64" i="16" s="1"/>
  <c r="BN93" i="16"/>
  <c r="BN28" i="16"/>
  <c r="BM56" i="16"/>
  <c r="BO56" i="16" s="1"/>
  <c r="BM84" i="16"/>
  <c r="BO84" i="16" s="1"/>
  <c r="BN103" i="16"/>
  <c r="BM22" i="16"/>
  <c r="BO22" i="16" s="1"/>
  <c r="BN53" i="16"/>
  <c r="BM32" i="16"/>
  <c r="BO32" i="16" s="1"/>
  <c r="BN23" i="16"/>
  <c r="BN50" i="16"/>
  <c r="BN71" i="16"/>
  <c r="BN21" i="16"/>
  <c r="BM34" i="16"/>
  <c r="BO34" i="16" s="1"/>
  <c r="BN5" i="16"/>
  <c r="G24" i="19" s="1"/>
  <c r="BM104" i="16"/>
  <c r="BO104" i="16" s="1"/>
  <c r="BN69" i="16"/>
  <c r="BM73" i="16"/>
  <c r="BO73" i="16" s="1"/>
  <c r="BM29" i="16"/>
  <c r="BO29" i="16" s="1"/>
  <c r="BM60" i="16"/>
  <c r="BO60" i="16" s="1"/>
  <c r="BM74" i="16"/>
  <c r="BO74" i="16" s="1"/>
  <c r="BM97" i="16"/>
  <c r="BO97" i="16" s="1"/>
  <c r="BN31" i="16"/>
  <c r="BM43" i="16"/>
  <c r="BO43" i="16" s="1"/>
  <c r="BN62" i="16"/>
  <c r="BN67" i="16"/>
  <c r="BM78" i="16"/>
  <c r="BO78" i="16" s="1"/>
  <c r="BM101" i="16"/>
  <c r="BO101" i="16" s="1"/>
  <c r="BN49" i="16"/>
  <c r="BM71" i="16"/>
  <c r="BO71" i="16" s="1"/>
  <c r="BN84" i="16"/>
  <c r="BN19" i="16"/>
  <c r="BM51" i="16"/>
  <c r="BO51" i="16" s="1"/>
  <c r="BN70" i="16"/>
  <c r="BN87" i="16"/>
  <c r="BN98" i="16"/>
  <c r="AT21" i="16"/>
  <c r="AT36" i="16"/>
  <c r="AT22" i="16"/>
  <c r="AU72" i="17"/>
  <c r="AU62" i="17"/>
  <c r="AT49" i="16"/>
  <c r="AT38" i="16"/>
  <c r="AU84" i="17"/>
  <c r="AU17" i="17"/>
  <c r="AT66" i="16"/>
  <c r="AU74" i="17"/>
  <c r="AT89" i="16"/>
  <c r="AT94" i="16"/>
  <c r="AU73" i="17"/>
  <c r="AU86" i="17"/>
  <c r="AT56" i="16"/>
  <c r="AT48" i="16"/>
  <c r="AU23" i="17"/>
  <c r="AU21" i="17"/>
  <c r="AU11" i="17"/>
  <c r="AU77" i="17"/>
  <c r="AU12" i="17"/>
  <c r="AU27" i="17"/>
  <c r="AU15" i="17"/>
  <c r="AU68" i="17"/>
  <c r="AT6" i="16"/>
  <c r="H9" i="19" s="1"/>
  <c r="AT103" i="16"/>
  <c r="AU80" i="17"/>
  <c r="AT100" i="16"/>
  <c r="AT35" i="16"/>
  <c r="AT53" i="16"/>
  <c r="AT63" i="16"/>
  <c r="AU22" i="17"/>
  <c r="AU53" i="17"/>
  <c r="AU29" i="17"/>
  <c r="AU7" i="17"/>
  <c r="AU104" i="17"/>
  <c r="AT70" i="16"/>
  <c r="AT54" i="16"/>
  <c r="AU58" i="17"/>
  <c r="AT98" i="16"/>
  <c r="AT44" i="16"/>
  <c r="AT85" i="16"/>
  <c r="AT46" i="16"/>
  <c r="AT88" i="16"/>
  <c r="AT41" i="16"/>
  <c r="AT24" i="16"/>
  <c r="AT79" i="16"/>
  <c r="AT14" i="16"/>
  <c r="AT34" i="16"/>
  <c r="AT28" i="16"/>
  <c r="AT58" i="16"/>
  <c r="AT39" i="16"/>
  <c r="AT80" i="16"/>
  <c r="AT95" i="16"/>
  <c r="AT91" i="16"/>
  <c r="AT11" i="16"/>
  <c r="AT93" i="16"/>
  <c r="AT67" i="16"/>
  <c r="AT81" i="16"/>
  <c r="AT8" i="16"/>
  <c r="AG7" i="8"/>
  <c r="AG8" i="8"/>
  <c r="AG9" i="8"/>
  <c r="AG10" i="8"/>
  <c r="AG11" i="8"/>
  <c r="AG12" i="8"/>
  <c r="AG13" i="8"/>
  <c r="AG14" i="8"/>
  <c r="AG15" i="8"/>
  <c r="AG16" i="8"/>
  <c r="AG17" i="8"/>
  <c r="AG18" i="8"/>
  <c r="AG19" i="8"/>
  <c r="AG20" i="8"/>
  <c r="AG21" i="8"/>
  <c r="AG22" i="8"/>
  <c r="AG23" i="8"/>
  <c r="AG24" i="8"/>
  <c r="AG25" i="8"/>
  <c r="AG26" i="8"/>
  <c r="AG27" i="8"/>
  <c r="AG28" i="8"/>
  <c r="AG29" i="8"/>
  <c r="AG30" i="8"/>
  <c r="AG31" i="8"/>
  <c r="AG32" i="8"/>
  <c r="AG33" i="8"/>
  <c r="AG34" i="8"/>
  <c r="AG35" i="8"/>
  <c r="AG36" i="8"/>
  <c r="AG37" i="8"/>
  <c r="AG38" i="8"/>
  <c r="AG39" i="8"/>
  <c r="AG40" i="8"/>
  <c r="AG41" i="8"/>
  <c r="AG42" i="8"/>
  <c r="AG43" i="8"/>
  <c r="AG44" i="8"/>
  <c r="AG45" i="8"/>
  <c r="AG46" i="8"/>
  <c r="AG47" i="8"/>
  <c r="AG48" i="8"/>
  <c r="AG49" i="8"/>
  <c r="AG50" i="8"/>
  <c r="AG51" i="8"/>
  <c r="AG52" i="8"/>
  <c r="AG53" i="8"/>
  <c r="AG54" i="8"/>
  <c r="AG55" i="8"/>
  <c r="AG56" i="8"/>
  <c r="AG57" i="8"/>
  <c r="AG58" i="8"/>
  <c r="AG59" i="8"/>
  <c r="AG60" i="8"/>
  <c r="AG61" i="8"/>
  <c r="AG62" i="8"/>
  <c r="AG63" i="8"/>
  <c r="AG64" i="8"/>
  <c r="AG65" i="8"/>
  <c r="AG66" i="8"/>
  <c r="AG67" i="8"/>
  <c r="AG68" i="8"/>
  <c r="AG69" i="8"/>
  <c r="AG70" i="8"/>
  <c r="AG71" i="8"/>
  <c r="AG72" i="8"/>
  <c r="AG73" i="8"/>
  <c r="AG74" i="8"/>
  <c r="AG75" i="8"/>
  <c r="AG76" i="8"/>
  <c r="AG77" i="8"/>
  <c r="AG78" i="8"/>
  <c r="AG79" i="8"/>
  <c r="AG80" i="8"/>
  <c r="AG81" i="8"/>
  <c r="AG82" i="8"/>
  <c r="AG83" i="8"/>
  <c r="AG84" i="8"/>
  <c r="AG85" i="8"/>
  <c r="AG86" i="8"/>
  <c r="AG87" i="8"/>
  <c r="AG88" i="8"/>
  <c r="AG89" i="8"/>
  <c r="AG90" i="8"/>
  <c r="AG91" i="8"/>
  <c r="AG92" i="8"/>
  <c r="AG93" i="8"/>
  <c r="AG94" i="8"/>
  <c r="AG95" i="8"/>
  <c r="AG96" i="8"/>
  <c r="AG97" i="8"/>
  <c r="AG98" i="8"/>
  <c r="AG99" i="8"/>
  <c r="AG100" i="8"/>
  <c r="AG101" i="8"/>
  <c r="AG102" i="8"/>
  <c r="AG103" i="8"/>
  <c r="AG104" i="8"/>
  <c r="AC6" i="8"/>
  <c r="AC7" i="8"/>
  <c r="AC8" i="8"/>
  <c r="AC9" i="8"/>
  <c r="AC10" i="8"/>
  <c r="AC11" i="8"/>
  <c r="AC12" i="8"/>
  <c r="AC13" i="8"/>
  <c r="AC14" i="8"/>
  <c r="AC15" i="8"/>
  <c r="AC16" i="8"/>
  <c r="AC17" i="8"/>
  <c r="AC18" i="8"/>
  <c r="AC19" i="8"/>
  <c r="AC20" i="8"/>
  <c r="AC21" i="8"/>
  <c r="AC22" i="8"/>
  <c r="AC23" i="8"/>
  <c r="AC24" i="8"/>
  <c r="AC25" i="8"/>
  <c r="AC26" i="8"/>
  <c r="AC27" i="8"/>
  <c r="AC28" i="8"/>
  <c r="AC29" i="8"/>
  <c r="AC30" i="8"/>
  <c r="AC31" i="8"/>
  <c r="AC32" i="8"/>
  <c r="AC33" i="8"/>
  <c r="AC34" i="8"/>
  <c r="AC35" i="8"/>
  <c r="AC36" i="8"/>
  <c r="AC37" i="8"/>
  <c r="AC38" i="8"/>
  <c r="AC39" i="8"/>
  <c r="AC40" i="8"/>
  <c r="AC41" i="8"/>
  <c r="AC42" i="8"/>
  <c r="AC43" i="8"/>
  <c r="AC44" i="8"/>
  <c r="AC45" i="8"/>
  <c r="AC46" i="8"/>
  <c r="AC47" i="8"/>
  <c r="AC48" i="8"/>
  <c r="AC49" i="8"/>
  <c r="AC50" i="8"/>
  <c r="AC51" i="8"/>
  <c r="AC52" i="8"/>
  <c r="AC53" i="8"/>
  <c r="AC54" i="8"/>
  <c r="AC55" i="8"/>
  <c r="AC56" i="8"/>
  <c r="AC57" i="8"/>
  <c r="AC58" i="8"/>
  <c r="AC59" i="8"/>
  <c r="AC60" i="8"/>
  <c r="AC61" i="8"/>
  <c r="AC62" i="8"/>
  <c r="AC63" i="8"/>
  <c r="AC64" i="8"/>
  <c r="AC65" i="8"/>
  <c r="AC66" i="8"/>
  <c r="AC67" i="8"/>
  <c r="AC68" i="8"/>
  <c r="AC69" i="8"/>
  <c r="AC70" i="8"/>
  <c r="AC71" i="8"/>
  <c r="AC72" i="8"/>
  <c r="AC73" i="8"/>
  <c r="AC74" i="8"/>
  <c r="AC75" i="8"/>
  <c r="AC76" i="8"/>
  <c r="AC77" i="8"/>
  <c r="AC78" i="8"/>
  <c r="AC79" i="8"/>
  <c r="AC80" i="8"/>
  <c r="AC81" i="8"/>
  <c r="AC82" i="8"/>
  <c r="AC83" i="8"/>
  <c r="AC84" i="8"/>
  <c r="AC85" i="8"/>
  <c r="AC86" i="8"/>
  <c r="AC87" i="8"/>
  <c r="AC88" i="8"/>
  <c r="AC89" i="8"/>
  <c r="AC90" i="8"/>
  <c r="AC91" i="8"/>
  <c r="AC92" i="8"/>
  <c r="AC93" i="8"/>
  <c r="AC94" i="8"/>
  <c r="AC95" i="8"/>
  <c r="AC96" i="8"/>
  <c r="AC97" i="8"/>
  <c r="AC98" i="8"/>
  <c r="AC99" i="8"/>
  <c r="AC100" i="8"/>
  <c r="AC101" i="8"/>
  <c r="AC102" i="8"/>
  <c r="AC103" i="8"/>
  <c r="AC104" i="8"/>
  <c r="BO6" i="16" l="1"/>
  <c r="H25" i="19" s="1"/>
  <c r="U9" i="8"/>
  <c r="U79" i="8"/>
  <c r="U95" i="8"/>
  <c r="U91" i="8"/>
  <c r="U74" i="8"/>
  <c r="U55" i="8"/>
  <c r="U50" i="8"/>
  <c r="U25" i="8"/>
  <c r="U18" i="8"/>
  <c r="U73" i="8"/>
  <c r="U17" i="8"/>
  <c r="U89" i="8"/>
  <c r="U71" i="8"/>
  <c r="U42" i="8"/>
  <c r="U10" i="8"/>
  <c r="U103" i="8"/>
  <c r="U87" i="8"/>
  <c r="U66" i="8"/>
  <c r="U41" i="8"/>
  <c r="AG6" i="8"/>
  <c r="U11" i="8"/>
  <c r="U19" i="8"/>
  <c r="U27" i="8"/>
  <c r="U35" i="8"/>
  <c r="U43" i="8"/>
  <c r="U51" i="8"/>
  <c r="U59" i="8"/>
  <c r="U67" i="8"/>
  <c r="U75" i="8"/>
  <c r="U12" i="8"/>
  <c r="U20" i="8"/>
  <c r="U28" i="8"/>
  <c r="U36" i="8"/>
  <c r="U44" i="8"/>
  <c r="U52" i="8"/>
  <c r="U60" i="8"/>
  <c r="U68" i="8"/>
  <c r="U76" i="8"/>
  <c r="U84" i="8"/>
  <c r="U92" i="8"/>
  <c r="U100" i="8"/>
  <c r="U6" i="8"/>
  <c r="U14" i="8"/>
  <c r="U38" i="8"/>
  <c r="U54" i="8"/>
  <c r="U78" i="8"/>
  <c r="U94" i="8"/>
  <c r="U23" i="8"/>
  <c r="U13" i="8"/>
  <c r="U21" i="8"/>
  <c r="U29" i="8"/>
  <c r="U37" i="8"/>
  <c r="U45" i="8"/>
  <c r="U53" i="8"/>
  <c r="U61" i="8"/>
  <c r="U69" i="8"/>
  <c r="U77" i="8"/>
  <c r="U85" i="8"/>
  <c r="U93" i="8"/>
  <c r="U101" i="8"/>
  <c r="U22" i="8"/>
  <c r="U46" i="8"/>
  <c r="U70" i="8"/>
  <c r="U86" i="8"/>
  <c r="U15" i="8"/>
  <c r="U63" i="8"/>
  <c r="U30" i="8"/>
  <c r="U62" i="8"/>
  <c r="U102" i="8"/>
  <c r="U7" i="8"/>
  <c r="U31" i="8"/>
  <c r="U39" i="8"/>
  <c r="U47" i="8"/>
  <c r="U8" i="8"/>
  <c r="U16" i="8"/>
  <c r="U24" i="8"/>
  <c r="U32" i="8"/>
  <c r="U40" i="8"/>
  <c r="U48" i="8"/>
  <c r="U56" i="8"/>
  <c r="U64" i="8"/>
  <c r="U72" i="8"/>
  <c r="U80" i="8"/>
  <c r="U88" i="8"/>
  <c r="U96" i="8"/>
  <c r="U104" i="8"/>
  <c r="U49" i="8"/>
  <c r="U5" i="8"/>
  <c r="U83" i="8"/>
  <c r="U34" i="8"/>
  <c r="U98" i="8"/>
  <c r="U82" i="8"/>
  <c r="U58" i="8"/>
  <c r="U33" i="8"/>
  <c r="U90" i="8"/>
  <c r="U99" i="8"/>
  <c r="U65" i="8"/>
  <c r="U97" i="8"/>
  <c r="U81" i="8"/>
  <c r="U57" i="8"/>
  <c r="U26" i="8"/>
  <c r="V5" i="8"/>
  <c r="V59" i="8"/>
  <c r="V97" i="8"/>
  <c r="AG5" i="8"/>
  <c r="V91" i="8"/>
  <c r="V83" i="8"/>
  <c r="V51" i="8"/>
  <c r="V19" i="8"/>
  <c r="V27" i="8"/>
  <c r="V98" i="8"/>
  <c r="V90" i="8"/>
  <c r="V82" i="8"/>
  <c r="V74" i="8"/>
  <c r="V66" i="8"/>
  <c r="V58" i="8"/>
  <c r="V50" i="8"/>
  <c r="V42" i="8"/>
  <c r="V34" i="8"/>
  <c r="V26" i="8"/>
  <c r="V18" i="8"/>
  <c r="V10" i="8"/>
  <c r="V65" i="8"/>
  <c r="V17" i="8"/>
  <c r="V15" i="8"/>
  <c r="V32" i="8"/>
  <c r="V23" i="8"/>
  <c r="V89" i="8"/>
  <c r="V57" i="8"/>
  <c r="V25" i="8"/>
  <c r="V88" i="8"/>
  <c r="V64" i="8"/>
  <c r="V48" i="8"/>
  <c r="V16" i="8"/>
  <c r="V67" i="8"/>
  <c r="V55" i="8"/>
  <c r="V78" i="8"/>
  <c r="V70" i="8"/>
  <c r="V54" i="8"/>
  <c r="V46" i="8"/>
  <c r="V38" i="8"/>
  <c r="V22" i="8"/>
  <c r="V14" i="8"/>
  <c r="V6" i="8"/>
  <c r="V75" i="8"/>
  <c r="V43" i="8"/>
  <c r="V11" i="8"/>
  <c r="V73" i="8"/>
  <c r="V49" i="8"/>
  <c r="V9" i="8"/>
  <c r="V47" i="8"/>
  <c r="V72" i="8"/>
  <c r="V40" i="8"/>
  <c r="V8" i="8"/>
  <c r="V35" i="8"/>
  <c r="V94" i="8"/>
  <c r="V30" i="8"/>
  <c r="V101" i="8"/>
  <c r="V93" i="8"/>
  <c r="V85" i="8"/>
  <c r="V77" i="8"/>
  <c r="V69" i="8"/>
  <c r="V61" i="8"/>
  <c r="V53" i="8"/>
  <c r="V45" i="8"/>
  <c r="V37" i="8"/>
  <c r="V29" i="8"/>
  <c r="V21" i="8"/>
  <c r="V13" i="8"/>
  <c r="V95" i="8"/>
  <c r="V63" i="8"/>
  <c r="V31" i="8"/>
  <c r="V81" i="8"/>
  <c r="V33" i="8"/>
  <c r="V104" i="8"/>
  <c r="V80" i="8"/>
  <c r="V56" i="8"/>
  <c r="V24" i="8"/>
  <c r="V99" i="8"/>
  <c r="V87" i="8"/>
  <c r="V102" i="8"/>
  <c r="V86" i="8"/>
  <c r="V62" i="8"/>
  <c r="V100" i="8"/>
  <c r="V92" i="8"/>
  <c r="V84" i="8"/>
  <c r="V76" i="8"/>
  <c r="V68" i="8"/>
  <c r="V60" i="8"/>
  <c r="V52" i="8"/>
  <c r="V44" i="8"/>
  <c r="V36" i="8"/>
  <c r="V28" i="8"/>
  <c r="V20" i="8"/>
  <c r="V12" i="8"/>
  <c r="V41" i="8"/>
  <c r="V79" i="8"/>
  <c r="V96" i="8"/>
  <c r="V103" i="8"/>
  <c r="V71" i="8"/>
  <c r="V39" i="8"/>
  <c r="V7" i="8"/>
  <c r="AX7" i="8" l="1"/>
  <c r="AW10" i="8"/>
  <c r="AY10" i="8" s="1"/>
  <c r="AW13" i="8"/>
  <c r="AY13" i="8" s="1"/>
  <c r="AX16" i="8"/>
  <c r="AW19" i="8"/>
  <c r="AY19" i="8" s="1"/>
  <c r="AX24" i="8"/>
  <c r="AW27" i="8"/>
  <c r="AY27" i="8" s="1"/>
  <c r="AX32" i="8"/>
  <c r="AW35" i="8"/>
  <c r="AY35" i="8" s="1"/>
  <c r="AX40" i="8"/>
  <c r="AW43" i="8"/>
  <c r="AY43" i="8" s="1"/>
  <c r="AX48" i="8"/>
  <c r="AW51" i="8"/>
  <c r="AY51" i="8" s="1"/>
  <c r="AX56" i="8"/>
  <c r="AW59" i="8"/>
  <c r="AY59" i="8" s="1"/>
  <c r="AX64" i="8"/>
  <c r="AW67" i="8"/>
  <c r="AY67" i="8" s="1"/>
  <c r="AX72" i="8"/>
  <c r="AW75" i="8"/>
  <c r="AY75" i="8" s="1"/>
  <c r="AX80" i="8"/>
  <c r="AW83" i="8"/>
  <c r="AY83" i="8" s="1"/>
  <c r="AX88" i="8"/>
  <c r="AW91" i="8"/>
  <c r="AY91" i="8" s="1"/>
  <c r="AX96" i="8"/>
  <c r="AW99" i="8"/>
  <c r="AY99" i="8" s="1"/>
  <c r="AX104" i="8"/>
  <c r="AW24" i="8"/>
  <c r="AY24" i="8" s="1"/>
  <c r="AW40" i="8"/>
  <c r="AY40" i="8" s="1"/>
  <c r="AX53" i="8"/>
  <c r="AW64" i="8"/>
  <c r="AY64" i="8" s="1"/>
  <c r="AX85" i="8"/>
  <c r="AW96" i="8"/>
  <c r="AY96" i="8" s="1"/>
  <c r="AW104" i="8"/>
  <c r="AY104" i="8" s="1"/>
  <c r="AX10" i="8"/>
  <c r="AX19" i="8"/>
  <c r="AW22" i="8"/>
  <c r="AY22" i="8" s="1"/>
  <c r="AX27" i="8"/>
  <c r="AW30" i="8"/>
  <c r="AY30" i="8" s="1"/>
  <c r="AX35" i="8"/>
  <c r="AW38" i="8"/>
  <c r="AY38" i="8" s="1"/>
  <c r="AX43" i="8"/>
  <c r="AW46" i="8"/>
  <c r="AY46" i="8" s="1"/>
  <c r="AX51" i="8"/>
  <c r="AW54" i="8"/>
  <c r="AY54" i="8" s="1"/>
  <c r="AX59" i="8"/>
  <c r="AW62" i="8"/>
  <c r="AY62" i="8" s="1"/>
  <c r="AX67" i="8"/>
  <c r="AW70" i="8"/>
  <c r="AY70" i="8" s="1"/>
  <c r="AX75" i="8"/>
  <c r="AW78" i="8"/>
  <c r="AY78" i="8" s="1"/>
  <c r="AX83" i="8"/>
  <c r="AW86" i="8"/>
  <c r="AY86" i="8" s="1"/>
  <c r="AX91" i="8"/>
  <c r="AW94" i="8"/>
  <c r="AY94" i="8" s="1"/>
  <c r="AX99" i="8"/>
  <c r="AW102" i="8"/>
  <c r="AY102" i="8" s="1"/>
  <c r="AX8" i="8"/>
  <c r="AX25" i="8"/>
  <c r="AX33" i="8"/>
  <c r="AX41" i="8"/>
  <c r="AX49" i="8"/>
  <c r="AX57" i="8"/>
  <c r="AW84" i="8"/>
  <c r="AY84" i="8" s="1"/>
  <c r="AW92" i="8"/>
  <c r="AY92" i="8" s="1"/>
  <c r="AW100" i="8"/>
  <c r="AY100" i="8" s="1"/>
  <c r="AW8" i="8"/>
  <c r="AY8" i="8" s="1"/>
  <c r="AW14" i="8"/>
  <c r="AY14" i="8" s="1"/>
  <c r="AW17" i="8"/>
  <c r="AY17" i="8" s="1"/>
  <c r="AX22" i="8"/>
  <c r="AW25" i="8"/>
  <c r="AY25" i="8" s="1"/>
  <c r="AX30" i="8"/>
  <c r="AW33" i="8"/>
  <c r="AY33" i="8" s="1"/>
  <c r="AX38" i="8"/>
  <c r="AW41" i="8"/>
  <c r="AY41" i="8" s="1"/>
  <c r="AX46" i="8"/>
  <c r="AW49" i="8"/>
  <c r="AY49" i="8" s="1"/>
  <c r="AX54" i="8"/>
  <c r="AW57" i="8"/>
  <c r="AY57" i="8" s="1"/>
  <c r="AX62" i="8"/>
  <c r="AW65" i="8"/>
  <c r="AY65" i="8" s="1"/>
  <c r="AX70" i="8"/>
  <c r="AW73" i="8"/>
  <c r="AY73" i="8" s="1"/>
  <c r="AX78" i="8"/>
  <c r="AW81" i="8"/>
  <c r="AY81" i="8" s="1"/>
  <c r="AX86" i="8"/>
  <c r="AW89" i="8"/>
  <c r="AY89" i="8" s="1"/>
  <c r="AX94" i="8"/>
  <c r="AW97" i="8"/>
  <c r="AY97" i="8" s="1"/>
  <c r="AX102" i="8"/>
  <c r="AW11" i="8"/>
  <c r="AY11" i="8" s="1"/>
  <c r="AW20" i="8"/>
  <c r="AY20" i="8" s="1"/>
  <c r="AW28" i="8"/>
  <c r="AY28" i="8" s="1"/>
  <c r="AW36" i="8"/>
  <c r="AY36" i="8" s="1"/>
  <c r="AW44" i="8"/>
  <c r="AY44" i="8" s="1"/>
  <c r="AW60" i="8"/>
  <c r="AY60" i="8" s="1"/>
  <c r="AW68" i="8"/>
  <c r="AY68" i="8" s="1"/>
  <c r="AX73" i="8"/>
  <c r="AX81" i="8"/>
  <c r="AX89" i="8"/>
  <c r="AW77" i="8"/>
  <c r="AY77" i="8" s="1"/>
  <c r="AX29" i="8"/>
  <c r="AW88" i="8"/>
  <c r="AY88" i="8" s="1"/>
  <c r="AX17" i="8"/>
  <c r="AW52" i="8"/>
  <c r="AY52" i="8" s="1"/>
  <c r="AX65" i="8"/>
  <c r="AW76" i="8"/>
  <c r="AY76" i="8" s="1"/>
  <c r="AX97" i="8"/>
  <c r="AW45" i="8"/>
  <c r="AY45" i="8" s="1"/>
  <c r="AW53" i="8"/>
  <c r="AY53" i="8" s="1"/>
  <c r="AW61" i="8"/>
  <c r="AY61" i="8" s="1"/>
  <c r="AX82" i="8"/>
  <c r="AX90" i="8"/>
  <c r="AX98" i="8"/>
  <c r="AX21" i="8"/>
  <c r="AW32" i="8"/>
  <c r="AY32" i="8" s="1"/>
  <c r="AX45" i="8"/>
  <c r="AW56" i="8"/>
  <c r="AY56" i="8" s="1"/>
  <c r="AX77" i="8"/>
  <c r="AX101" i="8"/>
  <c r="AW6" i="8"/>
  <c r="AY6" i="8" s="1"/>
  <c r="AX20" i="8"/>
  <c r="AW23" i="8"/>
  <c r="AY23" i="8" s="1"/>
  <c r="AX28" i="8"/>
  <c r="AW31" i="8"/>
  <c r="AY31" i="8" s="1"/>
  <c r="AX36" i="8"/>
  <c r="AW39" i="8"/>
  <c r="AY39" i="8" s="1"/>
  <c r="AX44" i="8"/>
  <c r="AW47" i="8"/>
  <c r="AY47" i="8" s="1"/>
  <c r="AX52" i="8"/>
  <c r="AW55" i="8"/>
  <c r="AY55" i="8" s="1"/>
  <c r="AX60" i="8"/>
  <c r="AW63" i="8"/>
  <c r="AY63" i="8" s="1"/>
  <c r="AX68" i="8"/>
  <c r="AW71" i="8"/>
  <c r="AY71" i="8" s="1"/>
  <c r="AX76" i="8"/>
  <c r="AW79" i="8"/>
  <c r="AY79" i="8" s="1"/>
  <c r="AX84" i="8"/>
  <c r="AW87" i="8"/>
  <c r="AY87" i="8" s="1"/>
  <c r="AX92" i="8"/>
  <c r="AW95" i="8"/>
  <c r="AY95" i="8" s="1"/>
  <c r="AX100" i="8"/>
  <c r="AW103" i="8"/>
  <c r="AY103" i="8" s="1"/>
  <c r="AW5" i="8"/>
  <c r="AY5" i="8" s="1"/>
  <c r="D12" i="19" s="1"/>
  <c r="AX18" i="8"/>
  <c r="AW29" i="8"/>
  <c r="AY29" i="8" s="1"/>
  <c r="AW37" i="8"/>
  <c r="AY37" i="8" s="1"/>
  <c r="AX66" i="8"/>
  <c r="AX74" i="8"/>
  <c r="AW85" i="8"/>
  <c r="AY85" i="8" s="1"/>
  <c r="AW93" i="8"/>
  <c r="AY93" i="8" s="1"/>
  <c r="AW101" i="8"/>
  <c r="AY101" i="8" s="1"/>
  <c r="AW7" i="8"/>
  <c r="AY7" i="8" s="1"/>
  <c r="AW48" i="8"/>
  <c r="AY48" i="8" s="1"/>
  <c r="AX69" i="8"/>
  <c r="AW80" i="8"/>
  <c r="AY80" i="8" s="1"/>
  <c r="AX93" i="8"/>
  <c r="AX6" i="8"/>
  <c r="AW9" i="8"/>
  <c r="AY9" i="8" s="1"/>
  <c r="AW15" i="8"/>
  <c r="AY15" i="8" s="1"/>
  <c r="AW18" i="8"/>
  <c r="AY18" i="8" s="1"/>
  <c r="AX23" i="8"/>
  <c r="AW26" i="8"/>
  <c r="AY26" i="8" s="1"/>
  <c r="AX31" i="8"/>
  <c r="AW34" i="8"/>
  <c r="AY34" i="8" s="1"/>
  <c r="AX39" i="8"/>
  <c r="AW42" i="8"/>
  <c r="AY42" i="8" s="1"/>
  <c r="AX47" i="8"/>
  <c r="AW50" i="8"/>
  <c r="AY50" i="8" s="1"/>
  <c r="AX55" i="8"/>
  <c r="AW58" i="8"/>
  <c r="AY58" i="8" s="1"/>
  <c r="AX63" i="8"/>
  <c r="AW66" i="8"/>
  <c r="AY66" i="8" s="1"/>
  <c r="AX71" i="8"/>
  <c r="AW74" i="8"/>
  <c r="AY74" i="8" s="1"/>
  <c r="AX79" i="8"/>
  <c r="AW82" i="8"/>
  <c r="AY82" i="8" s="1"/>
  <c r="AX87" i="8"/>
  <c r="AW90" i="8"/>
  <c r="AY90" i="8" s="1"/>
  <c r="AX95" i="8"/>
  <c r="AW98" i="8"/>
  <c r="AY98" i="8" s="1"/>
  <c r="AX103" i="8"/>
  <c r="AX9" i="8"/>
  <c r="AW12" i="8"/>
  <c r="AY12" i="8" s="1"/>
  <c r="AW21" i="8"/>
  <c r="AY21" i="8" s="1"/>
  <c r="AX26" i="8"/>
  <c r="AX34" i="8"/>
  <c r="AX42" i="8"/>
  <c r="AX50" i="8"/>
  <c r="AX58" i="8"/>
  <c r="AW69" i="8"/>
  <c r="AY69" i="8" s="1"/>
  <c r="AW16" i="8"/>
  <c r="AY16" i="8" s="1"/>
  <c r="AX37" i="8"/>
  <c r="AX61" i="8"/>
  <c r="AW72" i="8"/>
  <c r="AY72" i="8" s="1"/>
  <c r="AX12" i="8"/>
  <c r="AX13" i="8"/>
  <c r="AX15" i="8"/>
  <c r="AI7" i="8"/>
  <c r="AI8" i="8"/>
  <c r="AI9" i="8"/>
  <c r="AI10" i="8"/>
  <c r="AI11" i="8"/>
  <c r="AI12" i="8"/>
  <c r="AI13" i="8"/>
  <c r="AI14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78" i="8"/>
  <c r="AI79" i="8"/>
  <c r="AI80" i="8"/>
  <c r="AI81" i="8"/>
  <c r="AI82" i="8"/>
  <c r="AI83" i="8"/>
  <c r="AI84" i="8"/>
  <c r="AI85" i="8"/>
  <c r="AI86" i="8"/>
  <c r="AI87" i="8"/>
  <c r="AI88" i="8"/>
  <c r="AI89" i="8"/>
  <c r="AI90" i="8"/>
  <c r="AI91" i="8"/>
  <c r="AI92" i="8"/>
  <c r="AI93" i="8"/>
  <c r="AI94" i="8"/>
  <c r="AI95" i="8"/>
  <c r="AI96" i="8"/>
  <c r="AI97" i="8"/>
  <c r="AI98" i="8"/>
  <c r="AI99" i="8"/>
  <c r="AI100" i="8"/>
  <c r="AI101" i="8"/>
  <c r="AI102" i="8"/>
  <c r="AI103" i="8"/>
  <c r="AI104" i="8"/>
  <c r="AI5" i="8"/>
  <c r="AE7" i="8"/>
  <c r="AE8" i="8"/>
  <c r="AE9" i="8"/>
  <c r="AE10" i="8"/>
  <c r="AE11" i="8"/>
  <c r="AE12" i="8"/>
  <c r="AE13" i="8"/>
  <c r="AE14" i="8"/>
  <c r="AE15" i="8"/>
  <c r="AE16" i="8"/>
  <c r="AE17" i="8"/>
  <c r="AE18" i="8"/>
  <c r="AE19" i="8"/>
  <c r="AE20" i="8"/>
  <c r="AE21" i="8"/>
  <c r="AE22" i="8"/>
  <c r="AE23" i="8"/>
  <c r="AE24" i="8"/>
  <c r="AE25" i="8"/>
  <c r="AE26" i="8"/>
  <c r="AE27" i="8"/>
  <c r="AE28" i="8"/>
  <c r="AE29" i="8"/>
  <c r="AE30" i="8"/>
  <c r="AE31" i="8"/>
  <c r="AE32" i="8"/>
  <c r="AE33" i="8"/>
  <c r="AE34" i="8"/>
  <c r="AE35" i="8"/>
  <c r="AE36" i="8"/>
  <c r="AE37" i="8"/>
  <c r="AE38" i="8"/>
  <c r="AE39" i="8"/>
  <c r="AE40" i="8"/>
  <c r="AE41" i="8"/>
  <c r="AE42" i="8"/>
  <c r="AE43" i="8"/>
  <c r="AE44" i="8"/>
  <c r="AE45" i="8"/>
  <c r="AE46" i="8"/>
  <c r="AE47" i="8"/>
  <c r="AE48" i="8"/>
  <c r="AE49" i="8"/>
  <c r="AE50" i="8"/>
  <c r="AE51" i="8"/>
  <c r="AE52" i="8"/>
  <c r="AE53" i="8"/>
  <c r="AE54" i="8"/>
  <c r="AE55" i="8"/>
  <c r="AE56" i="8"/>
  <c r="AE57" i="8"/>
  <c r="AE58" i="8"/>
  <c r="AE59" i="8"/>
  <c r="AE60" i="8"/>
  <c r="AE61" i="8"/>
  <c r="AE62" i="8"/>
  <c r="AE63" i="8"/>
  <c r="AE64" i="8"/>
  <c r="AE65" i="8"/>
  <c r="AE66" i="8"/>
  <c r="AE67" i="8"/>
  <c r="AE68" i="8"/>
  <c r="AE69" i="8"/>
  <c r="AE70" i="8"/>
  <c r="AE71" i="8"/>
  <c r="AE72" i="8"/>
  <c r="AE73" i="8"/>
  <c r="AE74" i="8"/>
  <c r="AE75" i="8"/>
  <c r="AE76" i="8"/>
  <c r="AE77" i="8"/>
  <c r="AE78" i="8"/>
  <c r="AE79" i="8"/>
  <c r="AE80" i="8"/>
  <c r="AE81" i="8"/>
  <c r="AE82" i="8"/>
  <c r="AE83" i="8"/>
  <c r="AE84" i="8"/>
  <c r="AE85" i="8"/>
  <c r="AE86" i="8"/>
  <c r="AE87" i="8"/>
  <c r="AE88" i="8"/>
  <c r="AE89" i="8"/>
  <c r="AE90" i="8"/>
  <c r="AE91" i="8"/>
  <c r="AE92" i="8"/>
  <c r="AE93" i="8"/>
  <c r="AE94" i="8"/>
  <c r="AE95" i="8"/>
  <c r="AE96" i="8"/>
  <c r="AE97" i="8"/>
  <c r="AE98" i="8"/>
  <c r="AE99" i="8"/>
  <c r="AE100" i="8"/>
  <c r="AE101" i="8"/>
  <c r="AE102" i="8"/>
  <c r="AE103" i="8"/>
  <c r="AE104" i="8"/>
  <c r="AH12" i="8" l="1"/>
  <c r="AH11" i="8"/>
  <c r="AH10" i="8"/>
  <c r="AH9" i="8"/>
  <c r="AH5" i="8"/>
  <c r="AH8" i="8"/>
  <c r="AH14" i="8"/>
  <c r="AH13" i="8"/>
  <c r="AH28" i="8"/>
  <c r="AE6" i="8"/>
  <c r="Q6" i="8"/>
  <c r="Q14" i="8"/>
  <c r="Q22" i="8"/>
  <c r="Q30" i="8"/>
  <c r="Q38" i="8"/>
  <c r="Q46" i="8"/>
  <c r="Q54" i="8"/>
  <c r="Q62" i="8"/>
  <c r="Q70" i="8"/>
  <c r="Q78" i="8"/>
  <c r="Q86" i="8"/>
  <c r="Q94" i="8"/>
  <c r="Q102" i="8"/>
  <c r="Q89" i="8"/>
  <c r="Q37" i="8"/>
  <c r="Q77" i="8"/>
  <c r="Q7" i="8"/>
  <c r="Q15" i="8"/>
  <c r="Q23" i="8"/>
  <c r="Q31" i="8"/>
  <c r="Q39" i="8"/>
  <c r="Q47" i="8"/>
  <c r="Q55" i="8"/>
  <c r="Q63" i="8"/>
  <c r="Q71" i="8"/>
  <c r="Q79" i="8"/>
  <c r="Q87" i="8"/>
  <c r="Q95" i="8"/>
  <c r="Q103" i="8"/>
  <c r="Q53" i="8"/>
  <c r="Q8" i="8"/>
  <c r="Q16" i="8"/>
  <c r="Q24" i="8"/>
  <c r="Q32" i="8"/>
  <c r="Q40" i="8"/>
  <c r="Q48" i="8"/>
  <c r="Q56" i="8"/>
  <c r="Q64" i="8"/>
  <c r="Q72" i="8"/>
  <c r="Q80" i="8"/>
  <c r="Q88" i="8"/>
  <c r="Q96" i="8"/>
  <c r="Q104" i="8"/>
  <c r="Q73" i="8"/>
  <c r="Q97" i="8"/>
  <c r="Q13" i="8"/>
  <c r="Q93" i="8"/>
  <c r="Q9" i="8"/>
  <c r="Q17" i="8"/>
  <c r="Q25" i="8"/>
  <c r="Q33" i="8"/>
  <c r="Q41" i="8"/>
  <c r="Q49" i="8"/>
  <c r="Q57" i="8"/>
  <c r="Q65" i="8"/>
  <c r="Q81" i="8"/>
  <c r="Q45" i="8"/>
  <c r="Q101" i="8"/>
  <c r="Q10" i="8"/>
  <c r="Q18" i="8"/>
  <c r="Q26" i="8"/>
  <c r="Q34" i="8"/>
  <c r="Q42" i="8"/>
  <c r="Q50" i="8"/>
  <c r="Q58" i="8"/>
  <c r="Q66" i="8"/>
  <c r="Q74" i="8"/>
  <c r="Q82" i="8"/>
  <c r="Q90" i="8"/>
  <c r="Q98" i="8"/>
  <c r="Q83" i="8"/>
  <c r="Q99" i="8"/>
  <c r="Q100" i="8"/>
  <c r="Q29" i="8"/>
  <c r="Q85" i="8"/>
  <c r="Q11" i="8"/>
  <c r="Q19" i="8"/>
  <c r="Q27" i="8"/>
  <c r="Q35" i="8"/>
  <c r="Q43" i="8"/>
  <c r="Q51" i="8"/>
  <c r="Q59" i="8"/>
  <c r="Q67" i="8"/>
  <c r="Q75" i="8"/>
  <c r="Q91" i="8"/>
  <c r="Q61" i="8"/>
  <c r="Q12" i="8"/>
  <c r="Q20" i="8"/>
  <c r="Q28" i="8"/>
  <c r="Q36" i="8"/>
  <c r="Q44" i="8"/>
  <c r="Q52" i="8"/>
  <c r="Q60" i="8"/>
  <c r="Q68" i="8"/>
  <c r="Q76" i="8"/>
  <c r="Q84" i="8"/>
  <c r="Q92" i="8"/>
  <c r="Q21" i="8"/>
  <c r="Q69" i="8"/>
  <c r="AI6" i="8"/>
  <c r="Y7" i="8"/>
  <c r="Y15" i="8"/>
  <c r="Y23" i="8"/>
  <c r="Y31" i="8"/>
  <c r="Y39" i="8"/>
  <c r="Y47" i="8"/>
  <c r="Y55" i="8"/>
  <c r="Y63" i="8"/>
  <c r="Y71" i="8"/>
  <c r="Y79" i="8"/>
  <c r="Y87" i="8"/>
  <c r="Y95" i="8"/>
  <c r="Y103" i="8"/>
  <c r="Y30" i="8"/>
  <c r="Y78" i="8"/>
  <c r="Y8" i="8"/>
  <c r="Y16" i="8"/>
  <c r="Y24" i="8"/>
  <c r="Y32" i="8"/>
  <c r="Y40" i="8"/>
  <c r="Y48" i="8"/>
  <c r="Y56" i="8"/>
  <c r="Y64" i="8"/>
  <c r="Y72" i="8"/>
  <c r="Y80" i="8"/>
  <c r="Y88" i="8"/>
  <c r="Y96" i="8"/>
  <c r="Y104" i="8"/>
  <c r="Y6" i="8"/>
  <c r="Y46" i="8"/>
  <c r="Y102" i="8"/>
  <c r="Y9" i="8"/>
  <c r="Y17" i="8"/>
  <c r="Y25" i="8"/>
  <c r="Y33" i="8"/>
  <c r="Y41" i="8"/>
  <c r="Y49" i="8"/>
  <c r="Y57" i="8"/>
  <c r="Y65" i="8"/>
  <c r="Y73" i="8"/>
  <c r="Y81" i="8"/>
  <c r="Y89" i="8"/>
  <c r="Y97" i="8"/>
  <c r="Y5" i="8"/>
  <c r="Y22" i="8"/>
  <c r="Y86" i="8"/>
  <c r="Y10" i="8"/>
  <c r="Y18" i="8"/>
  <c r="Y26" i="8"/>
  <c r="Y34" i="8"/>
  <c r="Y42" i="8"/>
  <c r="Y50" i="8"/>
  <c r="Y58" i="8"/>
  <c r="Y66" i="8"/>
  <c r="Y74" i="8"/>
  <c r="Y82" i="8"/>
  <c r="Y90" i="8"/>
  <c r="Y98" i="8"/>
  <c r="Y54" i="8"/>
  <c r="Y11" i="8"/>
  <c r="Y19" i="8"/>
  <c r="Y27" i="8"/>
  <c r="Y35" i="8"/>
  <c r="Y43" i="8"/>
  <c r="Y51" i="8"/>
  <c r="Y59" i="8"/>
  <c r="Y67" i="8"/>
  <c r="Y75" i="8"/>
  <c r="Y83" i="8"/>
  <c r="Y91" i="8"/>
  <c r="Y99" i="8"/>
  <c r="Y14" i="8"/>
  <c r="Y62" i="8"/>
  <c r="Y12" i="8"/>
  <c r="Y20" i="8"/>
  <c r="Y28" i="8"/>
  <c r="Y36" i="8"/>
  <c r="Y44" i="8"/>
  <c r="Y52" i="8"/>
  <c r="Y60" i="8"/>
  <c r="Y68" i="8"/>
  <c r="Y76" i="8"/>
  <c r="Y84" i="8"/>
  <c r="Y92" i="8"/>
  <c r="Y100" i="8"/>
  <c r="Y70" i="8"/>
  <c r="Y13" i="8"/>
  <c r="Y21" i="8"/>
  <c r="Y29" i="8"/>
  <c r="Y37" i="8"/>
  <c r="Y45" i="8"/>
  <c r="Y53" i="8"/>
  <c r="Y61" i="8"/>
  <c r="Y69" i="8"/>
  <c r="Y77" i="8"/>
  <c r="Y85" i="8"/>
  <c r="Y93" i="8"/>
  <c r="Y101" i="8"/>
  <c r="Y38" i="8"/>
  <c r="Y94" i="8"/>
  <c r="AE5" i="8"/>
  <c r="AD81" i="8"/>
  <c r="AH81" i="8"/>
  <c r="AD33" i="8"/>
  <c r="AH33" i="8"/>
  <c r="AD88" i="8"/>
  <c r="AH88" i="8"/>
  <c r="AD48" i="8"/>
  <c r="AH48" i="8"/>
  <c r="AD8" i="8"/>
  <c r="AD103" i="8"/>
  <c r="AH103" i="8"/>
  <c r="AD95" i="8"/>
  <c r="AH95" i="8"/>
  <c r="AD87" i="8"/>
  <c r="AH87" i="8"/>
  <c r="AD79" i="8"/>
  <c r="AH79" i="8"/>
  <c r="AD71" i="8"/>
  <c r="AH71" i="8"/>
  <c r="AD63" i="8"/>
  <c r="AH63" i="8"/>
  <c r="AD55" i="8"/>
  <c r="AH55" i="8"/>
  <c r="AD47" i="8"/>
  <c r="AH47" i="8"/>
  <c r="AD39" i="8"/>
  <c r="AH39" i="8"/>
  <c r="AD31" i="8"/>
  <c r="AH31" i="8"/>
  <c r="AD23" i="8"/>
  <c r="AH23" i="8"/>
  <c r="AD15" i="8"/>
  <c r="AH15" i="8"/>
  <c r="AD7" i="8"/>
  <c r="AH7" i="8"/>
  <c r="AD65" i="8"/>
  <c r="AH65" i="8"/>
  <c r="AD17" i="8"/>
  <c r="AH17" i="8"/>
  <c r="AD96" i="8"/>
  <c r="AH96" i="8"/>
  <c r="AD56" i="8"/>
  <c r="AH56" i="8"/>
  <c r="AD24" i="8"/>
  <c r="AH24" i="8"/>
  <c r="AD102" i="8"/>
  <c r="AH102" i="8"/>
  <c r="AD94" i="8"/>
  <c r="AH94" i="8"/>
  <c r="AD86" i="8"/>
  <c r="AH86" i="8"/>
  <c r="AD78" i="8"/>
  <c r="AH78" i="8"/>
  <c r="AD70" i="8"/>
  <c r="AH70" i="8"/>
  <c r="AD62" i="8"/>
  <c r="AH62" i="8"/>
  <c r="AD54" i="8"/>
  <c r="AH54" i="8"/>
  <c r="AD46" i="8"/>
  <c r="AH46" i="8"/>
  <c r="AD38" i="8"/>
  <c r="AH38" i="8"/>
  <c r="AD30" i="8"/>
  <c r="AH30" i="8"/>
  <c r="AD22" i="8"/>
  <c r="AH22" i="8"/>
  <c r="AD14" i="8"/>
  <c r="AD6" i="8"/>
  <c r="AD5" i="8"/>
  <c r="AD57" i="8"/>
  <c r="AH57" i="8"/>
  <c r="AD9" i="8"/>
  <c r="AD104" i="8"/>
  <c r="AH104" i="8"/>
  <c r="AD64" i="8"/>
  <c r="AH64" i="8"/>
  <c r="AD32" i="8"/>
  <c r="AH32" i="8"/>
  <c r="AD101" i="8"/>
  <c r="AH101" i="8"/>
  <c r="AD61" i="8"/>
  <c r="AH61" i="8"/>
  <c r="AD21" i="8"/>
  <c r="AH21" i="8"/>
  <c r="AD97" i="8"/>
  <c r="AH97" i="8"/>
  <c r="AD41" i="8"/>
  <c r="AH41" i="8"/>
  <c r="AD72" i="8"/>
  <c r="AH72" i="8"/>
  <c r="AD16" i="8"/>
  <c r="AH16" i="8"/>
  <c r="AD93" i="8"/>
  <c r="AH93" i="8"/>
  <c r="AD69" i="8"/>
  <c r="AH69" i="8"/>
  <c r="AD45" i="8"/>
  <c r="AH45" i="8"/>
  <c r="AD29" i="8"/>
  <c r="AH29" i="8"/>
  <c r="AD100" i="8"/>
  <c r="AH100" i="8"/>
  <c r="AD92" i="8"/>
  <c r="AH92" i="8"/>
  <c r="AD84" i="8"/>
  <c r="AH84" i="8"/>
  <c r="AD76" i="8"/>
  <c r="AH76" i="8"/>
  <c r="AD68" i="8"/>
  <c r="AH68" i="8"/>
  <c r="AD60" i="8"/>
  <c r="AH60" i="8"/>
  <c r="AD52" i="8"/>
  <c r="AH52" i="8"/>
  <c r="AD44" i="8"/>
  <c r="AH44" i="8"/>
  <c r="AD36" i="8"/>
  <c r="AH36" i="8"/>
  <c r="AD28" i="8"/>
  <c r="AD20" i="8"/>
  <c r="AH20" i="8"/>
  <c r="AD12" i="8"/>
  <c r="AD73" i="8"/>
  <c r="AH73" i="8"/>
  <c r="AD25" i="8"/>
  <c r="AH25" i="8"/>
  <c r="AD80" i="8"/>
  <c r="AH80" i="8"/>
  <c r="AD40" i="8"/>
  <c r="AH40" i="8"/>
  <c r="AD85" i="8"/>
  <c r="AH85" i="8"/>
  <c r="AD77" i="8"/>
  <c r="AH77" i="8"/>
  <c r="AD53" i="8"/>
  <c r="AH53" i="8"/>
  <c r="AD37" i="8"/>
  <c r="AH37" i="8"/>
  <c r="AD13" i="8"/>
  <c r="AD99" i="8"/>
  <c r="AH99" i="8"/>
  <c r="AD91" i="8"/>
  <c r="AH91" i="8"/>
  <c r="AD83" i="8"/>
  <c r="AH83" i="8"/>
  <c r="AD75" i="8"/>
  <c r="AH75" i="8"/>
  <c r="AD67" i="8"/>
  <c r="AH67" i="8"/>
  <c r="AD59" i="8"/>
  <c r="AH59" i="8"/>
  <c r="AD51" i="8"/>
  <c r="AH51" i="8"/>
  <c r="AD43" i="8"/>
  <c r="AH43" i="8"/>
  <c r="AD35" i="8"/>
  <c r="AH35" i="8"/>
  <c r="AD27" i="8"/>
  <c r="AH27" i="8"/>
  <c r="AD19" i="8"/>
  <c r="AH19" i="8"/>
  <c r="AD11" i="8"/>
  <c r="AD89" i="8"/>
  <c r="AH89" i="8"/>
  <c r="AD49" i="8"/>
  <c r="AH49" i="8"/>
  <c r="AD98" i="8"/>
  <c r="AH98" i="8"/>
  <c r="AD90" i="8"/>
  <c r="AH90" i="8"/>
  <c r="AD82" i="8"/>
  <c r="AH82" i="8"/>
  <c r="AD74" i="8"/>
  <c r="AH74" i="8"/>
  <c r="AD66" i="8"/>
  <c r="AH66" i="8"/>
  <c r="AD58" i="8"/>
  <c r="AH58" i="8"/>
  <c r="AD50" i="8"/>
  <c r="AH50" i="8"/>
  <c r="AD42" i="8"/>
  <c r="AH42" i="8"/>
  <c r="AD34" i="8"/>
  <c r="AH34" i="8"/>
  <c r="AD26" i="8"/>
  <c r="AH26" i="8"/>
  <c r="AD18" i="8"/>
  <c r="AH18" i="8"/>
  <c r="AD10" i="8"/>
  <c r="Z101" i="8"/>
  <c r="Z93" i="8"/>
  <c r="Z100" i="8"/>
  <c r="Z92" i="8"/>
  <c r="Z84" i="8"/>
  <c r="Z76" i="8"/>
  <c r="Z68" i="8"/>
  <c r="Z60" i="8"/>
  <c r="Z52" i="8"/>
  <c r="Z44" i="8"/>
  <c r="Z36" i="8"/>
  <c r="Z28" i="8"/>
  <c r="Z20" i="8"/>
  <c r="Z12" i="8"/>
  <c r="Z61" i="8"/>
  <c r="Z29" i="8"/>
  <c r="Z99" i="8"/>
  <c r="Z91" i="8"/>
  <c r="Z83" i="8"/>
  <c r="Z75" i="8"/>
  <c r="Z67" i="8"/>
  <c r="Z59" i="8"/>
  <c r="Z51" i="8"/>
  <c r="Z43" i="8"/>
  <c r="Z35" i="8"/>
  <c r="Z27" i="8"/>
  <c r="Z19" i="8"/>
  <c r="Z11" i="8"/>
  <c r="Z77" i="8"/>
  <c r="Z37" i="8"/>
  <c r="Z98" i="8"/>
  <c r="Z90" i="8"/>
  <c r="Z82" i="8"/>
  <c r="Z74" i="8"/>
  <c r="Z66" i="8"/>
  <c r="Z58" i="8"/>
  <c r="Z50" i="8"/>
  <c r="Z42" i="8"/>
  <c r="Z34" i="8"/>
  <c r="Z26" i="8"/>
  <c r="Z18" i="8"/>
  <c r="Z10" i="8"/>
  <c r="Z53" i="8"/>
  <c r="Z5" i="8"/>
  <c r="Z97" i="8"/>
  <c r="Z89" i="8"/>
  <c r="Z81" i="8"/>
  <c r="Z73" i="8"/>
  <c r="Z65" i="8"/>
  <c r="Z57" i="8"/>
  <c r="Z49" i="8"/>
  <c r="Z41" i="8"/>
  <c r="Z33" i="8"/>
  <c r="Z25" i="8"/>
  <c r="Z17" i="8"/>
  <c r="Z9" i="8"/>
  <c r="Z21" i="8"/>
  <c r="Z104" i="8"/>
  <c r="Z96" i="8"/>
  <c r="Z88" i="8"/>
  <c r="Z80" i="8"/>
  <c r="Z72" i="8"/>
  <c r="Z64" i="8"/>
  <c r="Z56" i="8"/>
  <c r="Z48" i="8"/>
  <c r="Z40" i="8"/>
  <c r="Z32" i="8"/>
  <c r="Z24" i="8"/>
  <c r="Z16" i="8"/>
  <c r="Z8" i="8"/>
  <c r="Z69" i="8"/>
  <c r="Z45" i="8"/>
  <c r="Z103" i="8"/>
  <c r="Z95" i="8"/>
  <c r="Z87" i="8"/>
  <c r="Z79" i="8"/>
  <c r="Z71" i="8"/>
  <c r="Z63" i="8"/>
  <c r="Z55" i="8"/>
  <c r="Z47" i="8"/>
  <c r="Z39" i="8"/>
  <c r="Z31" i="8"/>
  <c r="Z23" i="8"/>
  <c r="Z15" i="8"/>
  <c r="Z7" i="8"/>
  <c r="Z85" i="8"/>
  <c r="Z13" i="8"/>
  <c r="Z102" i="8"/>
  <c r="Z94" i="8"/>
  <c r="Z86" i="8"/>
  <c r="Z78" i="8"/>
  <c r="Z70" i="8"/>
  <c r="Z62" i="8"/>
  <c r="Z54" i="8"/>
  <c r="Z46" i="8"/>
  <c r="Z38" i="8"/>
  <c r="Z30" i="8"/>
  <c r="Z22" i="8"/>
  <c r="Z14" i="8"/>
  <c r="Z6" i="8"/>
  <c r="R97" i="8"/>
  <c r="R49" i="8"/>
  <c r="R104" i="8"/>
  <c r="R96" i="8"/>
  <c r="R88" i="8"/>
  <c r="R80" i="8"/>
  <c r="R72" i="8"/>
  <c r="R64" i="8"/>
  <c r="R56" i="8"/>
  <c r="R48" i="8"/>
  <c r="R40" i="8"/>
  <c r="R32" i="8"/>
  <c r="R24" i="8"/>
  <c r="R16" i="8"/>
  <c r="R8" i="8"/>
  <c r="R65" i="8"/>
  <c r="R17" i="8"/>
  <c r="R103" i="8"/>
  <c r="R95" i="8"/>
  <c r="R87" i="8"/>
  <c r="R79" i="8"/>
  <c r="R71" i="8"/>
  <c r="R63" i="8"/>
  <c r="R55" i="8"/>
  <c r="R47" i="8"/>
  <c r="R39" i="8"/>
  <c r="R31" i="8"/>
  <c r="R23" i="8"/>
  <c r="R15" i="8"/>
  <c r="R7" i="8"/>
  <c r="R89" i="8"/>
  <c r="R33" i="8"/>
  <c r="R102" i="8"/>
  <c r="R94" i="8"/>
  <c r="R86" i="8"/>
  <c r="R78" i="8"/>
  <c r="R70" i="8"/>
  <c r="R62" i="8"/>
  <c r="R54" i="8"/>
  <c r="R46" i="8"/>
  <c r="R38" i="8"/>
  <c r="R30" i="8"/>
  <c r="R22" i="8"/>
  <c r="R14" i="8"/>
  <c r="R6" i="8"/>
  <c r="R5" i="8"/>
  <c r="R101" i="8"/>
  <c r="R93" i="8"/>
  <c r="R85" i="8"/>
  <c r="R77" i="8"/>
  <c r="R69" i="8"/>
  <c r="R61" i="8"/>
  <c r="R53" i="8"/>
  <c r="R45" i="8"/>
  <c r="R37" i="8"/>
  <c r="R29" i="8"/>
  <c r="R21" i="8"/>
  <c r="R13" i="8"/>
  <c r="R57" i="8"/>
  <c r="R9" i="8"/>
  <c r="R100" i="8"/>
  <c r="R92" i="8"/>
  <c r="R84" i="8"/>
  <c r="R76" i="8"/>
  <c r="R68" i="8"/>
  <c r="R60" i="8"/>
  <c r="R52" i="8"/>
  <c r="R44" i="8"/>
  <c r="R36" i="8"/>
  <c r="R28" i="8"/>
  <c r="R20" i="8"/>
  <c r="R12" i="8"/>
  <c r="R73" i="8"/>
  <c r="R25" i="8"/>
  <c r="R99" i="8"/>
  <c r="R91" i="8"/>
  <c r="R83" i="8"/>
  <c r="R75" i="8"/>
  <c r="R67" i="8"/>
  <c r="R59" i="8"/>
  <c r="R51" i="8"/>
  <c r="R43" i="8"/>
  <c r="R35" i="8"/>
  <c r="R27" i="8"/>
  <c r="R19" i="8"/>
  <c r="R11" i="8"/>
  <c r="R81" i="8"/>
  <c r="R41" i="8"/>
  <c r="R98" i="8"/>
  <c r="R90" i="8"/>
  <c r="R82" i="8"/>
  <c r="R74" i="8"/>
  <c r="R66" i="8"/>
  <c r="R58" i="8"/>
  <c r="R50" i="8"/>
  <c r="R42" i="8"/>
  <c r="R34" i="8"/>
  <c r="R26" i="8"/>
  <c r="R18" i="8"/>
  <c r="R10" i="8"/>
  <c r="AJ61" i="8"/>
  <c r="AJ69" i="8"/>
  <c r="AF69" i="8"/>
  <c r="AJ97" i="8"/>
  <c r="AJ89" i="8"/>
  <c r="AJ81" i="8"/>
  <c r="AJ73" i="8"/>
  <c r="AJ65" i="8"/>
  <c r="AJ57" i="8"/>
  <c r="AJ49" i="8"/>
  <c r="AJ41" i="8"/>
  <c r="AJ33" i="8"/>
  <c r="AJ25" i="8"/>
  <c r="AJ17" i="8"/>
  <c r="AJ104" i="8"/>
  <c r="AJ96" i="8"/>
  <c r="AJ88" i="8"/>
  <c r="AJ80" i="8"/>
  <c r="AJ72" i="8"/>
  <c r="AJ64" i="8"/>
  <c r="AJ56" i="8"/>
  <c r="AJ48" i="8"/>
  <c r="AJ40" i="8"/>
  <c r="AJ32" i="8"/>
  <c r="AJ24" i="8"/>
  <c r="AJ16" i="8"/>
  <c r="AJ95" i="8"/>
  <c r="AJ71" i="8"/>
  <c r="AJ47" i="8"/>
  <c r="AJ15" i="8"/>
  <c r="AJ103" i="8"/>
  <c r="AJ79" i="8"/>
  <c r="AJ55" i="8"/>
  <c r="AJ31" i="8"/>
  <c r="AJ101" i="8"/>
  <c r="AJ85" i="8"/>
  <c r="AJ77" i="8"/>
  <c r="AJ45" i="8"/>
  <c r="AJ37" i="8"/>
  <c r="AJ29" i="8"/>
  <c r="AJ21" i="8"/>
  <c r="AJ87" i="8"/>
  <c r="AJ63" i="8"/>
  <c r="AJ39" i="8"/>
  <c r="AJ23" i="8"/>
  <c r="AJ7" i="8"/>
  <c r="AJ53" i="8"/>
  <c r="AJ102" i="8"/>
  <c r="AJ94" i="8"/>
  <c r="AJ86" i="8"/>
  <c r="AJ78" i="8"/>
  <c r="AJ70" i="8"/>
  <c r="AJ62" i="8"/>
  <c r="AJ54" i="8"/>
  <c r="AJ46" i="8"/>
  <c r="AJ38" i="8"/>
  <c r="AJ30" i="8"/>
  <c r="AJ22" i="8"/>
  <c r="AJ100" i="8"/>
  <c r="AJ92" i="8"/>
  <c r="AJ84" i="8"/>
  <c r="AJ76" i="8"/>
  <c r="AJ68" i="8"/>
  <c r="AJ60" i="8"/>
  <c r="AJ52" i="8"/>
  <c r="AJ44" i="8"/>
  <c r="AJ36" i="8"/>
  <c r="AJ20" i="8"/>
  <c r="AJ93" i="8"/>
  <c r="AJ99" i="8"/>
  <c r="AJ91" i="8"/>
  <c r="AJ83" i="8"/>
  <c r="AJ75" i="8"/>
  <c r="AJ67" i="8"/>
  <c r="AJ59" i="8"/>
  <c r="AJ51" i="8"/>
  <c r="AJ43" i="8"/>
  <c r="AJ35" i="8"/>
  <c r="AJ27" i="8"/>
  <c r="AJ19" i="8"/>
  <c r="AF101" i="8"/>
  <c r="AF93" i="8"/>
  <c r="AF85" i="8"/>
  <c r="AF77" i="8"/>
  <c r="AF61" i="8"/>
  <c r="AF53" i="8"/>
  <c r="AF45" i="8"/>
  <c r="AF37" i="8"/>
  <c r="AF29" i="8"/>
  <c r="AF21" i="8"/>
  <c r="AJ98" i="8"/>
  <c r="AJ90" i="8"/>
  <c r="AJ82" i="8"/>
  <c r="AJ74" i="8"/>
  <c r="AJ66" i="8"/>
  <c r="AJ58" i="8"/>
  <c r="AJ50" i="8"/>
  <c r="AJ42" i="8"/>
  <c r="AJ34" i="8"/>
  <c r="AJ26" i="8"/>
  <c r="AJ18" i="8"/>
  <c r="AF73" i="8"/>
  <c r="AF17" i="8"/>
  <c r="AF104" i="8"/>
  <c r="AF96" i="8"/>
  <c r="AF88" i="8"/>
  <c r="AF80" i="8"/>
  <c r="AF72" i="8"/>
  <c r="AF64" i="8"/>
  <c r="AF56" i="8"/>
  <c r="AF48" i="8"/>
  <c r="AF40" i="8"/>
  <c r="AF32" i="8"/>
  <c r="AF24" i="8"/>
  <c r="AF16" i="8"/>
  <c r="AF49" i="8"/>
  <c r="AF103" i="8"/>
  <c r="AF95" i="8"/>
  <c r="AF87" i="8"/>
  <c r="AF79" i="8"/>
  <c r="AF71" i="8"/>
  <c r="AF63" i="8"/>
  <c r="AF55" i="8"/>
  <c r="AF47" i="8"/>
  <c r="AF39" i="8"/>
  <c r="AF31" i="8"/>
  <c r="AF23" i="8"/>
  <c r="AF15" i="8"/>
  <c r="AF7" i="8"/>
  <c r="AF89" i="8"/>
  <c r="AF25" i="8"/>
  <c r="AF102" i="8"/>
  <c r="AF94" i="8"/>
  <c r="AF86" i="8"/>
  <c r="AF78" i="8"/>
  <c r="AF70" i="8"/>
  <c r="AF62" i="8"/>
  <c r="AF54" i="8"/>
  <c r="AF46" i="8"/>
  <c r="AF38" i="8"/>
  <c r="AF30" i="8"/>
  <c r="AF22" i="8"/>
  <c r="AF57" i="8"/>
  <c r="AF81" i="8"/>
  <c r="AF41" i="8"/>
  <c r="AF100" i="8"/>
  <c r="AF92" i="8"/>
  <c r="AF84" i="8"/>
  <c r="AF76" i="8"/>
  <c r="AF68" i="8"/>
  <c r="AF60" i="8"/>
  <c r="AF52" i="8"/>
  <c r="AF44" i="8"/>
  <c r="AF36" i="8"/>
  <c r="AF20" i="8"/>
  <c r="AF65" i="8"/>
  <c r="AF99" i="8"/>
  <c r="AF91" i="8"/>
  <c r="AF83" i="8"/>
  <c r="AF75" i="8"/>
  <c r="AF67" i="8"/>
  <c r="AF59" i="8"/>
  <c r="AF51" i="8"/>
  <c r="AF43" i="8"/>
  <c r="AF35" i="8"/>
  <c r="AF27" i="8"/>
  <c r="AF19" i="8"/>
  <c r="AF97" i="8"/>
  <c r="AF33" i="8"/>
  <c r="AF98" i="8"/>
  <c r="AF90" i="8"/>
  <c r="AF82" i="8"/>
  <c r="AF74" i="8"/>
  <c r="AF66" i="8"/>
  <c r="AF58" i="8"/>
  <c r="AF50" i="8"/>
  <c r="AF42" i="8"/>
  <c r="AF34" i="8"/>
  <c r="AF26" i="8"/>
  <c r="AF18" i="8"/>
  <c r="AC5" i="8"/>
  <c r="AX11" i="8" s="1"/>
  <c r="AF13" i="8" l="1"/>
  <c r="AJ13" i="8"/>
  <c r="AF8" i="8"/>
  <c r="AJ8" i="8"/>
  <c r="AF10" i="8"/>
  <c r="AJ10" i="8"/>
  <c r="AF5" i="8"/>
  <c r="AJ5" i="8"/>
  <c r="AF11" i="8"/>
  <c r="AJ11" i="8"/>
  <c r="AF28" i="8"/>
  <c r="AJ28" i="8"/>
  <c r="AF14" i="8"/>
  <c r="AJ14" i="8"/>
  <c r="AF9" i="8"/>
  <c r="AJ9" i="8"/>
  <c r="AF12" i="8"/>
  <c r="AJ12" i="8"/>
  <c r="AX5" i="8"/>
  <c r="C12" i="19" s="1"/>
  <c r="AX14" i="8"/>
  <c r="BG10" i="8"/>
  <c r="BI10" i="8" s="1"/>
  <c r="BG18" i="8"/>
  <c r="BI18" i="8" s="1"/>
  <c r="BG26" i="8"/>
  <c r="BI26" i="8" s="1"/>
  <c r="BG34" i="8"/>
  <c r="BI34" i="8" s="1"/>
  <c r="BG42" i="8"/>
  <c r="BI42" i="8" s="1"/>
  <c r="BG50" i="8"/>
  <c r="BI50" i="8" s="1"/>
  <c r="BG58" i="8"/>
  <c r="BI58" i="8" s="1"/>
  <c r="BG66" i="8"/>
  <c r="BI66" i="8" s="1"/>
  <c r="BG74" i="8"/>
  <c r="BI74" i="8" s="1"/>
  <c r="BG82" i="8"/>
  <c r="BI82" i="8" s="1"/>
  <c r="BG90" i="8"/>
  <c r="BI90" i="8" s="1"/>
  <c r="BG98" i="8"/>
  <c r="BI98" i="8" s="1"/>
  <c r="BG17" i="8"/>
  <c r="BI17" i="8" s="1"/>
  <c r="BG57" i="8"/>
  <c r="BI57" i="8" s="1"/>
  <c r="BG89" i="8"/>
  <c r="BI89" i="8" s="1"/>
  <c r="BG11" i="8"/>
  <c r="BI11" i="8" s="1"/>
  <c r="BG19" i="8"/>
  <c r="BI19" i="8" s="1"/>
  <c r="BG27" i="8"/>
  <c r="BI27" i="8" s="1"/>
  <c r="BG35" i="8"/>
  <c r="BI35" i="8" s="1"/>
  <c r="BG43" i="8"/>
  <c r="BI43" i="8" s="1"/>
  <c r="BG51" i="8"/>
  <c r="BI51" i="8" s="1"/>
  <c r="BG59" i="8"/>
  <c r="BI59" i="8" s="1"/>
  <c r="BG67" i="8"/>
  <c r="BI67" i="8" s="1"/>
  <c r="BG75" i="8"/>
  <c r="BI75" i="8" s="1"/>
  <c r="BG83" i="8"/>
  <c r="BI83" i="8" s="1"/>
  <c r="BG91" i="8"/>
  <c r="BI91" i="8" s="1"/>
  <c r="BG99" i="8"/>
  <c r="BI99" i="8" s="1"/>
  <c r="BG33" i="8"/>
  <c r="BI33" i="8" s="1"/>
  <c r="BG49" i="8"/>
  <c r="BI49" i="8" s="1"/>
  <c r="BG81" i="8"/>
  <c r="BI81" i="8" s="1"/>
  <c r="BG12" i="8"/>
  <c r="BI12" i="8" s="1"/>
  <c r="BG20" i="8"/>
  <c r="BI20" i="8" s="1"/>
  <c r="BG28" i="8"/>
  <c r="BI28" i="8" s="1"/>
  <c r="BG36" i="8"/>
  <c r="BI36" i="8" s="1"/>
  <c r="BG44" i="8"/>
  <c r="BI44" i="8" s="1"/>
  <c r="BG52" i="8"/>
  <c r="BI52" i="8" s="1"/>
  <c r="BG60" i="8"/>
  <c r="BI60" i="8" s="1"/>
  <c r="BG68" i="8"/>
  <c r="BI68" i="8" s="1"/>
  <c r="BG76" i="8"/>
  <c r="BI76" i="8" s="1"/>
  <c r="BG84" i="8"/>
  <c r="BI84" i="8" s="1"/>
  <c r="BG92" i="8"/>
  <c r="BI92" i="8" s="1"/>
  <c r="BG100" i="8"/>
  <c r="BI100" i="8" s="1"/>
  <c r="BG9" i="8"/>
  <c r="BI9" i="8" s="1"/>
  <c r="BG13" i="8"/>
  <c r="BI13" i="8" s="1"/>
  <c r="BG21" i="8"/>
  <c r="BI21" i="8" s="1"/>
  <c r="BG29" i="8"/>
  <c r="BI29" i="8" s="1"/>
  <c r="BG37" i="8"/>
  <c r="BI37" i="8" s="1"/>
  <c r="BG45" i="8"/>
  <c r="BI45" i="8" s="1"/>
  <c r="BG53" i="8"/>
  <c r="BI53" i="8" s="1"/>
  <c r="BG61" i="8"/>
  <c r="BI61" i="8" s="1"/>
  <c r="BG69" i="8"/>
  <c r="BI69" i="8" s="1"/>
  <c r="BG77" i="8"/>
  <c r="BI77" i="8" s="1"/>
  <c r="BG85" i="8"/>
  <c r="BI85" i="8" s="1"/>
  <c r="BG93" i="8"/>
  <c r="BI93" i="8" s="1"/>
  <c r="BG101" i="8"/>
  <c r="BI101" i="8" s="1"/>
  <c r="BG41" i="8"/>
  <c r="BI41" i="8" s="1"/>
  <c r="BG73" i="8"/>
  <c r="BI73" i="8" s="1"/>
  <c r="BG97" i="8"/>
  <c r="BI97" i="8" s="1"/>
  <c r="BG6" i="8"/>
  <c r="BI6" i="8" s="1"/>
  <c r="BG14" i="8"/>
  <c r="BI14" i="8" s="1"/>
  <c r="BG22" i="8"/>
  <c r="BI22" i="8" s="1"/>
  <c r="BG30" i="8"/>
  <c r="BI30" i="8" s="1"/>
  <c r="BG38" i="8"/>
  <c r="BI38" i="8" s="1"/>
  <c r="BG46" i="8"/>
  <c r="BI46" i="8" s="1"/>
  <c r="BG54" i="8"/>
  <c r="BI54" i="8" s="1"/>
  <c r="BG62" i="8"/>
  <c r="BI62" i="8" s="1"/>
  <c r="BG70" i="8"/>
  <c r="BI70" i="8" s="1"/>
  <c r="BG78" i="8"/>
  <c r="BI78" i="8" s="1"/>
  <c r="BG86" i="8"/>
  <c r="BI86" i="8" s="1"/>
  <c r="BG94" i="8"/>
  <c r="BI94" i="8" s="1"/>
  <c r="BG102" i="8"/>
  <c r="BI102" i="8" s="1"/>
  <c r="BG25" i="8"/>
  <c r="BI25" i="8" s="1"/>
  <c r="BG65" i="8"/>
  <c r="BI65" i="8" s="1"/>
  <c r="BG7" i="8"/>
  <c r="BI7" i="8" s="1"/>
  <c r="BG15" i="8"/>
  <c r="BI15" i="8" s="1"/>
  <c r="BG23" i="8"/>
  <c r="BI23" i="8" s="1"/>
  <c r="BG31" i="8"/>
  <c r="BI31" i="8" s="1"/>
  <c r="BG39" i="8"/>
  <c r="BI39" i="8" s="1"/>
  <c r="BG47" i="8"/>
  <c r="BI47" i="8" s="1"/>
  <c r="BG55" i="8"/>
  <c r="BI55" i="8" s="1"/>
  <c r="BG63" i="8"/>
  <c r="BI63" i="8" s="1"/>
  <c r="BG71" i="8"/>
  <c r="BI71" i="8" s="1"/>
  <c r="BG79" i="8"/>
  <c r="BI79" i="8" s="1"/>
  <c r="BG87" i="8"/>
  <c r="BI87" i="8" s="1"/>
  <c r="BG95" i="8"/>
  <c r="BI95" i="8" s="1"/>
  <c r="BG103" i="8"/>
  <c r="BG8" i="8"/>
  <c r="BI8" i="8" s="1"/>
  <c r="BG16" i="8"/>
  <c r="BI16" i="8" s="1"/>
  <c r="BG24" i="8"/>
  <c r="BI24" i="8" s="1"/>
  <c r="BG32" i="8"/>
  <c r="BI32" i="8" s="1"/>
  <c r="BG40" i="8"/>
  <c r="BI40" i="8" s="1"/>
  <c r="BG48" i="8"/>
  <c r="BI48" i="8" s="1"/>
  <c r="BG56" i="8"/>
  <c r="BI56" i="8" s="1"/>
  <c r="BG64" i="8"/>
  <c r="BI64" i="8" s="1"/>
  <c r="BG72" i="8"/>
  <c r="BI72" i="8" s="1"/>
  <c r="BG80" i="8"/>
  <c r="BI80" i="8" s="1"/>
  <c r="BG88" i="8"/>
  <c r="BI88" i="8" s="1"/>
  <c r="BG96" i="8"/>
  <c r="BI96" i="8" s="1"/>
  <c r="BG104" i="8"/>
  <c r="AN8" i="8"/>
  <c r="AM11" i="8"/>
  <c r="AO11" i="8" s="1"/>
  <c r="AM14" i="8"/>
  <c r="AO14" i="8" s="1"/>
  <c r="AN20" i="8"/>
  <c r="AM23" i="8"/>
  <c r="AO23" i="8" s="1"/>
  <c r="AN28" i="8"/>
  <c r="AM31" i="8"/>
  <c r="AO31" i="8" s="1"/>
  <c r="AN36" i="8"/>
  <c r="AM39" i="8"/>
  <c r="AO39" i="8" s="1"/>
  <c r="AN44" i="8"/>
  <c r="AM47" i="8"/>
  <c r="AO47" i="8" s="1"/>
  <c r="AN52" i="8"/>
  <c r="AM55" i="8"/>
  <c r="AO55" i="8" s="1"/>
  <c r="AN60" i="8"/>
  <c r="AM63" i="8"/>
  <c r="AO63" i="8" s="1"/>
  <c r="AN68" i="8"/>
  <c r="AM71" i="8"/>
  <c r="AO71" i="8" s="1"/>
  <c r="AN76" i="8"/>
  <c r="AM79" i="8"/>
  <c r="AO79" i="8" s="1"/>
  <c r="AN84" i="8"/>
  <c r="AM87" i="8"/>
  <c r="AO87" i="8" s="1"/>
  <c r="AN92" i="8"/>
  <c r="AM95" i="8"/>
  <c r="AO95" i="8" s="1"/>
  <c r="AN100" i="8"/>
  <c r="AM103" i="8"/>
  <c r="AO103" i="8" s="1"/>
  <c r="AM5" i="8"/>
  <c r="AO5" i="8" s="1"/>
  <c r="D4" i="19" s="1"/>
  <c r="AN98" i="8"/>
  <c r="AN17" i="8"/>
  <c r="AM28" i="8"/>
  <c r="AO28" i="8" s="1"/>
  <c r="AN65" i="8"/>
  <c r="AM84" i="8"/>
  <c r="AO84" i="8" s="1"/>
  <c r="AM100" i="8"/>
  <c r="AO100" i="8" s="1"/>
  <c r="AM6" i="8"/>
  <c r="AO6" i="8" s="1"/>
  <c r="AN11" i="8"/>
  <c r="AM18" i="8"/>
  <c r="AO18" i="8" s="1"/>
  <c r="AN23" i="8"/>
  <c r="AM26" i="8"/>
  <c r="AO26" i="8" s="1"/>
  <c r="AN31" i="8"/>
  <c r="AM34" i="8"/>
  <c r="AO34" i="8" s="1"/>
  <c r="AN39" i="8"/>
  <c r="AM42" i="8"/>
  <c r="AO42" i="8" s="1"/>
  <c r="AN47" i="8"/>
  <c r="AM50" i="8"/>
  <c r="AO50" i="8" s="1"/>
  <c r="AN55" i="8"/>
  <c r="AM58" i="8"/>
  <c r="AO58" i="8" s="1"/>
  <c r="AN63" i="8"/>
  <c r="AM66" i="8"/>
  <c r="AO66" i="8" s="1"/>
  <c r="AN71" i="8"/>
  <c r="AM74" i="8"/>
  <c r="AO74" i="8" s="1"/>
  <c r="AN79" i="8"/>
  <c r="AM82" i="8"/>
  <c r="AO82" i="8" s="1"/>
  <c r="AN87" i="8"/>
  <c r="AM90" i="8"/>
  <c r="AO90" i="8" s="1"/>
  <c r="AN95" i="8"/>
  <c r="AM98" i="8"/>
  <c r="AO98" i="8" s="1"/>
  <c r="AN103" i="8"/>
  <c r="AM36" i="8"/>
  <c r="AO36" i="8" s="1"/>
  <c r="AM52" i="8"/>
  <c r="AO52" i="8" s="1"/>
  <c r="AN5" i="8"/>
  <c r="C4" i="19" s="1"/>
  <c r="AN6" i="8"/>
  <c r="AM9" i="8"/>
  <c r="AO9" i="8" s="1"/>
  <c r="AM15" i="8"/>
  <c r="AO15" i="8" s="1"/>
  <c r="AN18" i="8"/>
  <c r="AM21" i="8"/>
  <c r="AO21" i="8" s="1"/>
  <c r="AN26" i="8"/>
  <c r="AM29" i="8"/>
  <c r="AO29" i="8" s="1"/>
  <c r="AN34" i="8"/>
  <c r="AM37" i="8"/>
  <c r="AO37" i="8" s="1"/>
  <c r="AN42" i="8"/>
  <c r="AM45" i="8"/>
  <c r="AO45" i="8" s="1"/>
  <c r="AN50" i="8"/>
  <c r="AM53" i="8"/>
  <c r="AO53" i="8" s="1"/>
  <c r="AN58" i="8"/>
  <c r="AM61" i="8"/>
  <c r="AO61" i="8" s="1"/>
  <c r="AN66" i="8"/>
  <c r="AM69" i="8"/>
  <c r="AO69" i="8" s="1"/>
  <c r="AN74" i="8"/>
  <c r="AM77" i="8"/>
  <c r="AO77" i="8" s="1"/>
  <c r="AN82" i="8"/>
  <c r="AM85" i="8"/>
  <c r="AO85" i="8" s="1"/>
  <c r="AN90" i="8"/>
  <c r="AM93" i="8"/>
  <c r="AO93" i="8" s="1"/>
  <c r="AM101" i="8"/>
  <c r="AO101" i="8" s="1"/>
  <c r="AN97" i="8"/>
  <c r="AN9" i="8"/>
  <c r="AM12" i="8"/>
  <c r="AO12" i="8" s="1"/>
  <c r="AN21" i="8"/>
  <c r="AM24" i="8"/>
  <c r="AO24" i="8" s="1"/>
  <c r="AN29" i="8"/>
  <c r="AM32" i="8"/>
  <c r="AO32" i="8" s="1"/>
  <c r="AN37" i="8"/>
  <c r="AM40" i="8"/>
  <c r="AO40" i="8" s="1"/>
  <c r="AN45" i="8"/>
  <c r="AM48" i="8"/>
  <c r="AO48" i="8" s="1"/>
  <c r="AN53" i="8"/>
  <c r="AM56" i="8"/>
  <c r="AO56" i="8" s="1"/>
  <c r="AN61" i="8"/>
  <c r="AM64" i="8"/>
  <c r="AO64" i="8" s="1"/>
  <c r="AN69" i="8"/>
  <c r="AM72" i="8"/>
  <c r="AO72" i="8" s="1"/>
  <c r="AN77" i="8"/>
  <c r="AM80" i="8"/>
  <c r="AO80" i="8" s="1"/>
  <c r="AN85" i="8"/>
  <c r="AM88" i="8"/>
  <c r="AO88" i="8" s="1"/>
  <c r="AN93" i="8"/>
  <c r="AM96" i="8"/>
  <c r="AO96" i="8" s="1"/>
  <c r="AN101" i="8"/>
  <c r="AM104" i="8"/>
  <c r="AO104" i="8" s="1"/>
  <c r="AN57" i="8"/>
  <c r="AM76" i="8"/>
  <c r="AO76" i="8" s="1"/>
  <c r="AM92" i="8"/>
  <c r="AO92" i="8" s="1"/>
  <c r="AM7" i="8"/>
  <c r="AO7" i="8" s="1"/>
  <c r="AN12" i="8"/>
  <c r="AM16" i="8"/>
  <c r="AO16" i="8" s="1"/>
  <c r="AM19" i="8"/>
  <c r="AO19" i="8" s="1"/>
  <c r="AN24" i="8"/>
  <c r="AM27" i="8"/>
  <c r="AO27" i="8" s="1"/>
  <c r="AN32" i="8"/>
  <c r="AM35" i="8"/>
  <c r="AO35" i="8" s="1"/>
  <c r="AN40" i="8"/>
  <c r="AM43" i="8"/>
  <c r="AO43" i="8" s="1"/>
  <c r="AN48" i="8"/>
  <c r="AM51" i="8"/>
  <c r="AO51" i="8" s="1"/>
  <c r="AN56" i="8"/>
  <c r="AM59" i="8"/>
  <c r="AO59" i="8" s="1"/>
  <c r="AN64" i="8"/>
  <c r="AM67" i="8"/>
  <c r="AO67" i="8" s="1"/>
  <c r="AN72" i="8"/>
  <c r="AM75" i="8"/>
  <c r="AO75" i="8" s="1"/>
  <c r="AN80" i="8"/>
  <c r="AM83" i="8"/>
  <c r="AO83" i="8" s="1"/>
  <c r="AN88" i="8"/>
  <c r="AM91" i="8"/>
  <c r="AO91" i="8" s="1"/>
  <c r="AN96" i="8"/>
  <c r="AM99" i="8"/>
  <c r="AO99" i="8" s="1"/>
  <c r="AN104" i="8"/>
  <c r="AN33" i="8"/>
  <c r="AN49" i="8"/>
  <c r="AM68" i="8"/>
  <c r="AO68" i="8" s="1"/>
  <c r="AN81" i="8"/>
  <c r="AN7" i="8"/>
  <c r="AM10" i="8"/>
  <c r="AO10" i="8" s="1"/>
  <c r="AN19" i="8"/>
  <c r="AM22" i="8"/>
  <c r="AO22" i="8" s="1"/>
  <c r="AN27" i="8"/>
  <c r="AM30" i="8"/>
  <c r="AO30" i="8" s="1"/>
  <c r="AN35" i="8"/>
  <c r="AM38" i="8"/>
  <c r="AO38" i="8" s="1"/>
  <c r="AN43" i="8"/>
  <c r="AM46" i="8"/>
  <c r="AO46" i="8" s="1"/>
  <c r="AN51" i="8"/>
  <c r="AM54" i="8"/>
  <c r="AO54" i="8" s="1"/>
  <c r="AN59" i="8"/>
  <c r="AM62" i="8"/>
  <c r="AO62" i="8" s="1"/>
  <c r="AN67" i="8"/>
  <c r="AM70" i="8"/>
  <c r="AO70" i="8" s="1"/>
  <c r="AN75" i="8"/>
  <c r="AM78" i="8"/>
  <c r="AO78" i="8" s="1"/>
  <c r="AN83" i="8"/>
  <c r="AM86" i="8"/>
  <c r="AO86" i="8" s="1"/>
  <c r="AN91" i="8"/>
  <c r="AM94" i="8"/>
  <c r="AO94" i="8" s="1"/>
  <c r="AN99" i="8"/>
  <c r="AM102" i="8"/>
  <c r="AO102" i="8" s="1"/>
  <c r="AM8" i="8"/>
  <c r="AO8" i="8" s="1"/>
  <c r="AN25" i="8"/>
  <c r="AM44" i="8"/>
  <c r="AO44" i="8" s="1"/>
  <c r="AM60" i="8"/>
  <c r="AO60" i="8" s="1"/>
  <c r="AN10" i="8"/>
  <c r="AM13" i="8"/>
  <c r="AO13" i="8" s="1"/>
  <c r="AM17" i="8"/>
  <c r="AO17" i="8" s="1"/>
  <c r="AN22" i="8"/>
  <c r="AM25" i="8"/>
  <c r="AO25" i="8" s="1"/>
  <c r="AN30" i="8"/>
  <c r="AM33" i="8"/>
  <c r="AO33" i="8" s="1"/>
  <c r="AN38" i="8"/>
  <c r="AM41" i="8"/>
  <c r="AO41" i="8" s="1"/>
  <c r="AN46" i="8"/>
  <c r="AM49" i="8"/>
  <c r="AO49" i="8" s="1"/>
  <c r="AN54" i="8"/>
  <c r="AM57" i="8"/>
  <c r="AO57" i="8" s="1"/>
  <c r="AN62" i="8"/>
  <c r="AM65" i="8"/>
  <c r="AO65" i="8" s="1"/>
  <c r="AN70" i="8"/>
  <c r="AM73" i="8"/>
  <c r="AO73" i="8" s="1"/>
  <c r="AN78" i="8"/>
  <c r="AM81" i="8"/>
  <c r="AO81" i="8" s="1"/>
  <c r="AN86" i="8"/>
  <c r="AM89" i="8"/>
  <c r="AO89" i="8" s="1"/>
  <c r="AN94" i="8"/>
  <c r="AM97" i="8"/>
  <c r="AO97" i="8" s="1"/>
  <c r="AN102" i="8"/>
  <c r="AM20" i="8"/>
  <c r="AO20" i="8" s="1"/>
  <c r="AN41" i="8"/>
  <c r="AN73" i="8"/>
  <c r="AN89" i="8"/>
  <c r="AN13" i="8"/>
  <c r="AN16" i="8"/>
  <c r="AN15" i="8"/>
  <c r="AN14" i="8"/>
  <c r="BH17" i="8"/>
  <c r="BH25" i="8"/>
  <c r="BH33" i="8"/>
  <c r="BH41" i="8"/>
  <c r="BH49" i="8"/>
  <c r="BH57" i="8"/>
  <c r="BH65" i="8"/>
  <c r="BH73" i="8"/>
  <c r="BH81" i="8"/>
  <c r="BH86" i="8"/>
  <c r="BH94" i="8"/>
  <c r="BH102" i="8"/>
  <c r="BH7" i="8"/>
  <c r="BH12" i="8"/>
  <c r="BH20" i="8"/>
  <c r="BH28" i="8"/>
  <c r="BH36" i="8"/>
  <c r="BH44" i="8"/>
  <c r="BH52" i="8"/>
  <c r="BH60" i="8"/>
  <c r="BH68" i="8"/>
  <c r="BH76" i="8"/>
  <c r="BH89" i="8"/>
  <c r="BH97" i="8"/>
  <c r="BH10" i="8"/>
  <c r="BH15" i="8"/>
  <c r="BH23" i="8"/>
  <c r="BH31" i="8"/>
  <c r="BH39" i="8"/>
  <c r="BH47" i="8"/>
  <c r="BH55" i="8"/>
  <c r="BH63" i="8"/>
  <c r="BH71" i="8"/>
  <c r="BH79" i="8"/>
  <c r="BH84" i="8"/>
  <c r="BH92" i="8"/>
  <c r="BH100" i="8"/>
  <c r="BH18" i="8"/>
  <c r="BH26" i="8"/>
  <c r="BH34" i="8"/>
  <c r="BH42" i="8"/>
  <c r="BH50" i="8"/>
  <c r="BH58" i="8"/>
  <c r="BH66" i="8"/>
  <c r="BH74" i="8"/>
  <c r="BH82" i="8"/>
  <c r="BH87" i="8"/>
  <c r="BH95" i="8"/>
  <c r="BH5" i="8"/>
  <c r="BH8" i="8"/>
  <c r="BH13" i="8"/>
  <c r="BH21" i="8"/>
  <c r="BH29" i="8"/>
  <c r="BH37" i="8"/>
  <c r="BH45" i="8"/>
  <c r="BH53" i="8"/>
  <c r="BH61" i="8"/>
  <c r="BH69" i="8"/>
  <c r="BH77" i="8"/>
  <c r="BH90" i="8"/>
  <c r="BH98" i="8"/>
  <c r="BG5" i="8"/>
  <c r="BI5" i="8" s="1"/>
  <c r="BH11" i="8"/>
  <c r="BH16" i="8"/>
  <c r="BH24" i="8"/>
  <c r="BH32" i="8"/>
  <c r="BH40" i="8"/>
  <c r="BH48" i="8"/>
  <c r="BH56" i="8"/>
  <c r="BH64" i="8"/>
  <c r="BH72" i="8"/>
  <c r="BH80" i="8"/>
  <c r="BH85" i="8"/>
  <c r="BH93" i="8"/>
  <c r="BH101" i="8"/>
  <c r="BH6" i="8"/>
  <c r="BH19" i="8"/>
  <c r="BH27" i="8"/>
  <c r="BH35" i="8"/>
  <c r="BH43" i="8"/>
  <c r="BH51" i="8"/>
  <c r="BH59" i="8"/>
  <c r="BH67" i="8"/>
  <c r="BH75" i="8"/>
  <c r="BH83" i="8"/>
  <c r="BH88" i="8"/>
  <c r="BH96" i="8"/>
  <c r="BH9" i="8"/>
  <c r="BH14" i="8"/>
  <c r="BH22" i="8"/>
  <c r="BH30" i="8"/>
  <c r="BH38" i="8"/>
  <c r="BH46" i="8"/>
  <c r="BH54" i="8"/>
  <c r="BH62" i="8"/>
  <c r="BH70" i="8"/>
  <c r="BH78" i="8"/>
  <c r="BH91" i="8"/>
  <c r="BH99" i="8"/>
  <c r="AH6" i="8"/>
  <c r="W6" i="8"/>
  <c r="W14" i="8"/>
  <c r="W22" i="8"/>
  <c r="W30" i="8"/>
  <c r="W38" i="8"/>
  <c r="W46" i="8"/>
  <c r="W54" i="8"/>
  <c r="W62" i="8"/>
  <c r="W70" i="8"/>
  <c r="W78" i="8"/>
  <c r="W86" i="8"/>
  <c r="W94" i="8"/>
  <c r="W102" i="8"/>
  <c r="W7" i="8"/>
  <c r="W15" i="8"/>
  <c r="W23" i="8"/>
  <c r="W31" i="8"/>
  <c r="W39" i="8"/>
  <c r="W47" i="8"/>
  <c r="W55" i="8"/>
  <c r="W63" i="8"/>
  <c r="W71" i="8"/>
  <c r="W79" i="8"/>
  <c r="W87" i="8"/>
  <c r="W95" i="8"/>
  <c r="W103" i="8"/>
  <c r="W8" i="8"/>
  <c r="W16" i="8"/>
  <c r="W24" i="8"/>
  <c r="W32" i="8"/>
  <c r="W40" i="8"/>
  <c r="W48" i="8"/>
  <c r="W56" i="8"/>
  <c r="W64" i="8"/>
  <c r="W72" i="8"/>
  <c r="W80" i="8"/>
  <c r="W88" i="8"/>
  <c r="W96" i="8"/>
  <c r="W104" i="8"/>
  <c r="W50" i="8"/>
  <c r="W82" i="8"/>
  <c r="W9" i="8"/>
  <c r="W17" i="8"/>
  <c r="W25" i="8"/>
  <c r="W33" i="8"/>
  <c r="W41" i="8"/>
  <c r="W49" i="8"/>
  <c r="W57" i="8"/>
  <c r="W65" i="8"/>
  <c r="W73" i="8"/>
  <c r="W81" i="8"/>
  <c r="W89" i="8"/>
  <c r="W97" i="8"/>
  <c r="W5" i="8"/>
  <c r="W42" i="8"/>
  <c r="W98" i="8"/>
  <c r="W10" i="8"/>
  <c r="W18" i="8"/>
  <c r="W26" i="8"/>
  <c r="W34" i="8"/>
  <c r="W58" i="8"/>
  <c r="W66" i="8"/>
  <c r="W74" i="8"/>
  <c r="W90" i="8"/>
  <c r="W11" i="8"/>
  <c r="W19" i="8"/>
  <c r="W27" i="8"/>
  <c r="W35" i="8"/>
  <c r="W43" i="8"/>
  <c r="W51" i="8"/>
  <c r="W59" i="8"/>
  <c r="W67" i="8"/>
  <c r="W75" i="8"/>
  <c r="W83" i="8"/>
  <c r="W91" i="8"/>
  <c r="W99" i="8"/>
  <c r="W12" i="8"/>
  <c r="W20" i="8"/>
  <c r="W28" i="8"/>
  <c r="W36" i="8"/>
  <c r="W44" i="8"/>
  <c r="W52" i="8"/>
  <c r="W60" i="8"/>
  <c r="W68" i="8"/>
  <c r="W76" i="8"/>
  <c r="W84" i="8"/>
  <c r="W92" i="8"/>
  <c r="W100" i="8"/>
  <c r="W21" i="8"/>
  <c r="W85" i="8"/>
  <c r="W37" i="8"/>
  <c r="W101" i="8"/>
  <c r="W61" i="8"/>
  <c r="W29" i="8"/>
  <c r="W93" i="8"/>
  <c r="W77" i="8"/>
  <c r="W45" i="8"/>
  <c r="W53" i="8"/>
  <c r="W69" i="8"/>
  <c r="W13" i="8"/>
  <c r="AF6" i="8"/>
  <c r="S11" i="8"/>
  <c r="S19" i="8"/>
  <c r="S27" i="8"/>
  <c r="S35" i="8"/>
  <c r="S43" i="8"/>
  <c r="S51" i="8"/>
  <c r="S59" i="8"/>
  <c r="S67" i="8"/>
  <c r="S75" i="8"/>
  <c r="S83" i="8"/>
  <c r="S91" i="8"/>
  <c r="S99" i="8"/>
  <c r="S10" i="8"/>
  <c r="S74" i="8"/>
  <c r="S12" i="8"/>
  <c r="S20" i="8"/>
  <c r="S28" i="8"/>
  <c r="S36" i="8"/>
  <c r="S44" i="8"/>
  <c r="S52" i="8"/>
  <c r="S60" i="8"/>
  <c r="S68" i="8"/>
  <c r="S76" i="8"/>
  <c r="S84" i="8"/>
  <c r="S92" i="8"/>
  <c r="S100" i="8"/>
  <c r="S26" i="8"/>
  <c r="S98" i="8"/>
  <c r="S13" i="8"/>
  <c r="S21" i="8"/>
  <c r="S29" i="8"/>
  <c r="S37" i="8"/>
  <c r="S45" i="8"/>
  <c r="S53" i="8"/>
  <c r="S61" i="8"/>
  <c r="S69" i="8"/>
  <c r="S77" i="8"/>
  <c r="S85" i="8"/>
  <c r="S93" i="8"/>
  <c r="S101" i="8"/>
  <c r="S34" i="8"/>
  <c r="S6" i="8"/>
  <c r="S14" i="8"/>
  <c r="S22" i="8"/>
  <c r="S30" i="8"/>
  <c r="S38" i="8"/>
  <c r="S46" i="8"/>
  <c r="S54" i="8"/>
  <c r="S62" i="8"/>
  <c r="S70" i="8"/>
  <c r="S78" i="8"/>
  <c r="S86" i="8"/>
  <c r="S94" i="8"/>
  <c r="S102" i="8"/>
  <c r="S42" i="8"/>
  <c r="S90" i="8"/>
  <c r="S7" i="8"/>
  <c r="S15" i="8"/>
  <c r="S23" i="8"/>
  <c r="S31" i="8"/>
  <c r="S39" i="8"/>
  <c r="S47" i="8"/>
  <c r="S55" i="8"/>
  <c r="S63" i="8"/>
  <c r="S71" i="8"/>
  <c r="S79" i="8"/>
  <c r="S87" i="8"/>
  <c r="S95" i="8"/>
  <c r="S103" i="8"/>
  <c r="S58" i="8"/>
  <c r="S82" i="8"/>
  <c r="S8" i="8"/>
  <c r="S16" i="8"/>
  <c r="S24" i="8"/>
  <c r="S32" i="8"/>
  <c r="S40" i="8"/>
  <c r="S48" i="8"/>
  <c r="S56" i="8"/>
  <c r="S64" i="8"/>
  <c r="S72" i="8"/>
  <c r="S80" i="8"/>
  <c r="S88" i="8"/>
  <c r="S96" i="8"/>
  <c r="S104" i="8"/>
  <c r="S50" i="8"/>
  <c r="S9" i="8"/>
  <c r="S17" i="8"/>
  <c r="S25" i="8"/>
  <c r="S33" i="8"/>
  <c r="S41" i="8"/>
  <c r="S49" i="8"/>
  <c r="S57" i="8"/>
  <c r="S65" i="8"/>
  <c r="S73" i="8"/>
  <c r="S81" i="8"/>
  <c r="S89" i="8"/>
  <c r="S97" i="8"/>
  <c r="S5" i="8"/>
  <c r="S18" i="8"/>
  <c r="S66" i="8"/>
  <c r="AJ6" i="8"/>
  <c r="X26" i="8"/>
  <c r="X11" i="8"/>
  <c r="X43" i="8"/>
  <c r="X100" i="8"/>
  <c r="X56" i="8"/>
  <c r="X13" i="8"/>
  <c r="X93" i="8"/>
  <c r="X57" i="8"/>
  <c r="X39" i="8"/>
  <c r="X33" i="8"/>
  <c r="X34" i="8"/>
  <c r="X66" i="8"/>
  <c r="X98" i="8"/>
  <c r="X19" i="8"/>
  <c r="X51" i="8"/>
  <c r="X83" i="8"/>
  <c r="X37" i="8"/>
  <c r="X40" i="8"/>
  <c r="X12" i="8"/>
  <c r="X44" i="8"/>
  <c r="X76" i="8"/>
  <c r="X29" i="8"/>
  <c r="X16" i="8"/>
  <c r="X21" i="8"/>
  <c r="X64" i="8"/>
  <c r="X5" i="8"/>
  <c r="X30" i="8"/>
  <c r="X62" i="8"/>
  <c r="X94" i="8"/>
  <c r="X96" i="8"/>
  <c r="X15" i="8"/>
  <c r="X47" i="8"/>
  <c r="X79" i="8"/>
  <c r="X8" i="8"/>
  <c r="X81" i="8"/>
  <c r="X32" i="8"/>
  <c r="X90" i="8"/>
  <c r="X36" i="8"/>
  <c r="X54" i="8"/>
  <c r="X10" i="8"/>
  <c r="X42" i="8"/>
  <c r="X74" i="8"/>
  <c r="X49" i="8"/>
  <c r="X27" i="8"/>
  <c r="X59" i="8"/>
  <c r="X91" i="8"/>
  <c r="X53" i="8"/>
  <c r="X80" i="8"/>
  <c r="X20" i="8"/>
  <c r="X52" i="8"/>
  <c r="X84" i="8"/>
  <c r="X45" i="8"/>
  <c r="X72" i="8"/>
  <c r="X61" i="8"/>
  <c r="X104" i="8"/>
  <c r="X6" i="8"/>
  <c r="X38" i="8"/>
  <c r="X70" i="8"/>
  <c r="X102" i="8"/>
  <c r="X17" i="8"/>
  <c r="X23" i="8"/>
  <c r="X55" i="8"/>
  <c r="X87" i="8"/>
  <c r="X48" i="8"/>
  <c r="X75" i="8"/>
  <c r="X68" i="8"/>
  <c r="X7" i="8"/>
  <c r="X85" i="8"/>
  <c r="X97" i="8"/>
  <c r="X86" i="8"/>
  <c r="X71" i="8"/>
  <c r="X103" i="8"/>
  <c r="X18" i="8"/>
  <c r="X50" i="8"/>
  <c r="X82" i="8"/>
  <c r="X89" i="8"/>
  <c r="X35" i="8"/>
  <c r="X67" i="8"/>
  <c r="X99" i="8"/>
  <c r="X77" i="8"/>
  <c r="X25" i="8"/>
  <c r="X28" i="8"/>
  <c r="X60" i="8"/>
  <c r="X92" i="8"/>
  <c r="X69" i="8"/>
  <c r="X41" i="8"/>
  <c r="X101" i="8"/>
  <c r="X9" i="8"/>
  <c r="X14" i="8"/>
  <c r="X46" i="8"/>
  <c r="X78" i="8"/>
  <c r="X24" i="8"/>
  <c r="X65" i="8"/>
  <c r="X31" i="8"/>
  <c r="X63" i="8"/>
  <c r="X95" i="8"/>
  <c r="X88" i="8"/>
  <c r="X58" i="8"/>
  <c r="X73" i="8"/>
  <c r="X22" i="8"/>
  <c r="AB22" i="8"/>
  <c r="AB30" i="8"/>
  <c r="AB38" i="8"/>
  <c r="AB46" i="8"/>
  <c r="AB54" i="8"/>
  <c r="AB62" i="8"/>
  <c r="AB70" i="8"/>
  <c r="AB78" i="8"/>
  <c r="AB86" i="8"/>
  <c r="AB94" i="8"/>
  <c r="AB102" i="8"/>
  <c r="AB7" i="8"/>
  <c r="AB15" i="8"/>
  <c r="AB23" i="8"/>
  <c r="AB31" i="8"/>
  <c r="AB39" i="8"/>
  <c r="AB47" i="8"/>
  <c r="AB55" i="8"/>
  <c r="AB63" i="8"/>
  <c r="AB71" i="8"/>
  <c r="AB79" i="8"/>
  <c r="AB87" i="8"/>
  <c r="AB95" i="8"/>
  <c r="AB103" i="8"/>
  <c r="AB16" i="8"/>
  <c r="AB24" i="8"/>
  <c r="AB32" i="8"/>
  <c r="AB40" i="8"/>
  <c r="AB48" i="8"/>
  <c r="AB56" i="8"/>
  <c r="AB64" i="8"/>
  <c r="AB72" i="8"/>
  <c r="AB80" i="8"/>
  <c r="AB88" i="8"/>
  <c r="AB96" i="8"/>
  <c r="AB104" i="8"/>
  <c r="AB17" i="8"/>
  <c r="AB25" i="8"/>
  <c r="AB33" i="8"/>
  <c r="AB41" i="8"/>
  <c r="AB49" i="8"/>
  <c r="AB57" i="8"/>
  <c r="AB65" i="8"/>
  <c r="AB73" i="8"/>
  <c r="AB81" i="8"/>
  <c r="AB89" i="8"/>
  <c r="AB97" i="8"/>
  <c r="AB18" i="8"/>
  <c r="AB26" i="8"/>
  <c r="AB34" i="8"/>
  <c r="AB42" i="8"/>
  <c r="AB50" i="8"/>
  <c r="AB58" i="8"/>
  <c r="AB66" i="8"/>
  <c r="AB74" i="8"/>
  <c r="AB82" i="8"/>
  <c r="AB90" i="8"/>
  <c r="AB98" i="8"/>
  <c r="AB19" i="8"/>
  <c r="AB27" i="8"/>
  <c r="AB35" i="8"/>
  <c r="AB43" i="8"/>
  <c r="AB51" i="8"/>
  <c r="AB59" i="8"/>
  <c r="AB67" i="8"/>
  <c r="AB75" i="8"/>
  <c r="AB83" i="8"/>
  <c r="AB91" i="8"/>
  <c r="AB99" i="8"/>
  <c r="AB20" i="8"/>
  <c r="AB36" i="8"/>
  <c r="AB44" i="8"/>
  <c r="AB52" i="8"/>
  <c r="AB60" i="8"/>
  <c r="AB68" i="8"/>
  <c r="AB76" i="8"/>
  <c r="AB84" i="8"/>
  <c r="AB92" i="8"/>
  <c r="AB100" i="8"/>
  <c r="AB21" i="8"/>
  <c r="AB29" i="8"/>
  <c r="AB37" i="8"/>
  <c r="AB45" i="8"/>
  <c r="AB53" i="8"/>
  <c r="AB61" i="8"/>
  <c r="AB69" i="8"/>
  <c r="AB77" i="8"/>
  <c r="AB85" i="8"/>
  <c r="AB93" i="8"/>
  <c r="AB101" i="8"/>
  <c r="T58" i="8"/>
  <c r="T11" i="8"/>
  <c r="T28" i="8"/>
  <c r="T94" i="8"/>
  <c r="T48" i="8"/>
  <c r="T100" i="8"/>
  <c r="T49" i="8"/>
  <c r="T10" i="8"/>
  <c r="T74" i="8"/>
  <c r="T27" i="8"/>
  <c r="T91" i="8"/>
  <c r="T44" i="8"/>
  <c r="T41" i="8"/>
  <c r="T46" i="8"/>
  <c r="T25" i="8"/>
  <c r="T55" i="8"/>
  <c r="T5" i="8"/>
  <c r="T64" i="8"/>
  <c r="T45" i="8"/>
  <c r="T30" i="8"/>
  <c r="T17" i="8"/>
  <c r="T83" i="8"/>
  <c r="T102" i="8"/>
  <c r="T37" i="8"/>
  <c r="T18" i="8"/>
  <c r="T82" i="8"/>
  <c r="T35" i="8"/>
  <c r="T99" i="8"/>
  <c r="T52" i="8"/>
  <c r="T81" i="8"/>
  <c r="T54" i="8"/>
  <c r="T89" i="8"/>
  <c r="T63" i="8"/>
  <c r="T8" i="8"/>
  <c r="T72" i="8"/>
  <c r="T53" i="8"/>
  <c r="T103" i="8"/>
  <c r="T36" i="8"/>
  <c r="T47" i="8"/>
  <c r="T26" i="8"/>
  <c r="T90" i="8"/>
  <c r="T43" i="8"/>
  <c r="T9" i="8"/>
  <c r="T60" i="8"/>
  <c r="T57" i="8"/>
  <c r="T62" i="8"/>
  <c r="T7" i="8"/>
  <c r="T71" i="8"/>
  <c r="T16" i="8"/>
  <c r="T80" i="8"/>
  <c r="T61" i="8"/>
  <c r="T92" i="8"/>
  <c r="T29" i="8"/>
  <c r="T19" i="8"/>
  <c r="T73" i="8"/>
  <c r="T34" i="8"/>
  <c r="T98" i="8"/>
  <c r="T51" i="8"/>
  <c r="T65" i="8"/>
  <c r="T68" i="8"/>
  <c r="T6" i="8"/>
  <c r="T70" i="8"/>
  <c r="T15" i="8"/>
  <c r="T79" i="8"/>
  <c r="T24" i="8"/>
  <c r="T88" i="8"/>
  <c r="T77" i="8"/>
  <c r="T101" i="8"/>
  <c r="T66" i="8"/>
  <c r="T38" i="8"/>
  <c r="T56" i="8"/>
  <c r="T42" i="8"/>
  <c r="T33" i="8"/>
  <c r="T59" i="8"/>
  <c r="T12" i="8"/>
  <c r="T76" i="8"/>
  <c r="T14" i="8"/>
  <c r="T78" i="8"/>
  <c r="T23" i="8"/>
  <c r="T87" i="8"/>
  <c r="T32" i="8"/>
  <c r="T96" i="8"/>
  <c r="T13" i="8"/>
  <c r="T85" i="8"/>
  <c r="T75" i="8"/>
  <c r="T39" i="8"/>
  <c r="T50" i="8"/>
  <c r="T97" i="8"/>
  <c r="T67" i="8"/>
  <c r="T20" i="8"/>
  <c r="T84" i="8"/>
  <c r="T22" i="8"/>
  <c r="T86" i="8"/>
  <c r="T31" i="8"/>
  <c r="T95" i="8"/>
  <c r="T40" i="8"/>
  <c r="T104" i="8"/>
  <c r="T21" i="8"/>
  <c r="T93" i="8"/>
  <c r="T69" i="8"/>
  <c r="AA63" i="8" l="1"/>
  <c r="AB28" i="8"/>
  <c r="AA90" i="8"/>
  <c r="AB12" i="8"/>
  <c r="AA46" i="8"/>
  <c r="AA93" i="8"/>
  <c r="AA73" i="8"/>
  <c r="AA29" i="8"/>
  <c r="AA9" i="8"/>
  <c r="AA84" i="8"/>
  <c r="AA56" i="8"/>
  <c r="AA20" i="8"/>
  <c r="AA42" i="8"/>
  <c r="AA59" i="8"/>
  <c r="AA65" i="8"/>
  <c r="AA98" i="8"/>
  <c r="AA48" i="8"/>
  <c r="AA26" i="8"/>
  <c r="AA55" i="8"/>
  <c r="AA102" i="8"/>
  <c r="AA38" i="8"/>
  <c r="AA85" i="8"/>
  <c r="AA21" i="8"/>
  <c r="AA76" i="8"/>
  <c r="AA12" i="8"/>
  <c r="AA51" i="8"/>
  <c r="AA57" i="8"/>
  <c r="AA104" i="8"/>
  <c r="AA40" i="8"/>
  <c r="AA18" i="8"/>
  <c r="AA47" i="8"/>
  <c r="AA94" i="8"/>
  <c r="AA30" i="8"/>
  <c r="AA77" i="8"/>
  <c r="AA13" i="8"/>
  <c r="AA68" i="8"/>
  <c r="AA82" i="8"/>
  <c r="AA43" i="8"/>
  <c r="AB10" i="8"/>
  <c r="AB5" i="8"/>
  <c r="AA66" i="8"/>
  <c r="AA49" i="8"/>
  <c r="AA96" i="8"/>
  <c r="AA32" i="8"/>
  <c r="AA103" i="8"/>
  <c r="AA39" i="8"/>
  <c r="AA86" i="8"/>
  <c r="AA22" i="8"/>
  <c r="AA69" i="8"/>
  <c r="AA58" i="8"/>
  <c r="AA60" i="8"/>
  <c r="AA99" i="8"/>
  <c r="AA35" i="8"/>
  <c r="AA5" i="8"/>
  <c r="AA41" i="8"/>
  <c r="AA88" i="8"/>
  <c r="AA24" i="8"/>
  <c r="AA95" i="8"/>
  <c r="AA31" i="8"/>
  <c r="AA78" i="8"/>
  <c r="AA14" i="8"/>
  <c r="AA61" i="8"/>
  <c r="AA34" i="8"/>
  <c r="AA52" i="8"/>
  <c r="AA91" i="8"/>
  <c r="AA27" i="8"/>
  <c r="AB8" i="8"/>
  <c r="AB14" i="8"/>
  <c r="AA97" i="8"/>
  <c r="AA33" i="8"/>
  <c r="AA80" i="8"/>
  <c r="AA16" i="8"/>
  <c r="AA87" i="8"/>
  <c r="AA23" i="8"/>
  <c r="AA70" i="8"/>
  <c r="AA6" i="8"/>
  <c r="AA53" i="8"/>
  <c r="AA10" i="8"/>
  <c r="AA44" i="8"/>
  <c r="AA83" i="8"/>
  <c r="AA19" i="8"/>
  <c r="AB13" i="8"/>
  <c r="AB11" i="8"/>
  <c r="AB6" i="8"/>
  <c r="AA89" i="8"/>
  <c r="AA25" i="8"/>
  <c r="AA72" i="8"/>
  <c r="AA8" i="8"/>
  <c r="AA79" i="8"/>
  <c r="AA15" i="8"/>
  <c r="AA62" i="8"/>
  <c r="AA50" i="8"/>
  <c r="AA45" i="8"/>
  <c r="AA100" i="8"/>
  <c r="AA36" i="8"/>
  <c r="AA75" i="8"/>
  <c r="AA11" i="8"/>
  <c r="AB9" i="8"/>
  <c r="AA81" i="8"/>
  <c r="AA17" i="8"/>
  <c r="AA64" i="8"/>
  <c r="AA74" i="8"/>
  <c r="AA71" i="8"/>
  <c r="AA7" i="8"/>
  <c r="AA54" i="8"/>
  <c r="AA101" i="8"/>
  <c r="AA37" i="8"/>
  <c r="AA92" i="8"/>
  <c r="AA28" i="8"/>
  <c r="AA67" i="8"/>
  <c r="BC6" i="8"/>
  <c r="BB9" i="8"/>
  <c r="BD9" i="8" s="1"/>
  <c r="BC14" i="8"/>
  <c r="BB17" i="8"/>
  <c r="BD17" i="8" s="1"/>
  <c r="BC22" i="8"/>
  <c r="BB25" i="8"/>
  <c r="BD25" i="8" s="1"/>
  <c r="BC30" i="8"/>
  <c r="BB33" i="8"/>
  <c r="BD33" i="8" s="1"/>
  <c r="BC38" i="8"/>
  <c r="BB41" i="8"/>
  <c r="BD41" i="8" s="1"/>
  <c r="BC46" i="8"/>
  <c r="BB49" i="8"/>
  <c r="BD49" i="8" s="1"/>
  <c r="BC54" i="8"/>
  <c r="BB57" i="8"/>
  <c r="BD57" i="8" s="1"/>
  <c r="BC62" i="8"/>
  <c r="BB65" i="8"/>
  <c r="BD65" i="8" s="1"/>
  <c r="BC70" i="8"/>
  <c r="BB73" i="8"/>
  <c r="BD73" i="8" s="1"/>
  <c r="BC78" i="8"/>
  <c r="BB81" i="8"/>
  <c r="BD81" i="8" s="1"/>
  <c r="BC86" i="8"/>
  <c r="BB89" i="8"/>
  <c r="BD89" i="8" s="1"/>
  <c r="BC94" i="8"/>
  <c r="BB97" i="8"/>
  <c r="BD97" i="8" s="1"/>
  <c r="BC102" i="8"/>
  <c r="BC9" i="8"/>
  <c r="BB12" i="8"/>
  <c r="BD12" i="8" s="1"/>
  <c r="BC17" i="8"/>
  <c r="BB20" i="8"/>
  <c r="BD20" i="8" s="1"/>
  <c r="BC25" i="8"/>
  <c r="BB28" i="8"/>
  <c r="BD28" i="8" s="1"/>
  <c r="BC33" i="8"/>
  <c r="BB36" i="8"/>
  <c r="BD36" i="8" s="1"/>
  <c r="BC41" i="8"/>
  <c r="BB44" i="8"/>
  <c r="BD44" i="8" s="1"/>
  <c r="BC49" i="8"/>
  <c r="BB52" i="8"/>
  <c r="BD52" i="8" s="1"/>
  <c r="BC57" i="8"/>
  <c r="BB60" i="8"/>
  <c r="BD60" i="8" s="1"/>
  <c r="BC65" i="8"/>
  <c r="BB68" i="8"/>
  <c r="BD68" i="8" s="1"/>
  <c r="BC73" i="8"/>
  <c r="BB76" i="8"/>
  <c r="BD76" i="8" s="1"/>
  <c r="BC81" i="8"/>
  <c r="BB84" i="8"/>
  <c r="BD84" i="8" s="1"/>
  <c r="BC89" i="8"/>
  <c r="BB92" i="8"/>
  <c r="BD92" i="8" s="1"/>
  <c r="BC97" i="8"/>
  <c r="BB100" i="8"/>
  <c r="BD100" i="8" s="1"/>
  <c r="BC5" i="8"/>
  <c r="BB7" i="8"/>
  <c r="BD7" i="8" s="1"/>
  <c r="BC12" i="8"/>
  <c r="BB15" i="8"/>
  <c r="BD15" i="8" s="1"/>
  <c r="BC20" i="8"/>
  <c r="BB23" i="8"/>
  <c r="BD23" i="8" s="1"/>
  <c r="BC28" i="8"/>
  <c r="BB31" i="8"/>
  <c r="BD31" i="8" s="1"/>
  <c r="BC36" i="8"/>
  <c r="BB39" i="8"/>
  <c r="BD39" i="8" s="1"/>
  <c r="BC44" i="8"/>
  <c r="BB47" i="8"/>
  <c r="BD47" i="8" s="1"/>
  <c r="BC52" i="8"/>
  <c r="BB55" i="8"/>
  <c r="BD55" i="8" s="1"/>
  <c r="BC60" i="8"/>
  <c r="BB63" i="8"/>
  <c r="BD63" i="8" s="1"/>
  <c r="BC68" i="8"/>
  <c r="BB71" i="8"/>
  <c r="BD71" i="8" s="1"/>
  <c r="BC76" i="8"/>
  <c r="BB79" i="8"/>
  <c r="BD79" i="8" s="1"/>
  <c r="BC84" i="8"/>
  <c r="BB87" i="8"/>
  <c r="BD87" i="8" s="1"/>
  <c r="BC92" i="8"/>
  <c r="BB95" i="8"/>
  <c r="BD95" i="8" s="1"/>
  <c r="BC100" i="8"/>
  <c r="BB103" i="8"/>
  <c r="BD103" i="8" s="1"/>
  <c r="BB5" i="8"/>
  <c r="BD5" i="8" s="1"/>
  <c r="BC7" i="8"/>
  <c r="BB10" i="8"/>
  <c r="BD10" i="8" s="1"/>
  <c r="BC15" i="8"/>
  <c r="BB18" i="8"/>
  <c r="BD18" i="8" s="1"/>
  <c r="BC23" i="8"/>
  <c r="BB26" i="8"/>
  <c r="BD26" i="8" s="1"/>
  <c r="BC31" i="8"/>
  <c r="BB34" i="8"/>
  <c r="BD34" i="8" s="1"/>
  <c r="BC39" i="8"/>
  <c r="BB42" i="8"/>
  <c r="BD42" i="8" s="1"/>
  <c r="BC47" i="8"/>
  <c r="BB50" i="8"/>
  <c r="BD50" i="8" s="1"/>
  <c r="BC55" i="8"/>
  <c r="BB58" i="8"/>
  <c r="BD58" i="8" s="1"/>
  <c r="BC63" i="8"/>
  <c r="BB66" i="8"/>
  <c r="BD66" i="8" s="1"/>
  <c r="BC71" i="8"/>
  <c r="BB74" i="8"/>
  <c r="BD74" i="8" s="1"/>
  <c r="BC79" i="8"/>
  <c r="BB82" i="8"/>
  <c r="BD82" i="8" s="1"/>
  <c r="BC87" i="8"/>
  <c r="BB90" i="8"/>
  <c r="BD90" i="8" s="1"/>
  <c r="BC95" i="8"/>
  <c r="BB98" i="8"/>
  <c r="BD98" i="8" s="1"/>
  <c r="BC103" i="8"/>
  <c r="BC10" i="8"/>
  <c r="BB13" i="8"/>
  <c r="BD13" i="8" s="1"/>
  <c r="BC18" i="8"/>
  <c r="BB21" i="8"/>
  <c r="BD21" i="8" s="1"/>
  <c r="BC26" i="8"/>
  <c r="BB29" i="8"/>
  <c r="BD29" i="8" s="1"/>
  <c r="BC34" i="8"/>
  <c r="BB37" i="8"/>
  <c r="BD37" i="8" s="1"/>
  <c r="BC42" i="8"/>
  <c r="BB45" i="8"/>
  <c r="BD45" i="8" s="1"/>
  <c r="BC50" i="8"/>
  <c r="BB53" i="8"/>
  <c r="BD53" i="8" s="1"/>
  <c r="BC58" i="8"/>
  <c r="BB61" i="8"/>
  <c r="BD61" i="8" s="1"/>
  <c r="BC66" i="8"/>
  <c r="BB69" i="8"/>
  <c r="BD69" i="8" s="1"/>
  <c r="BC74" i="8"/>
  <c r="BB77" i="8"/>
  <c r="BD77" i="8" s="1"/>
  <c r="BC82" i="8"/>
  <c r="BB85" i="8"/>
  <c r="BD85" i="8" s="1"/>
  <c r="BC90" i="8"/>
  <c r="BB93" i="8"/>
  <c r="BD93" i="8" s="1"/>
  <c r="BC98" i="8"/>
  <c r="BB101" i="8"/>
  <c r="BD101" i="8" s="1"/>
  <c r="BB8" i="8"/>
  <c r="BD8" i="8" s="1"/>
  <c r="BC13" i="8"/>
  <c r="BB16" i="8"/>
  <c r="BD16" i="8" s="1"/>
  <c r="BC21" i="8"/>
  <c r="BB24" i="8"/>
  <c r="BD24" i="8" s="1"/>
  <c r="BC29" i="8"/>
  <c r="BB32" i="8"/>
  <c r="BD32" i="8" s="1"/>
  <c r="BC37" i="8"/>
  <c r="BB40" i="8"/>
  <c r="BD40" i="8" s="1"/>
  <c r="BC45" i="8"/>
  <c r="BB48" i="8"/>
  <c r="BD48" i="8" s="1"/>
  <c r="BC53" i="8"/>
  <c r="BB56" i="8"/>
  <c r="BD56" i="8" s="1"/>
  <c r="BC61" i="8"/>
  <c r="BB64" i="8"/>
  <c r="BD64" i="8" s="1"/>
  <c r="BC69" i="8"/>
  <c r="BB72" i="8"/>
  <c r="BD72" i="8" s="1"/>
  <c r="BC77" i="8"/>
  <c r="BB80" i="8"/>
  <c r="BD80" i="8" s="1"/>
  <c r="BC85" i="8"/>
  <c r="BB88" i="8"/>
  <c r="BD88" i="8" s="1"/>
  <c r="BC93" i="8"/>
  <c r="BB96" i="8"/>
  <c r="BD96" i="8" s="1"/>
  <c r="BC101" i="8"/>
  <c r="BB104" i="8"/>
  <c r="BD104" i="8" s="1"/>
  <c r="BC8" i="8"/>
  <c r="BB11" i="8"/>
  <c r="BD11" i="8" s="1"/>
  <c r="BC16" i="8"/>
  <c r="BB19" i="8"/>
  <c r="BD19" i="8" s="1"/>
  <c r="BC24" i="8"/>
  <c r="BB27" i="8"/>
  <c r="BD27" i="8" s="1"/>
  <c r="BC32" i="8"/>
  <c r="BB35" i="8"/>
  <c r="BD35" i="8" s="1"/>
  <c r="BC40" i="8"/>
  <c r="BB43" i="8"/>
  <c r="BD43" i="8" s="1"/>
  <c r="BC48" i="8"/>
  <c r="BB51" i="8"/>
  <c r="BD51" i="8" s="1"/>
  <c r="BC56" i="8"/>
  <c r="BB59" i="8"/>
  <c r="BD59" i="8" s="1"/>
  <c r="BC64" i="8"/>
  <c r="BB67" i="8"/>
  <c r="BD67" i="8" s="1"/>
  <c r="BC72" i="8"/>
  <c r="BB75" i="8"/>
  <c r="BD75" i="8" s="1"/>
  <c r="BC80" i="8"/>
  <c r="BB83" i="8"/>
  <c r="BD83" i="8" s="1"/>
  <c r="BC88" i="8"/>
  <c r="BB91" i="8"/>
  <c r="BD91" i="8" s="1"/>
  <c r="BC96" i="8"/>
  <c r="BB99" i="8"/>
  <c r="BD99" i="8" s="1"/>
  <c r="BC104" i="8"/>
  <c r="BB6" i="8"/>
  <c r="BD6" i="8" s="1"/>
  <c r="BC11" i="8"/>
  <c r="BB14" i="8"/>
  <c r="BD14" i="8" s="1"/>
  <c r="BC19" i="8"/>
  <c r="BB22" i="8"/>
  <c r="BD22" i="8" s="1"/>
  <c r="BC27" i="8"/>
  <c r="BB30" i="8"/>
  <c r="BD30" i="8" s="1"/>
  <c r="BC35" i="8"/>
  <c r="BB38" i="8"/>
  <c r="BD38" i="8" s="1"/>
  <c r="BC43" i="8"/>
  <c r="BB46" i="8"/>
  <c r="BD46" i="8" s="1"/>
  <c r="BC51" i="8"/>
  <c r="BB54" i="8"/>
  <c r="BD54" i="8" s="1"/>
  <c r="BC59" i="8"/>
  <c r="BB62" i="8"/>
  <c r="BD62" i="8" s="1"/>
  <c r="BC67" i="8"/>
  <c r="BB70" i="8"/>
  <c r="BD70" i="8" s="1"/>
  <c r="BC75" i="8"/>
  <c r="BB78" i="8"/>
  <c r="BD78" i="8" s="1"/>
  <c r="BC83" i="8"/>
  <c r="BB86" i="8"/>
  <c r="BD86" i="8" s="1"/>
  <c r="BC91" i="8"/>
  <c r="BB94" i="8"/>
  <c r="BD94" i="8" s="1"/>
  <c r="BC99" i="8"/>
  <c r="BB102" i="8"/>
  <c r="BD102" i="8" s="1"/>
  <c r="AS8" i="8"/>
  <c r="AS12" i="8"/>
  <c r="AS16" i="8"/>
  <c r="AS20" i="8"/>
  <c r="AS24" i="8"/>
  <c r="AS28" i="8"/>
  <c r="AS32" i="8"/>
  <c r="AS36" i="8"/>
  <c r="AS40" i="8"/>
  <c r="AS44" i="8"/>
  <c r="AS48" i="8"/>
  <c r="AS52" i="8"/>
  <c r="AS56" i="8"/>
  <c r="AS60" i="8"/>
  <c r="AS64" i="8"/>
  <c r="AS68" i="8"/>
  <c r="AS72" i="8"/>
  <c r="AS76" i="8"/>
  <c r="AS80" i="8"/>
  <c r="AS84" i="8"/>
  <c r="AS88" i="8"/>
  <c r="AS92" i="8"/>
  <c r="AS96" i="8"/>
  <c r="AS100" i="8"/>
  <c r="AS104" i="8"/>
  <c r="AS41" i="8"/>
  <c r="AS65" i="8"/>
  <c r="AS85" i="8"/>
  <c r="AR9" i="8"/>
  <c r="AR13" i="8"/>
  <c r="AR17" i="8"/>
  <c r="AR21" i="8"/>
  <c r="AR25" i="8"/>
  <c r="AR29" i="8"/>
  <c r="AR33" i="8"/>
  <c r="AR37" i="8"/>
  <c r="AR41" i="8"/>
  <c r="AR45" i="8"/>
  <c r="AR49" i="8"/>
  <c r="AR53" i="8"/>
  <c r="AR57" i="8"/>
  <c r="AR61" i="8"/>
  <c r="AR65" i="8"/>
  <c r="AR69" i="8"/>
  <c r="AR73" i="8"/>
  <c r="AR77" i="8"/>
  <c r="AR81" i="8"/>
  <c r="AR85" i="8"/>
  <c r="AR89" i="8"/>
  <c r="AR93" i="8"/>
  <c r="AR97" i="8"/>
  <c r="AR101" i="8"/>
  <c r="AS17" i="8"/>
  <c r="AS45" i="8"/>
  <c r="AS77" i="8"/>
  <c r="AS101" i="8"/>
  <c r="AR6" i="8"/>
  <c r="AR10" i="8"/>
  <c r="AR14" i="8"/>
  <c r="AR18" i="8"/>
  <c r="AR22" i="8"/>
  <c r="AR26" i="8"/>
  <c r="AR30" i="8"/>
  <c r="AR34" i="8"/>
  <c r="AR38" i="8"/>
  <c r="AR42" i="8"/>
  <c r="AR46" i="8"/>
  <c r="AR50" i="8"/>
  <c r="AR54" i="8"/>
  <c r="AR58" i="8"/>
  <c r="AR62" i="8"/>
  <c r="AR66" i="8"/>
  <c r="AR70" i="8"/>
  <c r="AR74" i="8"/>
  <c r="AR78" i="8"/>
  <c r="AR82" i="8"/>
  <c r="AR86" i="8"/>
  <c r="AR90" i="8"/>
  <c r="AR94" i="8"/>
  <c r="AR98" i="8"/>
  <c r="AR102" i="8"/>
  <c r="AS5" i="8"/>
  <c r="AS13" i="8"/>
  <c r="AS33" i="8"/>
  <c r="AS53" i="8"/>
  <c r="AS69" i="8"/>
  <c r="AS97" i="8"/>
  <c r="AS6" i="8"/>
  <c r="AS10" i="8"/>
  <c r="AS14" i="8"/>
  <c r="AS18" i="8"/>
  <c r="AS22" i="8"/>
  <c r="AS26" i="8"/>
  <c r="AS30" i="8"/>
  <c r="AS34" i="8"/>
  <c r="AS38" i="8"/>
  <c r="AS42" i="8"/>
  <c r="AS46" i="8"/>
  <c r="AS50" i="8"/>
  <c r="AS54" i="8"/>
  <c r="AS58" i="8"/>
  <c r="AS62" i="8"/>
  <c r="AS66" i="8"/>
  <c r="AS70" i="8"/>
  <c r="AS74" i="8"/>
  <c r="AS78" i="8"/>
  <c r="AS82" i="8"/>
  <c r="AS86" i="8"/>
  <c r="AS90" i="8"/>
  <c r="AS94" i="8"/>
  <c r="AS98" i="8"/>
  <c r="AS102" i="8"/>
  <c r="AR5" i="8"/>
  <c r="AS25" i="8"/>
  <c r="AS61" i="8"/>
  <c r="AS89" i="8"/>
  <c r="AR7" i="8"/>
  <c r="AR11" i="8"/>
  <c r="AR15" i="8"/>
  <c r="AR19" i="8"/>
  <c r="AR23" i="8"/>
  <c r="AR27" i="8"/>
  <c r="AR31" i="8"/>
  <c r="AR35" i="8"/>
  <c r="AR39" i="8"/>
  <c r="AR43" i="8"/>
  <c r="AR47" i="8"/>
  <c r="AR51" i="8"/>
  <c r="AR55" i="8"/>
  <c r="AR59" i="8"/>
  <c r="AR63" i="8"/>
  <c r="AR67" i="8"/>
  <c r="AR71" i="8"/>
  <c r="AR75" i="8"/>
  <c r="AR79" i="8"/>
  <c r="AR83" i="8"/>
  <c r="AR87" i="8"/>
  <c r="AR91" i="8"/>
  <c r="AR95" i="8"/>
  <c r="AR99" i="8"/>
  <c r="AR103" i="8"/>
  <c r="AS21" i="8"/>
  <c r="AS49" i="8"/>
  <c r="AS81" i="8"/>
  <c r="AS7" i="8"/>
  <c r="AS11" i="8"/>
  <c r="AS15" i="8"/>
  <c r="AS19" i="8"/>
  <c r="AS23" i="8"/>
  <c r="AS27" i="8"/>
  <c r="AS31" i="8"/>
  <c r="AS35" i="8"/>
  <c r="AS39" i="8"/>
  <c r="AS43" i="8"/>
  <c r="AS47" i="8"/>
  <c r="AS51" i="8"/>
  <c r="AS55" i="8"/>
  <c r="AS59" i="8"/>
  <c r="AS63" i="8"/>
  <c r="AS67" i="8"/>
  <c r="AS71" i="8"/>
  <c r="AS75" i="8"/>
  <c r="AS79" i="8"/>
  <c r="AS83" i="8"/>
  <c r="AS87" i="8"/>
  <c r="AS91" i="8"/>
  <c r="AS95" i="8"/>
  <c r="AS99" i="8"/>
  <c r="AS103" i="8"/>
  <c r="AS29" i="8"/>
  <c r="AR8" i="8"/>
  <c r="AR12" i="8"/>
  <c r="AR16" i="8"/>
  <c r="AR20" i="8"/>
  <c r="AR24" i="8"/>
  <c r="AR28" i="8"/>
  <c r="AR32" i="8"/>
  <c r="AR36" i="8"/>
  <c r="AR40" i="8"/>
  <c r="AR44" i="8"/>
  <c r="AR48" i="8"/>
  <c r="AR52" i="8"/>
  <c r="AR56" i="8"/>
  <c r="AR60" i="8"/>
  <c r="AR64" i="8"/>
  <c r="AR68" i="8"/>
  <c r="AR72" i="8"/>
  <c r="AR76" i="8"/>
  <c r="AR80" i="8"/>
  <c r="AR84" i="8"/>
  <c r="AR88" i="8"/>
  <c r="AR92" i="8"/>
  <c r="AR96" i="8"/>
  <c r="AR100" i="8"/>
  <c r="AR104" i="8"/>
  <c r="AS9" i="8"/>
  <c r="AS37" i="8"/>
  <c r="AS57" i="8"/>
  <c r="AS73" i="8"/>
  <c r="AS93" i="8"/>
  <c r="BM11" i="8" l="1"/>
  <c r="BL7" i="8"/>
  <c r="BN7" i="8" s="1"/>
  <c r="BL44" i="8"/>
  <c r="BN44" i="8" s="1"/>
  <c r="BM65" i="8"/>
  <c r="BM102" i="8"/>
  <c r="BL81" i="8"/>
  <c r="BN81" i="8" s="1"/>
  <c r="BL72" i="8"/>
  <c r="BN72" i="8" s="1"/>
  <c r="BL98" i="8"/>
  <c r="BN98" i="8" s="1"/>
  <c r="BM28" i="8"/>
  <c r="BM93" i="8"/>
  <c r="BM29" i="8"/>
  <c r="BM55" i="8"/>
  <c r="BM48" i="8"/>
  <c r="BL8" i="8"/>
  <c r="BN8" i="8" s="1"/>
  <c r="BL34" i="8"/>
  <c r="BN34" i="8" s="1"/>
  <c r="BL17" i="8"/>
  <c r="BN17" i="8" s="1"/>
  <c r="BM8" i="8"/>
  <c r="BL21" i="8"/>
  <c r="BN21" i="8" s="1"/>
  <c r="BL85" i="8"/>
  <c r="BN85" i="8" s="1"/>
  <c r="BM92" i="8"/>
  <c r="BM42" i="8"/>
  <c r="BL71" i="8"/>
  <c r="BN71" i="8" s="1"/>
  <c r="BM69" i="8"/>
  <c r="BL48" i="8"/>
  <c r="BN48" i="8" s="1"/>
  <c r="BM82" i="8"/>
  <c r="BL61" i="8"/>
  <c r="BN61" i="8" s="1"/>
  <c r="BM18" i="8"/>
  <c r="BM95" i="8"/>
  <c r="BL74" i="8"/>
  <c r="BN74" i="8" s="1"/>
  <c r="BM31" i="8"/>
  <c r="BL10" i="8"/>
  <c r="BN10" i="8" s="1"/>
  <c r="BM68" i="8"/>
  <c r="BL47" i="8"/>
  <c r="BN47" i="8" s="1"/>
  <c r="BM5" i="8"/>
  <c r="BL84" i="8"/>
  <c r="BN84" i="8" s="1"/>
  <c r="BM41" i="8"/>
  <c r="BL20" i="8"/>
  <c r="BN20" i="8" s="1"/>
  <c r="BM78" i="8"/>
  <c r="BL57" i="8"/>
  <c r="BN57" i="8" s="1"/>
  <c r="BM14" i="8"/>
  <c r="BL94" i="8"/>
  <c r="BN94" i="8" s="1"/>
  <c r="BM51" i="8"/>
  <c r="BL30" i="8"/>
  <c r="BN30" i="8" s="1"/>
  <c r="BM88" i="8"/>
  <c r="BL67" i="8"/>
  <c r="BN67" i="8" s="1"/>
  <c r="BM24" i="8"/>
  <c r="BM38" i="8"/>
  <c r="BL88" i="8"/>
  <c r="BN88" i="8" s="1"/>
  <c r="BM45" i="8"/>
  <c r="BL24" i="8"/>
  <c r="BN24" i="8" s="1"/>
  <c r="BL101" i="8"/>
  <c r="BN101" i="8" s="1"/>
  <c r="BM58" i="8"/>
  <c r="BL37" i="8"/>
  <c r="BN37" i="8" s="1"/>
  <c r="BM71" i="8"/>
  <c r="BL50" i="8"/>
  <c r="BN50" i="8" s="1"/>
  <c r="BM7" i="8"/>
  <c r="BL87" i="8"/>
  <c r="BN87" i="8" s="1"/>
  <c r="BM44" i="8"/>
  <c r="BL23" i="8"/>
  <c r="BN23" i="8" s="1"/>
  <c r="BM81" i="8"/>
  <c r="BL60" i="8"/>
  <c r="BN60" i="8" s="1"/>
  <c r="BM17" i="8"/>
  <c r="BL97" i="8"/>
  <c r="BN97" i="8" s="1"/>
  <c r="BM54" i="8"/>
  <c r="BL33" i="8"/>
  <c r="BN33" i="8" s="1"/>
  <c r="BM91" i="8"/>
  <c r="BL70" i="8"/>
  <c r="BN70" i="8" s="1"/>
  <c r="BM27" i="8"/>
  <c r="BL6" i="8"/>
  <c r="BN6" i="8" s="1"/>
  <c r="BM64" i="8"/>
  <c r="BL43" i="8"/>
  <c r="BN43" i="8" s="1"/>
  <c r="BL54" i="8"/>
  <c r="BN54" i="8" s="1"/>
  <c r="BL91" i="8"/>
  <c r="BN91" i="8" s="1"/>
  <c r="BL27" i="8"/>
  <c r="BN27" i="8" s="1"/>
  <c r="BM85" i="8"/>
  <c r="BL64" i="8"/>
  <c r="BN64" i="8" s="1"/>
  <c r="BM21" i="8"/>
  <c r="BM98" i="8"/>
  <c r="BL77" i="8"/>
  <c r="BN77" i="8" s="1"/>
  <c r="BM34" i="8"/>
  <c r="BL13" i="8"/>
  <c r="BN13" i="8" s="1"/>
  <c r="BL90" i="8"/>
  <c r="BN90" i="8" s="1"/>
  <c r="BM47" i="8"/>
  <c r="BL26" i="8"/>
  <c r="BN26" i="8" s="1"/>
  <c r="BL5" i="8"/>
  <c r="BN5" i="8" s="1"/>
  <c r="BM84" i="8"/>
  <c r="BL63" i="8"/>
  <c r="BN63" i="8" s="1"/>
  <c r="BM20" i="8"/>
  <c r="BL100" i="8"/>
  <c r="BN100" i="8" s="1"/>
  <c r="BM57" i="8"/>
  <c r="BL36" i="8"/>
  <c r="BN36" i="8" s="1"/>
  <c r="BM94" i="8"/>
  <c r="BL73" i="8"/>
  <c r="BN73" i="8" s="1"/>
  <c r="BM30" i="8"/>
  <c r="BL9" i="8"/>
  <c r="BN9" i="8" s="1"/>
  <c r="BM67" i="8"/>
  <c r="BL46" i="8"/>
  <c r="BN46" i="8" s="1"/>
  <c r="BM104" i="8"/>
  <c r="BL83" i="8"/>
  <c r="BN83" i="8" s="1"/>
  <c r="BM40" i="8"/>
  <c r="BL19" i="8"/>
  <c r="BN19" i="8" s="1"/>
  <c r="BM75" i="8"/>
  <c r="BL104" i="8"/>
  <c r="BN104" i="8" s="1"/>
  <c r="BM61" i="8"/>
  <c r="BL40" i="8"/>
  <c r="BN40" i="8" s="1"/>
  <c r="BM74" i="8"/>
  <c r="BL53" i="8"/>
  <c r="BN53" i="8" s="1"/>
  <c r="BM10" i="8"/>
  <c r="BM87" i="8"/>
  <c r="BL66" i="8"/>
  <c r="BN66" i="8" s="1"/>
  <c r="BM23" i="8"/>
  <c r="BL103" i="8"/>
  <c r="BN103" i="8" s="1"/>
  <c r="BM60" i="8"/>
  <c r="BL39" i="8"/>
  <c r="BN39" i="8" s="1"/>
  <c r="BM97" i="8"/>
  <c r="BL76" i="8"/>
  <c r="BN76" i="8" s="1"/>
  <c r="BM33" i="8"/>
  <c r="BL12" i="8"/>
  <c r="BN12" i="8" s="1"/>
  <c r="BM70" i="8"/>
  <c r="BL49" i="8"/>
  <c r="BN49" i="8" s="1"/>
  <c r="BM6" i="8"/>
  <c r="BL86" i="8"/>
  <c r="BN86" i="8" s="1"/>
  <c r="BM43" i="8"/>
  <c r="BL22" i="8"/>
  <c r="BN22" i="8" s="1"/>
  <c r="BM80" i="8"/>
  <c r="BL59" i="8"/>
  <c r="BN59" i="8" s="1"/>
  <c r="BM16" i="8"/>
  <c r="BM101" i="8"/>
  <c r="BL80" i="8"/>
  <c r="BN80" i="8" s="1"/>
  <c r="BM37" i="8"/>
  <c r="BL16" i="8"/>
  <c r="BN16" i="8" s="1"/>
  <c r="BL93" i="8"/>
  <c r="BN93" i="8" s="1"/>
  <c r="BM50" i="8"/>
  <c r="BL29" i="8"/>
  <c r="BN29" i="8" s="1"/>
  <c r="BM63" i="8"/>
  <c r="BL42" i="8"/>
  <c r="BN42" i="8" s="1"/>
  <c r="BM100" i="8"/>
  <c r="BL79" i="8"/>
  <c r="BN79" i="8" s="1"/>
  <c r="BM36" i="8"/>
  <c r="BL15" i="8"/>
  <c r="BN15" i="8" s="1"/>
  <c r="BM73" i="8"/>
  <c r="BL52" i="8"/>
  <c r="BN52" i="8" s="1"/>
  <c r="BM9" i="8"/>
  <c r="BL89" i="8"/>
  <c r="BN89" i="8" s="1"/>
  <c r="BM46" i="8"/>
  <c r="BL25" i="8"/>
  <c r="BN25" i="8" s="1"/>
  <c r="BM83" i="8"/>
  <c r="BL62" i="8"/>
  <c r="BN62" i="8" s="1"/>
  <c r="BM19" i="8"/>
  <c r="BL99" i="8"/>
  <c r="BN99" i="8" s="1"/>
  <c r="BM56" i="8"/>
  <c r="BL35" i="8"/>
  <c r="BN35" i="8" s="1"/>
  <c r="BM77" i="8"/>
  <c r="BL56" i="8"/>
  <c r="BN56" i="8" s="1"/>
  <c r="BM13" i="8"/>
  <c r="BM90" i="8"/>
  <c r="BL69" i="8"/>
  <c r="BN69" i="8" s="1"/>
  <c r="BM26" i="8"/>
  <c r="BM103" i="8"/>
  <c r="BL82" i="8"/>
  <c r="BN82" i="8" s="1"/>
  <c r="BM39" i="8"/>
  <c r="BL18" i="8"/>
  <c r="BN18" i="8" s="1"/>
  <c r="BM76" i="8"/>
  <c r="BL55" i="8"/>
  <c r="BN55" i="8" s="1"/>
  <c r="BM12" i="8"/>
  <c r="BL92" i="8"/>
  <c r="BN92" i="8" s="1"/>
  <c r="BM49" i="8"/>
  <c r="BL28" i="8"/>
  <c r="BN28" i="8" s="1"/>
  <c r="BM86" i="8"/>
  <c r="BL65" i="8"/>
  <c r="BN65" i="8" s="1"/>
  <c r="BM22" i="8"/>
  <c r="BL102" i="8"/>
  <c r="BN102" i="8" s="1"/>
  <c r="BM59" i="8"/>
  <c r="BL38" i="8"/>
  <c r="BN38" i="8" s="1"/>
  <c r="BM96" i="8"/>
  <c r="BL75" i="8"/>
  <c r="BN75" i="8" s="1"/>
  <c r="BM32" i="8"/>
  <c r="BL11" i="8"/>
  <c r="BN11" i="8" s="1"/>
  <c r="BL96" i="8"/>
  <c r="BN96" i="8" s="1"/>
  <c r="BM53" i="8"/>
  <c r="BL32" i="8"/>
  <c r="BN32" i="8" s="1"/>
  <c r="BM66" i="8"/>
  <c r="BL45" i="8"/>
  <c r="BN45" i="8" s="1"/>
  <c r="BM79" i="8"/>
  <c r="BL58" i="8"/>
  <c r="BN58" i="8" s="1"/>
  <c r="BM15" i="8"/>
  <c r="BL95" i="8"/>
  <c r="BN95" i="8" s="1"/>
  <c r="BM52" i="8"/>
  <c r="BL31" i="8"/>
  <c r="BN31" i="8" s="1"/>
  <c r="BM89" i="8"/>
  <c r="BL68" i="8"/>
  <c r="BN68" i="8" s="1"/>
  <c r="BM25" i="8"/>
  <c r="BM62" i="8"/>
  <c r="BL41" i="8"/>
  <c r="BN41" i="8" s="1"/>
  <c r="BM99" i="8"/>
  <c r="BL78" i="8"/>
  <c r="BN78" i="8" s="1"/>
  <c r="BM35" i="8"/>
  <c r="BL14" i="8"/>
  <c r="BN14" i="8" s="1"/>
  <c r="BM72" i="8"/>
  <c r="BL51" i="8"/>
  <c r="BN51" i="8" s="1"/>
  <c r="AT85" i="8"/>
  <c r="AT81" i="8"/>
  <c r="AT52" i="8"/>
  <c r="AT20" i="8"/>
  <c r="AT75" i="8"/>
  <c r="AT43" i="8"/>
  <c r="AT11" i="8"/>
  <c r="AT90" i="8"/>
  <c r="AT58" i="8"/>
  <c r="AT26" i="8"/>
  <c r="AT77" i="8"/>
  <c r="AT45" i="8"/>
  <c r="AT13" i="8"/>
  <c r="AT56" i="8"/>
  <c r="AT15" i="8"/>
  <c r="AT62" i="8"/>
  <c r="AT49" i="8"/>
  <c r="AT84" i="8"/>
  <c r="AT80" i="8"/>
  <c r="AT48" i="8"/>
  <c r="AT16" i="8"/>
  <c r="AT103" i="8"/>
  <c r="AT71" i="8"/>
  <c r="AT39" i="8"/>
  <c r="AT7" i="8"/>
  <c r="AT86" i="8"/>
  <c r="AT54" i="8"/>
  <c r="AT22" i="8"/>
  <c r="AT73" i="8"/>
  <c r="AT41" i="8"/>
  <c r="AT9" i="8"/>
  <c r="AT60" i="8"/>
  <c r="AT19" i="8"/>
  <c r="AT66" i="8"/>
  <c r="AT21" i="8"/>
  <c r="AT30" i="8"/>
  <c r="AT76" i="8"/>
  <c r="AT44" i="8"/>
  <c r="AT12" i="8"/>
  <c r="AT99" i="8"/>
  <c r="AT67" i="8"/>
  <c r="AT35" i="8"/>
  <c r="AT82" i="8"/>
  <c r="AT50" i="8"/>
  <c r="AT18" i="8"/>
  <c r="AT101" i="8"/>
  <c r="AT69" i="8"/>
  <c r="AT37" i="8"/>
  <c r="AT92" i="8"/>
  <c r="AT83" i="8"/>
  <c r="AT98" i="8"/>
  <c r="AT53" i="8"/>
  <c r="AT88" i="8"/>
  <c r="AT79" i="8"/>
  <c r="AT94" i="8"/>
  <c r="AT72" i="8"/>
  <c r="AT40" i="8"/>
  <c r="AT8" i="8"/>
  <c r="AT95" i="8"/>
  <c r="AT63" i="8"/>
  <c r="AT31" i="8"/>
  <c r="AT78" i="8"/>
  <c r="AT46" i="8"/>
  <c r="AT14" i="8"/>
  <c r="AT97" i="8"/>
  <c r="AT65" i="8"/>
  <c r="AT33" i="8"/>
  <c r="AT51" i="8"/>
  <c r="AT34" i="8"/>
  <c r="AT104" i="8"/>
  <c r="AT100" i="8"/>
  <c r="AT68" i="8"/>
  <c r="AT36" i="8"/>
  <c r="AT91" i="8"/>
  <c r="AT59" i="8"/>
  <c r="AT27" i="8"/>
  <c r="AT74" i="8"/>
  <c r="AT42" i="8"/>
  <c r="AT10" i="8"/>
  <c r="AT93" i="8"/>
  <c r="AT61" i="8"/>
  <c r="AT29" i="8"/>
  <c r="AT28" i="8"/>
  <c r="AT24" i="8"/>
  <c r="AT47" i="8"/>
  <c r="AT17" i="8"/>
  <c r="AT96" i="8"/>
  <c r="AT64" i="8"/>
  <c r="AT32" i="8"/>
  <c r="AT87" i="8"/>
  <c r="AT55" i="8"/>
  <c r="AT23" i="8"/>
  <c r="AT5" i="8"/>
  <c r="AT102" i="8"/>
  <c r="AT70" i="8"/>
  <c r="AT38" i="8"/>
  <c r="AT6" i="8"/>
  <c r="AT89" i="8"/>
  <c r="AT57" i="8"/>
  <c r="AT25" i="8"/>
</calcChain>
</file>

<file path=xl/sharedStrings.xml><?xml version="1.0" encoding="utf-8"?>
<sst xmlns="http://schemas.openxmlformats.org/spreadsheetml/2006/main" count="488" uniqueCount="123">
  <si>
    <t>Men</t>
  </si>
  <si>
    <t>Women</t>
  </si>
  <si>
    <t>Competition Rules</t>
  </si>
  <si>
    <t>PAR</t>
  </si>
  <si>
    <t>CR</t>
  </si>
  <si>
    <t>Slope</t>
  </si>
  <si>
    <t>Yellow</t>
  </si>
  <si>
    <t>White</t>
  </si>
  <si>
    <t>Blue</t>
  </si>
  <si>
    <t>Red</t>
  </si>
  <si>
    <t>Eclectic % of Handicap to Use</t>
  </si>
  <si>
    <t>Div A</t>
  </si>
  <si>
    <t>GOLD</t>
  </si>
  <si>
    <t>HI Range</t>
  </si>
  <si>
    <t>Handicap %</t>
  </si>
  <si>
    <t>Par</t>
  </si>
  <si>
    <t>Div B</t>
  </si>
  <si>
    <t>SILVER</t>
  </si>
  <si>
    <t>Div C</t>
  </si>
  <si>
    <t>Div D</t>
  </si>
  <si>
    <t>Any Handicap - Blue Tee's</t>
  </si>
  <si>
    <t>Max Handicap</t>
  </si>
  <si>
    <t>A Division</t>
  </si>
  <si>
    <t>B Division</t>
  </si>
  <si>
    <t>C Division</t>
  </si>
  <si>
    <t>First Name</t>
  </si>
  <si>
    <t>Last Name</t>
  </si>
  <si>
    <t>SA ID</t>
  </si>
  <si>
    <t>HI</t>
  </si>
  <si>
    <t>KAY</t>
  </si>
  <si>
    <t>DUNKLEY</t>
  </si>
  <si>
    <t>SHAY</t>
  </si>
  <si>
    <t>BROEDELET</t>
  </si>
  <si>
    <t>ALIDA</t>
  </si>
  <si>
    <t>HOOPER</t>
  </si>
  <si>
    <t>PREM</t>
  </si>
  <si>
    <t>GOVENDER</t>
  </si>
  <si>
    <t>SONJA</t>
  </si>
  <si>
    <t>HOPCROFT</t>
  </si>
  <si>
    <t>RENE</t>
  </si>
  <si>
    <t>LADELL</t>
  </si>
  <si>
    <t>TARA</t>
  </si>
  <si>
    <t>SMITH</t>
  </si>
  <si>
    <t>ANGELA</t>
  </si>
  <si>
    <t>MASEFIELD</t>
  </si>
  <si>
    <t>ANITA</t>
  </si>
  <si>
    <t>VAN DER LINDE</t>
  </si>
  <si>
    <t>FIFI</t>
  </si>
  <si>
    <t>NARAN</t>
  </si>
  <si>
    <t>JANIS</t>
  </si>
  <si>
    <t>NEL</t>
  </si>
  <si>
    <t>MELISSA</t>
  </si>
  <si>
    <t>PALMER</t>
  </si>
  <si>
    <t>SAVIO</t>
  </si>
  <si>
    <t>GAIL</t>
  </si>
  <si>
    <t>SPEIRS</t>
  </si>
  <si>
    <t>KAREN</t>
  </si>
  <si>
    <t>STOTT</t>
  </si>
  <si>
    <t>JUDY</t>
  </si>
  <si>
    <t>VAN DER VEEN</t>
  </si>
  <si>
    <t>Gross of best for each day 
less 25% of Playing Handicap</t>
  </si>
  <si>
    <t>DAY 1</t>
  </si>
  <si>
    <t>DAY 2</t>
  </si>
  <si>
    <t>Eclectic</t>
  </si>
  <si>
    <t>A Div - Eclectic</t>
  </si>
  <si>
    <t>#</t>
  </si>
  <si>
    <t>Name</t>
  </si>
  <si>
    <t>HC</t>
  </si>
  <si>
    <t>OUT</t>
  </si>
  <si>
    <t xml:space="preserve">IN </t>
  </si>
  <si>
    <t>GROSS</t>
  </si>
  <si>
    <t>NET</t>
  </si>
  <si>
    <t>Gross</t>
  </si>
  <si>
    <t>Net</t>
  </si>
  <si>
    <t>Net RANK (no ties)</t>
  </si>
  <si>
    <t>Net Rank with Ties</t>
  </si>
  <si>
    <t>Name And Surname</t>
  </si>
  <si>
    <t>Pos</t>
  </si>
  <si>
    <t>B Div - Eclectic</t>
  </si>
  <si>
    <t>C Div Eclectic</t>
  </si>
  <si>
    <t>Sat (Gross)</t>
  </si>
  <si>
    <t>Sat (Net)</t>
  </si>
  <si>
    <t>Sun (Gross)</t>
  </si>
  <si>
    <t>Sun (Net)</t>
  </si>
  <si>
    <t>Overall Gross</t>
  </si>
  <si>
    <t>Overall Net</t>
  </si>
  <si>
    <t>Surname</t>
  </si>
  <si>
    <t>CH</t>
  </si>
  <si>
    <t>PH</t>
  </si>
  <si>
    <t>Can Play?</t>
  </si>
  <si>
    <t xml:space="preserve">1st 
9 </t>
  </si>
  <si>
    <t>2nd 9</t>
  </si>
  <si>
    <t>3rd 9</t>
  </si>
  <si>
    <t>4th 9</t>
  </si>
  <si>
    <t>Sat Gross</t>
  </si>
  <si>
    <t>Sat
Net</t>
  </si>
  <si>
    <t>Sun Gross</t>
  </si>
  <si>
    <t>Sun Net</t>
  </si>
  <si>
    <t>Rank Sat Gross (no ties)</t>
  </si>
  <si>
    <t>Rank Sat Gross (with ties)</t>
  </si>
  <si>
    <t>Rank Sat 
Net (no ties)</t>
  </si>
  <si>
    <t>Rank Sat 
Net (with Ties)</t>
  </si>
  <si>
    <t>Rank Sun Gross (no ties)</t>
  </si>
  <si>
    <t>Rank Sun Gross (with Ties)</t>
  </si>
  <si>
    <t>Rank Sun Net (No ties)</t>
  </si>
  <si>
    <t>Rank Sun Net (with ties)</t>
  </si>
  <si>
    <t>Rank Overall Gross (no ties)</t>
  </si>
  <si>
    <t>Rank Overall Gross (with ties)</t>
  </si>
  <si>
    <t>Rank Overall Net (no ties)</t>
  </si>
  <si>
    <t>Rank Overall Net (with ties)</t>
  </si>
  <si>
    <t>Sat Net</t>
  </si>
  <si>
    <t xml:space="preserve">Gross </t>
  </si>
  <si>
    <t xml:space="preserve">Net </t>
  </si>
  <si>
    <t>A / B Division</t>
  </si>
  <si>
    <t>HCP</t>
  </si>
  <si>
    <t xml:space="preserve">C Division </t>
  </si>
  <si>
    <t>SATURDAY GROSS</t>
  </si>
  <si>
    <t>SATURDAY NET</t>
  </si>
  <si>
    <t>SUNDAY GROSS</t>
  </si>
  <si>
    <t>SUNDAY NET</t>
  </si>
  <si>
    <t>BEST GROSS OVERALL</t>
  </si>
  <si>
    <t>BEST NET OVERALL</t>
  </si>
  <si>
    <t>ECLECTIC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</si>
</sst>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4"/>
      <color theme="0"/>
      <name val="Calibri"/>
      <family val="2"/>
      <scheme val="minor"/>
    </font>
    <font>
      <b/>
      <sz val="11"/>
      <color rgb="FFFFFFFF"/>
      <name val="Calibri"/>
      <charset val="1"/>
    </font>
    <font>
      <sz val="10"/>
      <color theme="1"/>
      <name val="Calibri"/>
      <charset val="1"/>
    </font>
  </fonts>
  <fills count="26">
    <fill>
      <patternFill patternType="none"/>
    </fill>
    <fill>
      <patternFill patternType="gray125"/>
    </fill>
    <fill>
      <patternFill patternType="solid">
        <fgColor rgb="FFB0FE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504AA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4169E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729FCF"/>
        <bgColor rgb="FF808080"/>
      </patternFill>
    </fill>
    <fill>
      <patternFill patternType="solid">
        <fgColor rgb="FF81D41A"/>
        <bgColor rgb="FFACB20C"/>
      </patternFill>
    </fill>
    <fill>
      <patternFill patternType="solid">
        <fgColor rgb="FFDDDDDD"/>
        <bgColor rgb="FFCCCCCC"/>
      </patternFill>
    </fill>
    <fill>
      <patternFill patternType="solid">
        <fgColor rgb="FFBF819E"/>
        <bgColor rgb="FF808080"/>
      </patternFill>
    </fill>
    <fill>
      <patternFill patternType="solid">
        <fgColor rgb="FFFFAA95"/>
        <bgColor rgb="FFFFCC99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DDDDDD"/>
      </patternFill>
    </fill>
    <fill>
      <patternFill patternType="solid">
        <fgColor rgb="FFACB20C"/>
        <bgColor rgb="FF81D41A"/>
      </patternFill>
    </fill>
    <fill>
      <patternFill patternType="solid">
        <fgColor rgb="FF000000"/>
        <bgColor rgb="FF0033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5">
    <xf numFmtId="0" fontId="0" fillId="0" borderId="0"/>
    <xf numFmtId="0" fontId="7" fillId="0" borderId="0"/>
    <xf numFmtId="0" fontId="7" fillId="11" borderId="0" applyBorder="0" applyProtection="0"/>
    <xf numFmtId="0" fontId="7" fillId="11" borderId="0" applyProtection="0">
      <alignment horizontal="center" vertical="center"/>
    </xf>
    <xf numFmtId="0" fontId="7" fillId="12" borderId="0" applyBorder="0" applyProtection="0"/>
    <xf numFmtId="0" fontId="7" fillId="12" borderId="0" applyBorder="0" applyProtection="0">
      <alignment horizontal="center" vertical="center"/>
    </xf>
    <xf numFmtId="0" fontId="7" fillId="13" borderId="0" applyBorder="0" applyProtection="0"/>
    <xf numFmtId="0" fontId="7" fillId="14" borderId="0" applyBorder="0" applyProtection="0"/>
    <xf numFmtId="0" fontId="7" fillId="15" borderId="0" applyBorder="0" applyProtection="0">
      <alignment horizontal="center" vertical="center"/>
    </xf>
    <xf numFmtId="0" fontId="7" fillId="16" borderId="0" applyBorder="0" applyProtection="0"/>
    <xf numFmtId="0" fontId="8" fillId="0" borderId="0" applyProtection="0"/>
    <xf numFmtId="0" fontId="7" fillId="16" borderId="0" applyBorder="0" applyProtection="0"/>
    <xf numFmtId="0" fontId="7" fillId="16" borderId="0" applyProtection="0">
      <alignment horizontal="center" vertical="center"/>
    </xf>
    <xf numFmtId="0" fontId="7" fillId="17" borderId="0" applyBorder="0" applyProtection="0">
      <alignment horizontal="center" vertical="center"/>
    </xf>
    <xf numFmtId="0" fontId="7" fillId="18" borderId="0" applyBorder="0" applyProtection="0">
      <alignment horizontal="center" vertical="center"/>
    </xf>
  </cellStyleXfs>
  <cellXfs count="20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/>
    <xf numFmtId="0" fontId="0" fillId="3" borderId="0" xfId="0" applyFill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4" borderId="3" xfId="0" applyFill="1" applyBorder="1"/>
    <xf numFmtId="0" fontId="0" fillId="3" borderId="0" xfId="0" applyFill="1" applyAlignment="1">
      <alignment horizontal="center"/>
    </xf>
    <xf numFmtId="0" fontId="0" fillId="6" borderId="1" xfId="0" applyFill="1" applyBorder="1" applyProtection="1">
      <protection locked="0"/>
    </xf>
    <xf numFmtId="0" fontId="0" fillId="6" borderId="1" xfId="0" applyFill="1" applyBorder="1" applyAlignment="1" applyProtection="1">
      <alignment horizontal="center"/>
      <protection locked="0"/>
    </xf>
    <xf numFmtId="0" fontId="3" fillId="3" borderId="0" xfId="0" applyFont="1" applyFill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top"/>
    </xf>
    <xf numFmtId="0" fontId="2" fillId="8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horizontal="left" vertical="top" wrapText="1"/>
    </xf>
    <xf numFmtId="0" fontId="1" fillId="7" borderId="1" xfId="0" applyFont="1" applyFill="1" applyBorder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1" fillId="4" borderId="1" xfId="0" applyFont="1" applyFill="1" applyBorder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0" fontId="0" fillId="3" borderId="0" xfId="0" applyFill="1" applyAlignment="1">
      <alignment horizontal="left" vertical="top"/>
    </xf>
    <xf numFmtId="0" fontId="3" fillId="5" borderId="0" xfId="0" applyFont="1" applyFill="1" applyAlignment="1">
      <alignment horizontal="left" vertical="top" wrapText="1"/>
    </xf>
    <xf numFmtId="0" fontId="0" fillId="3" borderId="0" xfId="0" applyFill="1" applyAlignment="1">
      <alignment horizontal="left"/>
    </xf>
    <xf numFmtId="0" fontId="4" fillId="5" borderId="1" xfId="0" applyFont="1" applyFill="1" applyBorder="1" applyAlignment="1">
      <alignment horizontal="left" vertical="top" wrapText="1"/>
    </xf>
    <xf numFmtId="0" fontId="1" fillId="4" borderId="5" xfId="0" applyFont="1" applyFill="1" applyBorder="1" applyAlignment="1">
      <alignment horizontal="left" vertical="top"/>
    </xf>
    <xf numFmtId="0" fontId="2" fillId="8" borderId="5" xfId="0" applyFont="1" applyFill="1" applyBorder="1" applyAlignment="1">
      <alignment horizontal="left" vertical="top"/>
    </xf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/>
    </xf>
    <xf numFmtId="0" fontId="5" fillId="3" borderId="0" xfId="0" applyFont="1" applyFill="1"/>
    <xf numFmtId="0" fontId="5" fillId="3" borderId="0" xfId="0" applyFont="1" applyFill="1" applyAlignment="1">
      <alignment horizontal="left"/>
    </xf>
    <xf numFmtId="0" fontId="5" fillId="3" borderId="0" xfId="0" applyFont="1" applyFill="1" applyAlignment="1">
      <alignment horizontal="center"/>
    </xf>
    <xf numFmtId="0" fontId="0" fillId="9" borderId="1" xfId="0" applyFill="1" applyBorder="1"/>
    <xf numFmtId="0" fontId="0" fillId="9" borderId="1" xfId="0" applyFill="1" applyBorder="1" applyAlignment="1">
      <alignment horizontal="center"/>
    </xf>
    <xf numFmtId="0" fontId="3" fillId="3" borderId="0" xfId="0" applyFont="1" applyFill="1" applyAlignment="1" applyProtection="1">
      <alignment horizontal="center"/>
      <protection locked="0"/>
    </xf>
    <xf numFmtId="0" fontId="2" fillId="3" borderId="0" xfId="0" applyFont="1" applyFill="1" applyAlignment="1" applyProtection="1">
      <alignment wrapText="1"/>
      <protection locked="0"/>
    </xf>
    <xf numFmtId="164" fontId="2" fillId="3" borderId="0" xfId="0" applyNumberFormat="1" applyFont="1" applyFill="1" applyAlignment="1" applyProtection="1">
      <alignment horizontal="center"/>
      <protection locked="0"/>
    </xf>
    <xf numFmtId="0" fontId="3" fillId="3" borderId="0" xfId="0" applyFont="1" applyFill="1" applyProtection="1">
      <protection locked="0"/>
    </xf>
    <xf numFmtId="164" fontId="3" fillId="3" borderId="0" xfId="0" applyNumberFormat="1" applyFont="1" applyFill="1" applyAlignment="1" applyProtection="1">
      <alignment horizontal="center"/>
      <protection locked="0"/>
    </xf>
    <xf numFmtId="0" fontId="2" fillId="5" borderId="1" xfId="0" applyFont="1" applyFill="1" applyBorder="1" applyAlignment="1" applyProtection="1">
      <alignment horizontal="left" vertical="top" wrapText="1"/>
      <protection locked="0"/>
    </xf>
    <xf numFmtId="164" fontId="2" fillId="5" borderId="1" xfId="0" applyNumberFormat="1" applyFont="1" applyFill="1" applyBorder="1" applyAlignment="1" applyProtection="1">
      <alignment horizontal="center" vertical="top" wrapText="1"/>
      <protection locked="0"/>
    </xf>
    <xf numFmtId="0" fontId="0" fillId="0" borderId="0" xfId="0" applyProtection="1">
      <protection locked="0"/>
    </xf>
    <xf numFmtId="164" fontId="0" fillId="0" borderId="0" xfId="0" applyNumberFormat="1" applyAlignment="1" applyProtection="1">
      <alignment horizontal="center"/>
      <protection locked="0"/>
    </xf>
    <xf numFmtId="0" fontId="2" fillId="3" borderId="0" xfId="0" applyFont="1" applyFill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10" borderId="1" xfId="0" applyFill="1" applyBorder="1"/>
    <xf numFmtId="0" fontId="0" fillId="10" borderId="1" xfId="0" applyFill="1" applyBorder="1" applyAlignment="1">
      <alignment horizontal="center"/>
    </xf>
    <xf numFmtId="0" fontId="1" fillId="6" borderId="6" xfId="0" applyFont="1" applyFill="1" applyBorder="1" applyProtection="1">
      <protection locked="0"/>
    </xf>
    <xf numFmtId="165" fontId="3" fillId="3" borderId="0" xfId="0" applyNumberFormat="1" applyFont="1" applyFill="1" applyAlignment="1">
      <alignment horizontal="center"/>
    </xf>
    <xf numFmtId="165" fontId="2" fillId="3" borderId="0" xfId="0" applyNumberFormat="1" applyFont="1" applyFill="1" applyAlignment="1">
      <alignment horizontal="center"/>
    </xf>
    <xf numFmtId="165" fontId="2" fillId="5" borderId="1" xfId="0" applyNumberFormat="1" applyFont="1" applyFill="1" applyBorder="1" applyAlignment="1">
      <alignment horizontal="center" vertical="top" wrapText="1"/>
    </xf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1" fontId="9" fillId="19" borderId="8" xfId="1" applyNumberFormat="1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/>
    <xf numFmtId="1" fontId="0" fillId="6" borderId="1" xfId="0" applyNumberFormat="1" applyFill="1" applyBorder="1"/>
    <xf numFmtId="1" fontId="10" fillId="8" borderId="7" xfId="0" applyNumberFormat="1" applyFont="1" applyFill="1" applyBorder="1"/>
    <xf numFmtId="0" fontId="6" fillId="3" borderId="0" xfId="0" applyFont="1" applyFill="1" applyAlignment="1" applyProtection="1">
      <alignment wrapText="1"/>
      <protection locked="0"/>
    </xf>
    <xf numFmtId="0" fontId="6" fillId="3" borderId="0" xfId="0" applyFont="1" applyFill="1" applyAlignment="1">
      <alignment horizontal="center" wrapText="1"/>
    </xf>
    <xf numFmtId="0" fontId="6" fillId="3" borderId="0" xfId="0" applyFont="1" applyFill="1" applyAlignment="1" applyProtection="1">
      <alignment horizontal="center" wrapText="1"/>
      <protection locked="0"/>
    </xf>
    <xf numFmtId="0" fontId="3" fillId="3" borderId="0" xfId="0" applyFont="1" applyFill="1" applyAlignment="1" applyProtection="1">
      <alignment horizontal="center" wrapText="1"/>
      <protection locked="0"/>
    </xf>
    <xf numFmtId="1" fontId="3" fillId="3" borderId="0" xfId="0" applyNumberFormat="1" applyFont="1" applyFill="1" applyAlignment="1">
      <alignment horizontal="center"/>
    </xf>
    <xf numFmtId="1" fontId="2" fillId="3" borderId="0" xfId="0" applyNumberFormat="1" applyFont="1" applyFill="1" applyAlignment="1">
      <alignment horizontal="center"/>
    </xf>
    <xf numFmtId="1" fontId="6" fillId="3" borderId="0" xfId="0" applyNumberFormat="1" applyFont="1" applyFill="1" applyAlignment="1">
      <alignment horizontal="center" wrapText="1"/>
    </xf>
    <xf numFmtId="1" fontId="0" fillId="9" borderId="1" xfId="0" applyNumberFormat="1" applyFill="1" applyBorder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1" fillId="3" borderId="6" xfId="0" applyFont="1" applyFill="1" applyBorder="1"/>
    <xf numFmtId="164" fontId="6" fillId="3" borderId="0" xfId="0" applyNumberFormat="1" applyFont="1" applyFill="1" applyAlignment="1" applyProtection="1">
      <alignment horizontal="center" wrapText="1"/>
      <protection locked="0"/>
    </xf>
    <xf numFmtId="1" fontId="0" fillId="21" borderId="1" xfId="0" applyNumberFormat="1" applyFill="1" applyBorder="1"/>
    <xf numFmtId="1" fontId="0" fillId="3" borderId="0" xfId="0" applyNumberFormat="1" applyFill="1" applyAlignment="1">
      <alignment horizontal="center"/>
    </xf>
    <xf numFmtId="1" fontId="0" fillId="3" borderId="0" xfId="0" applyNumberFormat="1" applyFill="1"/>
    <xf numFmtId="1" fontId="3" fillId="3" borderId="0" xfId="0" applyNumberFormat="1" applyFont="1" applyFill="1"/>
    <xf numFmtId="0" fontId="0" fillId="4" borderId="2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1" fontId="0" fillId="22" borderId="0" xfId="0" applyNumberFormat="1" applyFill="1"/>
    <xf numFmtId="0" fontId="3" fillId="22" borderId="0" xfId="0" applyFont="1" applyFill="1"/>
    <xf numFmtId="0" fontId="3" fillId="22" borderId="0" xfId="0" applyFont="1" applyFill="1" applyAlignment="1">
      <alignment horizontal="left" vertical="top" wrapText="1"/>
    </xf>
    <xf numFmtId="0" fontId="0" fillId="22" borderId="0" xfId="0" applyFill="1"/>
    <xf numFmtId="0" fontId="0" fillId="0" borderId="10" xfId="0" applyBorder="1"/>
    <xf numFmtId="1" fontId="0" fillId="0" borderId="10" xfId="0" applyNumberFormat="1" applyBorder="1"/>
    <xf numFmtId="1" fontId="5" fillId="3" borderId="0" xfId="0" applyNumberFormat="1" applyFont="1" applyFill="1" applyAlignment="1">
      <alignment horizontal="center"/>
    </xf>
    <xf numFmtId="1" fontId="2" fillId="8" borderId="1" xfId="0" applyNumberFormat="1" applyFont="1" applyFill="1" applyBorder="1" applyAlignment="1">
      <alignment horizontal="center" vertical="top"/>
    </xf>
    <xf numFmtId="1" fontId="5" fillId="3" borderId="0" xfId="0" applyNumberFormat="1" applyFont="1" applyFill="1"/>
    <xf numFmtId="1" fontId="2" fillId="8" borderId="5" xfId="0" applyNumberFormat="1" applyFont="1" applyFill="1" applyBorder="1" applyAlignment="1">
      <alignment horizontal="left" vertical="top"/>
    </xf>
    <xf numFmtId="1" fontId="2" fillId="8" borderId="1" xfId="0" applyNumberFormat="1" applyFont="1" applyFill="1" applyBorder="1" applyAlignment="1">
      <alignment horizontal="left" vertical="top"/>
    </xf>
    <xf numFmtId="1" fontId="0" fillId="0" borderId="1" xfId="0" applyNumberFormat="1" applyBorder="1" applyAlignment="1">
      <alignment horizontal="left"/>
    </xf>
    <xf numFmtId="0" fontId="0" fillId="3" borderId="10" xfId="0" applyFill="1" applyBorder="1"/>
    <xf numFmtId="2" fontId="0" fillId="3" borderId="0" xfId="0" applyNumberFormat="1" applyFill="1"/>
    <xf numFmtId="2" fontId="10" fillId="8" borderId="7" xfId="0" applyNumberFormat="1" applyFont="1" applyFill="1" applyBorder="1"/>
    <xf numFmtId="2" fontId="9" fillId="19" borderId="8" xfId="1" applyNumberFormat="1" applyFont="1" applyFill="1" applyBorder="1" applyAlignment="1">
      <alignment horizontal="center"/>
    </xf>
    <xf numFmtId="2" fontId="0" fillId="0" borderId="1" xfId="0" applyNumberFormat="1" applyBorder="1"/>
    <xf numFmtId="2" fontId="0" fillId="0" borderId="0" xfId="0" applyNumberFormat="1"/>
    <xf numFmtId="2" fontId="5" fillId="3" borderId="0" xfId="0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2" fontId="2" fillId="8" borderId="1" xfId="0" applyNumberFormat="1" applyFont="1" applyFill="1" applyBorder="1" applyAlignment="1">
      <alignment horizontal="center" vertical="top"/>
    </xf>
    <xf numFmtId="2" fontId="0" fillId="0" borderId="1" xfId="0" applyNumberFormat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1" fontId="3" fillId="3" borderId="0" xfId="0" applyNumberFormat="1" applyFont="1" applyFill="1" applyAlignment="1">
      <alignment horizontal="center" vertical="center"/>
    </xf>
    <xf numFmtId="1" fontId="1" fillId="7" borderId="1" xfId="0" applyNumberFormat="1" applyFont="1" applyFill="1" applyBorder="1" applyAlignment="1">
      <alignment horizontal="left" vertical="top" wrapText="1"/>
    </xf>
    <xf numFmtId="1" fontId="0" fillId="0" borderId="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5" fillId="3" borderId="0" xfId="0" applyNumberFormat="1" applyFont="1" applyFill="1" applyAlignment="1">
      <alignment horizontal="left"/>
    </xf>
    <xf numFmtId="1" fontId="3" fillId="3" borderId="0" xfId="0" applyNumberFormat="1" applyFont="1" applyFill="1" applyAlignment="1">
      <alignment horizontal="left"/>
    </xf>
    <xf numFmtId="1" fontId="4" fillId="5" borderId="1" xfId="0" applyNumberFormat="1" applyFont="1" applyFill="1" applyBorder="1" applyAlignment="1">
      <alignment horizontal="left" vertical="top" wrapText="1"/>
    </xf>
    <xf numFmtId="1" fontId="2" fillId="5" borderId="1" xfId="0" applyNumberFormat="1" applyFont="1" applyFill="1" applyBorder="1" applyAlignment="1">
      <alignment horizontal="left" vertical="top" wrapText="1"/>
    </xf>
    <xf numFmtId="1" fontId="3" fillId="3" borderId="0" xfId="0" applyNumberFormat="1" applyFont="1" applyFill="1" applyAlignment="1">
      <alignment horizontal="left" vertical="top" wrapText="1"/>
    </xf>
    <xf numFmtId="1" fontId="1" fillId="4" borderId="1" xfId="0" applyNumberFormat="1" applyFont="1" applyFill="1" applyBorder="1" applyAlignment="1">
      <alignment horizontal="left" vertical="top"/>
    </xf>
    <xf numFmtId="1" fontId="1" fillId="3" borderId="0" xfId="0" applyNumberFormat="1" applyFont="1" applyFill="1" applyAlignment="1">
      <alignment horizontal="left" vertical="top"/>
    </xf>
    <xf numFmtId="1" fontId="0" fillId="3" borderId="0" xfId="0" applyNumberFormat="1" applyFill="1" applyAlignment="1">
      <alignment horizontal="left" vertical="top"/>
    </xf>
    <xf numFmtId="1" fontId="1" fillId="4" borderId="5" xfId="0" applyNumberFormat="1" applyFont="1" applyFill="1" applyBorder="1" applyAlignment="1">
      <alignment horizontal="left" vertical="top"/>
    </xf>
    <xf numFmtId="1" fontId="0" fillId="9" borderId="1" xfId="0" applyNumberFormat="1" applyFill="1" applyBorder="1"/>
    <xf numFmtId="1" fontId="0" fillId="4" borderId="1" xfId="0" applyNumberFormat="1" applyFill="1" applyBorder="1"/>
    <xf numFmtId="1" fontId="0" fillId="4" borderId="3" xfId="0" applyNumberFormat="1" applyFill="1" applyBorder="1"/>
    <xf numFmtId="1" fontId="0" fillId="0" borderId="2" xfId="0" applyNumberFormat="1" applyBorder="1" applyAlignment="1">
      <alignment horizontal="center"/>
    </xf>
    <xf numFmtId="1" fontId="0" fillId="3" borderId="0" xfId="0" applyNumberFormat="1" applyFill="1" applyAlignment="1">
      <alignment horizontal="left"/>
    </xf>
    <xf numFmtId="2" fontId="2" fillId="3" borderId="0" xfId="0" applyNumberFormat="1" applyFont="1" applyFill="1" applyAlignment="1">
      <alignment horizontal="center"/>
    </xf>
    <xf numFmtId="2" fontId="2" fillId="5" borderId="1" xfId="0" applyNumberFormat="1" applyFont="1" applyFill="1" applyBorder="1" applyAlignment="1">
      <alignment horizontal="center" vertical="top" wrapText="1"/>
    </xf>
    <xf numFmtId="2" fontId="0" fillId="9" borderId="1" xfId="0" applyNumberForma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3" fillId="3" borderId="0" xfId="0" applyNumberFormat="1" applyFont="1" applyFill="1" applyAlignment="1">
      <alignment horizontal="center" vertical="center"/>
    </xf>
    <xf numFmtId="2" fontId="1" fillId="7" borderId="1" xfId="0" applyNumberFormat="1" applyFont="1" applyFill="1" applyBorder="1" applyAlignment="1">
      <alignment horizontal="left" vertical="top" wrapText="1"/>
    </xf>
    <xf numFmtId="2" fontId="0" fillId="0" borderId="0" xfId="0" applyNumberFormat="1" applyAlignment="1">
      <alignment horizontal="center" vertical="center"/>
    </xf>
    <xf numFmtId="2" fontId="2" fillId="3" borderId="0" xfId="0" applyNumberFormat="1" applyFont="1" applyFill="1" applyAlignment="1" applyProtection="1">
      <alignment horizontal="center"/>
      <protection locked="0"/>
    </xf>
    <xf numFmtId="2" fontId="3" fillId="3" borderId="0" xfId="0" applyNumberFormat="1" applyFont="1" applyFill="1" applyAlignment="1" applyProtection="1">
      <alignment horizontal="center"/>
      <protection locked="0"/>
    </xf>
    <xf numFmtId="2" fontId="2" fillId="5" borderId="1" xfId="0" applyNumberFormat="1" applyFont="1" applyFill="1" applyBorder="1" applyAlignment="1" applyProtection="1">
      <alignment horizontal="center" vertical="top" wrapText="1"/>
      <protection locked="0"/>
    </xf>
    <xf numFmtId="2" fontId="0" fillId="0" borderId="0" xfId="0" applyNumberFormat="1" applyAlignment="1" applyProtection="1">
      <alignment horizontal="center"/>
      <protection locked="0"/>
    </xf>
    <xf numFmtId="0" fontId="0" fillId="0" borderId="0" xfId="0" applyBorder="1"/>
    <xf numFmtId="1" fontId="0" fillId="0" borderId="0" xfId="0" applyNumberFormat="1" applyBorder="1"/>
    <xf numFmtId="1" fontId="0" fillId="2" borderId="1" xfId="0" applyNumberFormat="1" applyFill="1" applyBorder="1" applyAlignment="1" applyProtection="1">
      <alignment horizontal="center"/>
      <protection locked="0"/>
    </xf>
    <xf numFmtId="164" fontId="0" fillId="0" borderId="0" xfId="0" applyNumberFormat="1"/>
    <xf numFmtId="0" fontId="1" fillId="0" borderId="10" xfId="0" applyFont="1" applyBorder="1"/>
    <xf numFmtId="164" fontId="1" fillId="0" borderId="10" xfId="0" applyNumberFormat="1" applyFont="1" applyBorder="1"/>
    <xf numFmtId="0" fontId="1" fillId="0" borderId="10" xfId="0" applyFont="1" applyFill="1" applyBorder="1"/>
    <xf numFmtId="164" fontId="1" fillId="0" borderId="10" xfId="0" applyNumberFormat="1" applyFont="1" applyFill="1" applyBorder="1"/>
    <xf numFmtId="0" fontId="0" fillId="0" borderId="10" xfId="0" applyFill="1" applyBorder="1" applyProtection="1">
      <protection locked="0"/>
    </xf>
    <xf numFmtId="164" fontId="0" fillId="0" borderId="10" xfId="0" applyNumberFormat="1" applyFill="1" applyBorder="1" applyAlignment="1" applyProtection="1">
      <alignment horizontal="center"/>
      <protection locked="0"/>
    </xf>
    <xf numFmtId="0" fontId="0" fillId="0" borderId="10" xfId="0" applyFill="1" applyBorder="1"/>
    <xf numFmtId="2" fontId="0" fillId="0" borderId="10" xfId="0" applyNumberFormat="1" applyFill="1" applyBorder="1" applyAlignment="1" applyProtection="1">
      <alignment horizontal="center"/>
      <protection locked="0"/>
    </xf>
    <xf numFmtId="1" fontId="10" fillId="8" borderId="0" xfId="0" applyNumberFormat="1" applyFont="1" applyFill="1" applyBorder="1" applyAlignment="1">
      <alignment horizontal="center"/>
    </xf>
    <xf numFmtId="1" fontId="0" fillId="21" borderId="1" xfId="0" applyNumberFormat="1" applyFill="1" applyBorder="1" applyAlignment="1">
      <alignment horizontal="center"/>
    </xf>
    <xf numFmtId="0" fontId="0" fillId="0" borderId="8" xfId="0" applyFill="1" applyBorder="1" applyProtection="1">
      <protection locked="0"/>
    </xf>
    <xf numFmtId="164" fontId="0" fillId="0" borderId="8" xfId="0" applyNumberFormat="1" applyFill="1" applyBorder="1" applyAlignment="1" applyProtection="1">
      <alignment horizontal="center"/>
      <protection locked="0"/>
    </xf>
    <xf numFmtId="0" fontId="0" fillId="0" borderId="14" xfId="0" applyFill="1" applyBorder="1"/>
    <xf numFmtId="1" fontId="10" fillId="8" borderId="7" xfId="0" applyNumberFormat="1" applyFont="1" applyFill="1" applyBorder="1" applyAlignment="1">
      <alignment horizontal="center"/>
    </xf>
    <xf numFmtId="1" fontId="2" fillId="5" borderId="1" xfId="0" applyNumberFormat="1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/>
    </xf>
    <xf numFmtId="1" fontId="3" fillId="23" borderId="1" xfId="0" applyNumberFormat="1" applyFont="1" applyFill="1" applyBorder="1" applyAlignment="1">
      <alignment horizontal="center"/>
    </xf>
    <xf numFmtId="1" fontId="3" fillId="23" borderId="1" xfId="0" applyNumberFormat="1" applyFont="1" applyFill="1" applyBorder="1"/>
    <xf numFmtId="1" fontId="3" fillId="23" borderId="0" xfId="0" applyNumberFormat="1" applyFont="1" applyFill="1" applyAlignment="1">
      <alignment horizontal="center"/>
    </xf>
    <xf numFmtId="1" fontId="3" fillId="23" borderId="0" xfId="0" applyNumberFormat="1" applyFont="1" applyFill="1"/>
    <xf numFmtId="1" fontId="12" fillId="6" borderId="10" xfId="0" applyNumberFormat="1" applyFont="1" applyFill="1" applyBorder="1"/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10" xfId="0" applyFont="1" applyFill="1" applyBorder="1" applyAlignment="1">
      <alignment horizontal="center"/>
    </xf>
    <xf numFmtId="1" fontId="10" fillId="8" borderId="7" xfId="0" applyNumberFormat="1" applyFont="1" applyFill="1" applyBorder="1" applyAlignment="1">
      <alignment horizontal="center"/>
    </xf>
    <xf numFmtId="0" fontId="11" fillId="5" borderId="2" xfId="0" applyFont="1" applyFill="1" applyBorder="1" applyAlignment="1">
      <alignment horizontal="center" vertical="top" wrapText="1"/>
    </xf>
    <xf numFmtId="0" fontId="2" fillId="5" borderId="4" xfId="0" applyFont="1" applyFill="1" applyBorder="1" applyAlignment="1">
      <alignment horizontal="center" vertical="top" wrapText="1"/>
    </xf>
    <xf numFmtId="0" fontId="2" fillId="5" borderId="3" xfId="0" applyFont="1" applyFill="1" applyBorder="1" applyAlignment="1">
      <alignment horizontal="center" vertical="top" wrapText="1"/>
    </xf>
    <xf numFmtId="0" fontId="0" fillId="3" borderId="6" xfId="0" applyFont="1" applyFill="1" applyBorder="1" applyAlignment="1">
      <alignment horizontal="center" wrapText="1"/>
    </xf>
    <xf numFmtId="0" fontId="0" fillId="3" borderId="6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 vertical="top" wrapText="1"/>
    </xf>
    <xf numFmtId="2" fontId="2" fillId="5" borderId="3" xfId="0" applyNumberFormat="1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1" fontId="2" fillId="5" borderId="1" xfId="0" applyNumberFormat="1" applyFont="1" applyFill="1" applyBorder="1" applyAlignment="1">
      <alignment horizontal="center" vertical="top" wrapText="1"/>
    </xf>
    <xf numFmtId="1" fontId="2" fillId="5" borderId="2" xfId="0" applyNumberFormat="1" applyFont="1" applyFill="1" applyBorder="1" applyAlignment="1">
      <alignment horizontal="center" vertical="top" wrapText="1"/>
    </xf>
    <xf numFmtId="1" fontId="2" fillId="5" borderId="4" xfId="0" applyNumberFormat="1" applyFont="1" applyFill="1" applyBorder="1" applyAlignment="1">
      <alignment horizontal="center" vertical="top" wrapText="1"/>
    </xf>
    <xf numFmtId="1" fontId="2" fillId="5" borderId="3" xfId="0" applyNumberFormat="1" applyFont="1" applyFill="1" applyBorder="1" applyAlignment="1">
      <alignment horizontal="center" vertical="top" wrapText="1"/>
    </xf>
    <xf numFmtId="0" fontId="1" fillId="20" borderId="2" xfId="0" applyFont="1" applyFill="1" applyBorder="1" applyAlignment="1">
      <alignment horizontal="center"/>
    </xf>
    <xf numFmtId="0" fontId="1" fillId="20" borderId="4" xfId="0" applyFont="1" applyFill="1" applyBorder="1" applyAlignment="1">
      <alignment horizontal="center"/>
    </xf>
    <xf numFmtId="0" fontId="1" fillId="20" borderId="3" xfId="0" applyFont="1" applyFill="1" applyBorder="1" applyAlignment="1">
      <alignment horizontal="center"/>
    </xf>
    <xf numFmtId="0" fontId="1" fillId="20" borderId="1" xfId="0" applyFont="1" applyFill="1" applyBorder="1" applyAlignment="1">
      <alignment horizontal="center"/>
    </xf>
    <xf numFmtId="0" fontId="1" fillId="20" borderId="10" xfId="0" applyFont="1" applyFill="1" applyBorder="1" applyAlignment="1">
      <alignment horizontal="center"/>
    </xf>
    <xf numFmtId="0" fontId="1" fillId="20" borderId="11" xfId="0" applyFont="1" applyFill="1" applyBorder="1" applyAlignment="1">
      <alignment horizontal="center"/>
    </xf>
    <xf numFmtId="0" fontId="1" fillId="20" borderId="12" xfId="0" applyFont="1" applyFill="1" applyBorder="1" applyAlignment="1">
      <alignment horizontal="center"/>
    </xf>
    <xf numFmtId="0" fontId="1" fillId="20" borderId="13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22" borderId="0" xfId="0" applyFont="1" applyFill="1" applyAlignment="1">
      <alignment horizontal="center"/>
    </xf>
    <xf numFmtId="0" fontId="1" fillId="20" borderId="9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5" fillId="3" borderId="0" xfId="0" applyFont="1" applyFill="1" applyAlignment="1">
      <alignment horizontal="center" wrapText="1"/>
    </xf>
    <xf numFmtId="1" fontId="3" fillId="3" borderId="0" xfId="0" applyNumberFormat="1" applyFont="1" applyFill="1" applyAlignment="1">
      <alignment horizontal="center" vertical="center" wrapText="1"/>
    </xf>
    <xf numFmtId="0" fontId="2" fillId="24" borderId="5" xfId="0" applyFont="1" applyFill="1" applyBorder="1" applyAlignment="1">
      <alignment horizontal="left" vertical="top"/>
    </xf>
    <xf numFmtId="1" fontId="2" fillId="24" borderId="5" xfId="0" applyNumberFormat="1" applyFont="1" applyFill="1" applyBorder="1" applyAlignment="1">
      <alignment horizontal="left" vertical="top"/>
    </xf>
    <xf numFmtId="0" fontId="1" fillId="24" borderId="5" xfId="0" applyFont="1" applyFill="1" applyBorder="1" applyAlignment="1">
      <alignment horizontal="left" vertical="top"/>
    </xf>
    <xf numFmtId="0" fontId="2" fillId="24" borderId="1" xfId="0" applyFont="1" applyFill="1" applyBorder="1" applyAlignment="1">
      <alignment horizontal="left" vertical="top"/>
    </xf>
    <xf numFmtId="1" fontId="2" fillId="24" borderId="1" xfId="0" applyNumberFormat="1" applyFont="1" applyFill="1" applyBorder="1" applyAlignment="1">
      <alignment horizontal="left" vertical="top"/>
    </xf>
    <xf numFmtId="0" fontId="2" fillId="25" borderId="2" xfId="0" applyFont="1" applyFill="1" applyBorder="1" applyAlignment="1">
      <alignment horizontal="center" vertical="top" wrapText="1"/>
    </xf>
    <xf numFmtId="0" fontId="2" fillId="25" borderId="4" xfId="0" applyFont="1" applyFill="1" applyBorder="1" applyAlignment="1">
      <alignment horizontal="center" vertical="top" wrapText="1"/>
    </xf>
    <xf numFmtId="0" fontId="2" fillId="25" borderId="3" xfId="0" applyFont="1" applyFill="1" applyBorder="1" applyAlignment="1">
      <alignment horizontal="center" vertical="top" wrapText="1"/>
    </xf>
    <xf numFmtId="0" fontId="2" fillId="25" borderId="1" xfId="0" applyFont="1" applyFill="1" applyBorder="1" applyAlignment="1">
      <alignment horizontal="center" vertical="top" wrapText="1"/>
    </xf>
  </cellXfs>
  <cellStyles count="15">
    <cellStyle name="BlueBack" xfId="2" xr:uid="{00000000-0005-0000-0000-000000000000}"/>
    <cellStyle name="BlueBack-Centre" xfId="3" xr:uid="{00000000-0005-0000-0000-000001000000}"/>
    <cellStyle name="DarkYellow-Denter" xfId="14" xr:uid="{00000000-0005-0000-0000-000002000000}"/>
    <cellStyle name="GreenBack" xfId="4" xr:uid="{00000000-0005-0000-0000-000003000000}"/>
    <cellStyle name="GreenBack-Centre" xfId="5" xr:uid="{00000000-0005-0000-0000-000004000000}"/>
    <cellStyle name="GreyBack-Center" xfId="13" xr:uid="{00000000-0005-0000-0000-000005000000}"/>
    <cellStyle name="Normal" xfId="0" builtinId="0"/>
    <cellStyle name="Normal 2" xfId="1" xr:uid="{00000000-0005-0000-0000-000007000000}"/>
    <cellStyle name="Par" xfId="6" xr:uid="{00000000-0005-0000-0000-000008000000}"/>
    <cellStyle name="PurpleBack" xfId="7" xr:uid="{00000000-0005-0000-0000-000009000000}"/>
    <cellStyle name="RedBack-Centre" xfId="8" xr:uid="{00000000-0005-0000-0000-00000A000000}"/>
    <cellStyle name="Untitled1" xfId="9" xr:uid="{00000000-0005-0000-0000-00000B000000}"/>
    <cellStyle name="White" xfId="10" xr:uid="{00000000-0005-0000-0000-00000C000000}"/>
    <cellStyle name="YellowBack" xfId="11" xr:uid="{00000000-0005-0000-0000-00000D000000}"/>
    <cellStyle name="YellowBack-Centre" xfId="12" xr:uid="{00000000-0005-0000-0000-00000E000000}"/>
  </cellStyles>
  <dxfs count="40"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9" defaultPivotStyle="PivotStyleLight16"/>
  <colors>
    <mruColors>
      <color rgb="FF0504AA"/>
      <color rgb="FF99FF99"/>
      <color rgb="FF4169E1"/>
      <color rgb="FFFFFF66"/>
      <color rgb="FFE9E6D7"/>
      <color rgb="FFFFFF99"/>
      <color rgb="FFFFECAF"/>
      <color rgb="FFB0FEA0"/>
      <color rgb="FF2DDB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020"/>
  <sheetViews>
    <sheetView zoomScaleNormal="100" workbookViewId="0">
      <selection activeCell="O15" sqref="O15"/>
    </sheetView>
  </sheetViews>
  <sheetFormatPr defaultRowHeight="14.45"/>
  <cols>
    <col min="1" max="1" width="8.85546875" style="5"/>
    <col min="2" max="2" width="6.7109375" bestFit="1" customWidth="1"/>
    <col min="3" max="3" width="8.7109375" bestFit="1" customWidth="1"/>
    <col min="4" max="4" width="11.28515625" customWidth="1"/>
    <col min="6" max="6" width="3.42578125" style="5" customWidth="1"/>
    <col min="9" max="9" width="11.28515625" bestFit="1" customWidth="1"/>
    <col min="11" max="11" width="32.7109375" style="5" customWidth="1"/>
    <col min="12" max="12" width="9.5703125" bestFit="1" customWidth="1"/>
    <col min="13" max="13" width="18" bestFit="1" customWidth="1"/>
    <col min="15" max="48" width="8.85546875" style="5"/>
  </cols>
  <sheetData>
    <row r="1" spans="2:16">
      <c r="B1" s="5"/>
      <c r="C1" s="163" t="s">
        <v>0</v>
      </c>
      <c r="D1" s="163"/>
      <c r="E1" s="163"/>
      <c r="G1" s="5"/>
      <c r="H1" s="163" t="s">
        <v>1</v>
      </c>
      <c r="I1" s="163"/>
      <c r="J1" s="163"/>
      <c r="L1" s="163" t="s">
        <v>2</v>
      </c>
      <c r="M1" s="163"/>
      <c r="N1" s="163"/>
    </row>
    <row r="2" spans="2:16">
      <c r="B2" s="1"/>
      <c r="C2" s="1" t="s">
        <v>3</v>
      </c>
      <c r="D2" s="1" t="s">
        <v>4</v>
      </c>
      <c r="E2" s="1" t="s">
        <v>5</v>
      </c>
      <c r="G2" s="1"/>
      <c r="H2" s="1" t="s">
        <v>3</v>
      </c>
      <c r="I2" s="1" t="s">
        <v>4</v>
      </c>
      <c r="J2" s="1" t="s">
        <v>5</v>
      </c>
      <c r="L2" s="71"/>
      <c r="M2" s="71"/>
      <c r="N2" s="71"/>
    </row>
    <row r="3" spans="2:16">
      <c r="B3" s="1" t="s">
        <v>6</v>
      </c>
      <c r="C3" s="1">
        <v>72</v>
      </c>
      <c r="D3" s="1">
        <v>79</v>
      </c>
      <c r="E3" s="1">
        <v>136</v>
      </c>
      <c r="G3" s="1" t="s">
        <v>6</v>
      </c>
      <c r="H3" s="1">
        <v>72</v>
      </c>
      <c r="I3" s="1">
        <v>72.7</v>
      </c>
      <c r="J3" s="1">
        <v>124</v>
      </c>
      <c r="L3" s="71"/>
      <c r="M3" s="71"/>
      <c r="N3" s="71"/>
    </row>
    <row r="4" spans="2:16">
      <c r="B4" s="1" t="s">
        <v>7</v>
      </c>
      <c r="C4" s="1">
        <v>72</v>
      </c>
      <c r="D4" s="1">
        <v>71.599999999999994</v>
      </c>
      <c r="E4" s="1">
        <v>119</v>
      </c>
      <c r="G4" s="1" t="s">
        <v>7</v>
      </c>
      <c r="H4" s="1">
        <v>72</v>
      </c>
      <c r="I4" s="1">
        <v>77.7</v>
      </c>
      <c r="J4" s="1">
        <v>137</v>
      </c>
      <c r="L4" s="71"/>
      <c r="M4" s="71"/>
      <c r="N4" s="71"/>
    </row>
    <row r="5" spans="2:16">
      <c r="B5" s="1" t="s">
        <v>8</v>
      </c>
      <c r="C5" s="1">
        <v>72</v>
      </c>
      <c r="D5" s="1">
        <v>68.7</v>
      </c>
      <c r="E5" s="1">
        <v>116</v>
      </c>
      <c r="G5" s="1" t="s">
        <v>8</v>
      </c>
      <c r="H5" s="1">
        <v>72</v>
      </c>
      <c r="I5" s="1">
        <v>75</v>
      </c>
      <c r="J5" s="1">
        <v>130</v>
      </c>
      <c r="L5" s="71"/>
      <c r="M5" s="71"/>
      <c r="N5" s="71"/>
    </row>
    <row r="6" spans="2:16">
      <c r="B6" s="1" t="s">
        <v>9</v>
      </c>
      <c r="C6" s="1">
        <v>72</v>
      </c>
      <c r="D6" s="1">
        <v>67</v>
      </c>
      <c r="E6" s="1">
        <v>111</v>
      </c>
      <c r="G6" s="1" t="s">
        <v>9</v>
      </c>
      <c r="H6" s="1">
        <v>72</v>
      </c>
      <c r="I6" s="1">
        <v>72.7</v>
      </c>
      <c r="J6" s="1">
        <v>123</v>
      </c>
      <c r="L6" s="71"/>
      <c r="M6" s="71"/>
      <c r="N6" s="71"/>
    </row>
    <row r="7" spans="2:16">
      <c r="B7" s="5"/>
      <c r="C7" s="70"/>
      <c r="D7" s="70"/>
      <c r="E7" s="70"/>
      <c r="G7" s="5"/>
      <c r="H7" s="70"/>
      <c r="I7" s="70"/>
      <c r="J7" s="70"/>
      <c r="L7" s="70"/>
      <c r="M7" s="70"/>
      <c r="N7" s="70"/>
    </row>
    <row r="8" spans="2:16" ht="16.899999999999999" customHeight="1">
      <c r="B8" s="5"/>
      <c r="C8" s="5"/>
      <c r="D8" s="5"/>
      <c r="E8" s="5"/>
      <c r="G8" s="5"/>
      <c r="H8" s="5"/>
      <c r="I8" s="5"/>
      <c r="J8" s="5"/>
      <c r="L8" s="50" t="s">
        <v>1</v>
      </c>
      <c r="M8" s="72"/>
      <c r="N8" s="5"/>
      <c r="P8" s="70" t="s">
        <v>10</v>
      </c>
    </row>
    <row r="9" spans="2:16">
      <c r="B9" s="5"/>
      <c r="C9" s="154" t="s">
        <v>11</v>
      </c>
      <c r="D9" s="154"/>
      <c r="E9" s="154"/>
      <c r="G9" s="5"/>
      <c r="H9" s="154" t="s">
        <v>12</v>
      </c>
      <c r="I9" s="154"/>
      <c r="J9" s="154"/>
      <c r="L9" s="154" t="s">
        <v>11</v>
      </c>
      <c r="M9" s="154"/>
      <c r="N9" s="154"/>
      <c r="P9" s="10">
        <v>25</v>
      </c>
    </row>
    <row r="10" spans="2:16">
      <c r="B10" s="5"/>
      <c r="C10" s="1" t="s">
        <v>13</v>
      </c>
      <c r="D10" s="11">
        <v>-100</v>
      </c>
      <c r="E10" s="10">
        <v>6</v>
      </c>
      <c r="G10" s="5"/>
      <c r="H10" s="1" t="s">
        <v>13</v>
      </c>
      <c r="I10" s="11">
        <v>-999</v>
      </c>
      <c r="J10" s="10">
        <v>6.5</v>
      </c>
      <c r="L10" s="48" t="s">
        <v>13</v>
      </c>
      <c r="M10" s="49">
        <f>IF($L$8="Men",D10,I10)</f>
        <v>-999</v>
      </c>
      <c r="N10" s="49">
        <f>IF($L$8="Men",E10,J10)</f>
        <v>6.5</v>
      </c>
    </row>
    <row r="11" spans="2:16">
      <c r="B11" s="5"/>
      <c r="C11" s="1"/>
      <c r="D11" s="2" t="s">
        <v>14</v>
      </c>
      <c r="E11" s="10">
        <v>25</v>
      </c>
      <c r="G11" s="5"/>
      <c r="H11" s="1"/>
      <c r="I11" s="2" t="s">
        <v>14</v>
      </c>
      <c r="J11" s="10">
        <v>100</v>
      </c>
      <c r="L11" s="48"/>
      <c r="M11" s="49" t="s">
        <v>14</v>
      </c>
      <c r="N11" s="49">
        <f>IF($L$8="Men",E11,J11)</f>
        <v>100</v>
      </c>
    </row>
    <row r="12" spans="2:16">
      <c r="B12" s="5"/>
      <c r="C12" s="11" t="s">
        <v>7</v>
      </c>
      <c r="D12" s="2" t="s">
        <v>15</v>
      </c>
      <c r="E12" s="2">
        <f>VLOOKUP(C12,$B$3:$E$6,2,FALSE)</f>
        <v>72</v>
      </c>
      <c r="G12" s="5"/>
      <c r="H12" s="11" t="s">
        <v>9</v>
      </c>
      <c r="I12" s="2" t="s">
        <v>15</v>
      </c>
      <c r="J12" s="2">
        <f>VLOOKUP(H12,$G$3:$J$6,2,FALSE)</f>
        <v>72</v>
      </c>
      <c r="L12" s="49" t="str">
        <f>IF($L$8="Men",C12,H12)</f>
        <v>Red</v>
      </c>
      <c r="M12" s="49" t="s">
        <v>15</v>
      </c>
      <c r="N12" s="49">
        <f>IF($L$8="Men",E12,J12)</f>
        <v>72</v>
      </c>
    </row>
    <row r="13" spans="2:16">
      <c r="B13" s="5"/>
      <c r="C13" s="2" t="str">
        <f>C12</f>
        <v>White</v>
      </c>
      <c r="D13" s="2" t="s">
        <v>4</v>
      </c>
      <c r="E13" s="2">
        <f>VLOOKUP(C13,$B$3:$E$6,3,FALSE)</f>
        <v>71.599999999999994</v>
      </c>
      <c r="G13" s="5"/>
      <c r="H13" s="2" t="str">
        <f>H12</f>
        <v>Red</v>
      </c>
      <c r="I13" s="2" t="s">
        <v>4</v>
      </c>
      <c r="J13" s="2">
        <f>VLOOKUP(H13,$G$3:$J$6,3,FALSE)</f>
        <v>72.7</v>
      </c>
      <c r="L13" s="49" t="str">
        <f t="shared" ref="L13:L14" si="0">IF($L$8="Men",C13,H13)</f>
        <v>Red</v>
      </c>
      <c r="M13" s="49" t="s">
        <v>4</v>
      </c>
      <c r="N13" s="49">
        <f>IF($L$8="Men",E13,J13)</f>
        <v>72.7</v>
      </c>
    </row>
    <row r="14" spans="2:16">
      <c r="B14" s="5"/>
      <c r="C14" s="2" t="str">
        <f>C12</f>
        <v>White</v>
      </c>
      <c r="D14" s="2" t="s">
        <v>5</v>
      </c>
      <c r="E14" s="2">
        <f>VLOOKUP(C14,$B$3:$E$6,4,FALSE)</f>
        <v>119</v>
      </c>
      <c r="G14" s="5"/>
      <c r="H14" s="2" t="str">
        <f>H12</f>
        <v>Red</v>
      </c>
      <c r="I14" s="2" t="s">
        <v>5</v>
      </c>
      <c r="J14" s="2">
        <f>VLOOKUP(H14,$G$3:$J$6,4,FALSE)</f>
        <v>123</v>
      </c>
      <c r="L14" s="49" t="str">
        <f t="shared" si="0"/>
        <v>Red</v>
      </c>
      <c r="M14" s="49" t="s">
        <v>5</v>
      </c>
      <c r="N14" s="49">
        <f>IF($L$8="Men",E14,J14)</f>
        <v>123</v>
      </c>
    </row>
    <row r="15" spans="2:16">
      <c r="B15" s="5"/>
      <c r="C15" s="9"/>
      <c r="D15" s="9"/>
      <c r="E15" s="9"/>
      <c r="G15" s="5"/>
      <c r="H15" s="9"/>
      <c r="I15" s="9"/>
      <c r="J15" s="9"/>
      <c r="L15" s="9"/>
      <c r="M15" s="9"/>
      <c r="N15" s="9"/>
    </row>
    <row r="16" spans="2:16">
      <c r="B16" s="5"/>
      <c r="C16" s="154" t="s">
        <v>16</v>
      </c>
      <c r="D16" s="154"/>
      <c r="E16" s="154"/>
      <c r="G16" s="5"/>
      <c r="H16" s="154" t="s">
        <v>17</v>
      </c>
      <c r="I16" s="154"/>
      <c r="J16" s="154"/>
      <c r="L16" s="154" t="s">
        <v>16</v>
      </c>
      <c r="M16" s="154"/>
      <c r="N16" s="154"/>
    </row>
    <row r="17" spans="2:14">
      <c r="B17" s="5"/>
      <c r="C17" s="1" t="s">
        <v>13</v>
      </c>
      <c r="D17" s="11">
        <v>6.1</v>
      </c>
      <c r="E17" s="10">
        <v>14.9</v>
      </c>
      <c r="G17" s="5"/>
      <c r="H17" s="1" t="s">
        <v>13</v>
      </c>
      <c r="I17" s="11">
        <v>6.6</v>
      </c>
      <c r="J17" s="10">
        <v>15.3</v>
      </c>
      <c r="L17" s="48" t="s">
        <v>13</v>
      </c>
      <c r="M17" s="49">
        <f>IF($L$8="Men",D17,I17)</f>
        <v>6.6</v>
      </c>
      <c r="N17" s="49">
        <f>IF($L$8="Men",E17,J17)</f>
        <v>15.3</v>
      </c>
    </row>
    <row r="18" spans="2:14">
      <c r="B18" s="5"/>
      <c r="C18" s="1"/>
      <c r="D18" s="2" t="s">
        <v>14</v>
      </c>
      <c r="E18" s="10">
        <v>100</v>
      </c>
      <c r="G18" s="5"/>
      <c r="H18" s="1"/>
      <c r="I18" s="2" t="s">
        <v>14</v>
      </c>
      <c r="J18" s="10">
        <v>100</v>
      </c>
      <c r="L18" s="48"/>
      <c r="M18" s="49" t="s">
        <v>14</v>
      </c>
      <c r="N18" s="49">
        <f>IF($L$8="Men",E18,J18)</f>
        <v>100</v>
      </c>
    </row>
    <row r="19" spans="2:14">
      <c r="B19" s="5"/>
      <c r="C19" s="11" t="s">
        <v>6</v>
      </c>
      <c r="D19" s="2" t="s">
        <v>15</v>
      </c>
      <c r="E19" s="2">
        <f>VLOOKUP(C19,$B$3:$E$6,2,FALSE)</f>
        <v>72</v>
      </c>
      <c r="G19" s="5"/>
      <c r="H19" s="11" t="s">
        <v>9</v>
      </c>
      <c r="I19" s="2" t="s">
        <v>15</v>
      </c>
      <c r="J19" s="2">
        <f>VLOOKUP(H19,$G$3:$J$6,2,FALSE)</f>
        <v>72</v>
      </c>
      <c r="L19" s="49" t="str">
        <f>IF($L$8="Men",C19,H19)</f>
        <v>Red</v>
      </c>
      <c r="M19" s="49" t="s">
        <v>15</v>
      </c>
      <c r="N19" s="49">
        <f>IF($L$8="Men",E19,J19)</f>
        <v>72</v>
      </c>
    </row>
    <row r="20" spans="2:14">
      <c r="B20" s="5"/>
      <c r="C20" s="2" t="str">
        <f>C19</f>
        <v>Yellow</v>
      </c>
      <c r="D20" s="2" t="s">
        <v>4</v>
      </c>
      <c r="E20" s="2">
        <f>VLOOKUP(C20,$B$3:$E$6,3,FALSE)</f>
        <v>79</v>
      </c>
      <c r="G20" s="5"/>
      <c r="H20" s="2" t="str">
        <f>H19</f>
        <v>Red</v>
      </c>
      <c r="I20" s="2" t="s">
        <v>4</v>
      </c>
      <c r="J20" s="2">
        <f>VLOOKUP(H20,$G$3:$J$6,3,FALSE)</f>
        <v>72.7</v>
      </c>
      <c r="L20" s="49" t="str">
        <f>IF($L$8="Men",C20,H20)</f>
        <v>Red</v>
      </c>
      <c r="M20" s="49" t="s">
        <v>4</v>
      </c>
      <c r="N20" s="49">
        <f>IF($L$8="Men",E20,J20)</f>
        <v>72.7</v>
      </c>
    </row>
    <row r="21" spans="2:14">
      <c r="B21" s="5"/>
      <c r="C21" s="2" t="str">
        <f>C19</f>
        <v>Yellow</v>
      </c>
      <c r="D21" s="2" t="s">
        <v>5</v>
      </c>
      <c r="E21" s="2">
        <f>VLOOKUP(C21,$B$3:$E$6,4,FALSE)</f>
        <v>136</v>
      </c>
      <c r="G21" s="5"/>
      <c r="H21" s="2" t="str">
        <f>H19</f>
        <v>Red</v>
      </c>
      <c r="I21" s="2" t="s">
        <v>5</v>
      </c>
      <c r="J21" s="2">
        <f>VLOOKUP(H21,$G$3:$J$6,4,FALSE)</f>
        <v>123</v>
      </c>
      <c r="L21" s="49" t="str">
        <f>IF($L$8="Men",C21,H21)</f>
        <v>Red</v>
      </c>
      <c r="M21" s="49" t="s">
        <v>5</v>
      </c>
      <c r="N21" s="49">
        <f>IF($L$8="Men",E21,J21)</f>
        <v>123</v>
      </c>
    </row>
    <row r="22" spans="2:14">
      <c r="B22" s="5"/>
      <c r="C22" s="5"/>
      <c r="D22" s="5"/>
      <c r="E22" s="5"/>
      <c r="G22" s="5"/>
      <c r="H22" s="5"/>
      <c r="I22" s="5"/>
      <c r="J22" s="5"/>
      <c r="L22" s="5"/>
      <c r="M22" s="5"/>
      <c r="N22" s="5"/>
    </row>
    <row r="23" spans="2:14">
      <c r="B23" s="5"/>
      <c r="C23" s="154" t="s">
        <v>18</v>
      </c>
      <c r="D23" s="154"/>
      <c r="E23" s="154"/>
      <c r="G23" s="5"/>
      <c r="H23" s="154" t="s">
        <v>18</v>
      </c>
      <c r="I23" s="154"/>
      <c r="J23" s="154"/>
      <c r="L23" s="154" t="s">
        <v>18</v>
      </c>
      <c r="M23" s="154"/>
      <c r="N23" s="154"/>
    </row>
    <row r="24" spans="2:14">
      <c r="B24" s="5"/>
      <c r="C24" s="1" t="s">
        <v>13</v>
      </c>
      <c r="D24" s="11">
        <v>15</v>
      </c>
      <c r="E24" s="10">
        <v>1000</v>
      </c>
      <c r="G24" s="5"/>
      <c r="H24" s="1" t="s">
        <v>13</v>
      </c>
      <c r="I24" s="11">
        <v>15.4</v>
      </c>
      <c r="J24" s="10">
        <v>10001</v>
      </c>
      <c r="L24" s="48" t="s">
        <v>13</v>
      </c>
      <c r="M24" s="49">
        <f>IF($L$8="Men",D24,I24)</f>
        <v>15.4</v>
      </c>
      <c r="N24" s="49">
        <f>IF($L$8="Men",E24,J24)</f>
        <v>10001</v>
      </c>
    </row>
    <row r="25" spans="2:14">
      <c r="B25" s="5"/>
      <c r="C25" s="1"/>
      <c r="D25" s="2" t="s">
        <v>14</v>
      </c>
      <c r="E25" s="10">
        <v>100</v>
      </c>
      <c r="G25" s="5"/>
      <c r="H25" s="1"/>
      <c r="I25" s="2" t="s">
        <v>14</v>
      </c>
      <c r="J25" s="10">
        <v>100</v>
      </c>
      <c r="L25" s="48"/>
      <c r="M25" s="49" t="s">
        <v>14</v>
      </c>
      <c r="N25" s="49">
        <f>IF($L$8="Men",E25,J25)</f>
        <v>100</v>
      </c>
    </row>
    <row r="26" spans="2:14">
      <c r="B26" s="5"/>
      <c r="C26" s="11" t="s">
        <v>6</v>
      </c>
      <c r="D26" s="2" t="s">
        <v>15</v>
      </c>
      <c r="E26" s="2">
        <f>VLOOKUP(C26,$B$3:$E$6,2,FALSE)</f>
        <v>72</v>
      </c>
      <c r="G26" s="5"/>
      <c r="H26" s="11" t="s">
        <v>9</v>
      </c>
      <c r="I26" s="2" t="s">
        <v>15</v>
      </c>
      <c r="J26" s="2">
        <f>VLOOKUP(H26,$G$3:$J$6,2,FALSE)</f>
        <v>72</v>
      </c>
      <c r="L26" s="49" t="str">
        <f>IF($L$8="Men",C26,H26)</f>
        <v>Red</v>
      </c>
      <c r="M26" s="49" t="s">
        <v>15</v>
      </c>
      <c r="N26" s="49">
        <f>IF($L$8="Men",E26,J26)</f>
        <v>72</v>
      </c>
    </row>
    <row r="27" spans="2:14">
      <c r="B27" s="5"/>
      <c r="C27" s="2" t="str">
        <f>C26</f>
        <v>Yellow</v>
      </c>
      <c r="D27" s="2" t="s">
        <v>4</v>
      </c>
      <c r="E27" s="2">
        <f>VLOOKUP(C27,$B$3:$E$6,3,FALSE)</f>
        <v>79</v>
      </c>
      <c r="G27" s="5"/>
      <c r="H27" s="2" t="str">
        <f>H26</f>
        <v>Red</v>
      </c>
      <c r="I27" s="2" t="s">
        <v>4</v>
      </c>
      <c r="J27" s="2">
        <f>VLOOKUP(H27,$G$3:$J$6,3,FALSE)</f>
        <v>72.7</v>
      </c>
      <c r="L27" s="49" t="str">
        <f>IF($L$8="Men",C27,H27)</f>
        <v>Red</v>
      </c>
      <c r="M27" s="49" t="s">
        <v>4</v>
      </c>
      <c r="N27" s="49">
        <f>IF($L$8="Men",E27,J27)</f>
        <v>72.7</v>
      </c>
    </row>
    <row r="28" spans="2:14">
      <c r="B28" s="5"/>
      <c r="C28" s="2" t="str">
        <f>C26</f>
        <v>Yellow</v>
      </c>
      <c r="D28" s="2" t="s">
        <v>5</v>
      </c>
      <c r="E28" s="2">
        <f>VLOOKUP(C28,$B$3:$E$6,4,FALSE)</f>
        <v>136</v>
      </c>
      <c r="G28" s="5"/>
      <c r="H28" s="2" t="str">
        <f>H26</f>
        <v>Red</v>
      </c>
      <c r="I28" s="2" t="s">
        <v>5</v>
      </c>
      <c r="J28" s="2">
        <f>VLOOKUP(H28,$G$3:$J$6,4,FALSE)</f>
        <v>123</v>
      </c>
      <c r="L28" s="49" t="str">
        <f>IF($L$8="Men",C28,H28)</f>
        <v>Red</v>
      </c>
      <c r="M28" s="49" t="s">
        <v>5</v>
      </c>
      <c r="N28" s="49">
        <f>IF($L$8="Men",E28,J28)</f>
        <v>123</v>
      </c>
    </row>
    <row r="29" spans="2:14">
      <c r="B29" s="5"/>
      <c r="C29" s="5"/>
      <c r="D29" s="5"/>
      <c r="E29" s="5"/>
      <c r="G29" s="5"/>
      <c r="H29" s="5"/>
      <c r="I29" s="5"/>
      <c r="J29" s="5"/>
      <c r="L29" s="5"/>
      <c r="M29" s="5"/>
      <c r="N29" s="5"/>
    </row>
    <row r="30" spans="2:14">
      <c r="B30" s="5"/>
      <c r="C30" s="154" t="s">
        <v>19</v>
      </c>
      <c r="D30" s="154"/>
      <c r="E30" s="154"/>
      <c r="G30" s="5"/>
      <c r="H30" s="154" t="s">
        <v>19</v>
      </c>
      <c r="I30" s="154"/>
      <c r="J30" s="154"/>
      <c r="L30" s="154" t="s">
        <v>19</v>
      </c>
      <c r="M30" s="154"/>
      <c r="N30" s="154"/>
    </row>
    <row r="31" spans="2:14">
      <c r="B31" s="5"/>
      <c r="C31" s="160" t="s">
        <v>20</v>
      </c>
      <c r="D31" s="161"/>
      <c r="E31" s="162"/>
      <c r="G31" s="5"/>
      <c r="H31" s="1" t="s">
        <v>20</v>
      </c>
      <c r="I31" s="2"/>
      <c r="J31" s="1"/>
      <c r="L31" s="48" t="s">
        <v>20</v>
      </c>
      <c r="M31" s="49"/>
      <c r="N31" s="48"/>
    </row>
    <row r="32" spans="2:14">
      <c r="B32" s="5"/>
      <c r="C32" s="1"/>
      <c r="D32" s="2" t="s">
        <v>14</v>
      </c>
      <c r="E32" s="10">
        <v>100</v>
      </c>
      <c r="G32" s="5"/>
      <c r="H32" s="1"/>
      <c r="I32" s="2" t="s">
        <v>14</v>
      </c>
      <c r="J32" s="10">
        <v>100</v>
      </c>
      <c r="L32" s="48"/>
      <c r="M32" s="49" t="s">
        <v>14</v>
      </c>
      <c r="N32" s="49">
        <f>IF($L$8="Men",E32,J32)</f>
        <v>100</v>
      </c>
    </row>
    <row r="33" spans="2:14">
      <c r="B33" s="5"/>
      <c r="C33" s="11" t="s">
        <v>8</v>
      </c>
      <c r="D33" s="2" t="s">
        <v>15</v>
      </c>
      <c r="E33" s="2">
        <f>VLOOKUP(C33,$B$3:$E$6,2,FALSE)</f>
        <v>72</v>
      </c>
      <c r="G33" s="5"/>
      <c r="H33" s="11" t="s">
        <v>9</v>
      </c>
      <c r="I33" s="2" t="s">
        <v>15</v>
      </c>
      <c r="J33" s="2">
        <f>VLOOKUP(H33,$G$3:$J$6,2,FALSE)</f>
        <v>72</v>
      </c>
      <c r="L33" s="49" t="str">
        <f>IF($L$8="Men",C33,H33)</f>
        <v>Red</v>
      </c>
      <c r="M33" s="49" t="s">
        <v>15</v>
      </c>
      <c r="N33" s="49">
        <f>IF($L$8="Men",E33,J33)</f>
        <v>72</v>
      </c>
    </row>
    <row r="34" spans="2:14">
      <c r="B34" s="5"/>
      <c r="C34" s="2" t="str">
        <f>C33</f>
        <v>Blue</v>
      </c>
      <c r="D34" s="2" t="s">
        <v>4</v>
      </c>
      <c r="E34" s="2">
        <f>VLOOKUP(C34,$B$3:$E$6,3,FALSE)</f>
        <v>68.7</v>
      </c>
      <c r="G34" s="5"/>
      <c r="H34" s="2" t="str">
        <f>H33</f>
        <v>Red</v>
      </c>
      <c r="I34" s="2" t="s">
        <v>4</v>
      </c>
      <c r="J34" s="2">
        <f>VLOOKUP(H34,$G$3:$J$6,3,FALSE)</f>
        <v>72.7</v>
      </c>
      <c r="L34" s="49" t="str">
        <f>IF($L$8="Men",C34,H34)</f>
        <v>Red</v>
      </c>
      <c r="M34" s="49" t="s">
        <v>4</v>
      </c>
      <c r="N34" s="49">
        <f>IF($L$8="Men",E34,J34)</f>
        <v>72.7</v>
      </c>
    </row>
    <row r="35" spans="2:14">
      <c r="B35" s="5"/>
      <c r="C35" s="2" t="str">
        <f>C33</f>
        <v>Blue</v>
      </c>
      <c r="D35" s="2" t="s">
        <v>5</v>
      </c>
      <c r="E35" s="2">
        <f>VLOOKUP(C35,$B$3:$E$6,4,FALSE)</f>
        <v>116</v>
      </c>
      <c r="G35" s="5"/>
      <c r="H35" s="2" t="str">
        <f>H33</f>
        <v>Red</v>
      </c>
      <c r="I35" s="2" t="s">
        <v>5</v>
      </c>
      <c r="J35" s="2">
        <f>VLOOKUP(H35,$G$3:$J$6,4,FALSE)</f>
        <v>123</v>
      </c>
      <c r="L35" s="49" t="str">
        <f>IF($L$8="Men",C35,H35)</f>
        <v>Red</v>
      </c>
      <c r="M35" s="49" t="s">
        <v>5</v>
      </c>
      <c r="N35" s="49">
        <f>IF($L$8="Men",E35,J35)</f>
        <v>123</v>
      </c>
    </row>
    <row r="36" spans="2:14" s="5" customFormat="1"/>
    <row r="37" spans="2:14" s="5" customFormat="1">
      <c r="L37" s="94" t="s">
        <v>21</v>
      </c>
      <c r="M37" s="94"/>
      <c r="N37" s="94">
        <v>36</v>
      </c>
    </row>
    <row r="38" spans="2:14" s="5" customFormat="1"/>
    <row r="39" spans="2:14" s="5" customFormat="1"/>
    <row r="40" spans="2:14" s="5" customFormat="1"/>
    <row r="41" spans="2:14" s="5" customFormat="1"/>
    <row r="42" spans="2:14" s="5" customFormat="1"/>
    <row r="43" spans="2:14" s="5" customFormat="1"/>
    <row r="44" spans="2:14" s="5" customFormat="1"/>
    <row r="45" spans="2:14" s="5" customFormat="1"/>
    <row r="46" spans="2:14" s="5" customFormat="1"/>
    <row r="47" spans="2:14" s="5" customFormat="1"/>
    <row r="48" spans="2:14" s="5" customFormat="1"/>
    <row r="49" s="5" customFormat="1"/>
    <row r="50" s="5" customFormat="1"/>
    <row r="51" s="5" customFormat="1"/>
    <row r="52" s="5" customFormat="1"/>
    <row r="53" s="5" customFormat="1"/>
    <row r="54" s="5" customFormat="1"/>
    <row r="55" s="5" customFormat="1"/>
    <row r="56" s="5" customFormat="1"/>
    <row r="57" s="5" customFormat="1"/>
    <row r="58" s="5" customFormat="1"/>
    <row r="59" s="5" customFormat="1"/>
    <row r="60" s="5" customFormat="1"/>
    <row r="61" s="5" customFormat="1"/>
    <row r="62" s="5" customFormat="1"/>
    <row r="63" s="5" customFormat="1"/>
    <row r="64" s="5" customFormat="1"/>
    <row r="65" s="5" customFormat="1"/>
    <row r="66" s="5" customFormat="1"/>
    <row r="67" s="5" customFormat="1"/>
    <row r="68" s="5" customFormat="1"/>
    <row r="69" s="5" customFormat="1"/>
    <row r="70" s="5" customFormat="1"/>
    <row r="71" s="5" customFormat="1"/>
    <row r="72" s="5" customFormat="1"/>
    <row r="73" s="5" customFormat="1"/>
    <row r="74" s="5" customFormat="1"/>
    <row r="75" s="5" customFormat="1"/>
    <row r="76" s="5" customFormat="1"/>
    <row r="77" s="5" customFormat="1"/>
    <row r="78" s="5" customFormat="1"/>
    <row r="79" s="5" customFormat="1"/>
    <row r="80" s="5" customFormat="1"/>
    <row r="81" s="5" customFormat="1"/>
    <row r="82" s="5" customFormat="1"/>
    <row r="83" s="5" customFormat="1"/>
    <row r="84" s="5" customFormat="1"/>
    <row r="85" s="5" customFormat="1"/>
    <row r="86" s="5" customFormat="1"/>
    <row r="87" s="5" customFormat="1"/>
    <row r="88" s="5" customFormat="1"/>
    <row r="89" s="5" customFormat="1"/>
    <row r="90" s="5" customFormat="1"/>
    <row r="91" s="5" customFormat="1"/>
    <row r="92" s="5" customFormat="1"/>
    <row r="93" s="5" customFormat="1"/>
    <row r="94" s="5" customFormat="1"/>
    <row r="95" s="5" customFormat="1"/>
    <row r="96" s="5" customFormat="1"/>
    <row r="97" s="5" customFormat="1"/>
    <row r="98" s="5" customFormat="1"/>
    <row r="99" s="5" customFormat="1"/>
    <row r="100" s="5" customFormat="1"/>
    <row r="101" s="5" customFormat="1"/>
    <row r="102" s="5" customFormat="1"/>
    <row r="103" s="5" customFormat="1"/>
    <row r="104" s="5" customFormat="1"/>
    <row r="105" s="5" customFormat="1"/>
    <row r="106" s="5" customFormat="1"/>
    <row r="107" s="5" customFormat="1"/>
    <row r="108" s="5" customFormat="1"/>
    <row r="109" s="5" customFormat="1"/>
    <row r="110" s="5" customFormat="1"/>
    <row r="111" s="5" customFormat="1"/>
    <row r="112" s="5" customFormat="1"/>
    <row r="113" s="5" customFormat="1"/>
    <row r="114" s="5" customFormat="1"/>
    <row r="115" s="5" customFormat="1"/>
    <row r="116" s="5" customFormat="1"/>
    <row r="117" s="5" customFormat="1"/>
    <row r="118" s="5" customFormat="1"/>
    <row r="119" s="5" customFormat="1"/>
    <row r="120" s="5" customFormat="1"/>
    <row r="121" s="5" customFormat="1"/>
    <row r="122" s="5" customFormat="1"/>
    <row r="123" s="5" customFormat="1"/>
    <row r="124" s="5" customFormat="1"/>
    <row r="125" s="5" customFormat="1"/>
    <row r="126" s="5" customFormat="1"/>
    <row r="127" s="5" customFormat="1"/>
    <row r="128" s="5" customFormat="1"/>
    <row r="129" s="5" customFormat="1"/>
    <row r="130" s="5" customFormat="1"/>
    <row r="131" s="5" customFormat="1"/>
    <row r="132" s="5" customFormat="1"/>
    <row r="133" s="5" customFormat="1"/>
    <row r="134" s="5" customFormat="1"/>
    <row r="135" s="5" customFormat="1"/>
    <row r="136" s="5" customFormat="1"/>
    <row r="137" s="5" customFormat="1"/>
    <row r="138" s="5" customFormat="1"/>
    <row r="139" s="5" customFormat="1"/>
    <row r="140" s="5" customFormat="1"/>
    <row r="141" s="5" customFormat="1"/>
    <row r="142" s="5" customFormat="1"/>
    <row r="143" s="5" customFormat="1"/>
    <row r="144" s="5" customFormat="1"/>
    <row r="145" s="5" customFormat="1"/>
    <row r="146" s="5" customFormat="1"/>
    <row r="147" s="5" customFormat="1"/>
    <row r="148" s="5" customFormat="1"/>
    <row r="149" s="5" customFormat="1"/>
    <row r="150" s="5" customFormat="1"/>
    <row r="151" s="5" customFormat="1"/>
    <row r="152" s="5" customFormat="1"/>
    <row r="153" s="5" customFormat="1"/>
    <row r="154" s="5" customFormat="1"/>
    <row r="155" s="5" customFormat="1"/>
    <row r="156" s="5" customFormat="1"/>
    <row r="157" s="5" customFormat="1"/>
    <row r="158" s="5" customFormat="1"/>
    <row r="159" s="5" customFormat="1"/>
    <row r="160" s="5" customFormat="1"/>
    <row r="161" s="5" customFormat="1"/>
    <row r="162" s="5" customFormat="1"/>
    <row r="163" s="5" customFormat="1"/>
    <row r="164" s="5" customFormat="1"/>
    <row r="165" s="5" customFormat="1"/>
    <row r="166" s="5" customFormat="1"/>
    <row r="167" s="5" customFormat="1"/>
    <row r="168" s="5" customFormat="1"/>
    <row r="169" s="5" customFormat="1"/>
    <row r="170" s="5" customFormat="1"/>
    <row r="171" s="5" customFormat="1"/>
    <row r="172" s="5" customFormat="1"/>
    <row r="173" s="5" customFormat="1"/>
    <row r="174" s="5" customFormat="1"/>
    <row r="175" s="5" customFormat="1"/>
    <row r="176" s="5" customFormat="1"/>
    <row r="177" s="5" customFormat="1"/>
    <row r="178" s="5" customFormat="1"/>
    <row r="179" s="5" customFormat="1"/>
    <row r="180" s="5" customFormat="1"/>
    <row r="181" s="5" customFormat="1"/>
    <row r="182" s="5" customFormat="1"/>
    <row r="183" s="5" customFormat="1"/>
    <row r="184" s="5" customFormat="1"/>
    <row r="185" s="5" customFormat="1"/>
    <row r="186" s="5" customFormat="1"/>
    <row r="187" s="5" customFormat="1"/>
    <row r="188" s="5" customFormat="1"/>
    <row r="189" s="5" customFormat="1"/>
    <row r="190" s="5" customFormat="1"/>
    <row r="191" s="5" customFormat="1"/>
    <row r="192" s="5" customFormat="1"/>
    <row r="193" s="5" customFormat="1"/>
    <row r="194" s="5" customFormat="1"/>
    <row r="195" s="5" customFormat="1"/>
    <row r="196" s="5" customFormat="1"/>
    <row r="197" s="5" customFormat="1"/>
    <row r="198" s="5" customFormat="1"/>
    <row r="199" s="5" customFormat="1"/>
    <row r="200" s="5" customFormat="1"/>
    <row r="201" s="5" customFormat="1"/>
    <row r="202" s="5" customFormat="1"/>
    <row r="203" s="5" customFormat="1"/>
    <row r="204" s="5" customFormat="1"/>
    <row r="205" s="5" customFormat="1"/>
    <row r="206" s="5" customFormat="1"/>
    <row r="207" s="5" customFormat="1"/>
    <row r="208" s="5" customFormat="1"/>
    <row r="209" s="5" customFormat="1"/>
    <row r="210" s="5" customFormat="1"/>
    <row r="211" s="5" customFormat="1"/>
    <row r="212" s="5" customFormat="1"/>
    <row r="213" s="5" customFormat="1"/>
    <row r="214" s="5" customFormat="1"/>
    <row r="215" s="5" customFormat="1"/>
    <row r="216" s="5" customFormat="1"/>
    <row r="217" s="5" customFormat="1"/>
    <row r="218" s="5" customFormat="1"/>
    <row r="219" s="5" customFormat="1"/>
    <row r="220" s="5" customFormat="1"/>
    <row r="221" s="5" customFormat="1"/>
    <row r="222" s="5" customFormat="1"/>
    <row r="223" s="5" customFormat="1"/>
    <row r="224" s="5" customFormat="1"/>
    <row r="225" s="5" customFormat="1"/>
    <row r="226" s="5" customFormat="1"/>
    <row r="227" s="5" customFormat="1"/>
    <row r="228" s="5" customFormat="1"/>
    <row r="229" s="5" customFormat="1"/>
    <row r="230" s="5" customFormat="1"/>
    <row r="231" s="5" customFormat="1"/>
    <row r="232" s="5" customFormat="1"/>
    <row r="233" s="5" customFormat="1"/>
    <row r="234" s="5" customFormat="1"/>
    <row r="235" s="5" customFormat="1"/>
    <row r="236" s="5" customFormat="1"/>
    <row r="237" s="5" customFormat="1"/>
    <row r="238" s="5" customFormat="1"/>
    <row r="239" s="5" customFormat="1"/>
    <row r="240" s="5" customFormat="1"/>
    <row r="241" s="5" customFormat="1"/>
    <row r="242" s="5" customFormat="1"/>
    <row r="243" s="5" customFormat="1"/>
    <row r="244" s="5" customFormat="1"/>
    <row r="245" s="5" customFormat="1"/>
    <row r="246" s="5" customFormat="1"/>
    <row r="247" s="5" customFormat="1"/>
    <row r="248" s="5" customFormat="1"/>
    <row r="249" s="5" customFormat="1"/>
    <row r="250" s="5" customFormat="1"/>
    <row r="251" s="5" customFormat="1"/>
    <row r="252" s="5" customFormat="1"/>
    <row r="253" s="5" customFormat="1"/>
    <row r="254" s="5" customFormat="1"/>
    <row r="255" s="5" customFormat="1"/>
    <row r="256" s="5" customFormat="1"/>
    <row r="257" s="5" customFormat="1"/>
    <row r="258" s="5" customFormat="1"/>
    <row r="259" s="5" customFormat="1"/>
    <row r="260" s="5" customFormat="1"/>
    <row r="261" s="5" customFormat="1"/>
    <row r="262" s="5" customFormat="1"/>
    <row r="263" s="5" customFormat="1"/>
    <row r="264" s="5" customFormat="1"/>
    <row r="265" s="5" customFormat="1"/>
    <row r="266" s="5" customFormat="1"/>
    <row r="267" s="5" customFormat="1"/>
    <row r="268" s="5" customFormat="1"/>
    <row r="269" s="5" customFormat="1"/>
    <row r="270" s="5" customFormat="1"/>
    <row r="271" s="5" customFormat="1"/>
    <row r="272" s="5" customFormat="1"/>
    <row r="273" s="5" customFormat="1"/>
    <row r="274" s="5" customFormat="1"/>
    <row r="275" s="5" customFormat="1"/>
    <row r="276" s="5" customFormat="1"/>
    <row r="277" s="5" customFormat="1"/>
    <row r="278" s="5" customFormat="1"/>
    <row r="279" s="5" customFormat="1"/>
    <row r="280" s="5" customFormat="1"/>
    <row r="281" s="5" customFormat="1"/>
    <row r="282" s="5" customFormat="1"/>
    <row r="283" s="5" customFormat="1"/>
    <row r="284" s="5" customFormat="1"/>
    <row r="285" s="5" customFormat="1"/>
    <row r="286" s="5" customFormat="1"/>
    <row r="287" s="5" customFormat="1"/>
    <row r="288" s="5" customFormat="1"/>
    <row r="289" s="5" customFormat="1"/>
    <row r="290" s="5" customFormat="1"/>
    <row r="291" s="5" customFormat="1"/>
    <row r="292" s="5" customFormat="1"/>
    <row r="293" s="5" customFormat="1"/>
    <row r="294" s="5" customFormat="1"/>
    <row r="295" s="5" customFormat="1"/>
    <row r="296" s="5" customFormat="1"/>
    <row r="297" s="5" customFormat="1"/>
    <row r="298" s="5" customFormat="1"/>
    <row r="299" s="5" customFormat="1"/>
    <row r="300" s="5" customFormat="1"/>
    <row r="301" s="5" customFormat="1"/>
    <row r="302" s="5" customFormat="1"/>
    <row r="303" s="5" customFormat="1"/>
    <row r="304" s="5" customFormat="1"/>
    <row r="305" s="5" customFormat="1"/>
    <row r="306" s="5" customFormat="1"/>
    <row r="307" s="5" customFormat="1"/>
    <row r="308" s="5" customFormat="1"/>
    <row r="309" s="5" customFormat="1"/>
    <row r="310" s="5" customFormat="1"/>
    <row r="311" s="5" customFormat="1"/>
    <row r="312" s="5" customFormat="1"/>
    <row r="313" s="5" customFormat="1"/>
    <row r="314" s="5" customFormat="1"/>
    <row r="315" s="5" customFormat="1"/>
    <row r="316" s="5" customFormat="1"/>
    <row r="317" s="5" customFormat="1"/>
    <row r="318" s="5" customFormat="1"/>
    <row r="319" s="5" customFormat="1"/>
    <row r="320" s="5" customFormat="1"/>
    <row r="321" s="5" customFormat="1"/>
    <row r="322" s="5" customFormat="1"/>
    <row r="323" s="5" customFormat="1"/>
    <row r="324" s="5" customFormat="1"/>
    <row r="325" s="5" customFormat="1"/>
    <row r="326" s="5" customFormat="1"/>
    <row r="327" s="5" customFormat="1"/>
    <row r="328" s="5" customFormat="1"/>
    <row r="329" s="5" customFormat="1"/>
    <row r="330" s="5" customFormat="1"/>
    <row r="331" s="5" customFormat="1"/>
    <row r="332" s="5" customFormat="1"/>
    <row r="333" s="5" customFormat="1"/>
    <row r="334" s="5" customFormat="1"/>
    <row r="335" s="5" customFormat="1"/>
    <row r="336" s="5" customFormat="1"/>
    <row r="337" s="5" customFormat="1"/>
    <row r="338" s="5" customFormat="1"/>
    <row r="339" s="5" customFormat="1"/>
    <row r="340" s="5" customFormat="1"/>
    <row r="341" s="5" customFormat="1"/>
    <row r="342" s="5" customFormat="1"/>
    <row r="343" s="5" customFormat="1"/>
    <row r="344" s="5" customFormat="1"/>
    <row r="345" s="5" customFormat="1"/>
    <row r="346" s="5" customFormat="1"/>
    <row r="347" s="5" customFormat="1"/>
    <row r="348" s="5" customFormat="1"/>
    <row r="349" s="5" customFormat="1"/>
    <row r="350" s="5" customFormat="1"/>
    <row r="351" s="5" customFormat="1"/>
    <row r="352" s="5" customFormat="1"/>
    <row r="353" s="5" customFormat="1"/>
    <row r="354" s="5" customFormat="1"/>
    <row r="355" s="5" customFormat="1"/>
    <row r="356" s="5" customFormat="1"/>
    <row r="357" s="5" customFormat="1"/>
    <row r="358" s="5" customFormat="1"/>
    <row r="359" s="5" customFormat="1"/>
    <row r="360" s="5" customFormat="1"/>
    <row r="361" s="5" customFormat="1"/>
    <row r="362" s="5" customFormat="1"/>
    <row r="363" s="5" customFormat="1"/>
    <row r="364" s="5" customFormat="1"/>
    <row r="365" s="5" customFormat="1"/>
    <row r="366" s="5" customFormat="1"/>
    <row r="367" s="5" customFormat="1"/>
    <row r="368" s="5" customFormat="1"/>
    <row r="369" s="5" customFormat="1"/>
    <row r="370" s="5" customFormat="1"/>
    <row r="371" s="5" customFormat="1"/>
    <row r="372" s="5" customFormat="1"/>
    <row r="373" s="5" customFormat="1"/>
    <row r="374" s="5" customFormat="1"/>
    <row r="375" s="5" customFormat="1"/>
    <row r="376" s="5" customFormat="1"/>
    <row r="377" s="5" customFormat="1"/>
    <row r="378" s="5" customFormat="1"/>
    <row r="379" s="5" customFormat="1"/>
    <row r="380" s="5" customFormat="1"/>
    <row r="381" s="5" customFormat="1"/>
    <row r="382" s="5" customFormat="1"/>
    <row r="383" s="5" customFormat="1"/>
    <row r="384" s="5" customFormat="1"/>
    <row r="385" s="5" customFormat="1"/>
    <row r="386" s="5" customFormat="1"/>
    <row r="387" s="5" customFormat="1"/>
    <row r="388" s="5" customFormat="1"/>
    <row r="389" s="5" customFormat="1"/>
    <row r="390" s="5" customFormat="1"/>
    <row r="391" s="5" customFormat="1"/>
    <row r="392" s="5" customFormat="1"/>
    <row r="393" s="5" customFormat="1"/>
    <row r="394" s="5" customFormat="1"/>
    <row r="395" s="5" customFormat="1"/>
    <row r="396" s="5" customFormat="1"/>
    <row r="397" s="5" customFormat="1"/>
    <row r="398" s="5" customFormat="1"/>
    <row r="399" s="5" customFormat="1"/>
    <row r="400" s="5" customFormat="1"/>
    <row r="401" s="5" customFormat="1"/>
    <row r="402" s="5" customFormat="1"/>
    <row r="403" s="5" customFormat="1"/>
    <row r="404" s="5" customFormat="1"/>
    <row r="405" s="5" customFormat="1"/>
    <row r="406" s="5" customFormat="1"/>
    <row r="407" s="5" customFormat="1"/>
    <row r="408" s="5" customFormat="1"/>
    <row r="409" s="5" customFormat="1"/>
    <row r="410" s="5" customFormat="1"/>
    <row r="411" s="5" customFormat="1"/>
    <row r="412" s="5" customFormat="1"/>
    <row r="413" s="5" customFormat="1"/>
    <row r="414" s="5" customFormat="1"/>
    <row r="415" s="5" customFormat="1"/>
    <row r="416" s="5" customFormat="1"/>
    <row r="417" s="5" customFormat="1"/>
    <row r="418" s="5" customFormat="1"/>
    <row r="419" s="5" customFormat="1"/>
    <row r="420" s="5" customFormat="1"/>
    <row r="421" s="5" customFormat="1"/>
    <row r="422" s="5" customFormat="1"/>
    <row r="423" s="5" customFormat="1"/>
    <row r="424" s="5" customFormat="1"/>
    <row r="425" s="5" customFormat="1"/>
    <row r="426" s="5" customFormat="1"/>
    <row r="427" s="5" customFormat="1"/>
    <row r="428" s="5" customFormat="1"/>
    <row r="429" s="5" customFormat="1"/>
    <row r="430" s="5" customFormat="1"/>
    <row r="431" s="5" customFormat="1"/>
    <row r="432" s="5" customFormat="1"/>
    <row r="433" s="5" customFormat="1"/>
    <row r="434" s="5" customFormat="1"/>
    <row r="435" s="5" customFormat="1"/>
    <row r="436" s="5" customFormat="1"/>
    <row r="437" s="5" customFormat="1"/>
    <row r="438" s="5" customFormat="1"/>
    <row r="439" s="5" customFormat="1"/>
    <row r="440" s="5" customFormat="1"/>
    <row r="441" s="5" customFormat="1"/>
    <row r="442" s="5" customFormat="1"/>
    <row r="443" s="5" customFormat="1"/>
    <row r="444" s="5" customFormat="1"/>
    <row r="445" s="5" customFormat="1"/>
    <row r="446" s="5" customFormat="1"/>
    <row r="447" s="5" customFormat="1"/>
    <row r="448" s="5" customFormat="1"/>
    <row r="449" s="5" customFormat="1"/>
    <row r="450" s="5" customFormat="1"/>
    <row r="451" s="5" customFormat="1"/>
    <row r="452" s="5" customFormat="1"/>
    <row r="453" s="5" customFormat="1"/>
    <row r="454" s="5" customFormat="1"/>
    <row r="455" s="5" customFormat="1"/>
    <row r="456" s="5" customFormat="1"/>
    <row r="457" s="5" customFormat="1"/>
    <row r="458" s="5" customFormat="1"/>
    <row r="459" s="5" customFormat="1"/>
    <row r="460" s="5" customFormat="1"/>
    <row r="461" s="5" customFormat="1"/>
    <row r="462" s="5" customFormat="1"/>
    <row r="463" s="5" customFormat="1"/>
    <row r="464" s="5" customFormat="1"/>
    <row r="465" s="5" customFormat="1"/>
    <row r="466" s="5" customFormat="1"/>
    <row r="467" s="5" customFormat="1"/>
    <row r="468" s="5" customFormat="1"/>
    <row r="469" s="5" customFormat="1"/>
    <row r="470" s="5" customFormat="1"/>
    <row r="471" s="5" customFormat="1"/>
    <row r="472" s="5" customFormat="1"/>
    <row r="473" s="5" customFormat="1"/>
    <row r="474" s="5" customFormat="1"/>
    <row r="475" s="5" customFormat="1"/>
    <row r="476" s="5" customFormat="1"/>
    <row r="477" s="5" customFormat="1"/>
    <row r="478" s="5" customFormat="1"/>
    <row r="479" s="5" customFormat="1"/>
    <row r="480" s="5" customFormat="1"/>
    <row r="481" s="5" customFormat="1"/>
    <row r="482" s="5" customFormat="1"/>
    <row r="483" s="5" customFormat="1"/>
    <row r="484" s="5" customFormat="1"/>
    <row r="485" s="5" customFormat="1"/>
    <row r="486" s="5" customFormat="1"/>
    <row r="487" s="5" customFormat="1"/>
    <row r="488" s="5" customFormat="1"/>
    <row r="489" s="5" customFormat="1"/>
    <row r="490" s="5" customFormat="1"/>
    <row r="491" s="5" customFormat="1"/>
    <row r="492" s="5" customFormat="1"/>
    <row r="493" s="5" customFormat="1"/>
    <row r="494" s="5" customFormat="1"/>
    <row r="495" s="5" customFormat="1"/>
    <row r="496" s="5" customFormat="1"/>
    <row r="497" s="5" customFormat="1"/>
    <row r="498" s="5" customFormat="1"/>
    <row r="499" s="5" customFormat="1"/>
    <row r="500" s="5" customFormat="1"/>
    <row r="501" s="5" customFormat="1"/>
    <row r="502" s="5" customFormat="1"/>
    <row r="503" s="5" customFormat="1"/>
    <row r="504" s="5" customFormat="1"/>
    <row r="505" s="5" customFormat="1"/>
    <row r="506" s="5" customFormat="1"/>
    <row r="507" s="5" customFormat="1"/>
    <row r="508" s="5" customFormat="1"/>
    <row r="509" s="5" customFormat="1"/>
    <row r="510" s="5" customFormat="1"/>
    <row r="511" s="5" customFormat="1"/>
    <row r="512" s="5" customFormat="1"/>
    <row r="513" s="5" customFormat="1"/>
    <row r="514" s="5" customFormat="1"/>
    <row r="515" s="5" customFormat="1"/>
    <row r="516" s="5" customFormat="1"/>
    <row r="517" s="5" customFormat="1"/>
    <row r="518" s="5" customFormat="1"/>
    <row r="519" s="5" customFormat="1"/>
    <row r="520" s="5" customFormat="1"/>
    <row r="521" s="5" customFormat="1"/>
    <row r="522" s="5" customFormat="1"/>
    <row r="523" s="5" customFormat="1"/>
    <row r="524" s="5" customFormat="1"/>
    <row r="525" s="5" customFormat="1"/>
    <row r="526" s="5" customFormat="1"/>
    <row r="527" s="5" customFormat="1"/>
    <row r="528" s="5" customFormat="1"/>
    <row r="529" s="5" customFormat="1"/>
    <row r="530" s="5" customFormat="1"/>
    <row r="531" s="5" customFormat="1"/>
    <row r="532" s="5" customFormat="1"/>
    <row r="533" s="5" customFormat="1"/>
    <row r="534" s="5" customFormat="1"/>
    <row r="535" s="5" customFormat="1"/>
    <row r="536" s="5" customFormat="1"/>
    <row r="537" s="5" customFormat="1"/>
    <row r="538" s="5" customFormat="1"/>
    <row r="539" s="5" customFormat="1"/>
    <row r="540" s="5" customFormat="1"/>
    <row r="541" s="5" customFormat="1"/>
    <row r="542" s="5" customFormat="1"/>
    <row r="543" s="5" customFormat="1"/>
    <row r="544" s="5" customFormat="1"/>
    <row r="545" s="5" customFormat="1"/>
    <row r="546" s="5" customFormat="1"/>
    <row r="547" s="5" customFormat="1"/>
    <row r="548" s="5" customFormat="1"/>
    <row r="549" s="5" customFormat="1"/>
    <row r="550" s="5" customFormat="1"/>
    <row r="551" s="5" customFormat="1"/>
    <row r="552" s="5" customFormat="1"/>
    <row r="553" s="5" customFormat="1"/>
    <row r="554" s="5" customFormat="1"/>
    <row r="555" s="5" customFormat="1"/>
    <row r="556" s="5" customFormat="1"/>
    <row r="557" s="5" customFormat="1"/>
    <row r="558" s="5" customFormat="1"/>
    <row r="559" s="5" customFormat="1"/>
    <row r="560" s="5" customFormat="1"/>
    <row r="561" s="5" customFormat="1"/>
    <row r="562" s="5" customFormat="1"/>
    <row r="563" s="5" customFormat="1"/>
    <row r="564" s="5" customFormat="1"/>
    <row r="565" s="5" customFormat="1"/>
    <row r="566" s="5" customFormat="1"/>
    <row r="567" s="5" customFormat="1"/>
    <row r="568" s="5" customFormat="1"/>
    <row r="569" s="5" customFormat="1"/>
    <row r="570" s="5" customFormat="1"/>
    <row r="571" s="5" customFormat="1"/>
    <row r="572" s="5" customFormat="1"/>
    <row r="573" s="5" customFormat="1"/>
    <row r="574" s="5" customFormat="1"/>
    <row r="575" s="5" customFormat="1"/>
    <row r="576" s="5" customFormat="1"/>
    <row r="577" s="5" customFormat="1"/>
    <row r="578" s="5" customFormat="1"/>
    <row r="579" s="5" customFormat="1"/>
    <row r="580" s="5" customFormat="1"/>
    <row r="581" s="5" customFormat="1"/>
    <row r="582" s="5" customFormat="1"/>
    <row r="583" s="5" customFormat="1"/>
    <row r="584" s="5" customFormat="1"/>
    <row r="585" s="5" customFormat="1"/>
    <row r="586" s="5" customFormat="1"/>
    <row r="587" s="5" customFormat="1"/>
    <row r="588" s="5" customFormat="1"/>
    <row r="589" s="5" customFormat="1"/>
    <row r="590" s="5" customFormat="1"/>
    <row r="591" s="5" customFormat="1"/>
    <row r="592" s="5" customFormat="1"/>
    <row r="593" s="5" customFormat="1"/>
    <row r="594" s="5" customFormat="1"/>
    <row r="595" s="5" customFormat="1"/>
    <row r="596" s="5" customFormat="1"/>
    <row r="597" s="5" customFormat="1"/>
    <row r="598" s="5" customFormat="1"/>
    <row r="599" s="5" customFormat="1"/>
    <row r="600" s="5" customFormat="1"/>
    <row r="601" s="5" customFormat="1"/>
    <row r="602" s="5" customFormat="1"/>
    <row r="603" s="5" customFormat="1"/>
    <row r="604" s="5" customFormat="1"/>
    <row r="605" s="5" customFormat="1"/>
    <row r="606" s="5" customFormat="1"/>
    <row r="607" s="5" customFormat="1"/>
    <row r="608" s="5" customFormat="1"/>
    <row r="609" s="5" customFormat="1"/>
    <row r="610" s="5" customFormat="1"/>
    <row r="611" s="5" customFormat="1"/>
    <row r="612" s="5" customFormat="1"/>
    <row r="613" s="5" customFormat="1"/>
    <row r="614" s="5" customFormat="1"/>
    <row r="615" s="5" customFormat="1"/>
    <row r="616" s="5" customFormat="1"/>
    <row r="617" s="5" customFormat="1"/>
    <row r="618" s="5" customFormat="1"/>
    <row r="619" s="5" customFormat="1"/>
    <row r="620" s="5" customFormat="1"/>
    <row r="621" s="5" customFormat="1"/>
    <row r="622" s="5" customFormat="1"/>
    <row r="623" s="5" customFormat="1"/>
    <row r="624" s="5" customFormat="1"/>
    <row r="625" s="5" customFormat="1"/>
    <row r="626" s="5" customFormat="1"/>
    <row r="627" s="5" customFormat="1"/>
    <row r="628" s="5" customFormat="1"/>
    <row r="629" s="5" customFormat="1"/>
    <row r="630" s="5" customFormat="1"/>
    <row r="631" s="5" customFormat="1"/>
    <row r="632" s="5" customFormat="1"/>
    <row r="633" s="5" customFormat="1"/>
    <row r="634" s="5" customFormat="1"/>
    <row r="635" s="5" customFormat="1"/>
    <row r="636" s="5" customFormat="1"/>
    <row r="637" s="5" customFormat="1"/>
    <row r="638" s="5" customFormat="1"/>
    <row r="639" s="5" customFormat="1"/>
    <row r="640" s="5" customFormat="1"/>
    <row r="641" s="5" customFormat="1"/>
    <row r="642" s="5" customFormat="1"/>
    <row r="643" s="5" customFormat="1"/>
    <row r="644" s="5" customFormat="1"/>
    <row r="645" s="5" customFormat="1"/>
    <row r="646" s="5" customFormat="1"/>
    <row r="647" s="5" customFormat="1"/>
    <row r="648" s="5" customFormat="1"/>
    <row r="649" s="5" customFormat="1"/>
    <row r="650" s="5" customFormat="1"/>
    <row r="651" s="5" customFormat="1"/>
    <row r="652" s="5" customFormat="1"/>
    <row r="653" s="5" customFormat="1"/>
    <row r="654" s="5" customFormat="1"/>
    <row r="655" s="5" customFormat="1"/>
    <row r="656" s="5" customFormat="1"/>
    <row r="657" s="5" customFormat="1"/>
    <row r="658" s="5" customFormat="1"/>
    <row r="659" s="5" customFormat="1"/>
    <row r="660" s="5" customFormat="1"/>
    <row r="661" s="5" customFormat="1"/>
    <row r="662" s="5" customFormat="1"/>
    <row r="663" s="5" customFormat="1"/>
    <row r="664" s="5" customFormat="1"/>
    <row r="665" s="5" customFormat="1"/>
    <row r="666" s="5" customFormat="1"/>
    <row r="667" s="5" customFormat="1"/>
    <row r="668" s="5" customFormat="1"/>
    <row r="669" s="5" customFormat="1"/>
    <row r="670" s="5" customFormat="1"/>
    <row r="671" s="5" customFormat="1"/>
    <row r="672" s="5" customFormat="1"/>
    <row r="673" s="5" customFormat="1"/>
    <row r="674" s="5" customFormat="1"/>
    <row r="675" s="5" customFormat="1"/>
    <row r="676" s="5" customFormat="1"/>
    <row r="677" s="5" customFormat="1"/>
    <row r="678" s="5" customFormat="1"/>
    <row r="679" s="5" customFormat="1"/>
    <row r="680" s="5" customFormat="1"/>
    <row r="681" s="5" customFormat="1"/>
    <row r="682" s="5" customFormat="1"/>
    <row r="683" s="5" customFormat="1"/>
    <row r="684" s="5" customFormat="1"/>
    <row r="685" s="5" customFormat="1"/>
    <row r="686" s="5" customFormat="1"/>
    <row r="687" s="5" customFormat="1"/>
    <row r="688" s="5" customFormat="1"/>
    <row r="689" s="5" customFormat="1"/>
    <row r="690" s="5" customFormat="1"/>
    <row r="691" s="5" customFormat="1"/>
    <row r="692" s="5" customFormat="1"/>
    <row r="693" s="5" customFormat="1"/>
    <row r="694" s="5" customFormat="1"/>
    <row r="695" s="5" customFormat="1"/>
    <row r="696" s="5" customFormat="1"/>
    <row r="697" s="5" customFormat="1"/>
    <row r="698" s="5" customFormat="1"/>
    <row r="699" s="5" customFormat="1"/>
    <row r="700" s="5" customFormat="1"/>
    <row r="701" s="5" customFormat="1"/>
    <row r="702" s="5" customFormat="1"/>
    <row r="703" s="5" customFormat="1"/>
    <row r="704" s="5" customFormat="1"/>
    <row r="705" s="5" customFormat="1"/>
    <row r="706" s="5" customFormat="1"/>
    <row r="707" s="5" customFormat="1"/>
    <row r="708" s="5" customFormat="1"/>
    <row r="709" s="5" customFormat="1"/>
    <row r="710" s="5" customFormat="1"/>
    <row r="711" s="5" customFormat="1"/>
    <row r="712" s="5" customFormat="1"/>
    <row r="713" s="5" customFormat="1"/>
    <row r="714" s="5" customFormat="1"/>
    <row r="715" s="5" customFormat="1"/>
    <row r="716" s="5" customFormat="1"/>
    <row r="717" s="5" customFormat="1"/>
    <row r="718" s="5" customFormat="1"/>
    <row r="719" s="5" customFormat="1"/>
    <row r="720" s="5" customFormat="1"/>
    <row r="721" s="5" customFormat="1"/>
    <row r="722" s="5" customFormat="1"/>
    <row r="723" s="5" customFormat="1"/>
    <row r="724" s="5" customFormat="1"/>
    <row r="725" s="5" customFormat="1"/>
    <row r="726" s="5" customFormat="1"/>
    <row r="727" s="5" customFormat="1"/>
    <row r="728" s="5" customFormat="1"/>
    <row r="729" s="5" customFormat="1"/>
    <row r="730" s="5" customFormat="1"/>
    <row r="731" s="5" customFormat="1"/>
    <row r="732" s="5" customFormat="1"/>
    <row r="733" s="5" customFormat="1"/>
    <row r="734" s="5" customFormat="1"/>
    <row r="735" s="5" customFormat="1"/>
    <row r="736" s="5" customFormat="1"/>
    <row r="737" s="5" customFormat="1"/>
    <row r="738" s="5" customFormat="1"/>
    <row r="739" s="5" customFormat="1"/>
    <row r="740" s="5" customFormat="1"/>
    <row r="741" s="5" customFormat="1"/>
    <row r="742" s="5" customFormat="1"/>
    <row r="743" s="5" customFormat="1"/>
    <row r="744" s="5" customFormat="1"/>
    <row r="745" s="5" customFormat="1"/>
    <row r="746" s="5" customFormat="1"/>
    <row r="747" s="5" customFormat="1"/>
    <row r="748" s="5" customFormat="1"/>
    <row r="749" s="5" customFormat="1"/>
    <row r="750" s="5" customFormat="1"/>
    <row r="751" s="5" customFormat="1"/>
    <row r="752" s="5" customFormat="1"/>
    <row r="753" s="5" customFormat="1"/>
    <row r="754" s="5" customFormat="1"/>
    <row r="755" s="5" customFormat="1"/>
    <row r="756" s="5" customFormat="1"/>
    <row r="757" s="5" customFormat="1"/>
    <row r="758" s="5" customFormat="1"/>
    <row r="759" s="5" customFormat="1"/>
    <row r="760" s="5" customFormat="1"/>
    <row r="761" s="5" customFormat="1"/>
    <row r="762" s="5" customFormat="1"/>
    <row r="763" s="5" customFormat="1"/>
    <row r="764" s="5" customFormat="1"/>
    <row r="765" s="5" customFormat="1"/>
    <row r="766" s="5" customFormat="1"/>
    <row r="767" s="5" customFormat="1"/>
    <row r="768" s="5" customFormat="1"/>
    <row r="769" s="5" customFormat="1"/>
    <row r="770" s="5" customFormat="1"/>
    <row r="771" s="5" customFormat="1"/>
    <row r="772" s="5" customFormat="1"/>
    <row r="773" s="5" customFormat="1"/>
    <row r="774" s="5" customFormat="1"/>
    <row r="775" s="5" customFormat="1"/>
    <row r="776" s="5" customFormat="1"/>
    <row r="777" s="5" customFormat="1"/>
    <row r="778" s="5" customFormat="1"/>
    <row r="779" s="5" customFormat="1"/>
    <row r="780" s="5" customFormat="1"/>
    <row r="781" s="5" customFormat="1"/>
    <row r="782" s="5" customFormat="1"/>
    <row r="783" s="5" customFormat="1"/>
    <row r="784" s="5" customFormat="1"/>
    <row r="785" s="5" customFormat="1"/>
    <row r="786" s="5" customFormat="1"/>
    <row r="787" s="5" customFormat="1"/>
    <row r="788" s="5" customFormat="1"/>
    <row r="789" s="5" customFormat="1"/>
    <row r="790" s="5" customFormat="1"/>
    <row r="791" s="5" customFormat="1"/>
    <row r="792" s="5" customFormat="1"/>
    <row r="793" s="5" customFormat="1"/>
    <row r="794" s="5" customFormat="1"/>
    <row r="795" s="5" customFormat="1"/>
    <row r="796" s="5" customFormat="1"/>
    <row r="797" s="5" customFormat="1"/>
    <row r="798" s="5" customFormat="1"/>
    <row r="799" s="5" customFormat="1"/>
    <row r="800" s="5" customFormat="1"/>
    <row r="801" s="5" customFormat="1"/>
    <row r="802" s="5" customFormat="1"/>
    <row r="803" s="5" customFormat="1"/>
    <row r="804" s="5" customFormat="1"/>
    <row r="805" s="5" customFormat="1"/>
    <row r="806" s="5" customFormat="1"/>
    <row r="807" s="5" customFormat="1"/>
    <row r="808" s="5" customFormat="1"/>
    <row r="809" s="5" customFormat="1"/>
    <row r="810" s="5" customFormat="1"/>
    <row r="811" s="5" customFormat="1"/>
    <row r="812" s="5" customFormat="1"/>
    <row r="813" s="5" customFormat="1"/>
    <row r="814" s="5" customFormat="1"/>
    <row r="815" s="5" customFormat="1"/>
    <row r="816" s="5" customFormat="1"/>
    <row r="817" s="5" customFormat="1"/>
    <row r="818" s="5" customFormat="1"/>
    <row r="819" s="5" customFormat="1"/>
    <row r="820" s="5" customFormat="1"/>
    <row r="821" s="5" customFormat="1"/>
    <row r="822" s="5" customFormat="1"/>
    <row r="823" s="5" customFormat="1"/>
    <row r="824" s="5" customFormat="1"/>
    <row r="825" s="5" customFormat="1"/>
    <row r="826" s="5" customFormat="1"/>
    <row r="827" s="5" customFormat="1"/>
    <row r="828" s="5" customFormat="1"/>
    <row r="829" s="5" customFormat="1"/>
    <row r="830" s="5" customFormat="1"/>
    <row r="831" s="5" customFormat="1"/>
    <row r="832" s="5" customFormat="1"/>
    <row r="833" s="5" customFormat="1"/>
    <row r="834" s="5" customFormat="1"/>
    <row r="835" s="5" customFormat="1"/>
    <row r="836" s="5" customFormat="1"/>
    <row r="837" s="5" customFormat="1"/>
    <row r="838" s="5" customFormat="1"/>
    <row r="839" s="5" customFormat="1"/>
    <row r="840" s="5" customFormat="1"/>
    <row r="841" s="5" customFormat="1"/>
    <row r="842" s="5" customFormat="1"/>
    <row r="843" s="5" customFormat="1"/>
    <row r="844" s="5" customFormat="1"/>
    <row r="845" s="5" customFormat="1"/>
    <row r="846" s="5" customFormat="1"/>
    <row r="847" s="5" customFormat="1"/>
    <row r="848" s="5" customFormat="1"/>
    <row r="849" s="5" customFormat="1"/>
    <row r="850" s="5" customFormat="1"/>
    <row r="851" s="5" customFormat="1"/>
    <row r="852" s="5" customFormat="1"/>
    <row r="853" s="5" customFormat="1"/>
    <row r="854" s="5" customFormat="1"/>
    <row r="855" s="5" customFormat="1"/>
    <row r="856" s="5" customFormat="1"/>
    <row r="857" s="5" customFormat="1"/>
    <row r="858" s="5" customFormat="1"/>
    <row r="859" s="5" customFormat="1"/>
    <row r="860" s="5" customFormat="1"/>
    <row r="861" s="5" customFormat="1"/>
    <row r="862" s="5" customFormat="1"/>
    <row r="863" s="5" customFormat="1"/>
    <row r="864" s="5" customFormat="1"/>
    <row r="865" s="5" customFormat="1"/>
    <row r="866" s="5" customFormat="1"/>
    <row r="867" s="5" customFormat="1"/>
    <row r="868" s="5" customFormat="1"/>
    <row r="869" s="5" customFormat="1"/>
    <row r="870" s="5" customFormat="1"/>
    <row r="871" s="5" customFormat="1"/>
    <row r="872" s="5" customFormat="1"/>
    <row r="873" s="5" customFormat="1"/>
    <row r="874" s="5" customFormat="1"/>
    <row r="875" s="5" customFormat="1"/>
    <row r="876" s="5" customFormat="1"/>
    <row r="877" s="5" customFormat="1"/>
    <row r="878" s="5" customFormat="1"/>
    <row r="879" s="5" customFormat="1"/>
    <row r="880" s="5" customFormat="1"/>
    <row r="881" s="5" customFormat="1"/>
    <row r="882" s="5" customFormat="1"/>
    <row r="883" s="5" customFormat="1"/>
    <row r="884" s="5" customFormat="1"/>
    <row r="885" s="5" customFormat="1"/>
    <row r="886" s="5" customFormat="1"/>
    <row r="887" s="5" customFormat="1"/>
    <row r="888" s="5" customFormat="1"/>
    <row r="889" s="5" customFormat="1"/>
    <row r="890" s="5" customFormat="1"/>
    <row r="891" s="5" customFormat="1"/>
    <row r="892" s="5" customFormat="1"/>
    <row r="893" s="5" customFormat="1"/>
    <row r="894" s="5" customFormat="1"/>
    <row r="895" s="5" customFormat="1"/>
    <row r="896" s="5" customFormat="1"/>
    <row r="897" s="5" customFormat="1"/>
    <row r="898" s="5" customFormat="1"/>
    <row r="899" s="5" customFormat="1"/>
    <row r="900" s="5" customFormat="1"/>
    <row r="901" s="5" customFormat="1"/>
    <row r="902" s="5" customFormat="1"/>
    <row r="903" s="5" customFormat="1"/>
    <row r="904" s="5" customFormat="1"/>
    <row r="905" s="5" customFormat="1"/>
    <row r="906" s="5" customFormat="1"/>
    <row r="907" s="5" customFormat="1"/>
    <row r="908" s="5" customFormat="1"/>
    <row r="909" s="5" customFormat="1"/>
    <row r="910" s="5" customFormat="1"/>
    <row r="911" s="5" customFormat="1"/>
    <row r="912" s="5" customFormat="1"/>
    <row r="913" s="5" customFormat="1"/>
    <row r="914" s="5" customFormat="1"/>
    <row r="915" s="5" customFormat="1"/>
    <row r="916" s="5" customFormat="1"/>
    <row r="917" s="5" customFormat="1"/>
    <row r="918" s="5" customFormat="1"/>
    <row r="919" s="5" customFormat="1"/>
    <row r="920" s="5" customFormat="1"/>
    <row r="921" s="5" customFormat="1"/>
    <row r="922" s="5" customFormat="1"/>
    <row r="923" s="5" customFormat="1"/>
    <row r="924" s="5" customFormat="1"/>
    <row r="925" s="5" customFormat="1"/>
    <row r="926" s="5" customFormat="1"/>
    <row r="927" s="5" customFormat="1"/>
    <row r="928" s="5" customFormat="1"/>
    <row r="929" s="5" customFormat="1"/>
    <row r="930" s="5" customFormat="1"/>
    <row r="931" s="5" customFormat="1"/>
    <row r="932" s="5" customFormat="1"/>
    <row r="933" s="5" customFormat="1"/>
    <row r="934" s="5" customFormat="1"/>
    <row r="935" s="5" customFormat="1"/>
    <row r="936" s="5" customFormat="1"/>
    <row r="937" s="5" customFormat="1"/>
    <row r="938" s="5" customFormat="1"/>
    <row r="939" s="5" customFormat="1"/>
    <row r="940" s="5" customFormat="1"/>
    <row r="941" s="5" customFormat="1"/>
    <row r="942" s="5" customFormat="1"/>
    <row r="943" s="5" customFormat="1"/>
    <row r="944" s="5" customFormat="1"/>
    <row r="945" s="5" customFormat="1"/>
    <row r="946" s="5" customFormat="1"/>
    <row r="947" s="5" customFormat="1"/>
    <row r="948" s="5" customFormat="1"/>
    <row r="949" s="5" customFormat="1"/>
    <row r="950" s="5" customFormat="1"/>
    <row r="951" s="5" customFormat="1"/>
    <row r="952" s="5" customFormat="1"/>
    <row r="953" s="5" customFormat="1"/>
    <row r="954" s="5" customFormat="1"/>
    <row r="955" s="5" customFormat="1"/>
    <row r="956" s="5" customFormat="1"/>
    <row r="957" s="5" customFormat="1"/>
    <row r="958" s="5" customFormat="1"/>
    <row r="959" s="5" customFormat="1"/>
    <row r="960" s="5" customFormat="1"/>
    <row r="961" s="5" customFormat="1"/>
    <row r="962" s="5" customFormat="1"/>
    <row r="963" s="5" customFormat="1"/>
    <row r="964" s="5" customFormat="1"/>
    <row r="965" s="5" customFormat="1"/>
    <row r="966" s="5" customFormat="1"/>
    <row r="967" s="5" customFormat="1"/>
    <row r="968" s="5" customFormat="1"/>
    <row r="969" s="5" customFormat="1"/>
    <row r="970" s="5" customFormat="1"/>
    <row r="971" s="5" customFormat="1"/>
    <row r="972" s="5" customFormat="1"/>
    <row r="973" s="5" customFormat="1"/>
    <row r="974" s="5" customFormat="1"/>
    <row r="975" s="5" customFormat="1"/>
    <row r="976" s="5" customFormat="1"/>
    <row r="977" s="5" customFormat="1"/>
    <row r="978" s="5" customFormat="1"/>
    <row r="979" s="5" customFormat="1"/>
    <row r="980" s="5" customFormat="1"/>
    <row r="981" s="5" customFormat="1"/>
    <row r="982" s="5" customFormat="1"/>
    <row r="983" s="5" customFormat="1"/>
    <row r="984" s="5" customFormat="1"/>
    <row r="985" s="5" customFormat="1"/>
    <row r="986" s="5" customFormat="1"/>
    <row r="987" s="5" customFormat="1"/>
    <row r="988" s="5" customFormat="1"/>
    <row r="989" s="5" customFormat="1"/>
    <row r="990" s="5" customFormat="1"/>
    <row r="991" s="5" customFormat="1"/>
    <row r="992" s="5" customFormat="1"/>
    <row r="993" s="5" customFormat="1"/>
    <row r="994" s="5" customFormat="1"/>
    <row r="995" s="5" customFormat="1"/>
    <row r="996" s="5" customFormat="1"/>
    <row r="997" s="5" customFormat="1"/>
    <row r="998" s="5" customFormat="1"/>
    <row r="999" s="5" customFormat="1"/>
    <row r="1000" s="5" customFormat="1"/>
    <row r="1001" s="5" customFormat="1"/>
    <row r="1002" s="5" customFormat="1"/>
    <row r="1003" s="5" customFormat="1"/>
    <row r="1004" s="5" customFormat="1"/>
    <row r="1005" s="5" customFormat="1"/>
    <row r="1006" s="5" customFormat="1"/>
    <row r="1007" s="5" customFormat="1"/>
    <row r="1008" s="5" customFormat="1"/>
    <row r="1009" s="5" customFormat="1"/>
    <row r="1010" s="5" customFormat="1"/>
    <row r="1011" s="5" customFormat="1"/>
    <row r="1012" s="5" customFormat="1"/>
    <row r="1013" s="5" customFormat="1"/>
    <row r="1014" s="5" customFormat="1"/>
    <row r="1015" s="5" customFormat="1"/>
    <row r="1016" s="5" customFormat="1"/>
    <row r="1017" s="5" customFormat="1"/>
    <row r="1018" s="5" customFormat="1"/>
    <row r="1019" s="5" customFormat="1"/>
    <row r="1020" s="5" customFormat="1"/>
  </sheetData>
  <sheetProtection selectLockedCells="1"/>
  <protectedRanges>
    <protectedRange sqref="L8" name="Range1"/>
    <protectedRange sqref="P9" name="Range2"/>
    <protectedRange sqref="I10:J10 J11" name="Range3"/>
    <protectedRange sqref="H12" name="Range4"/>
    <protectedRange sqref="I17:J17 J18 H19 H26 I24:J24 J25 J32 H33" name="Range5"/>
    <protectedRange sqref="E18 E17 D17 C19 C12 D10 E10 E11" name="Range6"/>
    <protectedRange sqref="N37" name="Range7"/>
  </protectedRanges>
  <mergeCells count="4">
    <mergeCell ref="C31:E31"/>
    <mergeCell ref="C1:E1"/>
    <mergeCell ref="H1:J1"/>
    <mergeCell ref="L1:N1"/>
  </mergeCells>
  <dataValidations count="3">
    <dataValidation type="list" allowBlank="1" showInputMessage="1" showErrorMessage="1" sqref="L8" xr:uid="{00000000-0002-0000-0000-000000000000}">
      <formula1>"Men, Women"</formula1>
    </dataValidation>
    <dataValidation type="list" allowBlank="1" showInputMessage="1" showErrorMessage="1" sqref="C12 C33 C26 C19" xr:uid="{00000000-0002-0000-0000-000001000000}">
      <formula1>$B$3:$B$6</formula1>
    </dataValidation>
    <dataValidation type="list" allowBlank="1" showInputMessage="1" showErrorMessage="1" sqref="H12 H33 H26 H19" xr:uid="{00000000-0002-0000-0000-000002000000}">
      <formula1>$G$3:$G$6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6DEC9-611A-45D8-9A68-C98D26241EDB}">
  <dimension ref="A1:N18"/>
  <sheetViews>
    <sheetView workbookViewId="0">
      <selection activeCell="D3" sqref="D3"/>
    </sheetView>
  </sheetViews>
  <sheetFormatPr defaultRowHeight="15"/>
  <cols>
    <col min="1" max="1" width="10.5703125" bestFit="1" customWidth="1"/>
    <col min="2" max="2" width="14.85546875" bestFit="1" customWidth="1"/>
    <col min="3" max="3" width="14.42578125" customWidth="1"/>
    <col min="4" max="4" width="5" style="138" bestFit="1" customWidth="1"/>
    <col min="5" max="5" width="3.28515625" customWidth="1"/>
    <col min="6" max="6" width="10.85546875" bestFit="1" customWidth="1"/>
    <col min="7" max="7" width="14.85546875" bestFit="1" customWidth="1"/>
    <col min="8" max="8" width="12" bestFit="1" customWidth="1"/>
    <col min="10" max="10" width="3.28515625" customWidth="1"/>
    <col min="11" max="11" width="10.85546875" bestFit="1" customWidth="1"/>
    <col min="12" max="12" width="14.28515625" bestFit="1" customWidth="1"/>
    <col min="13" max="13" width="12" bestFit="1" customWidth="1"/>
    <col min="14" max="14" width="6" bestFit="1" customWidth="1"/>
  </cols>
  <sheetData>
    <row r="1" spans="1:14">
      <c r="A1" s="189" t="s">
        <v>22</v>
      </c>
      <c r="B1" s="189"/>
      <c r="C1" s="189"/>
      <c r="D1" s="189"/>
      <c r="F1" s="164" t="s">
        <v>23</v>
      </c>
      <c r="G1" s="164"/>
      <c r="H1" s="164"/>
      <c r="I1" s="164"/>
      <c r="K1" s="164" t="s">
        <v>24</v>
      </c>
      <c r="L1" s="164"/>
      <c r="M1" s="164"/>
      <c r="N1" s="164"/>
    </row>
    <row r="2" spans="1:14">
      <c r="A2" s="139" t="s">
        <v>25</v>
      </c>
      <c r="B2" s="139" t="s">
        <v>26</v>
      </c>
      <c r="C2" s="139" t="s">
        <v>27</v>
      </c>
      <c r="D2" s="140" t="s">
        <v>28</v>
      </c>
      <c r="F2" s="141" t="s">
        <v>25</v>
      </c>
      <c r="G2" s="141" t="s">
        <v>26</v>
      </c>
      <c r="H2" s="141" t="s">
        <v>27</v>
      </c>
      <c r="I2" s="142" t="s">
        <v>28</v>
      </c>
      <c r="K2" s="141" t="s">
        <v>25</v>
      </c>
      <c r="L2" s="141" t="s">
        <v>26</v>
      </c>
      <c r="M2" s="141" t="s">
        <v>27</v>
      </c>
      <c r="N2" s="142" t="s">
        <v>28</v>
      </c>
    </row>
    <row r="3" spans="1:14">
      <c r="A3" s="143" t="s">
        <v>29</v>
      </c>
      <c r="B3" s="143" t="s">
        <v>30</v>
      </c>
      <c r="C3" s="143">
        <v>2700149294</v>
      </c>
      <c r="D3" s="144">
        <v>14.2</v>
      </c>
      <c r="F3" s="143" t="s">
        <v>29</v>
      </c>
      <c r="G3" s="143" t="s">
        <v>30</v>
      </c>
      <c r="H3" s="143">
        <v>2700149294</v>
      </c>
      <c r="I3" s="144">
        <v>14.2</v>
      </c>
      <c r="K3" s="143" t="s">
        <v>31</v>
      </c>
      <c r="L3" s="143" t="s">
        <v>32</v>
      </c>
      <c r="M3" s="143">
        <v>2700181092</v>
      </c>
      <c r="N3" s="146">
        <v>25.4</v>
      </c>
    </row>
    <row r="4" spans="1:14">
      <c r="A4" s="143" t="s">
        <v>33</v>
      </c>
      <c r="B4" s="143" t="s">
        <v>34</v>
      </c>
      <c r="C4" s="143">
        <v>2700180851</v>
      </c>
      <c r="D4" s="144">
        <v>13.4</v>
      </c>
      <c r="F4" s="143" t="s">
        <v>33</v>
      </c>
      <c r="G4" s="143" t="s">
        <v>34</v>
      </c>
      <c r="H4" s="143">
        <v>2700180851</v>
      </c>
      <c r="I4" s="144">
        <v>13.4</v>
      </c>
      <c r="K4" s="143" t="s">
        <v>35</v>
      </c>
      <c r="L4" s="143" t="s">
        <v>36</v>
      </c>
      <c r="M4" s="143">
        <v>2700181058</v>
      </c>
      <c r="N4" s="146">
        <v>23.7</v>
      </c>
    </row>
    <row r="5" spans="1:14">
      <c r="A5" s="143" t="s">
        <v>37</v>
      </c>
      <c r="B5" s="143" t="s">
        <v>38</v>
      </c>
      <c r="C5" s="143">
        <v>2700333319</v>
      </c>
      <c r="D5" s="144">
        <v>11.4</v>
      </c>
      <c r="F5" s="143" t="s">
        <v>37</v>
      </c>
      <c r="G5" s="143" t="s">
        <v>38</v>
      </c>
      <c r="H5" s="143">
        <v>2700333319</v>
      </c>
      <c r="I5" s="144">
        <v>11.4</v>
      </c>
      <c r="K5" s="143" t="s">
        <v>39</v>
      </c>
      <c r="L5" s="143" t="s">
        <v>40</v>
      </c>
      <c r="M5" s="143">
        <v>2700093097</v>
      </c>
      <c r="N5" s="146">
        <v>33</v>
      </c>
    </row>
    <row r="6" spans="1:14">
      <c r="A6" s="86" t="s">
        <v>41</v>
      </c>
      <c r="B6" s="86" t="s">
        <v>42</v>
      </c>
      <c r="C6" s="86">
        <v>2700438384</v>
      </c>
      <c r="D6" s="144">
        <v>1</v>
      </c>
      <c r="F6" s="86" t="s">
        <v>41</v>
      </c>
      <c r="G6" s="86" t="s">
        <v>42</v>
      </c>
      <c r="H6" s="86">
        <v>2700438384</v>
      </c>
      <c r="I6" s="144">
        <v>1</v>
      </c>
      <c r="K6" s="143" t="s">
        <v>43</v>
      </c>
      <c r="L6" s="143" t="s">
        <v>44</v>
      </c>
      <c r="M6" s="143">
        <v>2700191557</v>
      </c>
      <c r="N6" s="146">
        <v>19.5</v>
      </c>
    </row>
    <row r="7" spans="1:14">
      <c r="A7" s="149" t="s">
        <v>45</v>
      </c>
      <c r="B7" s="149" t="s">
        <v>46</v>
      </c>
      <c r="C7" s="149">
        <v>2700227060</v>
      </c>
      <c r="D7" s="150">
        <v>13.9</v>
      </c>
      <c r="F7" s="149" t="s">
        <v>45</v>
      </c>
      <c r="G7" s="149" t="s">
        <v>46</v>
      </c>
      <c r="H7" s="149">
        <v>2700227060</v>
      </c>
      <c r="I7" s="150">
        <v>13.9</v>
      </c>
      <c r="K7" s="143" t="s">
        <v>47</v>
      </c>
      <c r="L7" s="143" t="s">
        <v>48</v>
      </c>
      <c r="M7" s="143">
        <v>2700110837</v>
      </c>
      <c r="N7" s="146">
        <v>22.5</v>
      </c>
    </row>
    <row r="8" spans="1:14">
      <c r="A8" s="143" t="s">
        <v>31</v>
      </c>
      <c r="B8" s="143" t="s">
        <v>32</v>
      </c>
      <c r="C8" s="143">
        <v>2700181092</v>
      </c>
      <c r="D8" s="146">
        <v>25.4</v>
      </c>
      <c r="F8" s="145"/>
      <c r="G8" s="145"/>
      <c r="H8" s="145"/>
      <c r="I8" s="145"/>
      <c r="K8" s="143" t="s">
        <v>49</v>
      </c>
      <c r="L8" s="143" t="s">
        <v>50</v>
      </c>
      <c r="M8" s="143">
        <v>2700223146</v>
      </c>
      <c r="N8" s="146">
        <v>18</v>
      </c>
    </row>
    <row r="9" spans="1:14">
      <c r="A9" s="143" t="s">
        <v>35</v>
      </c>
      <c r="B9" s="143" t="s">
        <v>36</v>
      </c>
      <c r="C9" s="143">
        <v>2700181058</v>
      </c>
      <c r="D9" s="146">
        <v>23.7</v>
      </c>
      <c r="F9" s="145"/>
      <c r="G9" s="145"/>
      <c r="H9" s="145"/>
      <c r="I9" s="145"/>
      <c r="K9" s="143" t="s">
        <v>51</v>
      </c>
      <c r="L9" s="143" t="s">
        <v>52</v>
      </c>
      <c r="M9" s="143">
        <v>2700307743</v>
      </c>
      <c r="N9" s="146">
        <v>17.899999999999999</v>
      </c>
    </row>
    <row r="10" spans="1:14">
      <c r="A10" s="143" t="s">
        <v>39</v>
      </c>
      <c r="B10" s="143" t="s">
        <v>40</v>
      </c>
      <c r="C10" s="143">
        <v>2700093097</v>
      </c>
      <c r="D10" s="146">
        <v>33</v>
      </c>
      <c r="F10" s="151"/>
      <c r="G10" s="151"/>
      <c r="H10" s="151"/>
      <c r="I10" s="151"/>
      <c r="K10" s="143" t="s">
        <v>51</v>
      </c>
      <c r="L10" s="143" t="s">
        <v>53</v>
      </c>
      <c r="M10" s="143">
        <v>2700290517</v>
      </c>
      <c r="N10" s="146">
        <v>23.9</v>
      </c>
    </row>
    <row r="11" spans="1:14">
      <c r="A11" s="143" t="s">
        <v>43</v>
      </c>
      <c r="B11" s="143" t="s">
        <v>44</v>
      </c>
      <c r="C11" s="143">
        <v>2700191557</v>
      </c>
      <c r="D11" s="146">
        <v>19.5</v>
      </c>
      <c r="F11" s="145"/>
      <c r="G11" s="145"/>
      <c r="H11" s="145"/>
      <c r="I11" s="145"/>
      <c r="K11" s="143" t="s">
        <v>54</v>
      </c>
      <c r="L11" s="143" t="s">
        <v>55</v>
      </c>
      <c r="M11" s="143">
        <v>2700179246</v>
      </c>
      <c r="N11" s="146">
        <v>17.600000000000001</v>
      </c>
    </row>
    <row r="12" spans="1:14">
      <c r="A12" s="143" t="s">
        <v>47</v>
      </c>
      <c r="B12" s="143" t="s">
        <v>48</v>
      </c>
      <c r="C12" s="143">
        <v>2700110837</v>
      </c>
      <c r="D12" s="146">
        <v>22.5</v>
      </c>
      <c r="F12" s="145"/>
      <c r="G12" s="145"/>
      <c r="H12" s="145"/>
      <c r="I12" s="145"/>
      <c r="K12" s="143" t="s">
        <v>56</v>
      </c>
      <c r="L12" s="143" t="s">
        <v>57</v>
      </c>
      <c r="M12" s="143">
        <v>2700116107</v>
      </c>
      <c r="N12" s="146">
        <v>17.600000000000001</v>
      </c>
    </row>
    <row r="13" spans="1:14">
      <c r="A13" s="143" t="s">
        <v>49</v>
      </c>
      <c r="B13" s="143" t="s">
        <v>50</v>
      </c>
      <c r="C13" s="143">
        <v>2700223146</v>
      </c>
      <c r="D13" s="146">
        <v>18</v>
      </c>
      <c r="F13" s="145"/>
      <c r="G13" s="145"/>
      <c r="H13" s="145"/>
      <c r="I13" s="145"/>
      <c r="K13" s="143" t="s">
        <v>58</v>
      </c>
      <c r="L13" s="143" t="s">
        <v>59</v>
      </c>
      <c r="M13" s="143">
        <v>2700269173</v>
      </c>
      <c r="N13" s="146">
        <v>19.8</v>
      </c>
    </row>
    <row r="14" spans="1:14">
      <c r="A14" s="143" t="s">
        <v>51</v>
      </c>
      <c r="B14" s="143" t="s">
        <v>52</v>
      </c>
      <c r="C14" s="143">
        <v>2700307743</v>
      </c>
      <c r="D14" s="146">
        <v>17.899999999999999</v>
      </c>
      <c r="F14" s="145"/>
      <c r="G14" s="145"/>
      <c r="H14" s="145"/>
      <c r="I14" s="145"/>
      <c r="K14" s="145"/>
      <c r="L14" s="145"/>
      <c r="M14" s="145"/>
      <c r="N14" s="145"/>
    </row>
    <row r="15" spans="1:14">
      <c r="A15" s="143" t="s">
        <v>51</v>
      </c>
      <c r="B15" s="143" t="s">
        <v>53</v>
      </c>
      <c r="C15" s="143">
        <v>2700290517</v>
      </c>
      <c r="D15" s="146">
        <v>23.9</v>
      </c>
      <c r="F15" s="145"/>
      <c r="G15" s="145"/>
      <c r="H15" s="145"/>
      <c r="I15" s="145"/>
      <c r="K15" s="145"/>
      <c r="L15" s="145"/>
      <c r="M15" s="145"/>
      <c r="N15" s="145"/>
    </row>
    <row r="16" spans="1:14">
      <c r="A16" s="143" t="s">
        <v>54</v>
      </c>
      <c r="B16" s="143" t="s">
        <v>55</v>
      </c>
      <c r="C16" s="143">
        <v>2700179246</v>
      </c>
      <c r="D16" s="146">
        <v>17.600000000000001</v>
      </c>
      <c r="F16" s="145"/>
      <c r="G16" s="145"/>
      <c r="H16" s="145"/>
      <c r="I16" s="145"/>
      <c r="K16" s="145"/>
      <c r="L16" s="145"/>
      <c r="M16" s="145"/>
      <c r="N16" s="145"/>
    </row>
    <row r="17" spans="1:14">
      <c r="A17" s="143" t="s">
        <v>56</v>
      </c>
      <c r="B17" s="143" t="s">
        <v>57</v>
      </c>
      <c r="C17" s="143">
        <v>2700116107</v>
      </c>
      <c r="D17" s="146">
        <v>17.600000000000001</v>
      </c>
      <c r="F17" s="145"/>
      <c r="G17" s="145"/>
      <c r="H17" s="145"/>
      <c r="I17" s="145"/>
      <c r="K17" s="145"/>
      <c r="L17" s="145"/>
      <c r="M17" s="145"/>
      <c r="N17" s="145"/>
    </row>
    <row r="18" spans="1:14">
      <c r="A18" s="143" t="s">
        <v>58</v>
      </c>
      <c r="B18" s="143" t="s">
        <v>59</v>
      </c>
      <c r="C18" s="143">
        <v>2700269173</v>
      </c>
      <c r="D18" s="146">
        <v>19.8</v>
      </c>
    </row>
  </sheetData>
  <protectedRanges>
    <protectedRange sqref="F4:I5 F7:I7 A4:D5 A7:D7" name="Range2"/>
    <protectedRange sqref="K4:N13 A9:D18" name="Range1"/>
  </protectedRanges>
  <mergeCells count="3">
    <mergeCell ref="A1:D1"/>
    <mergeCell ref="F1:I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D215"/>
  <sheetViews>
    <sheetView zoomScaleNormal="100" workbookViewId="0">
      <pane xSplit="3" ySplit="4" topLeftCell="BD5" activePane="bottomRight" state="frozen"/>
      <selection pane="bottomRight" activeCell="B5" sqref="B5"/>
      <selection pane="bottomLeft" activeCell="A5" sqref="A5"/>
      <selection pane="topRight" activeCell="D3" sqref="D3"/>
    </sheetView>
  </sheetViews>
  <sheetFormatPr defaultColWidth="8.85546875" defaultRowHeight="17.45" customHeight="1"/>
  <cols>
    <col min="1" max="1" width="3.42578125" style="55" customWidth="1"/>
    <col min="2" max="2" width="21.140625" style="56" customWidth="1"/>
    <col min="3" max="3" width="3.42578125" style="56" customWidth="1"/>
    <col min="4" max="23" width="3.7109375" style="56" customWidth="1"/>
    <col min="24" max="24" width="8.140625" style="55" customWidth="1"/>
    <col min="25" max="25" width="3.85546875" style="56" customWidth="1"/>
    <col min="26" max="26" width="3.7109375" style="76" customWidth="1"/>
    <col min="27" max="46" width="3.7109375" style="56" customWidth="1"/>
    <col min="47" max="47" width="7.85546875" style="56" bestFit="1" customWidth="1"/>
    <col min="48" max="48" width="4.85546875" style="56" bestFit="1" customWidth="1"/>
    <col min="49" max="49" width="3.7109375" style="76" customWidth="1"/>
    <col min="50" max="69" width="3.7109375" style="56" customWidth="1"/>
    <col min="70" max="70" width="4.85546875" style="56" bestFit="1" customWidth="1"/>
    <col min="71" max="71" width="5.85546875" style="56" customWidth="1"/>
    <col min="72" max="72" width="8.7109375" style="99" bestFit="1" customWidth="1"/>
    <col min="73" max="74" width="18" style="56" hidden="1" customWidth="1"/>
    <col min="75" max="75" width="19.140625" style="56" hidden="1" customWidth="1"/>
    <col min="76" max="76" width="5.85546875" style="56" hidden="1" customWidth="1"/>
    <col min="77" max="77" width="5.85546875" style="99" hidden="1" customWidth="1"/>
    <col min="78" max="78" width="5.85546875" style="82" customWidth="1"/>
    <col min="79" max="79" width="3.7109375" style="82" hidden="1" customWidth="1"/>
    <col min="80" max="80" width="3.7109375" style="85" hidden="1" customWidth="1"/>
    <col min="81" max="81" width="3.7109375" style="5" hidden="1" customWidth="1"/>
    <col min="82" max="82" width="3.7109375" style="5" customWidth="1"/>
    <col min="83" max="83" width="20.85546875" style="24" bestFit="1" customWidth="1"/>
    <col min="84" max="84" width="6.28515625" style="9" customWidth="1"/>
    <col min="85" max="108" width="8.85546875" style="76"/>
    <col min="109" max="16384" width="8.85546875" style="56"/>
  </cols>
  <sheetData>
    <row r="1" spans="1:90" s="76" customFormat="1" ht="17.45" customHeight="1">
      <c r="A1" s="75"/>
      <c r="X1" s="75"/>
      <c r="BT1" s="95"/>
      <c r="BY1" s="95"/>
      <c r="BZ1" s="82"/>
      <c r="CA1" s="82"/>
      <c r="CB1" s="83"/>
      <c r="CC1" s="32"/>
      <c r="CD1" s="32"/>
      <c r="CE1" s="33"/>
      <c r="CF1" s="34"/>
    </row>
    <row r="2" spans="1:90" s="76" customFormat="1" ht="26.25" customHeight="1">
      <c r="A2" s="75"/>
      <c r="X2" s="75"/>
      <c r="BT2" s="95"/>
      <c r="BY2" s="95"/>
      <c r="BZ2" s="82"/>
      <c r="CA2" s="82"/>
      <c r="CB2" s="83"/>
      <c r="CC2" s="12"/>
      <c r="CD2" s="169" t="s">
        <v>60</v>
      </c>
      <c r="CE2" s="170"/>
      <c r="CF2" s="170"/>
    </row>
    <row r="3" spans="1:90" ht="17.45" customHeight="1">
      <c r="A3" s="75"/>
      <c r="B3" s="76"/>
      <c r="C3" s="76"/>
      <c r="D3" s="165" t="s">
        <v>61</v>
      </c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52"/>
      <c r="Y3" s="152"/>
      <c r="AA3" s="165" t="s">
        <v>62</v>
      </c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5"/>
      <c r="AP3" s="165"/>
      <c r="AQ3" s="165"/>
      <c r="AR3" s="165"/>
      <c r="AS3" s="165"/>
      <c r="AT3" s="165"/>
      <c r="AU3" s="147"/>
      <c r="AV3" s="147"/>
      <c r="AX3" s="61" t="s">
        <v>63</v>
      </c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96"/>
      <c r="BU3" s="61"/>
      <c r="BV3" s="61"/>
      <c r="BW3" s="61"/>
      <c r="BX3" s="61"/>
      <c r="BY3" s="96"/>
      <c r="CB3" s="83"/>
      <c r="CC3" s="32"/>
      <c r="CD3" s="166" t="s">
        <v>64</v>
      </c>
      <c r="CE3" s="167"/>
      <c r="CF3" s="168"/>
    </row>
    <row r="4" spans="1:90" ht="17.45" customHeight="1">
      <c r="A4" s="57" t="s">
        <v>65</v>
      </c>
      <c r="B4" s="57" t="s">
        <v>66</v>
      </c>
      <c r="C4" s="57" t="s">
        <v>67</v>
      </c>
      <c r="D4" s="57">
        <v>1</v>
      </c>
      <c r="E4" s="57">
        <v>2</v>
      </c>
      <c r="F4" s="57">
        <v>3</v>
      </c>
      <c r="G4" s="57">
        <v>4</v>
      </c>
      <c r="H4" s="57">
        <v>5</v>
      </c>
      <c r="I4" s="57">
        <v>6</v>
      </c>
      <c r="J4" s="57">
        <v>7</v>
      </c>
      <c r="K4" s="57">
        <v>8</v>
      </c>
      <c r="L4" s="57">
        <v>9</v>
      </c>
      <c r="M4" s="57" t="s">
        <v>68</v>
      </c>
      <c r="N4" s="57">
        <v>10</v>
      </c>
      <c r="O4" s="57">
        <v>11</v>
      </c>
      <c r="P4" s="57">
        <v>12</v>
      </c>
      <c r="Q4" s="57">
        <v>13</v>
      </c>
      <c r="R4" s="57">
        <v>14</v>
      </c>
      <c r="S4" s="57">
        <v>15</v>
      </c>
      <c r="T4" s="57">
        <v>16</v>
      </c>
      <c r="U4" s="57">
        <v>17</v>
      </c>
      <c r="V4" s="57">
        <v>18</v>
      </c>
      <c r="W4" s="57" t="s">
        <v>69</v>
      </c>
      <c r="X4" s="57" t="s">
        <v>70</v>
      </c>
      <c r="Y4" s="57" t="s">
        <v>71</v>
      </c>
      <c r="AA4" s="57">
        <v>1</v>
      </c>
      <c r="AB4" s="57">
        <v>2</v>
      </c>
      <c r="AC4" s="57">
        <v>3</v>
      </c>
      <c r="AD4" s="57">
        <v>4</v>
      </c>
      <c r="AE4" s="57">
        <v>5</v>
      </c>
      <c r="AF4" s="57">
        <v>6</v>
      </c>
      <c r="AG4" s="57">
        <v>7</v>
      </c>
      <c r="AH4" s="57">
        <v>8</v>
      </c>
      <c r="AI4" s="57">
        <v>9</v>
      </c>
      <c r="AJ4" s="57" t="s">
        <v>68</v>
      </c>
      <c r="AK4" s="57">
        <v>10</v>
      </c>
      <c r="AL4" s="57">
        <v>11</v>
      </c>
      <c r="AM4" s="57">
        <v>12</v>
      </c>
      <c r="AN4" s="57">
        <v>13</v>
      </c>
      <c r="AO4" s="57">
        <v>14</v>
      </c>
      <c r="AP4" s="57">
        <v>15</v>
      </c>
      <c r="AQ4" s="57">
        <v>16</v>
      </c>
      <c r="AR4" s="57">
        <v>17</v>
      </c>
      <c r="AS4" s="57">
        <v>18</v>
      </c>
      <c r="AT4" s="57" t="s">
        <v>69</v>
      </c>
      <c r="AU4" s="57" t="s">
        <v>70</v>
      </c>
      <c r="AV4" s="57" t="s">
        <v>71</v>
      </c>
      <c r="AX4" s="57">
        <v>1</v>
      </c>
      <c r="AY4" s="57">
        <v>2</v>
      </c>
      <c r="AZ4" s="57">
        <v>3</v>
      </c>
      <c r="BA4" s="57">
        <v>4</v>
      </c>
      <c r="BB4" s="57">
        <v>5</v>
      </c>
      <c r="BC4" s="57">
        <v>6</v>
      </c>
      <c r="BD4" s="57">
        <v>7</v>
      </c>
      <c r="BE4" s="57">
        <v>8</v>
      </c>
      <c r="BF4" s="57">
        <v>9</v>
      </c>
      <c r="BG4" s="57" t="s">
        <v>68</v>
      </c>
      <c r="BH4" s="57">
        <v>10</v>
      </c>
      <c r="BI4" s="57">
        <v>11</v>
      </c>
      <c r="BJ4" s="57">
        <v>12</v>
      </c>
      <c r="BK4" s="57">
        <v>13</v>
      </c>
      <c r="BL4" s="57">
        <v>14</v>
      </c>
      <c r="BM4" s="57">
        <v>15</v>
      </c>
      <c r="BN4" s="57">
        <v>16</v>
      </c>
      <c r="BO4" s="57">
        <v>17</v>
      </c>
      <c r="BP4" s="57">
        <v>18</v>
      </c>
      <c r="BQ4" s="57" t="s">
        <v>69</v>
      </c>
      <c r="BR4" s="57" t="s">
        <v>68</v>
      </c>
      <c r="BS4" s="57" t="s">
        <v>72</v>
      </c>
      <c r="BT4" s="97" t="s">
        <v>73</v>
      </c>
      <c r="BU4" s="57" t="s">
        <v>74</v>
      </c>
      <c r="BV4" s="57" t="s">
        <v>75</v>
      </c>
      <c r="BW4" s="57" t="s">
        <v>76</v>
      </c>
      <c r="BX4" s="57" t="s">
        <v>67</v>
      </c>
      <c r="BY4" s="97" t="s">
        <v>73</v>
      </c>
      <c r="CB4" s="84"/>
      <c r="CC4" s="20"/>
      <c r="CD4" s="16" t="s">
        <v>77</v>
      </c>
      <c r="CE4" s="16" t="s">
        <v>66</v>
      </c>
      <c r="CF4" s="15" t="s">
        <v>73</v>
      </c>
    </row>
    <row r="5" spans="1:90" ht="17.45" customHeight="1">
      <c r="A5" s="58">
        <v>1</v>
      </c>
      <c r="B5" s="59" t="str">
        <f>'A Div'!A5 &amp; " " &amp; 'A Div'!B5</f>
        <v>KAY DUNKLEY</v>
      </c>
      <c r="C5" s="59">
        <f>'A Div'!E5</f>
        <v>16</v>
      </c>
      <c r="D5" s="60">
        <v>6</v>
      </c>
      <c r="E5" s="60">
        <v>5</v>
      </c>
      <c r="F5" s="60">
        <v>6</v>
      </c>
      <c r="G5" s="60">
        <v>6</v>
      </c>
      <c r="H5" s="60">
        <v>5</v>
      </c>
      <c r="I5" s="60">
        <v>3</v>
      </c>
      <c r="J5" s="60">
        <v>6</v>
      </c>
      <c r="K5" s="60">
        <v>5</v>
      </c>
      <c r="L5" s="60">
        <v>5</v>
      </c>
      <c r="M5" s="74">
        <f>IF(COUNTIF(D5:L5,"&lt;&gt;"&amp;"")=9,SUM(D5:L5),"-")</f>
        <v>47</v>
      </c>
      <c r="N5" s="60">
        <v>7</v>
      </c>
      <c r="O5" s="60">
        <v>4</v>
      </c>
      <c r="P5" s="60">
        <v>4</v>
      </c>
      <c r="Q5" s="60">
        <v>4</v>
      </c>
      <c r="R5" s="60">
        <v>4</v>
      </c>
      <c r="S5" s="60">
        <v>5</v>
      </c>
      <c r="T5" s="60">
        <v>4</v>
      </c>
      <c r="U5" s="60">
        <v>5</v>
      </c>
      <c r="V5" s="60">
        <v>7</v>
      </c>
      <c r="W5" s="74">
        <f>IF(COUNTIF(N5:V5,"&lt;&gt;"&amp;"")=9,SUM(N5:V5),"-")</f>
        <v>44</v>
      </c>
      <c r="X5" s="148">
        <f>IF(AND(ISNUMBER(M5),ISNUMBER(W5)),M5+W5,"-")</f>
        <v>91</v>
      </c>
      <c r="Y5" s="74">
        <f>IF(ISNUMBER(X5),X5-C5,"-")</f>
        <v>75</v>
      </c>
      <c r="AA5" s="60">
        <v>5</v>
      </c>
      <c r="AB5" s="60">
        <v>4</v>
      </c>
      <c r="AC5" s="60">
        <v>5</v>
      </c>
      <c r="AD5" s="60">
        <v>5</v>
      </c>
      <c r="AE5" s="60">
        <v>7</v>
      </c>
      <c r="AF5" s="60">
        <v>4</v>
      </c>
      <c r="AG5" s="60">
        <v>5</v>
      </c>
      <c r="AH5" s="60">
        <v>5</v>
      </c>
      <c r="AI5" s="60">
        <v>5</v>
      </c>
      <c r="AJ5" s="74">
        <f>IF(COUNTIF(AA5:AI5,"&lt;&gt;"&amp;"")=9,SUM(AA5:AI5),"-")</f>
        <v>45</v>
      </c>
      <c r="AK5" s="60">
        <v>6</v>
      </c>
      <c r="AL5" s="60">
        <v>8</v>
      </c>
      <c r="AM5" s="60">
        <v>3</v>
      </c>
      <c r="AN5" s="60">
        <v>6</v>
      </c>
      <c r="AO5" s="60">
        <v>4</v>
      </c>
      <c r="AP5" s="60">
        <v>6</v>
      </c>
      <c r="AQ5" s="60">
        <v>4</v>
      </c>
      <c r="AR5" s="60">
        <v>6</v>
      </c>
      <c r="AS5" s="60">
        <v>7</v>
      </c>
      <c r="AT5" s="74">
        <f>IF(COUNTIF(AK5:AS5,"&lt;&gt;"&amp;"")=9,SUM(AK5:AS5),"-")</f>
        <v>50</v>
      </c>
      <c r="AU5" s="148">
        <f>IF(AND(ISNUMBER(AJ5),ISNUMBER(AT5)),AJ5+AT5,"-")</f>
        <v>95</v>
      </c>
      <c r="AV5" s="74">
        <f>IF(ISNUMBER(AU5),AU5-C5,"-")</f>
        <v>79</v>
      </c>
      <c r="AX5" s="59">
        <f>IF(AND(D5&gt;0,AA5&gt;0),MIN(D5,AA5),"-")</f>
        <v>5</v>
      </c>
      <c r="AY5" s="59">
        <f>IF(AND(E5&gt;0,AB5&gt;0),MIN(E5,AB5),"-")</f>
        <v>4</v>
      </c>
      <c r="AZ5" s="59">
        <f>IF(AND(F5&gt;0,AC5&gt;0),MIN(F5,AC5),"-")</f>
        <v>5</v>
      </c>
      <c r="BA5" s="59">
        <f>IF(AND(G5&gt;0,AD5&gt;0),MIN(G5,AD5),"-")</f>
        <v>5</v>
      </c>
      <c r="BB5" s="59">
        <f>IF(AND(H5&gt;0,AE5&gt;0),MIN(H5,AE5),"-")</f>
        <v>5</v>
      </c>
      <c r="BC5" s="59">
        <f>IF(AND(I5&gt;0,AF5&gt;0),MIN(I5,AF5),"-")</f>
        <v>3</v>
      </c>
      <c r="BD5" s="59">
        <f>IF(AND(J5&gt;0,AG5&gt;0),MIN(J5,AG5),"-")</f>
        <v>5</v>
      </c>
      <c r="BE5" s="59">
        <f>IF(AND(K5&gt;0,AH5&gt;0),MIN(K5,AH5),"-")</f>
        <v>5</v>
      </c>
      <c r="BF5" s="59">
        <f>IF(AND(L5&gt;0,AI5&gt;0),MIN(L5,AI5),"-")</f>
        <v>5</v>
      </c>
      <c r="BG5" s="59">
        <f>IF(COUNTIF(AX5:BF5,"&lt;&gt;-")=9,SUM(AX5:BF5),"-")</f>
        <v>42</v>
      </c>
      <c r="BH5" s="59">
        <f>IF(AND(N5&gt;0,AK5&gt;0),MIN(N5,AK5),"-")</f>
        <v>6</v>
      </c>
      <c r="BI5" s="59">
        <f>IF(AND(O5&gt;0,AL5&gt;0),MIN(O5,AL5),"-")</f>
        <v>4</v>
      </c>
      <c r="BJ5" s="59">
        <f>IF(AND(P5&gt;0,AM5&gt;0),MIN(P5,AM5),"-")</f>
        <v>3</v>
      </c>
      <c r="BK5" s="59">
        <f>IF(AND(Q5&gt;0,AN5&gt;0),MIN(Q5,AN5),"-")</f>
        <v>4</v>
      </c>
      <c r="BL5" s="59">
        <f>IF(AND(R5&gt;0,AO5&gt;0),MIN(R5,AO5),"-")</f>
        <v>4</v>
      </c>
      <c r="BM5" s="59">
        <f>IF(AND(S5&gt;0,AP5&gt;0),MIN(S5,AP5),"-")</f>
        <v>5</v>
      </c>
      <c r="BN5" s="59">
        <f>IF(AND(T5&gt;0,AQ5&gt;0),MIN(T5,AQ5),"-")</f>
        <v>4</v>
      </c>
      <c r="BO5" s="59">
        <f>IF(AND(U5&gt;0,AR5&gt;0),MIN(U5,AR5),"-")</f>
        <v>5</v>
      </c>
      <c r="BP5" s="59">
        <f>IF(AND(V5&gt;0,AS5&gt;0),MIN(V5,AS5),"-")</f>
        <v>7</v>
      </c>
      <c r="BQ5" s="59">
        <f>IF(COUNTIF(BH5:BP5,"&lt;&gt;-")=9,SUM(BH5:BP5),"-")</f>
        <v>42</v>
      </c>
      <c r="BR5" s="59">
        <f>BG5</f>
        <v>42</v>
      </c>
      <c r="BS5" s="59">
        <f>IF(COUNTIF(BQ5:BR5,"&lt;&gt;-")=2,SUM(BQ5:BR5),"-")</f>
        <v>84</v>
      </c>
      <c r="BT5" s="98">
        <f>IF(ISNUMBER(BS5),BS5-(C5*Rules!$P$9/100),"-")</f>
        <v>80</v>
      </c>
      <c r="BU5" s="59">
        <f>RANK($BT5,$BT$5:$BT$106,1)+COUNTIF(BT$5:BT5,BT5)-1</f>
        <v>4</v>
      </c>
      <c r="BV5" s="59">
        <f>RANK(BT5,$BT$5:$BT$215,1)</f>
        <v>4</v>
      </c>
      <c r="BW5" s="59" t="str">
        <f>B5</f>
        <v>KAY DUNKLEY</v>
      </c>
      <c r="BX5" s="59">
        <f>C5</f>
        <v>16</v>
      </c>
      <c r="BY5" s="98">
        <f>BT5</f>
        <v>80</v>
      </c>
      <c r="CC5" s="4">
        <v>1</v>
      </c>
      <c r="CD5" s="2">
        <f>VLOOKUP(CC5,$BU$5:BY$215,2,FALSE)</f>
        <v>1</v>
      </c>
      <c r="CE5" s="6" t="str">
        <f>VLOOKUP(CC5,$BU$5:BY$215,3,FALSE)</f>
        <v>TARA SMITH</v>
      </c>
      <c r="CF5" s="2">
        <f>VLOOKUP(CC5,$BU$5:BY$215,5,FALSE)</f>
        <v>70.5</v>
      </c>
      <c r="CL5" s="77">
        <v>1</v>
      </c>
    </row>
    <row r="6" spans="1:90" ht="17.45" customHeight="1">
      <c r="A6" s="58">
        <v>2</v>
      </c>
      <c r="B6" s="59" t="str">
        <f>'A Div'!A6 &amp; " " &amp; 'A Div'!B6</f>
        <v>ALIDA HOOPER</v>
      </c>
      <c r="C6" s="59">
        <f>'A Div'!E6</f>
        <v>15</v>
      </c>
      <c r="D6" s="60">
        <v>5</v>
      </c>
      <c r="E6" s="60">
        <v>3</v>
      </c>
      <c r="F6" s="60">
        <v>6</v>
      </c>
      <c r="G6" s="60">
        <v>4</v>
      </c>
      <c r="H6" s="60">
        <v>5</v>
      </c>
      <c r="I6" s="60">
        <v>4</v>
      </c>
      <c r="J6" s="60">
        <v>4</v>
      </c>
      <c r="K6" s="60">
        <v>6</v>
      </c>
      <c r="L6" s="60">
        <v>5</v>
      </c>
      <c r="M6" s="74">
        <f t="shared" ref="M6:M69" si="0">IF(COUNTIF(D6:L6,"&lt;&gt;"&amp;"")=9,SUM(D6:L6),"-")</f>
        <v>42</v>
      </c>
      <c r="N6" s="60">
        <v>6</v>
      </c>
      <c r="O6" s="60">
        <v>6</v>
      </c>
      <c r="P6" s="60">
        <v>6</v>
      </c>
      <c r="Q6" s="60">
        <v>8</v>
      </c>
      <c r="R6" s="60">
        <v>3</v>
      </c>
      <c r="S6" s="60">
        <v>6</v>
      </c>
      <c r="T6" s="60">
        <v>6</v>
      </c>
      <c r="U6" s="60">
        <v>7</v>
      </c>
      <c r="V6" s="60">
        <v>7</v>
      </c>
      <c r="W6" s="74">
        <f t="shared" ref="W6:W69" si="1">IF(COUNTIF(N6:V6,"&lt;&gt;"&amp;"")=9,SUM(N6:V6),"-")</f>
        <v>55</v>
      </c>
      <c r="X6" s="148">
        <f t="shared" ref="X6:X69" si="2">IF(AND(ISNUMBER(M6),ISNUMBER(W6)),M6+W6,"-")</f>
        <v>97</v>
      </c>
      <c r="Y6" s="74">
        <f t="shared" ref="Y6:Y69" si="3">IF(ISNUMBER(X6),X6-C6,"-")</f>
        <v>82</v>
      </c>
      <c r="AA6" s="60">
        <v>4</v>
      </c>
      <c r="AB6" s="60">
        <v>4</v>
      </c>
      <c r="AC6" s="60">
        <v>5</v>
      </c>
      <c r="AD6" s="60">
        <v>5</v>
      </c>
      <c r="AE6" s="60">
        <v>6</v>
      </c>
      <c r="AF6" s="60">
        <v>4</v>
      </c>
      <c r="AG6" s="60">
        <v>6</v>
      </c>
      <c r="AH6" s="60">
        <v>5</v>
      </c>
      <c r="AI6" s="60">
        <v>5</v>
      </c>
      <c r="AJ6" s="74">
        <f t="shared" ref="AJ6:AJ69" si="4">IF(COUNTIF(AA6:AI6,"&lt;&gt;"&amp;"")=9,SUM(AA6:AI6),"-")</f>
        <v>44</v>
      </c>
      <c r="AK6" s="60">
        <v>5</v>
      </c>
      <c r="AL6" s="60">
        <v>5</v>
      </c>
      <c r="AM6" s="60">
        <v>6</v>
      </c>
      <c r="AN6" s="60">
        <v>6</v>
      </c>
      <c r="AO6" s="60">
        <v>4</v>
      </c>
      <c r="AP6" s="60">
        <v>5</v>
      </c>
      <c r="AQ6" s="60">
        <v>4</v>
      </c>
      <c r="AR6" s="60">
        <v>6</v>
      </c>
      <c r="AS6" s="60">
        <v>6</v>
      </c>
      <c r="AT6" s="74">
        <f>IF(COUNTIF(AK6:AS6,"&lt;&gt;"&amp;"")=9,SUM(AK6:AS6),"-")</f>
        <v>47</v>
      </c>
      <c r="AU6" s="148">
        <f>IF(AND(ISNUMBER(AJ6),ISNUMBER(AT6)),AJ6+AT6,"-")</f>
        <v>91</v>
      </c>
      <c r="AV6" s="74">
        <f>IF(ISNUMBER(AU6),AU6-C6,"-")</f>
        <v>76</v>
      </c>
      <c r="AX6" s="59">
        <f t="shared" ref="AX6:AX69" si="5">IF(AND(D6&gt;0,AA6&gt;0),MIN(D6,AA6),"-")</f>
        <v>4</v>
      </c>
      <c r="AY6" s="59">
        <f t="shared" ref="AY6:AY69" si="6">IF(AND(E6&gt;0,AB6&gt;0),MIN(E6,AB6),"-")</f>
        <v>3</v>
      </c>
      <c r="AZ6" s="59">
        <f t="shared" ref="AZ6:AZ69" si="7">IF(AND(F6&gt;0,AC6&gt;0),MIN(F6,AC6),"-")</f>
        <v>5</v>
      </c>
      <c r="BA6" s="59">
        <f t="shared" ref="BA6:BA69" si="8">IF(AND(G6&gt;0,AD6&gt;0),MIN(G6,AD6),"-")</f>
        <v>4</v>
      </c>
      <c r="BB6" s="59">
        <f t="shared" ref="BB6:BB69" si="9">IF(AND(H6&gt;0,AE6&gt;0),MIN(H6,AE6),"-")</f>
        <v>5</v>
      </c>
      <c r="BC6" s="59">
        <f t="shared" ref="BC6:BC69" si="10">IF(AND(I6&gt;0,AF6&gt;0),MIN(I6,AF6),"-")</f>
        <v>4</v>
      </c>
      <c r="BD6" s="59">
        <f t="shared" ref="BD6:BD69" si="11">IF(AND(J6&gt;0,AG6&gt;0),MIN(J6,AG6),"-")</f>
        <v>4</v>
      </c>
      <c r="BE6" s="59">
        <f t="shared" ref="BE6:BE69" si="12">IF(AND(K6&gt;0,AH6&gt;0),MIN(K6,AH6),"-")</f>
        <v>5</v>
      </c>
      <c r="BF6" s="59">
        <f t="shared" ref="BF6:BF69" si="13">IF(AND(L6&gt;0,AI6&gt;0),MIN(L6,AI6),"-")</f>
        <v>5</v>
      </c>
      <c r="BG6" s="59">
        <f t="shared" ref="BG6:BG69" si="14">IF(COUNTIF(AX6:BF6,"&lt;&gt;-")=9,SUM(AX6:BF6),"-")</f>
        <v>39</v>
      </c>
      <c r="BH6" s="59">
        <f t="shared" ref="BH6:BH69" si="15">IF(AND(N6&gt;0,AK6&gt;0),MIN(N6,AK6),"-")</f>
        <v>5</v>
      </c>
      <c r="BI6" s="59">
        <f t="shared" ref="BI6:BI69" si="16">IF(AND(O6&gt;0,AL6&gt;0),MIN(O6,AL6),"-")</f>
        <v>5</v>
      </c>
      <c r="BJ6" s="59">
        <f t="shared" ref="BJ6:BJ69" si="17">IF(AND(P6&gt;0,AM6&gt;0),MIN(P6,AM6),"-")</f>
        <v>6</v>
      </c>
      <c r="BK6" s="59">
        <f t="shared" ref="BK6:BK69" si="18">IF(AND(Q6&gt;0,AN6&gt;0),MIN(Q6,AN6),"-")</f>
        <v>6</v>
      </c>
      <c r="BL6" s="59">
        <f>IF(AND(R6&gt;0,AO6&gt;0),MIN(R6,AO6),"-")</f>
        <v>3</v>
      </c>
      <c r="BM6" s="59">
        <f>IF(AND(S6&gt;0,AP6&gt;0),MIN(S6,AP6),"-")</f>
        <v>5</v>
      </c>
      <c r="BN6" s="59">
        <f>IF(AND(T6&gt;0,AQ6&gt;0),MIN(T6,AQ6),"-")</f>
        <v>4</v>
      </c>
      <c r="BO6" s="59">
        <f>IF(AND(U6&gt;0,AR6&gt;0),MIN(U6,AR6),"-")</f>
        <v>6</v>
      </c>
      <c r="BP6" s="59">
        <f>IF(AND(V6&gt;0,AS6&gt;0),MIN(V6,AS6),"-")</f>
        <v>6</v>
      </c>
      <c r="BQ6" s="59">
        <f t="shared" ref="BQ6:BQ69" si="19">IF(COUNTIF(BH6:BP6,"&lt;&gt;-")=9,SUM(BH6:BP6),"-")</f>
        <v>46</v>
      </c>
      <c r="BR6" s="59">
        <f t="shared" ref="BR6:BR69" si="20">BG6</f>
        <v>39</v>
      </c>
      <c r="BS6" s="59">
        <f t="shared" ref="BS6:BS69" si="21">IF(COUNTIF(BQ6:BR6,"&lt;&gt;-")=2,SUM(BQ6:BR6),"-")</f>
        <v>85</v>
      </c>
      <c r="BT6" s="98">
        <f>IF(ISNUMBER(BS6),BS6-(C6*Rules!$P$9/100),"-")</f>
        <v>81.25</v>
      </c>
      <c r="BU6" s="59">
        <f>RANK($BT6,$BT$5:$BT$106,1)+COUNTIF(BT$5:BT6,BT6)-1</f>
        <v>9</v>
      </c>
      <c r="BV6" s="59">
        <f t="shared" ref="BV6:BV69" si="22">RANK(BT6,$BT$5:$BT$215,1)</f>
        <v>9</v>
      </c>
      <c r="BW6" s="59" t="str">
        <f t="shared" ref="BW6:BW69" si="23">B6</f>
        <v>ALIDA HOOPER</v>
      </c>
      <c r="BX6" s="59">
        <f t="shared" ref="BX6:BX69" si="24">C6</f>
        <v>15</v>
      </c>
      <c r="BY6" s="98">
        <f t="shared" ref="BY6:BY69" si="25">BT6</f>
        <v>81.25</v>
      </c>
      <c r="CC6" s="4">
        <v>2</v>
      </c>
      <c r="CD6" s="2">
        <f>VLOOKUP(CC6,$BU$5:BY$215,2,FALSE)</f>
        <v>2</v>
      </c>
      <c r="CE6" s="6" t="str">
        <f>VLOOKUP(CC6,$BU$5:BY$215,3,FALSE)</f>
        <v>MELISSA PALMER</v>
      </c>
      <c r="CF6" s="2">
        <f>VLOOKUP(CC6,$BU$5:BY$215,5,FALSE)</f>
        <v>78</v>
      </c>
      <c r="CL6" s="77">
        <v>1</v>
      </c>
    </row>
    <row r="7" spans="1:90" ht="17.45" customHeight="1">
      <c r="A7" s="58">
        <v>3</v>
      </c>
      <c r="B7" s="59" t="str">
        <f>'A Div'!A7 &amp; " " &amp; 'A Div'!B7</f>
        <v>SONJA HOPCROFT</v>
      </c>
      <c r="C7" s="59">
        <f>'A Div'!E7</f>
        <v>13</v>
      </c>
      <c r="D7" s="60">
        <v>6</v>
      </c>
      <c r="E7" s="60">
        <v>3</v>
      </c>
      <c r="F7" s="60">
        <v>6</v>
      </c>
      <c r="G7" s="60">
        <v>4</v>
      </c>
      <c r="H7" s="60">
        <v>5</v>
      </c>
      <c r="I7" s="60">
        <v>6</v>
      </c>
      <c r="J7" s="60">
        <v>6</v>
      </c>
      <c r="K7" s="60">
        <v>5</v>
      </c>
      <c r="L7" s="60">
        <v>4</v>
      </c>
      <c r="M7" s="74">
        <f t="shared" si="0"/>
        <v>45</v>
      </c>
      <c r="N7" s="60">
        <v>7</v>
      </c>
      <c r="O7" s="60">
        <v>5</v>
      </c>
      <c r="P7" s="60">
        <v>4</v>
      </c>
      <c r="Q7" s="60">
        <v>6</v>
      </c>
      <c r="R7" s="60">
        <v>3</v>
      </c>
      <c r="S7" s="60">
        <v>6</v>
      </c>
      <c r="T7" s="60">
        <v>5</v>
      </c>
      <c r="U7" s="60">
        <v>5</v>
      </c>
      <c r="V7" s="60">
        <v>7</v>
      </c>
      <c r="W7" s="74">
        <f t="shared" si="1"/>
        <v>48</v>
      </c>
      <c r="X7" s="148">
        <f t="shared" si="2"/>
        <v>93</v>
      </c>
      <c r="Y7" s="74">
        <f t="shared" si="3"/>
        <v>80</v>
      </c>
      <c r="AA7" s="60">
        <v>5</v>
      </c>
      <c r="AB7" s="60">
        <v>4</v>
      </c>
      <c r="AC7" s="60">
        <v>6</v>
      </c>
      <c r="AD7" s="60">
        <v>4</v>
      </c>
      <c r="AE7" s="60">
        <v>6</v>
      </c>
      <c r="AF7" s="60">
        <v>6</v>
      </c>
      <c r="AG7" s="60">
        <v>5</v>
      </c>
      <c r="AH7" s="60">
        <v>5</v>
      </c>
      <c r="AI7" s="60">
        <v>7</v>
      </c>
      <c r="AJ7" s="74">
        <f t="shared" si="4"/>
        <v>48</v>
      </c>
      <c r="AK7" s="60">
        <v>5</v>
      </c>
      <c r="AL7" s="60">
        <v>7</v>
      </c>
      <c r="AM7" s="60">
        <v>3</v>
      </c>
      <c r="AN7" s="60">
        <v>5</v>
      </c>
      <c r="AO7" s="60">
        <v>5</v>
      </c>
      <c r="AP7" s="60">
        <v>6</v>
      </c>
      <c r="AQ7" s="60">
        <v>4</v>
      </c>
      <c r="AR7" s="60">
        <v>5</v>
      </c>
      <c r="AS7" s="60">
        <v>5</v>
      </c>
      <c r="AT7" s="74">
        <f>IF(COUNTIF(AK7:AS7,"&lt;&gt;"&amp;"")=9,SUM(AK7:AS7),"-")</f>
        <v>45</v>
      </c>
      <c r="AU7" s="148">
        <f>IF(AND(ISNUMBER(AJ7),ISNUMBER(AT7)),AJ7+AT7,"-")</f>
        <v>93</v>
      </c>
      <c r="AV7" s="74">
        <f>IF(ISNUMBER(AU7),AU7-C7,"-")</f>
        <v>80</v>
      </c>
      <c r="AX7" s="59">
        <f t="shared" si="5"/>
        <v>5</v>
      </c>
      <c r="AY7" s="59">
        <f t="shared" si="6"/>
        <v>3</v>
      </c>
      <c r="AZ7" s="59">
        <f t="shared" si="7"/>
        <v>6</v>
      </c>
      <c r="BA7" s="59">
        <f t="shared" si="8"/>
        <v>4</v>
      </c>
      <c r="BB7" s="59">
        <f t="shared" si="9"/>
        <v>5</v>
      </c>
      <c r="BC7" s="59">
        <f t="shared" si="10"/>
        <v>6</v>
      </c>
      <c r="BD7" s="59">
        <f t="shared" si="11"/>
        <v>5</v>
      </c>
      <c r="BE7" s="59">
        <f t="shared" si="12"/>
        <v>5</v>
      </c>
      <c r="BF7" s="59">
        <f t="shared" si="13"/>
        <v>4</v>
      </c>
      <c r="BG7" s="59">
        <f t="shared" si="14"/>
        <v>43</v>
      </c>
      <c r="BH7" s="59">
        <f t="shared" si="15"/>
        <v>5</v>
      </c>
      <c r="BI7" s="59">
        <f t="shared" si="16"/>
        <v>5</v>
      </c>
      <c r="BJ7" s="59">
        <f t="shared" si="17"/>
        <v>3</v>
      </c>
      <c r="BK7" s="59">
        <f t="shared" si="18"/>
        <v>5</v>
      </c>
      <c r="BL7" s="59">
        <f>IF(AND(R7&gt;0,AO7&gt;0),MIN(R7,AO7),"-")</f>
        <v>3</v>
      </c>
      <c r="BM7" s="59">
        <f>IF(AND(S7&gt;0,AP7&gt;0),MIN(S7,AP7),"-")</f>
        <v>6</v>
      </c>
      <c r="BN7" s="59">
        <f>IF(AND(T7&gt;0,AQ7&gt;0),MIN(T7,AQ7),"-")</f>
        <v>4</v>
      </c>
      <c r="BO7" s="59">
        <f>IF(AND(U7&gt;0,AR7&gt;0),MIN(U7,AR7),"-")</f>
        <v>5</v>
      </c>
      <c r="BP7" s="59">
        <f>IF(AND(V7&gt;0,AS7&gt;0),MIN(V7,AS7),"-")</f>
        <v>5</v>
      </c>
      <c r="BQ7" s="59">
        <f t="shared" si="19"/>
        <v>41</v>
      </c>
      <c r="BR7" s="59">
        <f t="shared" si="20"/>
        <v>43</v>
      </c>
      <c r="BS7" s="59">
        <f t="shared" si="21"/>
        <v>84</v>
      </c>
      <c r="BT7" s="98">
        <f>IF(ISNUMBER(BS7),BS7-(C7*Rules!$P$9/100),"-")</f>
        <v>80.75</v>
      </c>
      <c r="BU7" s="59">
        <f>RANK($BT7,$BT$5:$BT$106,1)+COUNTIF(BT$5:BT7,BT7)-1</f>
        <v>7</v>
      </c>
      <c r="BV7" s="59">
        <f t="shared" si="22"/>
        <v>7</v>
      </c>
      <c r="BW7" s="59" t="str">
        <f t="shared" si="23"/>
        <v>SONJA HOPCROFT</v>
      </c>
      <c r="BX7" s="59">
        <f t="shared" si="24"/>
        <v>13</v>
      </c>
      <c r="BY7" s="98">
        <f t="shared" si="25"/>
        <v>80.75</v>
      </c>
      <c r="CC7" s="4">
        <v>3</v>
      </c>
      <c r="CD7" s="2">
        <f>VLOOKUP(CC7,$BU$5:BY$215,2,FALSE)</f>
        <v>3</v>
      </c>
      <c r="CE7" s="6" t="str">
        <f>VLOOKUP(CC7,$BU$5:BY$215,3,FALSE)</f>
        <v>ANITA VAN DER LINDE</v>
      </c>
      <c r="CF7" s="2">
        <f>VLOOKUP(CC7,$BU$5:BY$215,5,FALSE)</f>
        <v>79</v>
      </c>
      <c r="CL7" s="77">
        <v>1</v>
      </c>
    </row>
    <row r="8" spans="1:90" ht="17.45" customHeight="1">
      <c r="A8" s="58">
        <v>4</v>
      </c>
      <c r="B8" s="59" t="str">
        <f>'A Div'!A8 &amp; " " &amp; 'A Div'!B8</f>
        <v>TARA SMITH</v>
      </c>
      <c r="C8" s="59">
        <f>'A Div'!E8</f>
        <v>2</v>
      </c>
      <c r="D8" s="60">
        <v>4</v>
      </c>
      <c r="E8" s="60">
        <v>3</v>
      </c>
      <c r="F8" s="60">
        <v>4</v>
      </c>
      <c r="G8" s="60">
        <v>4</v>
      </c>
      <c r="H8" s="60">
        <v>5</v>
      </c>
      <c r="I8" s="60">
        <v>3</v>
      </c>
      <c r="J8" s="60">
        <v>4</v>
      </c>
      <c r="K8" s="60">
        <v>4</v>
      </c>
      <c r="L8" s="60">
        <v>3</v>
      </c>
      <c r="M8" s="74">
        <f t="shared" si="0"/>
        <v>34</v>
      </c>
      <c r="N8" s="60">
        <v>4</v>
      </c>
      <c r="O8" s="60">
        <v>4</v>
      </c>
      <c r="P8" s="60">
        <v>3</v>
      </c>
      <c r="Q8" s="60">
        <v>4</v>
      </c>
      <c r="R8" s="60">
        <v>4</v>
      </c>
      <c r="S8" s="60">
        <v>5</v>
      </c>
      <c r="T8" s="60">
        <v>4</v>
      </c>
      <c r="U8" s="60">
        <v>5</v>
      </c>
      <c r="V8" s="60">
        <v>5</v>
      </c>
      <c r="W8" s="74">
        <f t="shared" si="1"/>
        <v>38</v>
      </c>
      <c r="X8" s="148">
        <f t="shared" si="2"/>
        <v>72</v>
      </c>
      <c r="Y8" s="74">
        <f t="shared" si="3"/>
        <v>70</v>
      </c>
      <c r="AA8" s="60">
        <v>4</v>
      </c>
      <c r="AB8" s="60">
        <v>4</v>
      </c>
      <c r="AC8" s="60">
        <v>4</v>
      </c>
      <c r="AD8" s="60">
        <v>5</v>
      </c>
      <c r="AE8" s="60">
        <v>7</v>
      </c>
      <c r="AF8" s="60">
        <v>5</v>
      </c>
      <c r="AG8" s="60">
        <v>4</v>
      </c>
      <c r="AH8" s="60">
        <v>4</v>
      </c>
      <c r="AI8" s="60">
        <v>3</v>
      </c>
      <c r="AJ8" s="74">
        <f t="shared" si="4"/>
        <v>40</v>
      </c>
      <c r="AK8" s="60">
        <v>5</v>
      </c>
      <c r="AL8" s="60">
        <v>4</v>
      </c>
      <c r="AM8" s="60">
        <v>4</v>
      </c>
      <c r="AN8" s="60">
        <v>4</v>
      </c>
      <c r="AO8" s="60">
        <v>6</v>
      </c>
      <c r="AP8" s="60">
        <v>4</v>
      </c>
      <c r="AQ8" s="60">
        <v>5</v>
      </c>
      <c r="AR8" s="60">
        <v>5</v>
      </c>
      <c r="AS8" s="60">
        <v>5</v>
      </c>
      <c r="AT8" s="74">
        <f>IF(COUNTIF(AK8:AS8,"&lt;&gt;"&amp;"")=9,SUM(AK8:AS8),"-")</f>
        <v>42</v>
      </c>
      <c r="AU8" s="148">
        <f>IF(AND(ISNUMBER(AJ8),ISNUMBER(AT8)),AJ8+AT8,"-")</f>
        <v>82</v>
      </c>
      <c r="AV8" s="74">
        <f>IF(ISNUMBER(AU8),AU8-C8,"-")</f>
        <v>80</v>
      </c>
      <c r="AX8" s="59">
        <f t="shared" si="5"/>
        <v>4</v>
      </c>
      <c r="AY8" s="59">
        <f t="shared" si="6"/>
        <v>3</v>
      </c>
      <c r="AZ8" s="59">
        <f t="shared" si="7"/>
        <v>4</v>
      </c>
      <c r="BA8" s="59">
        <f t="shared" si="8"/>
        <v>4</v>
      </c>
      <c r="BB8" s="59">
        <f t="shared" si="9"/>
        <v>5</v>
      </c>
      <c r="BC8" s="59">
        <f t="shared" si="10"/>
        <v>3</v>
      </c>
      <c r="BD8" s="59">
        <f t="shared" si="11"/>
        <v>4</v>
      </c>
      <c r="BE8" s="59">
        <f t="shared" si="12"/>
        <v>4</v>
      </c>
      <c r="BF8" s="59">
        <f t="shared" si="13"/>
        <v>3</v>
      </c>
      <c r="BG8" s="59">
        <f t="shared" si="14"/>
        <v>34</v>
      </c>
      <c r="BH8" s="59">
        <f t="shared" si="15"/>
        <v>4</v>
      </c>
      <c r="BI8" s="59">
        <f t="shared" si="16"/>
        <v>4</v>
      </c>
      <c r="BJ8" s="59">
        <f t="shared" si="17"/>
        <v>3</v>
      </c>
      <c r="BK8" s="59">
        <f t="shared" si="18"/>
        <v>4</v>
      </c>
      <c r="BL8" s="59">
        <f>IF(AND(R8&gt;0,AO8&gt;0),MIN(R8,AO8),"-")</f>
        <v>4</v>
      </c>
      <c r="BM8" s="59">
        <f>IF(AND(S8&gt;0,AP8&gt;0),MIN(S8,AP8),"-")</f>
        <v>4</v>
      </c>
      <c r="BN8" s="59">
        <f>IF(AND(T8&gt;0,AQ8&gt;0),MIN(T8,AQ8),"-")</f>
        <v>4</v>
      </c>
      <c r="BO8" s="59">
        <f>IF(AND(U8&gt;0,AR8&gt;0),MIN(U8,AR8),"-")</f>
        <v>5</v>
      </c>
      <c r="BP8" s="59">
        <f>IF(AND(V8&gt;0,AS8&gt;0),MIN(V8,AS8),"-")</f>
        <v>5</v>
      </c>
      <c r="BQ8" s="59">
        <f t="shared" si="19"/>
        <v>37</v>
      </c>
      <c r="BR8" s="59">
        <f t="shared" si="20"/>
        <v>34</v>
      </c>
      <c r="BS8" s="59">
        <f t="shared" si="21"/>
        <v>71</v>
      </c>
      <c r="BT8" s="98">
        <f>IF(ISNUMBER(BS8),BS8-(C8*Rules!$P$9/100),"-")</f>
        <v>70.5</v>
      </c>
      <c r="BU8" s="59">
        <f>RANK($BT8,$BT$5:$BT$106,1)+COUNTIF(BT$5:BT8,BT8)-1</f>
        <v>1</v>
      </c>
      <c r="BV8" s="59">
        <f t="shared" si="22"/>
        <v>1</v>
      </c>
      <c r="BW8" s="59" t="str">
        <f t="shared" si="23"/>
        <v>TARA SMITH</v>
      </c>
      <c r="BX8" s="59">
        <f t="shared" si="24"/>
        <v>2</v>
      </c>
      <c r="BY8" s="98">
        <f t="shared" si="25"/>
        <v>70.5</v>
      </c>
      <c r="CC8" s="4">
        <v>4</v>
      </c>
      <c r="CD8" s="2">
        <f>VLOOKUP(CC8,$BU$5:BY$215,2,FALSE)</f>
        <v>4</v>
      </c>
      <c r="CE8" s="6" t="str">
        <f>VLOOKUP(CC8,$BU$5:BY$215,3,FALSE)</f>
        <v>KAY DUNKLEY</v>
      </c>
      <c r="CF8" s="2">
        <f>VLOOKUP(CC8,$BU$5:BY$215,5,FALSE)</f>
        <v>80</v>
      </c>
      <c r="CL8" s="77">
        <v>1</v>
      </c>
    </row>
    <row r="9" spans="1:90" ht="17.45" customHeight="1">
      <c r="A9" s="58">
        <v>5</v>
      </c>
      <c r="B9" s="59" t="str">
        <f>'A Div'!A9 &amp; " " &amp; 'A Div'!B9</f>
        <v>ANITA VAN DER LINDE</v>
      </c>
      <c r="C9" s="59">
        <f>'A Div'!E9</f>
        <v>16</v>
      </c>
      <c r="D9" s="60">
        <v>6</v>
      </c>
      <c r="E9" s="60">
        <v>3</v>
      </c>
      <c r="F9" s="60">
        <v>6</v>
      </c>
      <c r="G9" s="60">
        <v>7</v>
      </c>
      <c r="H9" s="60">
        <v>5</v>
      </c>
      <c r="I9" s="60">
        <v>3</v>
      </c>
      <c r="J9" s="60">
        <v>5</v>
      </c>
      <c r="K9" s="60">
        <v>6</v>
      </c>
      <c r="L9" s="60">
        <v>4</v>
      </c>
      <c r="M9" s="74">
        <f t="shared" si="0"/>
        <v>45</v>
      </c>
      <c r="N9" s="60">
        <v>8</v>
      </c>
      <c r="O9" s="60">
        <v>4</v>
      </c>
      <c r="P9" s="60">
        <v>4</v>
      </c>
      <c r="Q9" s="60">
        <v>6</v>
      </c>
      <c r="R9" s="60">
        <v>4</v>
      </c>
      <c r="S9" s="60">
        <v>6</v>
      </c>
      <c r="T9" s="60">
        <v>3</v>
      </c>
      <c r="U9" s="60">
        <v>6</v>
      </c>
      <c r="V9" s="60">
        <v>7</v>
      </c>
      <c r="W9" s="74">
        <f t="shared" si="1"/>
        <v>48</v>
      </c>
      <c r="X9" s="148">
        <f t="shared" si="2"/>
        <v>93</v>
      </c>
      <c r="Y9" s="74">
        <f t="shared" si="3"/>
        <v>77</v>
      </c>
      <c r="AA9" s="60">
        <v>5</v>
      </c>
      <c r="AB9" s="60">
        <v>3</v>
      </c>
      <c r="AC9" s="60">
        <v>5</v>
      </c>
      <c r="AD9" s="60">
        <v>5</v>
      </c>
      <c r="AE9" s="60">
        <v>7</v>
      </c>
      <c r="AF9" s="60">
        <v>3</v>
      </c>
      <c r="AG9" s="60">
        <v>6</v>
      </c>
      <c r="AH9" s="60">
        <v>5</v>
      </c>
      <c r="AI9" s="60">
        <v>4</v>
      </c>
      <c r="AJ9" s="74">
        <f t="shared" si="4"/>
        <v>43</v>
      </c>
      <c r="AK9" s="60">
        <v>7</v>
      </c>
      <c r="AL9" s="60">
        <v>4</v>
      </c>
      <c r="AM9" s="60">
        <v>3</v>
      </c>
      <c r="AN9" s="60">
        <v>6</v>
      </c>
      <c r="AO9" s="60">
        <v>3</v>
      </c>
      <c r="AP9" s="60">
        <v>6</v>
      </c>
      <c r="AQ9" s="60">
        <v>5</v>
      </c>
      <c r="AR9" s="60">
        <v>6</v>
      </c>
      <c r="AS9" s="60">
        <v>5</v>
      </c>
      <c r="AT9" s="74">
        <f>IF(COUNTIF(AK9:AS9,"&lt;&gt;"&amp;"")=9,SUM(AK9:AS9),"-")</f>
        <v>45</v>
      </c>
      <c r="AU9" s="148">
        <f>IF(AND(ISNUMBER(AJ9),ISNUMBER(AT9)),AJ9+AT9,"-")</f>
        <v>88</v>
      </c>
      <c r="AV9" s="74">
        <f>IF(ISNUMBER(AU9),AU9-C9,"-")</f>
        <v>72</v>
      </c>
      <c r="AX9" s="59">
        <f t="shared" si="5"/>
        <v>5</v>
      </c>
      <c r="AY9" s="59">
        <f t="shared" si="6"/>
        <v>3</v>
      </c>
      <c r="AZ9" s="59">
        <f t="shared" si="7"/>
        <v>5</v>
      </c>
      <c r="BA9" s="59">
        <f t="shared" si="8"/>
        <v>5</v>
      </c>
      <c r="BB9" s="59">
        <f t="shared" si="9"/>
        <v>5</v>
      </c>
      <c r="BC9" s="59">
        <f t="shared" si="10"/>
        <v>3</v>
      </c>
      <c r="BD9" s="59">
        <f t="shared" si="11"/>
        <v>5</v>
      </c>
      <c r="BE9" s="59">
        <f t="shared" si="12"/>
        <v>5</v>
      </c>
      <c r="BF9" s="59">
        <f t="shared" si="13"/>
        <v>4</v>
      </c>
      <c r="BG9" s="59">
        <f t="shared" si="14"/>
        <v>40</v>
      </c>
      <c r="BH9" s="59">
        <f t="shared" si="15"/>
        <v>7</v>
      </c>
      <c r="BI9" s="59">
        <f t="shared" si="16"/>
        <v>4</v>
      </c>
      <c r="BJ9" s="59">
        <f t="shared" si="17"/>
        <v>3</v>
      </c>
      <c r="BK9" s="59">
        <f t="shared" si="18"/>
        <v>6</v>
      </c>
      <c r="BL9" s="59">
        <f>IF(AND(R9&gt;0,AO9&gt;0),MIN(R9,AO9),"-")</f>
        <v>3</v>
      </c>
      <c r="BM9" s="59">
        <f>IF(AND(S9&gt;0,AP9&gt;0),MIN(S9,AP9),"-")</f>
        <v>6</v>
      </c>
      <c r="BN9" s="59">
        <f>IF(AND(T9&gt;0,AQ9&gt;0),MIN(T9,AQ9),"-")</f>
        <v>3</v>
      </c>
      <c r="BO9" s="59">
        <f>IF(AND(U9&gt;0,AR9&gt;0),MIN(U9,AR9),"-")</f>
        <v>6</v>
      </c>
      <c r="BP9" s="59">
        <f>IF(AND(V9&gt;0,AS9&gt;0),MIN(V9,AS9),"-")</f>
        <v>5</v>
      </c>
      <c r="BQ9" s="59">
        <f t="shared" si="19"/>
        <v>43</v>
      </c>
      <c r="BR9" s="59">
        <f t="shared" si="20"/>
        <v>40</v>
      </c>
      <c r="BS9" s="59">
        <f t="shared" si="21"/>
        <v>83</v>
      </c>
      <c r="BT9" s="98">
        <f>IF(ISNUMBER(BS9),BS9-(C9*Rules!$P$9/100),"-")</f>
        <v>79</v>
      </c>
      <c r="BU9" s="59">
        <f>RANK($BT9,$BT$5:$BT$106,1)+COUNTIF(BT$5:BT9,BT9)-1</f>
        <v>3</v>
      </c>
      <c r="BV9" s="59">
        <f t="shared" si="22"/>
        <v>3</v>
      </c>
      <c r="BW9" s="59" t="str">
        <f t="shared" si="23"/>
        <v>ANITA VAN DER LINDE</v>
      </c>
      <c r="BX9" s="59">
        <f t="shared" si="24"/>
        <v>16</v>
      </c>
      <c r="BY9" s="98">
        <f t="shared" si="25"/>
        <v>79</v>
      </c>
      <c r="CC9" s="4">
        <v>5</v>
      </c>
      <c r="CD9" s="2">
        <f>VLOOKUP(CC9,$BU$5:BY$215,2,FALSE)</f>
        <v>4</v>
      </c>
      <c r="CE9" s="6" t="str">
        <f>VLOOKUP(CC9,$BU$5:BY$215,3,FALSE)</f>
        <v>GAIL SPEIRS</v>
      </c>
      <c r="CF9" s="2">
        <f>VLOOKUP(CC9,$BU$5:BY$215,5,FALSE)</f>
        <v>80</v>
      </c>
      <c r="CL9" s="77">
        <v>1</v>
      </c>
    </row>
    <row r="10" spans="1:90" ht="17.45" customHeight="1">
      <c r="A10" s="58">
        <v>6</v>
      </c>
      <c r="B10" s="59" t="str">
        <f>'A Div'!A10 &amp; " " &amp; 'A Div'!B10</f>
        <v>SHAY BROEDELET</v>
      </c>
      <c r="C10" s="59">
        <f>'A Div'!E10</f>
        <v>28</v>
      </c>
      <c r="D10" s="60">
        <v>6</v>
      </c>
      <c r="E10" s="60">
        <v>3</v>
      </c>
      <c r="F10" s="60">
        <v>7</v>
      </c>
      <c r="G10" s="60">
        <v>6</v>
      </c>
      <c r="H10" s="60">
        <v>6</v>
      </c>
      <c r="I10" s="60">
        <v>4</v>
      </c>
      <c r="J10" s="60">
        <v>7</v>
      </c>
      <c r="K10" s="60">
        <v>7</v>
      </c>
      <c r="L10" s="60">
        <v>4</v>
      </c>
      <c r="M10" s="74">
        <f t="shared" si="0"/>
        <v>50</v>
      </c>
      <c r="N10" s="60">
        <v>7</v>
      </c>
      <c r="O10" s="60">
        <v>4</v>
      </c>
      <c r="P10" s="60">
        <v>6</v>
      </c>
      <c r="Q10" s="60">
        <v>6</v>
      </c>
      <c r="R10" s="60">
        <v>3</v>
      </c>
      <c r="S10" s="60">
        <v>7</v>
      </c>
      <c r="T10" s="60">
        <v>5</v>
      </c>
      <c r="U10" s="60">
        <v>9</v>
      </c>
      <c r="V10" s="60">
        <v>10</v>
      </c>
      <c r="W10" s="74">
        <f t="shared" si="1"/>
        <v>57</v>
      </c>
      <c r="X10" s="148">
        <f t="shared" si="2"/>
        <v>107</v>
      </c>
      <c r="Y10" s="74">
        <f t="shared" si="3"/>
        <v>79</v>
      </c>
      <c r="AA10" s="60">
        <v>6</v>
      </c>
      <c r="AB10" s="60">
        <v>4</v>
      </c>
      <c r="AC10" s="60">
        <v>5</v>
      </c>
      <c r="AD10" s="60">
        <v>7</v>
      </c>
      <c r="AE10" s="60">
        <v>6</v>
      </c>
      <c r="AF10" s="60">
        <v>4</v>
      </c>
      <c r="AG10" s="60">
        <v>7</v>
      </c>
      <c r="AH10" s="60">
        <v>5</v>
      </c>
      <c r="AI10" s="60">
        <v>6</v>
      </c>
      <c r="AJ10" s="74">
        <f t="shared" si="4"/>
        <v>50</v>
      </c>
      <c r="AK10" s="60">
        <v>8</v>
      </c>
      <c r="AL10" s="60">
        <v>5</v>
      </c>
      <c r="AM10" s="60">
        <v>3</v>
      </c>
      <c r="AN10" s="60">
        <v>7</v>
      </c>
      <c r="AO10" s="60">
        <v>4</v>
      </c>
      <c r="AP10" s="60">
        <v>6</v>
      </c>
      <c r="AQ10" s="60">
        <v>5</v>
      </c>
      <c r="AR10" s="60">
        <v>7</v>
      </c>
      <c r="AS10" s="60">
        <v>8</v>
      </c>
      <c r="AT10" s="74">
        <f>IF(COUNTIF(AK10:AS10,"&lt;&gt;"&amp;"")=9,SUM(AK10:AS10),"-")</f>
        <v>53</v>
      </c>
      <c r="AU10" s="148">
        <f>IF(AND(ISNUMBER(AJ10),ISNUMBER(AT10)),AJ10+AT10,"-")</f>
        <v>103</v>
      </c>
      <c r="AV10" s="74">
        <f>IF(ISNUMBER(AU10),AU10-C10,"-")</f>
        <v>75</v>
      </c>
      <c r="AX10" s="59">
        <f t="shared" si="5"/>
        <v>6</v>
      </c>
      <c r="AY10" s="59">
        <f t="shared" si="6"/>
        <v>3</v>
      </c>
      <c r="AZ10" s="59">
        <f t="shared" si="7"/>
        <v>5</v>
      </c>
      <c r="BA10" s="59">
        <f t="shared" si="8"/>
        <v>6</v>
      </c>
      <c r="BB10" s="59">
        <f t="shared" si="9"/>
        <v>6</v>
      </c>
      <c r="BC10" s="59">
        <f t="shared" si="10"/>
        <v>4</v>
      </c>
      <c r="BD10" s="59">
        <f t="shared" si="11"/>
        <v>7</v>
      </c>
      <c r="BE10" s="59">
        <f t="shared" si="12"/>
        <v>5</v>
      </c>
      <c r="BF10" s="59">
        <f t="shared" si="13"/>
        <v>4</v>
      </c>
      <c r="BG10" s="59">
        <f t="shared" si="14"/>
        <v>46</v>
      </c>
      <c r="BH10" s="59">
        <f t="shared" si="15"/>
        <v>7</v>
      </c>
      <c r="BI10" s="59">
        <f t="shared" si="16"/>
        <v>4</v>
      </c>
      <c r="BJ10" s="59">
        <f t="shared" si="17"/>
        <v>3</v>
      </c>
      <c r="BK10" s="59">
        <f t="shared" si="18"/>
        <v>6</v>
      </c>
      <c r="BL10" s="59">
        <f>IF(AND(R10&gt;0,AO10&gt;0),MIN(R10,AO10),"-")</f>
        <v>3</v>
      </c>
      <c r="BM10" s="59">
        <f>IF(AND(S10&gt;0,AP10&gt;0),MIN(S10,AP10),"-")</f>
        <v>6</v>
      </c>
      <c r="BN10" s="59">
        <f>IF(AND(T10&gt;0,AQ10&gt;0),MIN(T10,AQ10),"-")</f>
        <v>5</v>
      </c>
      <c r="BO10" s="59">
        <f>IF(AND(U10&gt;0,AR10&gt;0),MIN(U10,AR10),"-")</f>
        <v>7</v>
      </c>
      <c r="BP10" s="59">
        <f>IF(AND(V10&gt;0,AS10&gt;0),MIN(V10,AS10),"-")</f>
        <v>8</v>
      </c>
      <c r="BQ10" s="59">
        <f t="shared" si="19"/>
        <v>49</v>
      </c>
      <c r="BR10" s="59">
        <f t="shared" si="20"/>
        <v>46</v>
      </c>
      <c r="BS10" s="59">
        <f t="shared" si="21"/>
        <v>95</v>
      </c>
      <c r="BT10" s="98">
        <f>IF(ISNUMBER(BS10),BS10-(C10*Rules!$P$9/100),"-")</f>
        <v>88</v>
      </c>
      <c r="BU10" s="59">
        <f>RANK($BT10,$BT$5:$BT$106,1)+COUNTIF(BT$5:BT10,BT10)-1</f>
        <v>15</v>
      </c>
      <c r="BV10" s="59">
        <f t="shared" si="22"/>
        <v>15</v>
      </c>
      <c r="BW10" s="59" t="str">
        <f t="shared" si="23"/>
        <v>SHAY BROEDELET</v>
      </c>
      <c r="BX10" s="59">
        <f t="shared" si="24"/>
        <v>28</v>
      </c>
      <c r="BY10" s="98">
        <f t="shared" si="25"/>
        <v>88</v>
      </c>
      <c r="CC10" s="4">
        <v>6</v>
      </c>
      <c r="CD10" s="2">
        <f>VLOOKUP(CC10,$BU$5:BY$215,2,FALSE)</f>
        <v>6</v>
      </c>
      <c r="CE10" s="6" t="str">
        <f>VLOOKUP(CC10,$BU$5:BY$215,3,FALSE)</f>
        <v>JUDY VAN DER VEEN</v>
      </c>
      <c r="CF10" s="2">
        <f>VLOOKUP(CC10,$BU$5:BY$215,5,FALSE)</f>
        <v>80.5</v>
      </c>
      <c r="CL10" s="77">
        <v>1</v>
      </c>
    </row>
    <row r="11" spans="1:90" ht="17.45" customHeight="1">
      <c r="A11" s="58">
        <v>7</v>
      </c>
      <c r="B11" s="59" t="str">
        <f>'A Div'!A11 &amp; " " &amp; 'A Div'!B11</f>
        <v>PREM GOVENDER</v>
      </c>
      <c r="C11" s="59">
        <f>'A Div'!E11</f>
        <v>26</v>
      </c>
      <c r="D11" s="60">
        <v>6</v>
      </c>
      <c r="E11" s="60">
        <v>3</v>
      </c>
      <c r="F11" s="60">
        <v>6</v>
      </c>
      <c r="G11" s="60">
        <v>4</v>
      </c>
      <c r="H11" s="60">
        <v>7</v>
      </c>
      <c r="I11" s="60">
        <v>4</v>
      </c>
      <c r="J11" s="60">
        <v>5</v>
      </c>
      <c r="K11" s="60">
        <v>6</v>
      </c>
      <c r="L11" s="60">
        <v>5</v>
      </c>
      <c r="M11" s="74">
        <f t="shared" si="0"/>
        <v>46</v>
      </c>
      <c r="N11" s="60">
        <v>8</v>
      </c>
      <c r="O11" s="60">
        <v>5</v>
      </c>
      <c r="P11" s="60">
        <v>4</v>
      </c>
      <c r="Q11" s="60">
        <v>7</v>
      </c>
      <c r="R11" s="60">
        <v>3</v>
      </c>
      <c r="S11" s="60">
        <v>6</v>
      </c>
      <c r="T11" s="60">
        <v>6</v>
      </c>
      <c r="U11" s="60">
        <v>6</v>
      </c>
      <c r="V11" s="60">
        <v>8</v>
      </c>
      <c r="W11" s="74">
        <f t="shared" si="1"/>
        <v>53</v>
      </c>
      <c r="X11" s="148">
        <f t="shared" si="2"/>
        <v>99</v>
      </c>
      <c r="Y11" s="74">
        <f t="shared" si="3"/>
        <v>73</v>
      </c>
      <c r="AA11" s="60">
        <v>6</v>
      </c>
      <c r="AB11" s="60">
        <v>4</v>
      </c>
      <c r="AC11" s="60">
        <v>5</v>
      </c>
      <c r="AD11" s="60">
        <v>6</v>
      </c>
      <c r="AE11" s="60">
        <v>11</v>
      </c>
      <c r="AF11" s="60">
        <v>5</v>
      </c>
      <c r="AG11" s="60">
        <v>6</v>
      </c>
      <c r="AH11" s="60">
        <v>5</v>
      </c>
      <c r="AI11" s="60">
        <v>6</v>
      </c>
      <c r="AJ11" s="74">
        <f t="shared" si="4"/>
        <v>54</v>
      </c>
      <c r="AK11" s="60">
        <v>9</v>
      </c>
      <c r="AL11" s="60">
        <v>7</v>
      </c>
      <c r="AM11" s="60">
        <v>3</v>
      </c>
      <c r="AN11" s="60">
        <v>6</v>
      </c>
      <c r="AO11" s="60">
        <v>4</v>
      </c>
      <c r="AP11" s="60">
        <v>7</v>
      </c>
      <c r="AQ11" s="60">
        <v>5</v>
      </c>
      <c r="AR11" s="60">
        <v>7</v>
      </c>
      <c r="AS11" s="60">
        <v>7</v>
      </c>
      <c r="AT11" s="74">
        <f>IF(COUNTIF(AK11:AS11,"&lt;&gt;"&amp;"")=9,SUM(AK11:AS11),"-")</f>
        <v>55</v>
      </c>
      <c r="AU11" s="148">
        <f>IF(AND(ISNUMBER(AJ11),ISNUMBER(AT11)),AJ11+AT11,"-")</f>
        <v>109</v>
      </c>
      <c r="AV11" s="74">
        <f>IF(ISNUMBER(AU11),AU11-C11,"-")</f>
        <v>83</v>
      </c>
      <c r="AX11" s="59">
        <f t="shared" si="5"/>
        <v>6</v>
      </c>
      <c r="AY11" s="59">
        <f t="shared" si="6"/>
        <v>3</v>
      </c>
      <c r="AZ11" s="59">
        <f t="shared" si="7"/>
        <v>5</v>
      </c>
      <c r="BA11" s="59">
        <f t="shared" si="8"/>
        <v>4</v>
      </c>
      <c r="BB11" s="59">
        <f t="shared" si="9"/>
        <v>7</v>
      </c>
      <c r="BC11" s="59">
        <f t="shared" si="10"/>
        <v>4</v>
      </c>
      <c r="BD11" s="59">
        <f t="shared" si="11"/>
        <v>5</v>
      </c>
      <c r="BE11" s="59">
        <f t="shared" si="12"/>
        <v>5</v>
      </c>
      <c r="BF11" s="59">
        <f t="shared" si="13"/>
        <v>5</v>
      </c>
      <c r="BG11" s="59">
        <f t="shared" si="14"/>
        <v>44</v>
      </c>
      <c r="BH11" s="59">
        <f t="shared" si="15"/>
        <v>8</v>
      </c>
      <c r="BI11" s="59">
        <f t="shared" si="16"/>
        <v>5</v>
      </c>
      <c r="BJ11" s="59">
        <f t="shared" si="17"/>
        <v>3</v>
      </c>
      <c r="BK11" s="59">
        <f t="shared" si="18"/>
        <v>6</v>
      </c>
      <c r="BL11" s="59">
        <f>IF(AND(R11&gt;0,AO11&gt;0),MIN(R11,AO11),"-")</f>
        <v>3</v>
      </c>
      <c r="BM11" s="59">
        <f>IF(AND(S11&gt;0,AP11&gt;0),MIN(S11,AP11),"-")</f>
        <v>6</v>
      </c>
      <c r="BN11" s="59">
        <f>IF(AND(T11&gt;0,AQ11&gt;0),MIN(T11,AQ11),"-")</f>
        <v>5</v>
      </c>
      <c r="BO11" s="59">
        <f>IF(AND(U11&gt;0,AR11&gt;0),MIN(U11,AR11),"-")</f>
        <v>6</v>
      </c>
      <c r="BP11" s="59">
        <f>IF(AND(V11&gt;0,AS11&gt;0),MIN(V11,AS11),"-")</f>
        <v>7</v>
      </c>
      <c r="BQ11" s="59">
        <f t="shared" si="19"/>
        <v>49</v>
      </c>
      <c r="BR11" s="59">
        <f t="shared" si="20"/>
        <v>44</v>
      </c>
      <c r="BS11" s="59">
        <f t="shared" si="21"/>
        <v>93</v>
      </c>
      <c r="BT11" s="98">
        <f>IF(ISNUMBER(BS11),BS11-(C11*Rules!$P$9/100),"-")</f>
        <v>86.5</v>
      </c>
      <c r="BU11" s="59">
        <f>RANK($BT11,$BT$5:$BT$106,1)+COUNTIF(BT$5:BT11,BT11)-1</f>
        <v>13</v>
      </c>
      <c r="BV11" s="59">
        <f t="shared" si="22"/>
        <v>13</v>
      </c>
      <c r="BW11" s="59" t="str">
        <f t="shared" si="23"/>
        <v>PREM GOVENDER</v>
      </c>
      <c r="BX11" s="59">
        <f t="shared" si="24"/>
        <v>26</v>
      </c>
      <c r="BY11" s="98">
        <f t="shared" si="25"/>
        <v>86.5</v>
      </c>
      <c r="CC11" s="4">
        <v>7</v>
      </c>
      <c r="CD11" s="2">
        <f>VLOOKUP(CC11,$BU$5:BY$215,2,FALSE)</f>
        <v>7</v>
      </c>
      <c r="CE11" s="6" t="str">
        <f>VLOOKUP(CC11,$BU$5:BY$215,3,FALSE)</f>
        <v>SONJA HOPCROFT</v>
      </c>
      <c r="CF11" s="2">
        <f>VLOOKUP(CC11,$BU$5:BY$215,5,FALSE)</f>
        <v>80.75</v>
      </c>
      <c r="CL11" s="77">
        <v>1</v>
      </c>
    </row>
    <row r="12" spans="1:90" ht="17.45" customHeight="1">
      <c r="A12" s="58">
        <v>8</v>
      </c>
      <c r="B12" s="59" t="str">
        <f>'A Div'!A12 &amp; " " &amp; 'A Div'!B12</f>
        <v>RENE LADELL</v>
      </c>
      <c r="C12" s="59">
        <f>'A Div'!E12</f>
        <v>36</v>
      </c>
      <c r="D12" s="60">
        <v>7</v>
      </c>
      <c r="E12" s="60">
        <v>3</v>
      </c>
      <c r="F12" s="60">
        <v>7</v>
      </c>
      <c r="G12" s="60">
        <v>7</v>
      </c>
      <c r="H12" s="60">
        <v>9</v>
      </c>
      <c r="I12" s="60">
        <v>5</v>
      </c>
      <c r="J12" s="60">
        <v>7</v>
      </c>
      <c r="K12" s="60">
        <v>6</v>
      </c>
      <c r="L12" s="60">
        <v>5</v>
      </c>
      <c r="M12" s="74">
        <f t="shared" si="0"/>
        <v>56</v>
      </c>
      <c r="N12" s="60">
        <v>9</v>
      </c>
      <c r="O12" s="60">
        <v>7</v>
      </c>
      <c r="P12" s="60">
        <v>3</v>
      </c>
      <c r="Q12" s="60">
        <v>8</v>
      </c>
      <c r="R12" s="60">
        <v>4</v>
      </c>
      <c r="S12" s="60">
        <v>7</v>
      </c>
      <c r="T12" s="60">
        <v>6</v>
      </c>
      <c r="U12" s="60">
        <v>8</v>
      </c>
      <c r="V12" s="60">
        <v>7</v>
      </c>
      <c r="W12" s="74">
        <f t="shared" si="1"/>
        <v>59</v>
      </c>
      <c r="X12" s="148">
        <f t="shared" si="2"/>
        <v>115</v>
      </c>
      <c r="Y12" s="74">
        <f t="shared" si="3"/>
        <v>79</v>
      </c>
      <c r="AA12" s="60">
        <v>6</v>
      </c>
      <c r="AB12" s="60">
        <v>4</v>
      </c>
      <c r="AC12" s="60">
        <v>7</v>
      </c>
      <c r="AD12" s="60">
        <v>6</v>
      </c>
      <c r="AE12" s="60">
        <v>7</v>
      </c>
      <c r="AF12" s="60">
        <v>3</v>
      </c>
      <c r="AG12" s="60">
        <v>6</v>
      </c>
      <c r="AH12" s="60">
        <v>7</v>
      </c>
      <c r="AI12" s="60">
        <v>7</v>
      </c>
      <c r="AJ12" s="74">
        <f t="shared" si="4"/>
        <v>53</v>
      </c>
      <c r="AK12" s="60">
        <v>10</v>
      </c>
      <c r="AL12" s="60">
        <v>6</v>
      </c>
      <c r="AM12" s="60">
        <v>4</v>
      </c>
      <c r="AN12" s="60">
        <v>8</v>
      </c>
      <c r="AO12" s="60">
        <v>5</v>
      </c>
      <c r="AP12" s="60">
        <v>8</v>
      </c>
      <c r="AQ12" s="60">
        <v>6</v>
      </c>
      <c r="AR12" s="60">
        <v>7</v>
      </c>
      <c r="AS12" s="60">
        <v>8</v>
      </c>
      <c r="AT12" s="74">
        <f>IF(COUNTIF(AK12:AS12,"&lt;&gt;"&amp;"")=9,SUM(AK12:AS12),"-")</f>
        <v>62</v>
      </c>
      <c r="AU12" s="148">
        <f>IF(AND(ISNUMBER(AJ12),ISNUMBER(AT12)),AJ12+AT12,"-")</f>
        <v>115</v>
      </c>
      <c r="AV12" s="74">
        <f>IF(ISNUMBER(AU12),AU12-C12,"-")</f>
        <v>79</v>
      </c>
      <c r="AX12" s="59">
        <f t="shared" si="5"/>
        <v>6</v>
      </c>
      <c r="AY12" s="59">
        <f t="shared" si="6"/>
        <v>3</v>
      </c>
      <c r="AZ12" s="59">
        <f t="shared" si="7"/>
        <v>7</v>
      </c>
      <c r="BA12" s="59">
        <f t="shared" si="8"/>
        <v>6</v>
      </c>
      <c r="BB12" s="59">
        <f t="shared" si="9"/>
        <v>7</v>
      </c>
      <c r="BC12" s="59">
        <f t="shared" si="10"/>
        <v>3</v>
      </c>
      <c r="BD12" s="59">
        <f t="shared" si="11"/>
        <v>6</v>
      </c>
      <c r="BE12" s="59">
        <f t="shared" si="12"/>
        <v>6</v>
      </c>
      <c r="BF12" s="59">
        <f t="shared" si="13"/>
        <v>5</v>
      </c>
      <c r="BG12" s="59">
        <f t="shared" si="14"/>
        <v>49</v>
      </c>
      <c r="BH12" s="59">
        <f t="shared" si="15"/>
        <v>9</v>
      </c>
      <c r="BI12" s="59">
        <f t="shared" si="16"/>
        <v>6</v>
      </c>
      <c r="BJ12" s="59">
        <f t="shared" si="17"/>
        <v>3</v>
      </c>
      <c r="BK12" s="59">
        <f t="shared" si="18"/>
        <v>8</v>
      </c>
      <c r="BL12" s="59">
        <f>IF(AND(R12&gt;0,AO12&gt;0),MIN(R12,AO12),"-")</f>
        <v>4</v>
      </c>
      <c r="BM12" s="59">
        <f>IF(AND(S12&gt;0,AP12&gt;0),MIN(S12,AP12),"-")</f>
        <v>7</v>
      </c>
      <c r="BN12" s="59">
        <f>IF(AND(T12&gt;0,AQ12&gt;0),MIN(T12,AQ12),"-")</f>
        <v>6</v>
      </c>
      <c r="BO12" s="59">
        <f>IF(AND(U12&gt;0,AR12&gt;0),MIN(U12,AR12),"-")</f>
        <v>7</v>
      </c>
      <c r="BP12" s="59">
        <f>IF(AND(V12&gt;0,AS12&gt;0),MIN(V12,AS12),"-")</f>
        <v>7</v>
      </c>
      <c r="BQ12" s="59">
        <f t="shared" si="19"/>
        <v>57</v>
      </c>
      <c r="BR12" s="59">
        <f t="shared" si="20"/>
        <v>49</v>
      </c>
      <c r="BS12" s="59">
        <f t="shared" si="21"/>
        <v>106</v>
      </c>
      <c r="BT12" s="98">
        <f>IF(ISNUMBER(BS12),BS12-(C12*Rules!$P$9/100),"-")</f>
        <v>97</v>
      </c>
      <c r="BU12" s="59">
        <f>RANK($BT12,$BT$5:$BT$106,1)+COUNTIF(BT$5:BT12,BT12)-1</f>
        <v>16</v>
      </c>
      <c r="BV12" s="59">
        <f t="shared" si="22"/>
        <v>16</v>
      </c>
      <c r="BW12" s="59" t="str">
        <f t="shared" si="23"/>
        <v>RENE LADELL</v>
      </c>
      <c r="BX12" s="59">
        <f t="shared" si="24"/>
        <v>36</v>
      </c>
      <c r="BY12" s="98">
        <f t="shared" si="25"/>
        <v>97</v>
      </c>
      <c r="CC12" s="4">
        <v>8</v>
      </c>
      <c r="CD12" s="2">
        <f>VLOOKUP(CC12,$BU$5:BY$215,2,FALSE)</f>
        <v>8</v>
      </c>
      <c r="CE12" s="6" t="str">
        <f>VLOOKUP(CC12,$BU$5:BY$215,3,FALSE)</f>
        <v>JANIS NEL</v>
      </c>
      <c r="CF12" s="2">
        <f>VLOOKUP(CC12,$BU$5:BY$215,5,FALSE)</f>
        <v>81</v>
      </c>
      <c r="CL12" s="77">
        <v>1</v>
      </c>
    </row>
    <row r="13" spans="1:90" ht="17.45" customHeight="1">
      <c r="A13" s="58">
        <v>9</v>
      </c>
      <c r="B13" s="59" t="str">
        <f>'A Div'!A13 &amp; " " &amp; 'A Div'!B13</f>
        <v>ANGELA MASEFIELD</v>
      </c>
      <c r="C13" s="59">
        <f>'A Div'!E13</f>
        <v>22</v>
      </c>
      <c r="D13" s="60">
        <v>5</v>
      </c>
      <c r="E13" s="60">
        <v>5</v>
      </c>
      <c r="F13" s="60">
        <v>8</v>
      </c>
      <c r="G13" s="60">
        <v>5</v>
      </c>
      <c r="H13" s="60">
        <v>7</v>
      </c>
      <c r="I13" s="60">
        <v>3</v>
      </c>
      <c r="J13" s="60">
        <v>5</v>
      </c>
      <c r="K13" s="60">
        <v>5</v>
      </c>
      <c r="L13" s="60">
        <v>4</v>
      </c>
      <c r="M13" s="74">
        <f t="shared" si="0"/>
        <v>47</v>
      </c>
      <c r="N13" s="60">
        <v>8</v>
      </c>
      <c r="O13" s="60">
        <v>6</v>
      </c>
      <c r="P13" s="60">
        <v>4</v>
      </c>
      <c r="Q13" s="60">
        <v>6</v>
      </c>
      <c r="R13" s="60">
        <v>5</v>
      </c>
      <c r="S13" s="60">
        <v>6</v>
      </c>
      <c r="T13" s="60">
        <v>5</v>
      </c>
      <c r="U13" s="60">
        <v>5</v>
      </c>
      <c r="V13" s="60">
        <v>9</v>
      </c>
      <c r="W13" s="74">
        <f t="shared" si="1"/>
        <v>54</v>
      </c>
      <c r="X13" s="148">
        <f t="shared" si="2"/>
        <v>101</v>
      </c>
      <c r="Y13" s="74">
        <f t="shared" si="3"/>
        <v>79</v>
      </c>
      <c r="AA13" s="60">
        <v>5</v>
      </c>
      <c r="AB13" s="60">
        <v>4</v>
      </c>
      <c r="AC13" s="60">
        <v>8</v>
      </c>
      <c r="AD13" s="60">
        <v>6</v>
      </c>
      <c r="AE13" s="60">
        <v>6</v>
      </c>
      <c r="AF13" s="60">
        <v>5</v>
      </c>
      <c r="AG13" s="60">
        <v>8</v>
      </c>
      <c r="AH13" s="60">
        <v>7</v>
      </c>
      <c r="AI13" s="60">
        <v>6</v>
      </c>
      <c r="AJ13" s="74">
        <f t="shared" si="4"/>
        <v>55</v>
      </c>
      <c r="AK13" s="60">
        <v>6</v>
      </c>
      <c r="AL13" s="60">
        <v>6</v>
      </c>
      <c r="AM13" s="60">
        <v>3</v>
      </c>
      <c r="AN13" s="60">
        <v>7</v>
      </c>
      <c r="AO13" s="60">
        <v>4</v>
      </c>
      <c r="AP13" s="60">
        <v>7</v>
      </c>
      <c r="AQ13" s="60">
        <v>5</v>
      </c>
      <c r="AR13" s="60">
        <v>5</v>
      </c>
      <c r="AS13" s="60">
        <v>7</v>
      </c>
      <c r="AT13" s="74">
        <f>IF(COUNTIF(AK13:AS13,"&lt;&gt;"&amp;"")=9,SUM(AK13:AS13),"-")</f>
        <v>50</v>
      </c>
      <c r="AU13" s="148">
        <f>IF(AND(ISNUMBER(AJ13),ISNUMBER(AT13)),AJ13+AT13,"-")</f>
        <v>105</v>
      </c>
      <c r="AV13" s="74">
        <f>IF(ISNUMBER(AU13),AU13-C13,"-")</f>
        <v>83</v>
      </c>
      <c r="AX13" s="59">
        <f t="shared" si="5"/>
        <v>5</v>
      </c>
      <c r="AY13" s="59">
        <f t="shared" si="6"/>
        <v>4</v>
      </c>
      <c r="AZ13" s="59">
        <f t="shared" si="7"/>
        <v>8</v>
      </c>
      <c r="BA13" s="59">
        <f t="shared" si="8"/>
        <v>5</v>
      </c>
      <c r="BB13" s="59">
        <f t="shared" si="9"/>
        <v>6</v>
      </c>
      <c r="BC13" s="59">
        <f t="shared" si="10"/>
        <v>3</v>
      </c>
      <c r="BD13" s="59">
        <f t="shared" si="11"/>
        <v>5</v>
      </c>
      <c r="BE13" s="59">
        <f t="shared" si="12"/>
        <v>5</v>
      </c>
      <c r="BF13" s="59">
        <f t="shared" si="13"/>
        <v>4</v>
      </c>
      <c r="BG13" s="59">
        <f t="shared" si="14"/>
        <v>45</v>
      </c>
      <c r="BH13" s="59">
        <f t="shared" si="15"/>
        <v>6</v>
      </c>
      <c r="BI13" s="59">
        <f t="shared" si="16"/>
        <v>6</v>
      </c>
      <c r="BJ13" s="59">
        <f t="shared" si="17"/>
        <v>3</v>
      </c>
      <c r="BK13" s="59">
        <f t="shared" si="18"/>
        <v>6</v>
      </c>
      <c r="BL13" s="59">
        <f>IF(AND(R13&gt;0,AO13&gt;0),MIN(R13,AO13),"-")</f>
        <v>4</v>
      </c>
      <c r="BM13" s="59">
        <f>IF(AND(S13&gt;0,AP13&gt;0),MIN(S13,AP13),"-")</f>
        <v>6</v>
      </c>
      <c r="BN13" s="59">
        <f>IF(AND(T13&gt;0,AQ13&gt;0),MIN(T13,AQ13),"-")</f>
        <v>5</v>
      </c>
      <c r="BO13" s="59">
        <f>IF(AND(U13&gt;0,AR13&gt;0),MIN(U13,AR13),"-")</f>
        <v>5</v>
      </c>
      <c r="BP13" s="59">
        <f>IF(AND(V13&gt;0,AS13&gt;0),MIN(V13,AS13),"-")</f>
        <v>7</v>
      </c>
      <c r="BQ13" s="59">
        <f t="shared" si="19"/>
        <v>48</v>
      </c>
      <c r="BR13" s="59">
        <f t="shared" si="20"/>
        <v>45</v>
      </c>
      <c r="BS13" s="59">
        <f t="shared" si="21"/>
        <v>93</v>
      </c>
      <c r="BT13" s="98">
        <f>IF(ISNUMBER(BS13),BS13-(C13*Rules!$P$9/100),"-")</f>
        <v>87.5</v>
      </c>
      <c r="BU13" s="59">
        <f>RANK($BT13,$BT$5:$BT$106,1)+COUNTIF(BT$5:BT13,BT13)-1</f>
        <v>14</v>
      </c>
      <c r="BV13" s="59">
        <f t="shared" si="22"/>
        <v>14</v>
      </c>
      <c r="BW13" s="59" t="str">
        <f t="shared" si="23"/>
        <v>ANGELA MASEFIELD</v>
      </c>
      <c r="BX13" s="59">
        <f t="shared" si="24"/>
        <v>22</v>
      </c>
      <c r="BY13" s="98">
        <f t="shared" si="25"/>
        <v>87.5</v>
      </c>
      <c r="CC13" s="4">
        <v>9</v>
      </c>
      <c r="CD13" s="2">
        <f>VLOOKUP(CC13,$BU$5:BY$215,2,FALSE)</f>
        <v>9</v>
      </c>
      <c r="CE13" s="6" t="str">
        <f>VLOOKUP(CC13,$BU$5:BY$215,3,FALSE)</f>
        <v>ALIDA HOOPER</v>
      </c>
      <c r="CF13" s="2">
        <f>VLOOKUP(CC13,$BU$5:BY$215,5,FALSE)</f>
        <v>81.25</v>
      </c>
      <c r="CL13" s="77">
        <v>1</v>
      </c>
    </row>
    <row r="14" spans="1:90" ht="17.45" customHeight="1">
      <c r="A14" s="58">
        <v>10</v>
      </c>
      <c r="B14" s="59" t="str">
        <f>'A Div'!A14 &amp; " " &amp; 'A Div'!B14</f>
        <v>FIFI NARAN</v>
      </c>
      <c r="C14" s="59">
        <f>'A Div'!E14</f>
        <v>25</v>
      </c>
      <c r="D14" s="60">
        <v>5</v>
      </c>
      <c r="E14" s="60">
        <v>3</v>
      </c>
      <c r="F14" s="60">
        <v>5</v>
      </c>
      <c r="G14" s="60">
        <v>6</v>
      </c>
      <c r="H14" s="60">
        <v>8</v>
      </c>
      <c r="I14" s="60">
        <v>5</v>
      </c>
      <c r="J14" s="60">
        <v>7</v>
      </c>
      <c r="K14" s="60">
        <v>6</v>
      </c>
      <c r="L14" s="60">
        <v>3</v>
      </c>
      <c r="M14" s="74">
        <f t="shared" si="0"/>
        <v>48</v>
      </c>
      <c r="N14" s="60">
        <v>6</v>
      </c>
      <c r="O14" s="60">
        <v>7</v>
      </c>
      <c r="P14" s="60">
        <v>6</v>
      </c>
      <c r="Q14" s="60">
        <v>7</v>
      </c>
      <c r="R14" s="60">
        <v>4</v>
      </c>
      <c r="S14" s="60">
        <v>6</v>
      </c>
      <c r="T14" s="60">
        <v>5</v>
      </c>
      <c r="U14" s="60">
        <v>6</v>
      </c>
      <c r="V14" s="60">
        <v>7</v>
      </c>
      <c r="W14" s="74">
        <f t="shared" si="1"/>
        <v>54</v>
      </c>
      <c r="X14" s="148">
        <f t="shared" si="2"/>
        <v>102</v>
      </c>
      <c r="Y14" s="74">
        <f t="shared" si="3"/>
        <v>77</v>
      </c>
      <c r="AA14" s="60">
        <v>6</v>
      </c>
      <c r="AB14" s="60">
        <v>3</v>
      </c>
      <c r="AC14" s="60">
        <v>7</v>
      </c>
      <c r="AD14" s="60">
        <v>5</v>
      </c>
      <c r="AE14" s="60">
        <v>8</v>
      </c>
      <c r="AF14" s="60">
        <v>4</v>
      </c>
      <c r="AG14" s="60">
        <v>4</v>
      </c>
      <c r="AH14" s="60">
        <v>5</v>
      </c>
      <c r="AI14" s="60">
        <v>4</v>
      </c>
      <c r="AJ14" s="74">
        <f t="shared" si="4"/>
        <v>46</v>
      </c>
      <c r="AK14" s="60">
        <v>6</v>
      </c>
      <c r="AL14" s="60">
        <v>5</v>
      </c>
      <c r="AM14" s="60">
        <v>5</v>
      </c>
      <c r="AN14" s="60">
        <v>6</v>
      </c>
      <c r="AO14" s="60">
        <v>7</v>
      </c>
      <c r="AP14" s="60">
        <v>7</v>
      </c>
      <c r="AQ14" s="60">
        <v>4</v>
      </c>
      <c r="AR14" s="60">
        <v>9</v>
      </c>
      <c r="AS14" s="60">
        <v>8</v>
      </c>
      <c r="AT14" s="74">
        <f>IF(COUNTIF(AK14:AS14,"&lt;&gt;"&amp;"")=9,SUM(AK14:AS14),"-")</f>
        <v>57</v>
      </c>
      <c r="AU14" s="148">
        <f>IF(AND(ISNUMBER(AJ14),ISNUMBER(AT14)),AJ14+AT14,"-")</f>
        <v>103</v>
      </c>
      <c r="AV14" s="74">
        <f>IF(ISNUMBER(AU14),AU14-C14,"-")</f>
        <v>78</v>
      </c>
      <c r="AX14" s="59">
        <f t="shared" si="5"/>
        <v>5</v>
      </c>
      <c r="AY14" s="59">
        <f t="shared" si="6"/>
        <v>3</v>
      </c>
      <c r="AZ14" s="59">
        <f t="shared" si="7"/>
        <v>5</v>
      </c>
      <c r="BA14" s="59">
        <f t="shared" si="8"/>
        <v>5</v>
      </c>
      <c r="BB14" s="59">
        <f t="shared" si="9"/>
        <v>8</v>
      </c>
      <c r="BC14" s="59">
        <f t="shared" si="10"/>
        <v>4</v>
      </c>
      <c r="BD14" s="59">
        <f t="shared" si="11"/>
        <v>4</v>
      </c>
      <c r="BE14" s="59">
        <f t="shared" si="12"/>
        <v>5</v>
      </c>
      <c r="BF14" s="59">
        <f t="shared" si="13"/>
        <v>3</v>
      </c>
      <c r="BG14" s="59">
        <f t="shared" si="14"/>
        <v>42</v>
      </c>
      <c r="BH14" s="59">
        <f t="shared" si="15"/>
        <v>6</v>
      </c>
      <c r="BI14" s="59">
        <f t="shared" si="16"/>
        <v>5</v>
      </c>
      <c r="BJ14" s="59">
        <f t="shared" si="17"/>
        <v>5</v>
      </c>
      <c r="BK14" s="59">
        <f t="shared" si="18"/>
        <v>6</v>
      </c>
      <c r="BL14" s="59">
        <f>IF(AND(R14&gt;0,AO14&gt;0),MIN(R14,AO14),"-")</f>
        <v>4</v>
      </c>
      <c r="BM14" s="59">
        <f>IF(AND(S14&gt;0,AP14&gt;0),MIN(S14,AP14),"-")</f>
        <v>6</v>
      </c>
      <c r="BN14" s="59">
        <f>IF(AND(T14&gt;0,AQ14&gt;0),MIN(T14,AQ14),"-")</f>
        <v>4</v>
      </c>
      <c r="BO14" s="59">
        <f>IF(AND(U14&gt;0,AR14&gt;0),MIN(U14,AR14),"-")</f>
        <v>6</v>
      </c>
      <c r="BP14" s="59">
        <f>IF(AND(V14&gt;0,AS14&gt;0),MIN(V14,AS14),"-")</f>
        <v>7</v>
      </c>
      <c r="BQ14" s="59">
        <f t="shared" si="19"/>
        <v>49</v>
      </c>
      <c r="BR14" s="59">
        <f t="shared" si="20"/>
        <v>42</v>
      </c>
      <c r="BS14" s="59">
        <f t="shared" si="21"/>
        <v>91</v>
      </c>
      <c r="BT14" s="98">
        <f>IF(ISNUMBER(BS14),BS14-(C14*Rules!$P$9/100),"-")</f>
        <v>84.75</v>
      </c>
      <c r="BU14" s="59">
        <f>RANK($BT14,$BT$5:$BT$106,1)+COUNTIF(BT$5:BT14,BT14)-1</f>
        <v>11</v>
      </c>
      <c r="BV14" s="59">
        <f t="shared" si="22"/>
        <v>11</v>
      </c>
      <c r="BW14" s="59" t="str">
        <f t="shared" si="23"/>
        <v>FIFI NARAN</v>
      </c>
      <c r="BX14" s="59">
        <f t="shared" si="24"/>
        <v>25</v>
      </c>
      <c r="BY14" s="98">
        <f t="shared" si="25"/>
        <v>84.75</v>
      </c>
      <c r="CC14" s="4">
        <v>10</v>
      </c>
      <c r="CD14" s="2">
        <f>VLOOKUP(CC14,$BU$5:BY$215,2,FALSE)</f>
        <v>10</v>
      </c>
      <c r="CE14" s="6" t="str">
        <f>VLOOKUP(CC14,$BU$5:BY$215,3,FALSE)</f>
        <v>KAREN STOTT</v>
      </c>
      <c r="CF14" s="2">
        <f>VLOOKUP(CC14,$BU$5:BY$215,5,FALSE)</f>
        <v>82</v>
      </c>
      <c r="CL14" s="77">
        <v>1</v>
      </c>
    </row>
    <row r="15" spans="1:90" ht="17.45" customHeight="1">
      <c r="A15" s="58">
        <v>11</v>
      </c>
      <c r="B15" s="59" t="str">
        <f>'A Div'!A15 &amp; " " &amp; 'A Div'!B15</f>
        <v>JANIS NEL</v>
      </c>
      <c r="C15" s="59">
        <f>'A Div'!E15</f>
        <v>20</v>
      </c>
      <c r="D15" s="60">
        <v>5</v>
      </c>
      <c r="E15" s="60">
        <v>2</v>
      </c>
      <c r="F15" s="60">
        <v>6</v>
      </c>
      <c r="G15" s="60">
        <v>5</v>
      </c>
      <c r="H15" s="60">
        <v>7</v>
      </c>
      <c r="I15" s="60">
        <v>3</v>
      </c>
      <c r="J15" s="60">
        <v>6</v>
      </c>
      <c r="K15" s="60">
        <v>5</v>
      </c>
      <c r="L15" s="60">
        <v>5</v>
      </c>
      <c r="M15" s="74">
        <f t="shared" si="0"/>
        <v>44</v>
      </c>
      <c r="N15" s="60">
        <v>5</v>
      </c>
      <c r="O15" s="60">
        <v>4</v>
      </c>
      <c r="P15" s="60">
        <v>3</v>
      </c>
      <c r="Q15" s="60">
        <v>6</v>
      </c>
      <c r="R15" s="60">
        <v>4</v>
      </c>
      <c r="S15" s="60">
        <v>6</v>
      </c>
      <c r="T15" s="60">
        <v>4</v>
      </c>
      <c r="U15" s="60">
        <v>5</v>
      </c>
      <c r="V15" s="60">
        <v>6</v>
      </c>
      <c r="W15" s="74">
        <f t="shared" si="1"/>
        <v>43</v>
      </c>
      <c r="X15" s="148">
        <f t="shared" si="2"/>
        <v>87</v>
      </c>
      <c r="Y15" s="74">
        <f t="shared" si="3"/>
        <v>67</v>
      </c>
      <c r="AA15" s="60">
        <v>5</v>
      </c>
      <c r="AB15" s="60">
        <v>3</v>
      </c>
      <c r="AC15" s="60">
        <v>5</v>
      </c>
      <c r="AD15" s="60">
        <v>6</v>
      </c>
      <c r="AE15" s="60">
        <v>8</v>
      </c>
      <c r="AF15" s="60">
        <v>3</v>
      </c>
      <c r="AG15" s="60">
        <v>6</v>
      </c>
      <c r="AH15" s="60">
        <v>6</v>
      </c>
      <c r="AI15" s="60">
        <v>5</v>
      </c>
      <c r="AJ15" s="74">
        <f t="shared" si="4"/>
        <v>47</v>
      </c>
      <c r="AK15" s="60">
        <v>6</v>
      </c>
      <c r="AL15" s="60">
        <v>4</v>
      </c>
      <c r="AM15" s="60">
        <v>3</v>
      </c>
      <c r="AN15" s="60">
        <v>7</v>
      </c>
      <c r="AO15" s="60">
        <v>4</v>
      </c>
      <c r="AP15" s="60">
        <v>8</v>
      </c>
      <c r="AQ15" s="60">
        <v>4</v>
      </c>
      <c r="AR15" s="60">
        <v>6</v>
      </c>
      <c r="AS15" s="60">
        <v>6</v>
      </c>
      <c r="AT15" s="74">
        <f>IF(COUNTIF(AK15:AS15,"&lt;&gt;"&amp;"")=9,SUM(AK15:AS15),"-")</f>
        <v>48</v>
      </c>
      <c r="AU15" s="148">
        <f>IF(AND(ISNUMBER(AJ15),ISNUMBER(AT15)),AJ15+AT15,"-")</f>
        <v>95</v>
      </c>
      <c r="AV15" s="74">
        <f>IF(ISNUMBER(AU15),AU15-C15,"-")</f>
        <v>75</v>
      </c>
      <c r="AX15" s="59">
        <f t="shared" si="5"/>
        <v>5</v>
      </c>
      <c r="AY15" s="59">
        <f t="shared" si="6"/>
        <v>2</v>
      </c>
      <c r="AZ15" s="59">
        <f t="shared" si="7"/>
        <v>5</v>
      </c>
      <c r="BA15" s="59">
        <f t="shared" si="8"/>
        <v>5</v>
      </c>
      <c r="BB15" s="59">
        <f t="shared" si="9"/>
        <v>7</v>
      </c>
      <c r="BC15" s="59">
        <f t="shared" si="10"/>
        <v>3</v>
      </c>
      <c r="BD15" s="59">
        <f t="shared" si="11"/>
        <v>6</v>
      </c>
      <c r="BE15" s="59">
        <f t="shared" si="12"/>
        <v>5</v>
      </c>
      <c r="BF15" s="59">
        <f t="shared" si="13"/>
        <v>5</v>
      </c>
      <c r="BG15" s="59">
        <f t="shared" si="14"/>
        <v>43</v>
      </c>
      <c r="BH15" s="59">
        <f t="shared" si="15"/>
        <v>5</v>
      </c>
      <c r="BI15" s="59">
        <f t="shared" si="16"/>
        <v>4</v>
      </c>
      <c r="BJ15" s="59">
        <f t="shared" si="17"/>
        <v>3</v>
      </c>
      <c r="BK15" s="59">
        <f t="shared" si="18"/>
        <v>6</v>
      </c>
      <c r="BL15" s="59">
        <f>IF(AND(R15&gt;0,AO15&gt;0),MIN(R15,AO15),"-")</f>
        <v>4</v>
      </c>
      <c r="BM15" s="59">
        <f>IF(AND(S15&gt;0,AP15&gt;0),MIN(S15,AP15),"-")</f>
        <v>6</v>
      </c>
      <c r="BN15" s="59">
        <f>IF(AND(T15&gt;0,AQ15&gt;0),MIN(T15,AQ15),"-")</f>
        <v>4</v>
      </c>
      <c r="BO15" s="59">
        <f>IF(AND(U15&gt;0,AR15&gt;0),MIN(U15,AR15),"-")</f>
        <v>5</v>
      </c>
      <c r="BP15" s="59">
        <f>IF(AND(V15&gt;0,AS15&gt;0),MIN(V15,AS15),"-")</f>
        <v>6</v>
      </c>
      <c r="BQ15" s="59">
        <f t="shared" si="19"/>
        <v>43</v>
      </c>
      <c r="BR15" s="59">
        <f t="shared" si="20"/>
        <v>43</v>
      </c>
      <c r="BS15" s="59">
        <f t="shared" si="21"/>
        <v>86</v>
      </c>
      <c r="BT15" s="98">
        <f>IF(ISNUMBER(BS15),BS15-(C15*Rules!$P$9/100),"-")</f>
        <v>81</v>
      </c>
      <c r="BU15" s="59">
        <f>RANK($BT15,$BT$5:$BT$106,1)+COUNTIF(BT$5:BT15,BT15)-1</f>
        <v>8</v>
      </c>
      <c r="BV15" s="59">
        <f t="shared" si="22"/>
        <v>8</v>
      </c>
      <c r="BW15" s="59" t="str">
        <f t="shared" si="23"/>
        <v>JANIS NEL</v>
      </c>
      <c r="BX15" s="59">
        <f t="shared" si="24"/>
        <v>20</v>
      </c>
      <c r="BY15" s="98">
        <f t="shared" si="25"/>
        <v>81</v>
      </c>
      <c r="CC15" s="4">
        <v>11</v>
      </c>
      <c r="CD15" s="2">
        <f>VLOOKUP(CC15,$BU$5:BY$215,2,FALSE)</f>
        <v>11</v>
      </c>
      <c r="CE15" s="6" t="str">
        <f>VLOOKUP(CC15,$BU$5:BY$215,3,FALSE)</f>
        <v>FIFI NARAN</v>
      </c>
      <c r="CF15" s="2">
        <f>VLOOKUP(CC15,$BU$5:BY$215,5,FALSE)</f>
        <v>84.75</v>
      </c>
      <c r="CL15" s="77">
        <v>1</v>
      </c>
    </row>
    <row r="16" spans="1:90" ht="17.45" customHeight="1">
      <c r="A16" s="58">
        <v>12</v>
      </c>
      <c r="B16" s="59" t="str">
        <f>'A Div'!A16 &amp; " " &amp; 'A Div'!B16</f>
        <v>MELISSA PALMER</v>
      </c>
      <c r="C16" s="59">
        <f>'A Div'!E16</f>
        <v>20</v>
      </c>
      <c r="D16" s="60">
        <v>6</v>
      </c>
      <c r="E16" s="60">
        <v>3</v>
      </c>
      <c r="F16" s="60">
        <v>6</v>
      </c>
      <c r="G16" s="60">
        <v>4</v>
      </c>
      <c r="H16" s="60">
        <v>7</v>
      </c>
      <c r="I16" s="60">
        <v>3</v>
      </c>
      <c r="J16" s="60">
        <v>5</v>
      </c>
      <c r="K16" s="60">
        <v>5</v>
      </c>
      <c r="L16" s="60">
        <v>5</v>
      </c>
      <c r="M16" s="74">
        <f t="shared" si="0"/>
        <v>44</v>
      </c>
      <c r="N16" s="60">
        <v>7</v>
      </c>
      <c r="O16" s="60">
        <v>4</v>
      </c>
      <c r="P16" s="60">
        <v>4</v>
      </c>
      <c r="Q16" s="60">
        <v>7</v>
      </c>
      <c r="R16" s="60">
        <v>6</v>
      </c>
      <c r="S16" s="60">
        <v>6</v>
      </c>
      <c r="T16" s="60">
        <v>3</v>
      </c>
      <c r="U16" s="60">
        <v>5</v>
      </c>
      <c r="V16" s="60">
        <v>4</v>
      </c>
      <c r="W16" s="74">
        <f t="shared" si="1"/>
        <v>46</v>
      </c>
      <c r="X16" s="148">
        <f t="shared" si="2"/>
        <v>90</v>
      </c>
      <c r="Y16" s="74">
        <f t="shared" si="3"/>
        <v>70</v>
      </c>
      <c r="AA16" s="60">
        <v>5</v>
      </c>
      <c r="AB16" s="60">
        <v>5</v>
      </c>
      <c r="AC16" s="60">
        <v>4</v>
      </c>
      <c r="AD16" s="60">
        <v>6</v>
      </c>
      <c r="AE16" s="60">
        <v>10</v>
      </c>
      <c r="AF16" s="60">
        <v>5</v>
      </c>
      <c r="AG16" s="60">
        <v>6</v>
      </c>
      <c r="AH16" s="60">
        <v>5</v>
      </c>
      <c r="AI16" s="60">
        <v>5</v>
      </c>
      <c r="AJ16" s="74">
        <f t="shared" si="4"/>
        <v>51</v>
      </c>
      <c r="AK16" s="60">
        <v>10</v>
      </c>
      <c r="AL16" s="60">
        <v>5</v>
      </c>
      <c r="AM16" s="60">
        <v>4</v>
      </c>
      <c r="AN16" s="60">
        <v>6</v>
      </c>
      <c r="AO16" s="60">
        <v>4</v>
      </c>
      <c r="AP16" s="60">
        <v>5</v>
      </c>
      <c r="AQ16" s="60">
        <v>4</v>
      </c>
      <c r="AR16" s="60">
        <v>6</v>
      </c>
      <c r="AS16" s="60">
        <v>5.0999999999999996</v>
      </c>
      <c r="AT16" s="74">
        <f>IF(COUNTIF(AK16:AS16,"&lt;&gt;"&amp;"")=9,SUM(AK16:AS16),"-")</f>
        <v>49.1</v>
      </c>
      <c r="AU16" s="148">
        <f>IF(AND(ISNUMBER(AJ16),ISNUMBER(AT16)),AJ16+AT16,"-")</f>
        <v>100.1</v>
      </c>
      <c r="AV16" s="74">
        <f>IF(ISNUMBER(AU16),AU16-C16,"-")</f>
        <v>80.099999999999994</v>
      </c>
      <c r="AX16" s="59">
        <f t="shared" si="5"/>
        <v>5</v>
      </c>
      <c r="AY16" s="59">
        <f t="shared" si="6"/>
        <v>3</v>
      </c>
      <c r="AZ16" s="59">
        <f t="shared" si="7"/>
        <v>4</v>
      </c>
      <c r="BA16" s="59">
        <f t="shared" si="8"/>
        <v>4</v>
      </c>
      <c r="BB16" s="59">
        <f t="shared" si="9"/>
        <v>7</v>
      </c>
      <c r="BC16" s="59">
        <f t="shared" si="10"/>
        <v>3</v>
      </c>
      <c r="BD16" s="59">
        <f t="shared" si="11"/>
        <v>5</v>
      </c>
      <c r="BE16" s="59">
        <f t="shared" si="12"/>
        <v>5</v>
      </c>
      <c r="BF16" s="59">
        <f t="shared" si="13"/>
        <v>5</v>
      </c>
      <c r="BG16" s="59">
        <f t="shared" si="14"/>
        <v>41</v>
      </c>
      <c r="BH16" s="59">
        <f t="shared" si="15"/>
        <v>7</v>
      </c>
      <c r="BI16" s="59">
        <f t="shared" si="16"/>
        <v>4</v>
      </c>
      <c r="BJ16" s="59">
        <f t="shared" si="17"/>
        <v>4</v>
      </c>
      <c r="BK16" s="59">
        <f t="shared" si="18"/>
        <v>6</v>
      </c>
      <c r="BL16" s="59">
        <f>IF(AND(R16&gt;0,AO16&gt;0),MIN(R16,AO16),"-")</f>
        <v>4</v>
      </c>
      <c r="BM16" s="59">
        <f>IF(AND(S16&gt;0,AP16&gt;0),MIN(S16,AP16),"-")</f>
        <v>5</v>
      </c>
      <c r="BN16" s="59">
        <f>IF(AND(T16&gt;0,AQ16&gt;0),MIN(T16,AQ16),"-")</f>
        <v>3</v>
      </c>
      <c r="BO16" s="59">
        <f>IF(AND(U16&gt;0,AR16&gt;0),MIN(U16,AR16),"-")</f>
        <v>5</v>
      </c>
      <c r="BP16" s="59">
        <f>IF(AND(V16&gt;0,AS16&gt;0),MIN(V16,AS16),"-")</f>
        <v>4</v>
      </c>
      <c r="BQ16" s="59">
        <f t="shared" si="19"/>
        <v>42</v>
      </c>
      <c r="BR16" s="59">
        <f t="shared" si="20"/>
        <v>41</v>
      </c>
      <c r="BS16" s="59">
        <f t="shared" si="21"/>
        <v>83</v>
      </c>
      <c r="BT16" s="98">
        <f>IF(ISNUMBER(BS16),BS16-(C16*Rules!$P$9/100),"-")</f>
        <v>78</v>
      </c>
      <c r="BU16" s="59">
        <f>RANK($BT16,$BT$5:$BT$106,1)+COUNTIF(BT$5:BT16,BT16)-1</f>
        <v>2</v>
      </c>
      <c r="BV16" s="59">
        <f t="shared" si="22"/>
        <v>2</v>
      </c>
      <c r="BW16" s="59" t="str">
        <f t="shared" si="23"/>
        <v>MELISSA PALMER</v>
      </c>
      <c r="BX16" s="59">
        <f t="shared" si="24"/>
        <v>20</v>
      </c>
      <c r="BY16" s="98">
        <f t="shared" si="25"/>
        <v>78</v>
      </c>
      <c r="CC16" s="4">
        <v>12</v>
      </c>
      <c r="CD16" s="2">
        <f>VLOOKUP(CC16,$BU$5:BY$215,2,FALSE)</f>
        <v>12</v>
      </c>
      <c r="CE16" s="6" t="str">
        <f>VLOOKUP(CC16,$BU$5:BY$215,3,FALSE)</f>
        <v>MELISSA SAVIO</v>
      </c>
      <c r="CF16" s="2">
        <f>VLOOKUP(CC16,$BU$5:BY$215,5,FALSE)</f>
        <v>85.25</v>
      </c>
      <c r="CL16" s="77">
        <v>1</v>
      </c>
    </row>
    <row r="17" spans="1:90" ht="17.45" customHeight="1">
      <c r="A17" s="58">
        <v>13</v>
      </c>
      <c r="B17" s="59" t="str">
        <f>'A Div'!A17 &amp; " " &amp; 'A Div'!B17</f>
        <v>MELISSA SAVIO</v>
      </c>
      <c r="C17" s="59">
        <f>'A Div'!E17</f>
        <v>27</v>
      </c>
      <c r="D17" s="60">
        <v>6</v>
      </c>
      <c r="E17" s="60">
        <v>3</v>
      </c>
      <c r="F17" s="60">
        <v>6</v>
      </c>
      <c r="G17" s="60">
        <v>5</v>
      </c>
      <c r="H17" s="60">
        <v>6</v>
      </c>
      <c r="I17" s="60">
        <v>6</v>
      </c>
      <c r="J17" s="60">
        <v>5</v>
      </c>
      <c r="K17" s="60">
        <v>5</v>
      </c>
      <c r="L17" s="60">
        <v>5</v>
      </c>
      <c r="M17" s="74">
        <f t="shared" si="0"/>
        <v>47</v>
      </c>
      <c r="N17" s="60">
        <v>7</v>
      </c>
      <c r="O17" s="60">
        <v>5</v>
      </c>
      <c r="P17" s="60">
        <v>4</v>
      </c>
      <c r="Q17" s="60">
        <v>7</v>
      </c>
      <c r="R17" s="60">
        <v>3</v>
      </c>
      <c r="S17" s="60">
        <v>7</v>
      </c>
      <c r="T17" s="60">
        <v>3</v>
      </c>
      <c r="U17" s="60">
        <v>6</v>
      </c>
      <c r="V17" s="60">
        <v>6</v>
      </c>
      <c r="W17" s="74">
        <f t="shared" si="1"/>
        <v>48</v>
      </c>
      <c r="X17" s="148">
        <f t="shared" si="2"/>
        <v>95</v>
      </c>
      <c r="Y17" s="74">
        <f t="shared" si="3"/>
        <v>68</v>
      </c>
      <c r="AA17" s="60">
        <v>5</v>
      </c>
      <c r="AB17" s="60">
        <v>3</v>
      </c>
      <c r="AC17" s="60">
        <v>6</v>
      </c>
      <c r="AD17" s="60">
        <v>6</v>
      </c>
      <c r="AE17" s="60">
        <v>6</v>
      </c>
      <c r="AF17" s="60">
        <v>4</v>
      </c>
      <c r="AG17" s="60">
        <v>7</v>
      </c>
      <c r="AH17" s="60">
        <v>5</v>
      </c>
      <c r="AI17" s="60">
        <v>5</v>
      </c>
      <c r="AJ17" s="74">
        <f t="shared" si="4"/>
        <v>47</v>
      </c>
      <c r="AK17" s="60">
        <v>7</v>
      </c>
      <c r="AL17" s="60">
        <v>6</v>
      </c>
      <c r="AM17" s="60">
        <v>4</v>
      </c>
      <c r="AN17" s="60">
        <v>7</v>
      </c>
      <c r="AO17" s="60">
        <v>4</v>
      </c>
      <c r="AP17" s="60">
        <v>7</v>
      </c>
      <c r="AQ17" s="60">
        <v>4</v>
      </c>
      <c r="AR17" s="60">
        <v>6</v>
      </c>
      <c r="AS17" s="60">
        <v>11</v>
      </c>
      <c r="AT17" s="74">
        <f>IF(COUNTIF(AK17:AS17,"&lt;&gt;"&amp;"")=9,SUM(AK17:AS17),"-")</f>
        <v>56</v>
      </c>
      <c r="AU17" s="148">
        <f>IF(AND(ISNUMBER(AJ17),ISNUMBER(AT17)),AJ17+AT17,"-")</f>
        <v>103</v>
      </c>
      <c r="AV17" s="74">
        <f>IF(ISNUMBER(AU17),AU17-C17,"-")</f>
        <v>76</v>
      </c>
      <c r="AX17" s="59">
        <f t="shared" si="5"/>
        <v>5</v>
      </c>
      <c r="AY17" s="59">
        <f t="shared" si="6"/>
        <v>3</v>
      </c>
      <c r="AZ17" s="59">
        <f t="shared" si="7"/>
        <v>6</v>
      </c>
      <c r="BA17" s="59">
        <f t="shared" si="8"/>
        <v>5</v>
      </c>
      <c r="BB17" s="59">
        <f t="shared" si="9"/>
        <v>6</v>
      </c>
      <c r="BC17" s="59">
        <f t="shared" si="10"/>
        <v>4</v>
      </c>
      <c r="BD17" s="59">
        <f t="shared" si="11"/>
        <v>5</v>
      </c>
      <c r="BE17" s="59">
        <f t="shared" si="12"/>
        <v>5</v>
      </c>
      <c r="BF17" s="59">
        <f t="shared" si="13"/>
        <v>5</v>
      </c>
      <c r="BG17" s="59">
        <f t="shared" si="14"/>
        <v>44</v>
      </c>
      <c r="BH17" s="59">
        <f t="shared" si="15"/>
        <v>7</v>
      </c>
      <c r="BI17" s="59">
        <f t="shared" si="16"/>
        <v>5</v>
      </c>
      <c r="BJ17" s="59">
        <f t="shared" si="17"/>
        <v>4</v>
      </c>
      <c r="BK17" s="59">
        <f t="shared" si="18"/>
        <v>7</v>
      </c>
      <c r="BL17" s="59">
        <f>IF(AND(R17&gt;0,AO17&gt;0),MIN(R17,AO17),"-")</f>
        <v>3</v>
      </c>
      <c r="BM17" s="59">
        <f>IF(AND(S17&gt;0,AP17&gt;0),MIN(S17,AP17),"-")</f>
        <v>7</v>
      </c>
      <c r="BN17" s="59">
        <f>IF(AND(T17&gt;0,AQ17&gt;0),MIN(T17,AQ17),"-")</f>
        <v>3</v>
      </c>
      <c r="BO17" s="59">
        <f>IF(AND(U17&gt;0,AR17&gt;0),MIN(U17,AR17),"-")</f>
        <v>6</v>
      </c>
      <c r="BP17" s="59">
        <f>IF(AND(V17&gt;0,AS17&gt;0),MIN(V17,AS17),"-")</f>
        <v>6</v>
      </c>
      <c r="BQ17" s="59">
        <f t="shared" si="19"/>
        <v>48</v>
      </c>
      <c r="BR17" s="59">
        <f t="shared" si="20"/>
        <v>44</v>
      </c>
      <c r="BS17" s="59">
        <f t="shared" si="21"/>
        <v>92</v>
      </c>
      <c r="BT17" s="98">
        <f>IF(ISNUMBER(BS17),BS17-(C17*Rules!$P$9/100),"-")</f>
        <v>85.25</v>
      </c>
      <c r="BU17" s="59">
        <f>RANK($BT17,$BT$5:$BT$106,1)+COUNTIF(BT$5:BT17,BT17)-1</f>
        <v>12</v>
      </c>
      <c r="BV17" s="59">
        <f t="shared" si="22"/>
        <v>12</v>
      </c>
      <c r="BW17" s="59" t="str">
        <f t="shared" si="23"/>
        <v>MELISSA SAVIO</v>
      </c>
      <c r="BX17" s="59">
        <f t="shared" si="24"/>
        <v>27</v>
      </c>
      <c r="BY17" s="98">
        <f t="shared" si="25"/>
        <v>85.25</v>
      </c>
      <c r="CC17" s="4">
        <v>13</v>
      </c>
      <c r="CD17" s="2">
        <f>VLOOKUP(CC17,$BU$5:BY$215,2,FALSE)</f>
        <v>13</v>
      </c>
      <c r="CE17" s="6" t="str">
        <f>VLOOKUP(CC17,$BU$5:BY$215,3,FALSE)</f>
        <v>PREM GOVENDER</v>
      </c>
      <c r="CF17" s="2">
        <f>VLOOKUP(CC17,$BU$5:BY$215,5,FALSE)</f>
        <v>86.5</v>
      </c>
      <c r="CL17" s="77">
        <v>1</v>
      </c>
    </row>
    <row r="18" spans="1:90" ht="17.45" customHeight="1">
      <c r="A18" s="58">
        <v>14</v>
      </c>
      <c r="B18" s="59" t="str">
        <f>'A Div'!A18 &amp; " " &amp; 'A Div'!B18</f>
        <v>GAIL SPEIRS</v>
      </c>
      <c r="C18" s="59">
        <f>'A Div'!E18</f>
        <v>20</v>
      </c>
      <c r="D18" s="60">
        <v>5</v>
      </c>
      <c r="E18" s="60">
        <v>4</v>
      </c>
      <c r="F18" s="60">
        <v>5</v>
      </c>
      <c r="G18" s="60">
        <v>5</v>
      </c>
      <c r="H18" s="60">
        <v>6</v>
      </c>
      <c r="I18" s="60">
        <v>4</v>
      </c>
      <c r="J18" s="60">
        <v>7</v>
      </c>
      <c r="K18" s="60">
        <v>6</v>
      </c>
      <c r="L18" s="60">
        <v>5</v>
      </c>
      <c r="M18" s="74">
        <f t="shared" si="0"/>
        <v>47</v>
      </c>
      <c r="N18" s="60">
        <v>6</v>
      </c>
      <c r="O18" s="60">
        <v>4</v>
      </c>
      <c r="P18" s="60">
        <v>7</v>
      </c>
      <c r="Q18" s="60">
        <v>6</v>
      </c>
      <c r="R18" s="60">
        <v>4</v>
      </c>
      <c r="S18" s="60">
        <v>5</v>
      </c>
      <c r="T18" s="60">
        <v>10</v>
      </c>
      <c r="U18" s="60">
        <v>7</v>
      </c>
      <c r="V18" s="60">
        <v>7</v>
      </c>
      <c r="W18" s="74">
        <f t="shared" si="1"/>
        <v>56</v>
      </c>
      <c r="X18" s="148">
        <f t="shared" si="2"/>
        <v>103</v>
      </c>
      <c r="Y18" s="74">
        <f t="shared" si="3"/>
        <v>83</v>
      </c>
      <c r="AA18" s="60">
        <v>5</v>
      </c>
      <c r="AB18" s="60">
        <v>5</v>
      </c>
      <c r="AC18" s="60">
        <v>5</v>
      </c>
      <c r="AD18" s="60">
        <v>5</v>
      </c>
      <c r="AE18" s="60">
        <v>6</v>
      </c>
      <c r="AF18" s="60">
        <v>5</v>
      </c>
      <c r="AG18" s="60">
        <v>4</v>
      </c>
      <c r="AH18" s="60">
        <v>5</v>
      </c>
      <c r="AI18" s="60">
        <v>6</v>
      </c>
      <c r="AJ18" s="74">
        <f t="shared" si="4"/>
        <v>46</v>
      </c>
      <c r="AK18" s="60">
        <v>8</v>
      </c>
      <c r="AL18" s="60">
        <v>5</v>
      </c>
      <c r="AM18" s="60">
        <v>3</v>
      </c>
      <c r="AN18" s="60">
        <v>5</v>
      </c>
      <c r="AO18" s="60">
        <v>4</v>
      </c>
      <c r="AP18" s="60">
        <v>6</v>
      </c>
      <c r="AQ18" s="60">
        <v>5</v>
      </c>
      <c r="AR18" s="60">
        <v>5</v>
      </c>
      <c r="AS18" s="60">
        <v>5</v>
      </c>
      <c r="AT18" s="74">
        <f>IF(COUNTIF(AK18:AS18,"&lt;&gt;"&amp;"")=9,SUM(AK18:AS18),"-")</f>
        <v>46</v>
      </c>
      <c r="AU18" s="148">
        <f>IF(AND(ISNUMBER(AJ18),ISNUMBER(AT18)),AJ18+AT18,"-")</f>
        <v>92</v>
      </c>
      <c r="AV18" s="74">
        <f>IF(ISNUMBER(AU18),AU18-C18,"-")</f>
        <v>72</v>
      </c>
      <c r="AX18" s="59">
        <f t="shared" si="5"/>
        <v>5</v>
      </c>
      <c r="AY18" s="59">
        <f t="shared" si="6"/>
        <v>4</v>
      </c>
      <c r="AZ18" s="59">
        <f t="shared" si="7"/>
        <v>5</v>
      </c>
      <c r="BA18" s="59">
        <f t="shared" si="8"/>
        <v>5</v>
      </c>
      <c r="BB18" s="59">
        <f t="shared" si="9"/>
        <v>6</v>
      </c>
      <c r="BC18" s="59">
        <f t="shared" si="10"/>
        <v>4</v>
      </c>
      <c r="BD18" s="59">
        <f t="shared" si="11"/>
        <v>4</v>
      </c>
      <c r="BE18" s="59">
        <f t="shared" si="12"/>
        <v>5</v>
      </c>
      <c r="BF18" s="59">
        <f t="shared" si="13"/>
        <v>5</v>
      </c>
      <c r="BG18" s="59">
        <f t="shared" si="14"/>
        <v>43</v>
      </c>
      <c r="BH18" s="59">
        <f t="shared" si="15"/>
        <v>6</v>
      </c>
      <c r="BI18" s="59">
        <f t="shared" si="16"/>
        <v>4</v>
      </c>
      <c r="BJ18" s="59">
        <f t="shared" si="17"/>
        <v>3</v>
      </c>
      <c r="BK18" s="59">
        <f t="shared" si="18"/>
        <v>5</v>
      </c>
      <c r="BL18" s="59">
        <f>IF(AND(R18&gt;0,AO18&gt;0),MIN(R18,AO18),"-")</f>
        <v>4</v>
      </c>
      <c r="BM18" s="59">
        <f>IF(AND(S18&gt;0,AP18&gt;0),MIN(S18,AP18),"-")</f>
        <v>5</v>
      </c>
      <c r="BN18" s="59">
        <f>IF(AND(T18&gt;0,AQ18&gt;0),MIN(T18,AQ18),"-")</f>
        <v>5</v>
      </c>
      <c r="BO18" s="59">
        <f>IF(AND(U18&gt;0,AR18&gt;0),MIN(U18,AR18),"-")</f>
        <v>5</v>
      </c>
      <c r="BP18" s="59">
        <f>IF(AND(V18&gt;0,AS18&gt;0),MIN(V18,AS18),"-")</f>
        <v>5</v>
      </c>
      <c r="BQ18" s="59">
        <f t="shared" si="19"/>
        <v>42</v>
      </c>
      <c r="BR18" s="59">
        <f t="shared" si="20"/>
        <v>43</v>
      </c>
      <c r="BS18" s="59">
        <f t="shared" si="21"/>
        <v>85</v>
      </c>
      <c r="BT18" s="98">
        <f>IF(ISNUMBER(BS18),BS18-(C18*Rules!$P$9/100),"-")</f>
        <v>80</v>
      </c>
      <c r="BU18" s="59">
        <f>RANK($BT18,$BT$5:$BT$106,1)+COUNTIF(BT$5:BT18,BT18)-1</f>
        <v>5</v>
      </c>
      <c r="BV18" s="59">
        <f t="shared" si="22"/>
        <v>4</v>
      </c>
      <c r="BW18" s="59" t="str">
        <f t="shared" si="23"/>
        <v>GAIL SPEIRS</v>
      </c>
      <c r="BX18" s="59">
        <f t="shared" si="24"/>
        <v>20</v>
      </c>
      <c r="BY18" s="98">
        <f t="shared" si="25"/>
        <v>80</v>
      </c>
      <c r="CC18" s="4">
        <v>14</v>
      </c>
      <c r="CD18" s="2">
        <f>VLOOKUP(CC18,$BU$5:BY$215,2,FALSE)</f>
        <v>14</v>
      </c>
      <c r="CE18" s="6" t="str">
        <f>VLOOKUP(CC18,$BU$5:BY$215,3,FALSE)</f>
        <v>ANGELA MASEFIELD</v>
      </c>
      <c r="CF18" s="2">
        <f>VLOOKUP(CC18,$BU$5:BY$215,5,FALSE)</f>
        <v>87.5</v>
      </c>
      <c r="CL18" s="77">
        <v>1</v>
      </c>
    </row>
    <row r="19" spans="1:90" ht="17.45" customHeight="1">
      <c r="A19" s="58">
        <v>15</v>
      </c>
      <c r="B19" s="59" t="str">
        <f>'A Div'!A19 &amp; " " &amp; 'A Div'!B19</f>
        <v>KAREN STOTT</v>
      </c>
      <c r="C19" s="59">
        <f>'A Div'!E19</f>
        <v>20</v>
      </c>
      <c r="D19" s="60">
        <v>5</v>
      </c>
      <c r="E19" s="60">
        <v>3</v>
      </c>
      <c r="F19" s="60">
        <v>6</v>
      </c>
      <c r="G19" s="60">
        <v>5</v>
      </c>
      <c r="H19" s="60">
        <v>6</v>
      </c>
      <c r="I19" s="60">
        <v>3</v>
      </c>
      <c r="J19" s="60">
        <v>5</v>
      </c>
      <c r="K19" s="60">
        <v>5</v>
      </c>
      <c r="L19" s="60">
        <v>5</v>
      </c>
      <c r="M19" s="74">
        <f t="shared" si="0"/>
        <v>43</v>
      </c>
      <c r="N19" s="60">
        <v>6</v>
      </c>
      <c r="O19" s="60">
        <v>5</v>
      </c>
      <c r="P19" s="60">
        <v>5</v>
      </c>
      <c r="Q19" s="60">
        <v>6</v>
      </c>
      <c r="R19" s="60">
        <v>3</v>
      </c>
      <c r="S19" s="60">
        <v>6</v>
      </c>
      <c r="T19" s="60">
        <v>5</v>
      </c>
      <c r="U19" s="60">
        <v>6</v>
      </c>
      <c r="V19" s="60">
        <v>8</v>
      </c>
      <c r="W19" s="74">
        <f t="shared" si="1"/>
        <v>50</v>
      </c>
      <c r="X19" s="148">
        <f t="shared" si="2"/>
        <v>93</v>
      </c>
      <c r="Y19" s="74">
        <f t="shared" si="3"/>
        <v>73</v>
      </c>
      <c r="AA19" s="60">
        <v>7</v>
      </c>
      <c r="AB19" s="60">
        <v>4</v>
      </c>
      <c r="AC19" s="60">
        <v>5</v>
      </c>
      <c r="AD19" s="60">
        <v>5</v>
      </c>
      <c r="AE19" s="60">
        <v>6</v>
      </c>
      <c r="AF19" s="60">
        <v>3</v>
      </c>
      <c r="AG19" s="60">
        <v>6</v>
      </c>
      <c r="AH19" s="60">
        <v>5</v>
      </c>
      <c r="AI19" s="60">
        <v>5</v>
      </c>
      <c r="AJ19" s="74">
        <f t="shared" si="4"/>
        <v>46</v>
      </c>
      <c r="AK19" s="60">
        <v>5</v>
      </c>
      <c r="AL19" s="60">
        <v>5</v>
      </c>
      <c r="AM19" s="60">
        <v>4</v>
      </c>
      <c r="AN19" s="60">
        <v>6</v>
      </c>
      <c r="AO19" s="60">
        <v>4</v>
      </c>
      <c r="AP19" s="60">
        <v>8</v>
      </c>
      <c r="AQ19" s="60">
        <v>5</v>
      </c>
      <c r="AR19" s="60">
        <v>6</v>
      </c>
      <c r="AS19" s="60">
        <v>5</v>
      </c>
      <c r="AT19" s="74">
        <f>IF(COUNTIF(AK19:AS19,"&lt;&gt;"&amp;"")=9,SUM(AK19:AS19),"-")</f>
        <v>48</v>
      </c>
      <c r="AU19" s="148">
        <f>IF(AND(ISNUMBER(AJ19),ISNUMBER(AT19)),AJ19+AT19,"-")</f>
        <v>94</v>
      </c>
      <c r="AV19" s="74">
        <f>IF(ISNUMBER(AU19),AU19-C19,"-")</f>
        <v>74</v>
      </c>
      <c r="AX19" s="59">
        <f t="shared" si="5"/>
        <v>5</v>
      </c>
      <c r="AY19" s="59">
        <f t="shared" si="6"/>
        <v>3</v>
      </c>
      <c r="AZ19" s="59">
        <f t="shared" si="7"/>
        <v>5</v>
      </c>
      <c r="BA19" s="59">
        <f t="shared" si="8"/>
        <v>5</v>
      </c>
      <c r="BB19" s="59">
        <f t="shared" si="9"/>
        <v>6</v>
      </c>
      <c r="BC19" s="59">
        <f t="shared" si="10"/>
        <v>3</v>
      </c>
      <c r="BD19" s="59">
        <f t="shared" si="11"/>
        <v>5</v>
      </c>
      <c r="BE19" s="59">
        <f t="shared" si="12"/>
        <v>5</v>
      </c>
      <c r="BF19" s="59">
        <f t="shared" si="13"/>
        <v>5</v>
      </c>
      <c r="BG19" s="59">
        <f t="shared" si="14"/>
        <v>42</v>
      </c>
      <c r="BH19" s="59">
        <f t="shared" si="15"/>
        <v>5</v>
      </c>
      <c r="BI19" s="59">
        <f t="shared" si="16"/>
        <v>5</v>
      </c>
      <c r="BJ19" s="59">
        <f t="shared" si="17"/>
        <v>4</v>
      </c>
      <c r="BK19" s="59">
        <f t="shared" si="18"/>
        <v>6</v>
      </c>
      <c r="BL19" s="59">
        <f>IF(AND(R19&gt;0,AO19&gt;0),MIN(R19,AO19),"-")</f>
        <v>3</v>
      </c>
      <c r="BM19" s="59">
        <f>IF(AND(S19&gt;0,AP19&gt;0),MIN(S19,AP19),"-")</f>
        <v>6</v>
      </c>
      <c r="BN19" s="59">
        <f>IF(AND(T19&gt;0,AQ19&gt;0),MIN(T19,AQ19),"-")</f>
        <v>5</v>
      </c>
      <c r="BO19" s="59">
        <f>IF(AND(U19&gt;0,AR19&gt;0),MIN(U19,AR19),"-")</f>
        <v>6</v>
      </c>
      <c r="BP19" s="59">
        <f>IF(AND(V19&gt;0,AS19&gt;0),MIN(V19,AS19),"-")</f>
        <v>5</v>
      </c>
      <c r="BQ19" s="59">
        <f t="shared" si="19"/>
        <v>45</v>
      </c>
      <c r="BR19" s="59">
        <f t="shared" si="20"/>
        <v>42</v>
      </c>
      <c r="BS19" s="59">
        <f t="shared" si="21"/>
        <v>87</v>
      </c>
      <c r="BT19" s="98">
        <f>IF(ISNUMBER(BS19),BS19-(C19*Rules!$P$9/100),"-")</f>
        <v>82</v>
      </c>
      <c r="BU19" s="59">
        <f>RANK($BT19,$BT$5:$BT$106,1)+COUNTIF(BT$5:BT19,BT19)-1</f>
        <v>10</v>
      </c>
      <c r="BV19" s="59">
        <f t="shared" si="22"/>
        <v>10</v>
      </c>
      <c r="BW19" s="59" t="str">
        <f t="shared" si="23"/>
        <v>KAREN STOTT</v>
      </c>
      <c r="BX19" s="59">
        <f t="shared" si="24"/>
        <v>20</v>
      </c>
      <c r="BY19" s="98">
        <f t="shared" si="25"/>
        <v>82</v>
      </c>
      <c r="CC19" s="4">
        <v>15</v>
      </c>
      <c r="CD19" s="2">
        <f>VLOOKUP(CC19,$BU$5:BY$215,2,FALSE)</f>
        <v>15</v>
      </c>
      <c r="CE19" s="6" t="str">
        <f>VLOOKUP(CC19,$BU$5:BY$215,3,FALSE)</f>
        <v>SHAY BROEDELET</v>
      </c>
      <c r="CF19" s="2">
        <f>VLOOKUP(CC19,$BU$5:BY$215,5,FALSE)</f>
        <v>88</v>
      </c>
      <c r="CL19" s="77">
        <v>1</v>
      </c>
    </row>
    <row r="20" spans="1:90" ht="17.45" customHeight="1">
      <c r="A20" s="58">
        <v>16</v>
      </c>
      <c r="B20" s="59" t="str">
        <f>'A Div'!A20 &amp; " " &amp; 'A Div'!B20</f>
        <v>JUDY VAN DER VEEN</v>
      </c>
      <c r="C20" s="59">
        <f>'A Div'!E20</f>
        <v>22</v>
      </c>
      <c r="D20" s="60">
        <v>5</v>
      </c>
      <c r="E20" s="60">
        <v>4</v>
      </c>
      <c r="F20" s="60">
        <v>5</v>
      </c>
      <c r="G20" s="60">
        <v>7</v>
      </c>
      <c r="H20" s="60">
        <v>5</v>
      </c>
      <c r="I20" s="60">
        <v>4</v>
      </c>
      <c r="J20" s="60">
        <v>6</v>
      </c>
      <c r="K20" s="60">
        <v>5</v>
      </c>
      <c r="L20" s="60">
        <v>4</v>
      </c>
      <c r="M20" s="74">
        <f t="shared" si="0"/>
        <v>45</v>
      </c>
      <c r="N20" s="60">
        <v>7</v>
      </c>
      <c r="O20" s="60">
        <v>5</v>
      </c>
      <c r="P20" s="60">
        <v>4</v>
      </c>
      <c r="Q20" s="60">
        <v>6</v>
      </c>
      <c r="R20" s="60">
        <v>5</v>
      </c>
      <c r="S20" s="60">
        <v>6</v>
      </c>
      <c r="T20" s="60">
        <v>6</v>
      </c>
      <c r="U20" s="60">
        <v>6</v>
      </c>
      <c r="V20" s="60">
        <v>5</v>
      </c>
      <c r="W20" s="74">
        <f t="shared" si="1"/>
        <v>50</v>
      </c>
      <c r="X20" s="148">
        <f t="shared" si="2"/>
        <v>95</v>
      </c>
      <c r="Y20" s="74">
        <f t="shared" si="3"/>
        <v>73</v>
      </c>
      <c r="AA20" s="60">
        <v>5</v>
      </c>
      <c r="AB20" s="60">
        <v>3</v>
      </c>
      <c r="AC20" s="60">
        <v>7</v>
      </c>
      <c r="AD20" s="60">
        <v>5</v>
      </c>
      <c r="AE20" s="60">
        <v>6</v>
      </c>
      <c r="AF20" s="60">
        <v>3</v>
      </c>
      <c r="AG20" s="60">
        <v>7</v>
      </c>
      <c r="AH20" s="60">
        <v>6</v>
      </c>
      <c r="AI20" s="60">
        <v>5</v>
      </c>
      <c r="AJ20" s="74">
        <f t="shared" si="4"/>
        <v>47</v>
      </c>
      <c r="AK20" s="60">
        <v>7</v>
      </c>
      <c r="AL20" s="60">
        <v>5</v>
      </c>
      <c r="AM20" s="60">
        <v>5</v>
      </c>
      <c r="AN20" s="60">
        <v>5</v>
      </c>
      <c r="AO20" s="60">
        <v>3</v>
      </c>
      <c r="AP20" s="60">
        <v>5</v>
      </c>
      <c r="AQ20" s="60">
        <v>5</v>
      </c>
      <c r="AR20" s="60">
        <v>7</v>
      </c>
      <c r="AS20" s="60">
        <v>6</v>
      </c>
      <c r="AT20" s="74">
        <f>IF(COUNTIF(AK20:AS20,"&lt;&gt;"&amp;"")=9,SUM(AK20:AS20),"-")</f>
        <v>48</v>
      </c>
      <c r="AU20" s="148">
        <f>IF(AND(ISNUMBER(AJ20),ISNUMBER(AT20)),AJ20+AT20,"-")</f>
        <v>95</v>
      </c>
      <c r="AV20" s="74">
        <f>IF(ISNUMBER(AU20),AU20-C20,"-")</f>
        <v>73</v>
      </c>
      <c r="AX20" s="59">
        <f t="shared" si="5"/>
        <v>5</v>
      </c>
      <c r="AY20" s="59">
        <f t="shared" si="6"/>
        <v>3</v>
      </c>
      <c r="AZ20" s="59">
        <f t="shared" si="7"/>
        <v>5</v>
      </c>
      <c r="BA20" s="59">
        <f t="shared" si="8"/>
        <v>5</v>
      </c>
      <c r="BB20" s="59">
        <f t="shared" si="9"/>
        <v>5</v>
      </c>
      <c r="BC20" s="59">
        <f t="shared" si="10"/>
        <v>3</v>
      </c>
      <c r="BD20" s="59">
        <f t="shared" si="11"/>
        <v>6</v>
      </c>
      <c r="BE20" s="59">
        <f t="shared" si="12"/>
        <v>5</v>
      </c>
      <c r="BF20" s="59">
        <f t="shared" si="13"/>
        <v>4</v>
      </c>
      <c r="BG20" s="59">
        <f t="shared" si="14"/>
        <v>41</v>
      </c>
      <c r="BH20" s="59">
        <f t="shared" si="15"/>
        <v>7</v>
      </c>
      <c r="BI20" s="59">
        <f t="shared" si="16"/>
        <v>5</v>
      </c>
      <c r="BJ20" s="59">
        <f t="shared" si="17"/>
        <v>4</v>
      </c>
      <c r="BK20" s="59">
        <f t="shared" si="18"/>
        <v>5</v>
      </c>
      <c r="BL20" s="59">
        <f>IF(AND(R20&gt;0,AO20&gt;0),MIN(R20,AO20),"-")</f>
        <v>3</v>
      </c>
      <c r="BM20" s="59">
        <f>IF(AND(S20&gt;0,AP20&gt;0),MIN(S20,AP20),"-")</f>
        <v>5</v>
      </c>
      <c r="BN20" s="59">
        <f>IF(AND(T20&gt;0,AQ20&gt;0),MIN(T20,AQ20),"-")</f>
        <v>5</v>
      </c>
      <c r="BO20" s="59">
        <f>IF(AND(U20&gt;0,AR20&gt;0),MIN(U20,AR20),"-")</f>
        <v>6</v>
      </c>
      <c r="BP20" s="59">
        <f>IF(AND(V20&gt;0,AS20&gt;0),MIN(V20,AS20),"-")</f>
        <v>5</v>
      </c>
      <c r="BQ20" s="59">
        <f t="shared" si="19"/>
        <v>45</v>
      </c>
      <c r="BR20" s="59">
        <f t="shared" si="20"/>
        <v>41</v>
      </c>
      <c r="BS20" s="59">
        <f t="shared" si="21"/>
        <v>86</v>
      </c>
      <c r="BT20" s="98">
        <f>IF(ISNUMBER(BS20),BS20-(C20*Rules!$P$9/100),"-")</f>
        <v>80.5</v>
      </c>
      <c r="BU20" s="59">
        <f>RANK($BT20,$BT$5:$BT$106,1)+COUNTIF(BT$5:BT20,BT20)-1</f>
        <v>6</v>
      </c>
      <c r="BV20" s="59">
        <f t="shared" si="22"/>
        <v>6</v>
      </c>
      <c r="BW20" s="59" t="str">
        <f t="shared" si="23"/>
        <v>JUDY VAN DER VEEN</v>
      </c>
      <c r="BX20" s="59">
        <f t="shared" si="24"/>
        <v>22</v>
      </c>
      <c r="BY20" s="98">
        <f t="shared" si="25"/>
        <v>80.5</v>
      </c>
      <c r="CC20" s="4">
        <v>16</v>
      </c>
      <c r="CD20" s="2">
        <f>VLOOKUP(CC20,$BU$5:BY$215,2,FALSE)</f>
        <v>16</v>
      </c>
      <c r="CE20" s="6" t="str">
        <f>VLOOKUP(CC20,$BU$5:BY$215,3,FALSE)</f>
        <v>RENE LADELL</v>
      </c>
      <c r="CF20" s="2">
        <f>VLOOKUP(CC20,$BU$5:BY$215,5,FALSE)</f>
        <v>97</v>
      </c>
      <c r="CL20" s="77">
        <v>1</v>
      </c>
    </row>
    <row r="21" spans="1:90" ht="17.45" customHeight="1">
      <c r="A21" s="58">
        <v>17</v>
      </c>
      <c r="B21" s="59" t="str">
        <f>'A Div'!A21 &amp; " " &amp; 'A Div'!B21</f>
        <v xml:space="preserve"> </v>
      </c>
      <c r="C21" s="59" t="str">
        <f>'A Div'!E21</f>
        <v>-</v>
      </c>
      <c r="D21" s="60"/>
      <c r="E21" s="60"/>
      <c r="F21" s="60"/>
      <c r="G21" s="60"/>
      <c r="H21" s="60"/>
      <c r="I21" s="60"/>
      <c r="J21" s="60"/>
      <c r="K21" s="60"/>
      <c r="L21" s="60"/>
      <c r="M21" s="74" t="str">
        <f t="shared" si="0"/>
        <v>-</v>
      </c>
      <c r="N21" s="60"/>
      <c r="O21" s="60"/>
      <c r="P21" s="60"/>
      <c r="Q21" s="60"/>
      <c r="R21" s="60"/>
      <c r="S21" s="60"/>
      <c r="T21" s="60"/>
      <c r="U21" s="60"/>
      <c r="V21" s="60"/>
      <c r="W21" s="74" t="str">
        <f t="shared" si="1"/>
        <v>-</v>
      </c>
      <c r="X21" s="148" t="str">
        <f t="shared" si="2"/>
        <v>-</v>
      </c>
      <c r="Y21" s="74" t="str">
        <f t="shared" si="3"/>
        <v>-</v>
      </c>
      <c r="AA21" s="60"/>
      <c r="AB21" s="60"/>
      <c r="AC21" s="60"/>
      <c r="AD21" s="60"/>
      <c r="AE21" s="60"/>
      <c r="AF21" s="60"/>
      <c r="AG21" s="60"/>
      <c r="AH21" s="60"/>
      <c r="AI21" s="60"/>
      <c r="AJ21" s="74" t="str">
        <f t="shared" si="4"/>
        <v>-</v>
      </c>
      <c r="AK21" s="60"/>
      <c r="AL21" s="60"/>
      <c r="AM21" s="60"/>
      <c r="AN21" s="60"/>
      <c r="AO21" s="60"/>
      <c r="AP21" s="60"/>
      <c r="AQ21" s="60"/>
      <c r="AR21" s="60"/>
      <c r="AS21" s="60"/>
      <c r="AT21" s="74" t="str">
        <f>IF(COUNTIF(AK21:AS21,"&lt;&gt;"&amp;"")=9,SUM(AK21:AS21),"-")</f>
        <v>-</v>
      </c>
      <c r="AU21" s="148" t="str">
        <f>IF(AND(ISNUMBER(AJ21),ISNUMBER(AT21)),AJ21+AT21,"-")</f>
        <v>-</v>
      </c>
      <c r="AV21" s="74" t="str">
        <f>IF(ISNUMBER(AU21),AU21-C21,"-")</f>
        <v>-</v>
      </c>
      <c r="AX21" s="59" t="str">
        <f t="shared" si="5"/>
        <v>-</v>
      </c>
      <c r="AY21" s="59" t="str">
        <f t="shared" si="6"/>
        <v>-</v>
      </c>
      <c r="AZ21" s="59" t="str">
        <f t="shared" si="7"/>
        <v>-</v>
      </c>
      <c r="BA21" s="59" t="str">
        <f t="shared" si="8"/>
        <v>-</v>
      </c>
      <c r="BB21" s="59" t="str">
        <f t="shared" si="9"/>
        <v>-</v>
      </c>
      <c r="BC21" s="59" t="str">
        <f t="shared" si="10"/>
        <v>-</v>
      </c>
      <c r="BD21" s="59" t="str">
        <f t="shared" si="11"/>
        <v>-</v>
      </c>
      <c r="BE21" s="59" t="str">
        <f t="shared" si="12"/>
        <v>-</v>
      </c>
      <c r="BF21" s="59" t="str">
        <f t="shared" si="13"/>
        <v>-</v>
      </c>
      <c r="BG21" s="59" t="str">
        <f t="shared" si="14"/>
        <v>-</v>
      </c>
      <c r="BH21" s="59" t="str">
        <f t="shared" si="15"/>
        <v>-</v>
      </c>
      <c r="BI21" s="59" t="str">
        <f t="shared" si="16"/>
        <v>-</v>
      </c>
      <c r="BJ21" s="59" t="str">
        <f t="shared" si="17"/>
        <v>-</v>
      </c>
      <c r="BK21" s="59" t="str">
        <f t="shared" si="18"/>
        <v>-</v>
      </c>
      <c r="BL21" s="59" t="str">
        <f>IF(AND(R21&gt;0,AO21&gt;0),MIN(R21,AO21),"-")</f>
        <v>-</v>
      </c>
      <c r="BM21" s="59" t="str">
        <f>IF(AND(S21&gt;0,AP21&gt;0),MIN(S21,AP21),"-")</f>
        <v>-</v>
      </c>
      <c r="BN21" s="59" t="str">
        <f>IF(AND(T21&gt;0,AQ21&gt;0),MIN(T21,AQ21),"-")</f>
        <v>-</v>
      </c>
      <c r="BO21" s="59" t="str">
        <f>IF(AND(U21&gt;0,AR21&gt;0),MIN(U21,AR21),"-")</f>
        <v>-</v>
      </c>
      <c r="BP21" s="59" t="str">
        <f>IF(AND(V21&gt;0,AS21&gt;0),MIN(V21,AS21),"-")</f>
        <v>-</v>
      </c>
      <c r="BQ21" s="59" t="str">
        <f t="shared" si="19"/>
        <v>-</v>
      </c>
      <c r="BR21" s="59" t="str">
        <f t="shared" si="20"/>
        <v>-</v>
      </c>
      <c r="BS21" s="59" t="str">
        <f t="shared" si="21"/>
        <v>-</v>
      </c>
      <c r="BT21" s="98" t="str">
        <f>IF(ISNUMBER(BS21),BS21-(C21*Rules!$P$9/100),"-")</f>
        <v>-</v>
      </c>
      <c r="BU21" s="59" t="e">
        <f>RANK($BT21,$BT$5:$BT$106,1)+COUNTIF(BT$5:BT21,BT21)-1</f>
        <v>#VALUE!</v>
      </c>
      <c r="BV21" s="59" t="e">
        <f t="shared" si="22"/>
        <v>#VALUE!</v>
      </c>
      <c r="BW21" s="59" t="str">
        <f t="shared" si="23"/>
        <v xml:space="preserve"> </v>
      </c>
      <c r="BX21" s="59" t="str">
        <f t="shared" si="24"/>
        <v>-</v>
      </c>
      <c r="BY21" s="98" t="str">
        <f t="shared" si="25"/>
        <v>-</v>
      </c>
      <c r="CC21" s="4">
        <v>17</v>
      </c>
      <c r="CD21" s="2" t="e">
        <f>VLOOKUP(CC21,$BU$5:BY$215,2,FALSE)</f>
        <v>#N/A</v>
      </c>
      <c r="CE21" s="6" t="e">
        <f>VLOOKUP(CC21,$BU$5:BY$215,3,FALSE)</f>
        <v>#N/A</v>
      </c>
      <c r="CF21" s="2" t="e">
        <f>VLOOKUP(CC21,$BU$5:BY$215,5,FALSE)</f>
        <v>#N/A</v>
      </c>
      <c r="CL21" s="77">
        <v>1</v>
      </c>
    </row>
    <row r="22" spans="1:90" ht="17.45" customHeight="1">
      <c r="A22" s="58">
        <v>18</v>
      </c>
      <c r="B22" s="59" t="str">
        <f>'A Div'!A22 &amp; " " &amp; 'A Div'!B22</f>
        <v xml:space="preserve"> </v>
      </c>
      <c r="C22" s="59" t="str">
        <f>'A Div'!E22</f>
        <v>-</v>
      </c>
      <c r="D22" s="60"/>
      <c r="E22" s="60"/>
      <c r="F22" s="60"/>
      <c r="G22" s="60"/>
      <c r="H22" s="60"/>
      <c r="I22" s="60"/>
      <c r="J22" s="60"/>
      <c r="K22" s="60"/>
      <c r="L22" s="60"/>
      <c r="M22" s="74" t="str">
        <f t="shared" si="0"/>
        <v>-</v>
      </c>
      <c r="N22" s="60"/>
      <c r="O22" s="60"/>
      <c r="P22" s="60"/>
      <c r="Q22" s="60"/>
      <c r="R22" s="60"/>
      <c r="S22" s="60"/>
      <c r="T22" s="60"/>
      <c r="U22" s="60"/>
      <c r="V22" s="60"/>
      <c r="W22" s="74" t="str">
        <f t="shared" si="1"/>
        <v>-</v>
      </c>
      <c r="X22" s="148" t="str">
        <f t="shared" si="2"/>
        <v>-</v>
      </c>
      <c r="Y22" s="74" t="str">
        <f t="shared" si="3"/>
        <v>-</v>
      </c>
      <c r="AA22" s="60"/>
      <c r="AB22" s="60"/>
      <c r="AC22" s="60"/>
      <c r="AD22" s="60"/>
      <c r="AE22" s="60"/>
      <c r="AF22" s="60"/>
      <c r="AG22" s="60"/>
      <c r="AH22" s="60"/>
      <c r="AI22" s="60"/>
      <c r="AJ22" s="74" t="str">
        <f t="shared" si="4"/>
        <v>-</v>
      </c>
      <c r="AK22" s="60"/>
      <c r="AL22" s="60"/>
      <c r="AM22" s="60"/>
      <c r="AN22" s="60"/>
      <c r="AO22" s="60"/>
      <c r="AP22" s="60"/>
      <c r="AQ22" s="60"/>
      <c r="AR22" s="60"/>
      <c r="AS22" s="60"/>
      <c r="AT22" s="74" t="str">
        <f>IF(COUNTIF(AK22:AS22,"&lt;&gt;"&amp;"")=9,SUM(AK22:AS22),"-")</f>
        <v>-</v>
      </c>
      <c r="AU22" s="148" t="str">
        <f>IF(AND(ISNUMBER(AJ22),ISNUMBER(AT22)),AJ22+AT22,"-")</f>
        <v>-</v>
      </c>
      <c r="AV22" s="74" t="str">
        <f>IF(ISNUMBER(AU22),AU22-C22,"-")</f>
        <v>-</v>
      </c>
      <c r="AX22" s="59" t="str">
        <f t="shared" si="5"/>
        <v>-</v>
      </c>
      <c r="AY22" s="59" t="str">
        <f t="shared" si="6"/>
        <v>-</v>
      </c>
      <c r="AZ22" s="59" t="str">
        <f t="shared" si="7"/>
        <v>-</v>
      </c>
      <c r="BA22" s="59" t="str">
        <f t="shared" si="8"/>
        <v>-</v>
      </c>
      <c r="BB22" s="59" t="str">
        <f t="shared" si="9"/>
        <v>-</v>
      </c>
      <c r="BC22" s="59" t="str">
        <f t="shared" si="10"/>
        <v>-</v>
      </c>
      <c r="BD22" s="59" t="str">
        <f t="shared" si="11"/>
        <v>-</v>
      </c>
      <c r="BE22" s="59" t="str">
        <f t="shared" si="12"/>
        <v>-</v>
      </c>
      <c r="BF22" s="59" t="str">
        <f t="shared" si="13"/>
        <v>-</v>
      </c>
      <c r="BG22" s="59" t="str">
        <f t="shared" si="14"/>
        <v>-</v>
      </c>
      <c r="BH22" s="59" t="str">
        <f t="shared" si="15"/>
        <v>-</v>
      </c>
      <c r="BI22" s="59" t="str">
        <f t="shared" si="16"/>
        <v>-</v>
      </c>
      <c r="BJ22" s="59" t="str">
        <f t="shared" si="17"/>
        <v>-</v>
      </c>
      <c r="BK22" s="59" t="str">
        <f t="shared" si="18"/>
        <v>-</v>
      </c>
      <c r="BL22" s="59" t="str">
        <f>IF(AND(R22&gt;0,AO22&gt;0),MIN(R22,AO22),"-")</f>
        <v>-</v>
      </c>
      <c r="BM22" s="59" t="str">
        <f>IF(AND(S22&gt;0,AP22&gt;0),MIN(S22,AP22),"-")</f>
        <v>-</v>
      </c>
      <c r="BN22" s="59" t="str">
        <f>IF(AND(T22&gt;0,AQ22&gt;0),MIN(T22,AQ22),"-")</f>
        <v>-</v>
      </c>
      <c r="BO22" s="59" t="str">
        <f>IF(AND(U22&gt;0,AR22&gt;0),MIN(U22,AR22),"-")</f>
        <v>-</v>
      </c>
      <c r="BP22" s="59" t="str">
        <f>IF(AND(V22&gt;0,AS22&gt;0),MIN(V22,AS22),"-")</f>
        <v>-</v>
      </c>
      <c r="BQ22" s="59" t="str">
        <f t="shared" si="19"/>
        <v>-</v>
      </c>
      <c r="BR22" s="59" t="str">
        <f t="shared" si="20"/>
        <v>-</v>
      </c>
      <c r="BS22" s="59" t="str">
        <f t="shared" si="21"/>
        <v>-</v>
      </c>
      <c r="BT22" s="98" t="str">
        <f>IF(ISNUMBER(BS22),BS22-(C22*Rules!$P$9/100),"-")</f>
        <v>-</v>
      </c>
      <c r="BU22" s="59" t="e">
        <f>RANK($BT22,$BT$5:$BT$106,1)+COUNTIF(BT$5:BT22,BT22)-1</f>
        <v>#VALUE!</v>
      </c>
      <c r="BV22" s="59" t="e">
        <f t="shared" si="22"/>
        <v>#VALUE!</v>
      </c>
      <c r="BW22" s="59" t="str">
        <f t="shared" si="23"/>
        <v xml:space="preserve"> </v>
      </c>
      <c r="BX22" s="59" t="str">
        <f t="shared" si="24"/>
        <v>-</v>
      </c>
      <c r="BY22" s="98" t="str">
        <f t="shared" si="25"/>
        <v>-</v>
      </c>
      <c r="CC22" s="4">
        <v>18</v>
      </c>
      <c r="CD22" s="2" t="e">
        <f>VLOOKUP(CC22,$BU$5:BY$215,2,FALSE)</f>
        <v>#N/A</v>
      </c>
      <c r="CE22" s="6" t="e">
        <f>VLOOKUP(CC22,$BU$5:BY$215,3,FALSE)</f>
        <v>#N/A</v>
      </c>
      <c r="CF22" s="2" t="e">
        <f>VLOOKUP(CC22,$BU$5:BY$215,5,FALSE)</f>
        <v>#N/A</v>
      </c>
      <c r="CL22" s="77">
        <v>1</v>
      </c>
    </row>
    <row r="23" spans="1:90" ht="17.45" customHeight="1">
      <c r="A23" s="58">
        <v>19</v>
      </c>
      <c r="B23" s="59" t="str">
        <f>'A Div'!A23 &amp; " " &amp; 'A Div'!B23</f>
        <v xml:space="preserve"> </v>
      </c>
      <c r="C23" s="59" t="str">
        <f>'A Div'!E23</f>
        <v>-</v>
      </c>
      <c r="D23" s="60"/>
      <c r="E23" s="60"/>
      <c r="F23" s="60"/>
      <c r="G23" s="60"/>
      <c r="H23" s="60"/>
      <c r="I23" s="60"/>
      <c r="J23" s="60"/>
      <c r="K23" s="60"/>
      <c r="L23" s="60"/>
      <c r="M23" s="74" t="str">
        <f t="shared" si="0"/>
        <v>-</v>
      </c>
      <c r="N23" s="60"/>
      <c r="O23" s="60"/>
      <c r="P23" s="60"/>
      <c r="Q23" s="60"/>
      <c r="R23" s="60"/>
      <c r="S23" s="60"/>
      <c r="T23" s="60"/>
      <c r="U23" s="60"/>
      <c r="V23" s="60"/>
      <c r="W23" s="74" t="str">
        <f t="shared" si="1"/>
        <v>-</v>
      </c>
      <c r="X23" s="148" t="str">
        <f t="shared" si="2"/>
        <v>-</v>
      </c>
      <c r="Y23" s="74" t="str">
        <f t="shared" si="3"/>
        <v>-</v>
      </c>
      <c r="AA23" s="60"/>
      <c r="AB23" s="60"/>
      <c r="AC23" s="60"/>
      <c r="AD23" s="60"/>
      <c r="AE23" s="60"/>
      <c r="AF23" s="60"/>
      <c r="AG23" s="60"/>
      <c r="AH23" s="60"/>
      <c r="AI23" s="60"/>
      <c r="AJ23" s="74" t="str">
        <f t="shared" si="4"/>
        <v>-</v>
      </c>
      <c r="AK23" s="60"/>
      <c r="AL23" s="60"/>
      <c r="AM23" s="60"/>
      <c r="AN23" s="60"/>
      <c r="AO23" s="60"/>
      <c r="AP23" s="60"/>
      <c r="AQ23" s="60"/>
      <c r="AR23" s="60"/>
      <c r="AS23" s="60"/>
      <c r="AT23" s="74" t="str">
        <f>IF(COUNTIF(AK23:AS23,"&lt;&gt;"&amp;"")=9,SUM(AK23:AS23),"-")</f>
        <v>-</v>
      </c>
      <c r="AU23" s="148" t="str">
        <f>IF(AND(ISNUMBER(AJ23),ISNUMBER(AT23)),AJ23+AT23,"-")</f>
        <v>-</v>
      </c>
      <c r="AV23" s="74" t="str">
        <f>IF(ISNUMBER(AU23),AU23-C23,"-")</f>
        <v>-</v>
      </c>
      <c r="AX23" s="59" t="str">
        <f t="shared" si="5"/>
        <v>-</v>
      </c>
      <c r="AY23" s="59" t="str">
        <f t="shared" si="6"/>
        <v>-</v>
      </c>
      <c r="AZ23" s="59" t="str">
        <f t="shared" si="7"/>
        <v>-</v>
      </c>
      <c r="BA23" s="59" t="str">
        <f t="shared" si="8"/>
        <v>-</v>
      </c>
      <c r="BB23" s="59" t="str">
        <f t="shared" si="9"/>
        <v>-</v>
      </c>
      <c r="BC23" s="59" t="str">
        <f t="shared" si="10"/>
        <v>-</v>
      </c>
      <c r="BD23" s="59" t="str">
        <f t="shared" si="11"/>
        <v>-</v>
      </c>
      <c r="BE23" s="59" t="str">
        <f t="shared" si="12"/>
        <v>-</v>
      </c>
      <c r="BF23" s="59" t="str">
        <f t="shared" si="13"/>
        <v>-</v>
      </c>
      <c r="BG23" s="59" t="str">
        <f t="shared" si="14"/>
        <v>-</v>
      </c>
      <c r="BH23" s="59" t="str">
        <f t="shared" si="15"/>
        <v>-</v>
      </c>
      <c r="BI23" s="59" t="str">
        <f t="shared" si="16"/>
        <v>-</v>
      </c>
      <c r="BJ23" s="59" t="str">
        <f t="shared" si="17"/>
        <v>-</v>
      </c>
      <c r="BK23" s="59" t="str">
        <f t="shared" si="18"/>
        <v>-</v>
      </c>
      <c r="BL23" s="59" t="str">
        <f>IF(AND(R23&gt;0,AO23&gt;0),MIN(R23,AO23),"-")</f>
        <v>-</v>
      </c>
      <c r="BM23" s="59" t="str">
        <f>IF(AND(S23&gt;0,AP23&gt;0),MIN(S23,AP23),"-")</f>
        <v>-</v>
      </c>
      <c r="BN23" s="59" t="str">
        <f>IF(AND(T23&gt;0,AQ23&gt;0),MIN(T23,AQ23),"-")</f>
        <v>-</v>
      </c>
      <c r="BO23" s="59" t="str">
        <f>IF(AND(U23&gt;0,AR23&gt;0),MIN(U23,AR23),"-")</f>
        <v>-</v>
      </c>
      <c r="BP23" s="59" t="str">
        <f>IF(AND(V23&gt;0,AS23&gt;0),MIN(V23,AS23),"-")</f>
        <v>-</v>
      </c>
      <c r="BQ23" s="59" t="str">
        <f t="shared" si="19"/>
        <v>-</v>
      </c>
      <c r="BR23" s="59" t="str">
        <f t="shared" si="20"/>
        <v>-</v>
      </c>
      <c r="BS23" s="59" t="str">
        <f t="shared" si="21"/>
        <v>-</v>
      </c>
      <c r="BT23" s="98" t="str">
        <f>IF(ISNUMBER(BS23),BS23-(C23*Rules!$P$9/100),"-")</f>
        <v>-</v>
      </c>
      <c r="BU23" s="59" t="e">
        <f>RANK($BT23,$BT$5:$BT$106,1)+COUNTIF(BT$5:BT23,BT23)-1</f>
        <v>#VALUE!</v>
      </c>
      <c r="BV23" s="59" t="e">
        <f t="shared" si="22"/>
        <v>#VALUE!</v>
      </c>
      <c r="BW23" s="59" t="str">
        <f t="shared" si="23"/>
        <v xml:space="preserve"> </v>
      </c>
      <c r="BX23" s="59" t="str">
        <f t="shared" si="24"/>
        <v>-</v>
      </c>
      <c r="BY23" s="98" t="str">
        <f t="shared" si="25"/>
        <v>-</v>
      </c>
      <c r="CC23" s="4">
        <v>19</v>
      </c>
      <c r="CD23" s="2" t="e">
        <f>VLOOKUP(CC23,$BU$5:BY$215,2,FALSE)</f>
        <v>#N/A</v>
      </c>
      <c r="CE23" s="6" t="e">
        <f>VLOOKUP(CC23,$BU$5:BY$215,3,FALSE)</f>
        <v>#N/A</v>
      </c>
      <c r="CF23" s="2" t="e">
        <f>VLOOKUP(CC23,$BU$5:BY$215,5,FALSE)</f>
        <v>#N/A</v>
      </c>
      <c r="CL23" s="77">
        <v>1</v>
      </c>
    </row>
    <row r="24" spans="1:90" ht="17.45" customHeight="1">
      <c r="A24" s="58">
        <v>20</v>
      </c>
      <c r="B24" s="59" t="str">
        <f>'A Div'!A24 &amp; " " &amp; 'A Div'!B24</f>
        <v xml:space="preserve"> </v>
      </c>
      <c r="C24" s="59" t="str">
        <f>'A Div'!E24</f>
        <v>-</v>
      </c>
      <c r="D24" s="60"/>
      <c r="E24" s="60"/>
      <c r="F24" s="60"/>
      <c r="G24" s="60"/>
      <c r="H24" s="60"/>
      <c r="I24" s="60"/>
      <c r="J24" s="60"/>
      <c r="K24" s="60"/>
      <c r="L24" s="60"/>
      <c r="M24" s="74" t="str">
        <f t="shared" si="0"/>
        <v>-</v>
      </c>
      <c r="N24" s="60"/>
      <c r="O24" s="60"/>
      <c r="P24" s="60"/>
      <c r="Q24" s="60"/>
      <c r="R24" s="60"/>
      <c r="S24" s="60"/>
      <c r="T24" s="60"/>
      <c r="U24" s="60"/>
      <c r="V24" s="60"/>
      <c r="W24" s="74" t="str">
        <f t="shared" si="1"/>
        <v>-</v>
      </c>
      <c r="X24" s="148" t="str">
        <f t="shared" si="2"/>
        <v>-</v>
      </c>
      <c r="Y24" s="74" t="str">
        <f t="shared" si="3"/>
        <v>-</v>
      </c>
      <c r="AA24" s="60"/>
      <c r="AB24" s="60"/>
      <c r="AC24" s="60"/>
      <c r="AD24" s="60"/>
      <c r="AE24" s="60"/>
      <c r="AF24" s="60"/>
      <c r="AG24" s="60"/>
      <c r="AH24" s="60"/>
      <c r="AI24" s="60"/>
      <c r="AJ24" s="74" t="str">
        <f t="shared" si="4"/>
        <v>-</v>
      </c>
      <c r="AK24" s="60"/>
      <c r="AL24" s="60"/>
      <c r="AM24" s="60"/>
      <c r="AN24" s="60"/>
      <c r="AO24" s="60"/>
      <c r="AP24" s="60"/>
      <c r="AQ24" s="60"/>
      <c r="AR24" s="60"/>
      <c r="AS24" s="60"/>
      <c r="AT24" s="74" t="str">
        <f>IF(COUNTIF(AK24:AS24,"&lt;&gt;"&amp;"")=9,SUM(AK24:AS24),"-")</f>
        <v>-</v>
      </c>
      <c r="AU24" s="148" t="str">
        <f>IF(AND(ISNUMBER(AJ24),ISNUMBER(AT24)),AJ24+AT24,"-")</f>
        <v>-</v>
      </c>
      <c r="AV24" s="74" t="str">
        <f>IF(ISNUMBER(AU24),AU24-C24,"-")</f>
        <v>-</v>
      </c>
      <c r="AX24" s="59" t="str">
        <f t="shared" si="5"/>
        <v>-</v>
      </c>
      <c r="AY24" s="59" t="str">
        <f t="shared" si="6"/>
        <v>-</v>
      </c>
      <c r="AZ24" s="59" t="str">
        <f t="shared" si="7"/>
        <v>-</v>
      </c>
      <c r="BA24" s="59" t="str">
        <f t="shared" si="8"/>
        <v>-</v>
      </c>
      <c r="BB24" s="59" t="str">
        <f t="shared" si="9"/>
        <v>-</v>
      </c>
      <c r="BC24" s="59" t="str">
        <f t="shared" si="10"/>
        <v>-</v>
      </c>
      <c r="BD24" s="59" t="str">
        <f t="shared" si="11"/>
        <v>-</v>
      </c>
      <c r="BE24" s="59" t="str">
        <f t="shared" si="12"/>
        <v>-</v>
      </c>
      <c r="BF24" s="59" t="str">
        <f t="shared" si="13"/>
        <v>-</v>
      </c>
      <c r="BG24" s="59" t="str">
        <f t="shared" si="14"/>
        <v>-</v>
      </c>
      <c r="BH24" s="59" t="str">
        <f t="shared" si="15"/>
        <v>-</v>
      </c>
      <c r="BI24" s="59" t="str">
        <f t="shared" si="16"/>
        <v>-</v>
      </c>
      <c r="BJ24" s="59" t="str">
        <f t="shared" si="17"/>
        <v>-</v>
      </c>
      <c r="BK24" s="59" t="str">
        <f t="shared" si="18"/>
        <v>-</v>
      </c>
      <c r="BL24" s="59" t="str">
        <f>IF(AND(R24&gt;0,AO24&gt;0),MIN(R24,AO24),"-")</f>
        <v>-</v>
      </c>
      <c r="BM24" s="59" t="str">
        <f>IF(AND(S24&gt;0,AP24&gt;0),MIN(S24,AP24),"-")</f>
        <v>-</v>
      </c>
      <c r="BN24" s="59" t="str">
        <f>IF(AND(T24&gt;0,AQ24&gt;0),MIN(T24,AQ24),"-")</f>
        <v>-</v>
      </c>
      <c r="BO24" s="59" t="str">
        <f>IF(AND(U24&gt;0,AR24&gt;0),MIN(U24,AR24),"-")</f>
        <v>-</v>
      </c>
      <c r="BP24" s="59" t="str">
        <f>IF(AND(V24&gt;0,AS24&gt;0),MIN(V24,AS24),"-")</f>
        <v>-</v>
      </c>
      <c r="BQ24" s="59" t="str">
        <f t="shared" si="19"/>
        <v>-</v>
      </c>
      <c r="BR24" s="59" t="str">
        <f t="shared" si="20"/>
        <v>-</v>
      </c>
      <c r="BS24" s="59" t="str">
        <f t="shared" si="21"/>
        <v>-</v>
      </c>
      <c r="BT24" s="98" t="str">
        <f>IF(ISNUMBER(BS24),BS24-(C24*Rules!$P$9/100),"-")</f>
        <v>-</v>
      </c>
      <c r="BU24" s="59" t="e">
        <f>RANK($BT24,$BT$5:$BT$106,1)+COUNTIF(BT$5:BT24,BT24)-1</f>
        <v>#VALUE!</v>
      </c>
      <c r="BV24" s="59" t="e">
        <f t="shared" si="22"/>
        <v>#VALUE!</v>
      </c>
      <c r="BW24" s="59" t="str">
        <f t="shared" si="23"/>
        <v xml:space="preserve"> </v>
      </c>
      <c r="BX24" s="59" t="str">
        <f t="shared" si="24"/>
        <v>-</v>
      </c>
      <c r="BY24" s="98" t="str">
        <f t="shared" si="25"/>
        <v>-</v>
      </c>
      <c r="CC24" s="4">
        <v>20</v>
      </c>
      <c r="CD24" s="2" t="e">
        <f>VLOOKUP(CC24,$BU$5:BY$215,2,FALSE)</f>
        <v>#N/A</v>
      </c>
      <c r="CE24" s="6" t="e">
        <f>VLOOKUP(CC24,$BU$5:BY$215,3,FALSE)</f>
        <v>#N/A</v>
      </c>
      <c r="CF24" s="2" t="e">
        <f>VLOOKUP(CC24,$BU$5:BY$215,5,FALSE)</f>
        <v>#N/A</v>
      </c>
      <c r="CL24" s="77">
        <v>1</v>
      </c>
    </row>
    <row r="25" spans="1:90" ht="17.45" customHeight="1">
      <c r="A25" s="58">
        <v>21</v>
      </c>
      <c r="B25" s="59" t="str">
        <f>'A Div'!A25 &amp; " " &amp; 'A Div'!B25</f>
        <v xml:space="preserve"> </v>
      </c>
      <c r="C25" s="59" t="str">
        <f>'A Div'!E25</f>
        <v>-</v>
      </c>
      <c r="D25" s="60"/>
      <c r="E25" s="60"/>
      <c r="F25" s="60"/>
      <c r="G25" s="60"/>
      <c r="H25" s="60"/>
      <c r="I25" s="60"/>
      <c r="J25" s="60"/>
      <c r="K25" s="60"/>
      <c r="L25" s="60"/>
      <c r="M25" s="74" t="str">
        <f t="shared" si="0"/>
        <v>-</v>
      </c>
      <c r="N25" s="60"/>
      <c r="O25" s="60"/>
      <c r="P25" s="60"/>
      <c r="Q25" s="60"/>
      <c r="R25" s="60"/>
      <c r="S25" s="60"/>
      <c r="T25" s="60"/>
      <c r="U25" s="60"/>
      <c r="V25" s="60"/>
      <c r="W25" s="74" t="str">
        <f t="shared" si="1"/>
        <v>-</v>
      </c>
      <c r="X25" s="148" t="str">
        <f t="shared" si="2"/>
        <v>-</v>
      </c>
      <c r="Y25" s="74" t="str">
        <f t="shared" si="3"/>
        <v>-</v>
      </c>
      <c r="AA25" s="60"/>
      <c r="AB25" s="60"/>
      <c r="AC25" s="60"/>
      <c r="AD25" s="60"/>
      <c r="AE25" s="60"/>
      <c r="AF25" s="60"/>
      <c r="AG25" s="60"/>
      <c r="AH25" s="60"/>
      <c r="AI25" s="60"/>
      <c r="AJ25" s="74" t="str">
        <f t="shared" si="4"/>
        <v>-</v>
      </c>
      <c r="AK25" s="60"/>
      <c r="AL25" s="60"/>
      <c r="AM25" s="60"/>
      <c r="AN25" s="60"/>
      <c r="AO25" s="60"/>
      <c r="AP25" s="60"/>
      <c r="AQ25" s="60"/>
      <c r="AR25" s="60"/>
      <c r="AS25" s="60"/>
      <c r="AT25" s="74" t="str">
        <f>IF(COUNTIF(AK25:AS25,"&lt;&gt;"&amp;"")=9,SUM(AK25:AS25),"-")</f>
        <v>-</v>
      </c>
      <c r="AU25" s="148" t="str">
        <f>IF(AND(ISNUMBER(AJ25),ISNUMBER(AT25)),AJ25+AT25,"-")</f>
        <v>-</v>
      </c>
      <c r="AV25" s="74" t="str">
        <f>IF(ISNUMBER(AU25),AU25-C25,"-")</f>
        <v>-</v>
      </c>
      <c r="AX25" s="59" t="str">
        <f t="shared" si="5"/>
        <v>-</v>
      </c>
      <c r="AY25" s="59" t="str">
        <f t="shared" si="6"/>
        <v>-</v>
      </c>
      <c r="AZ25" s="59" t="str">
        <f t="shared" si="7"/>
        <v>-</v>
      </c>
      <c r="BA25" s="59" t="str">
        <f t="shared" si="8"/>
        <v>-</v>
      </c>
      <c r="BB25" s="59" t="str">
        <f t="shared" si="9"/>
        <v>-</v>
      </c>
      <c r="BC25" s="59" t="str">
        <f t="shared" si="10"/>
        <v>-</v>
      </c>
      <c r="BD25" s="59" t="str">
        <f t="shared" si="11"/>
        <v>-</v>
      </c>
      <c r="BE25" s="59" t="str">
        <f t="shared" si="12"/>
        <v>-</v>
      </c>
      <c r="BF25" s="59" t="str">
        <f t="shared" si="13"/>
        <v>-</v>
      </c>
      <c r="BG25" s="59" t="str">
        <f t="shared" si="14"/>
        <v>-</v>
      </c>
      <c r="BH25" s="59" t="str">
        <f t="shared" si="15"/>
        <v>-</v>
      </c>
      <c r="BI25" s="59" t="str">
        <f t="shared" si="16"/>
        <v>-</v>
      </c>
      <c r="BJ25" s="59" t="str">
        <f t="shared" si="17"/>
        <v>-</v>
      </c>
      <c r="BK25" s="59" t="str">
        <f t="shared" si="18"/>
        <v>-</v>
      </c>
      <c r="BL25" s="59" t="str">
        <f>IF(AND(R25&gt;0,AO25&gt;0),MIN(R25,AO25),"-")</f>
        <v>-</v>
      </c>
      <c r="BM25" s="59" t="str">
        <f>IF(AND(S25&gt;0,AP25&gt;0),MIN(S25,AP25),"-")</f>
        <v>-</v>
      </c>
      <c r="BN25" s="59" t="str">
        <f>IF(AND(T25&gt;0,AQ25&gt;0),MIN(T25,AQ25),"-")</f>
        <v>-</v>
      </c>
      <c r="BO25" s="59" t="str">
        <f>IF(AND(U25&gt;0,AR25&gt;0),MIN(U25,AR25),"-")</f>
        <v>-</v>
      </c>
      <c r="BP25" s="59" t="str">
        <f>IF(AND(V25&gt;0,AS25&gt;0),MIN(V25,AS25),"-")</f>
        <v>-</v>
      </c>
      <c r="BQ25" s="59" t="str">
        <f t="shared" si="19"/>
        <v>-</v>
      </c>
      <c r="BR25" s="59" t="str">
        <f t="shared" si="20"/>
        <v>-</v>
      </c>
      <c r="BS25" s="59" t="str">
        <f t="shared" si="21"/>
        <v>-</v>
      </c>
      <c r="BT25" s="98" t="str">
        <f>IF(ISNUMBER(BS25),BS25-(C25*Rules!$P$9/100),"-")</f>
        <v>-</v>
      </c>
      <c r="BU25" s="59" t="e">
        <f>RANK($BT25,$BT$5:$BT$106,1)+COUNTIF(BT$5:BT25,BT25)-1</f>
        <v>#VALUE!</v>
      </c>
      <c r="BV25" s="59" t="e">
        <f t="shared" si="22"/>
        <v>#VALUE!</v>
      </c>
      <c r="BW25" s="59" t="str">
        <f t="shared" si="23"/>
        <v xml:space="preserve"> </v>
      </c>
      <c r="BX25" s="59" t="str">
        <f t="shared" si="24"/>
        <v>-</v>
      </c>
      <c r="BY25" s="98" t="str">
        <f t="shared" si="25"/>
        <v>-</v>
      </c>
      <c r="CC25" s="4">
        <v>21</v>
      </c>
      <c r="CD25" s="2" t="e">
        <f>VLOOKUP(CC25,$BU$5:BY$215,2,FALSE)</f>
        <v>#N/A</v>
      </c>
      <c r="CE25" s="6" t="e">
        <f>VLOOKUP(CC25,$BU$5:BY$215,3,FALSE)</f>
        <v>#N/A</v>
      </c>
      <c r="CF25" s="2" t="e">
        <f>VLOOKUP(CC25,$BU$5:BY$215,5,FALSE)</f>
        <v>#N/A</v>
      </c>
      <c r="CL25" s="77">
        <v>1</v>
      </c>
    </row>
    <row r="26" spans="1:90" ht="17.45" customHeight="1">
      <c r="A26" s="58">
        <v>22</v>
      </c>
      <c r="B26" s="59" t="str">
        <f>'A Div'!A26 &amp; " " &amp; 'A Div'!B26</f>
        <v xml:space="preserve"> </v>
      </c>
      <c r="C26" s="59" t="str">
        <f>'A Div'!E26</f>
        <v>-</v>
      </c>
      <c r="D26" s="60"/>
      <c r="E26" s="60"/>
      <c r="F26" s="60"/>
      <c r="G26" s="60"/>
      <c r="H26" s="60"/>
      <c r="I26" s="60"/>
      <c r="J26" s="60"/>
      <c r="K26" s="60"/>
      <c r="L26" s="60"/>
      <c r="M26" s="74" t="str">
        <f t="shared" si="0"/>
        <v>-</v>
      </c>
      <c r="N26" s="60"/>
      <c r="O26" s="60"/>
      <c r="P26" s="60"/>
      <c r="Q26" s="60"/>
      <c r="R26" s="60"/>
      <c r="S26" s="60"/>
      <c r="T26" s="60"/>
      <c r="U26" s="60"/>
      <c r="V26" s="60"/>
      <c r="W26" s="74" t="str">
        <f t="shared" si="1"/>
        <v>-</v>
      </c>
      <c r="X26" s="148" t="str">
        <f t="shared" si="2"/>
        <v>-</v>
      </c>
      <c r="Y26" s="74" t="str">
        <f t="shared" si="3"/>
        <v>-</v>
      </c>
      <c r="AA26" s="60"/>
      <c r="AB26" s="60"/>
      <c r="AC26" s="60"/>
      <c r="AD26" s="60"/>
      <c r="AE26" s="60"/>
      <c r="AF26" s="60"/>
      <c r="AG26" s="60"/>
      <c r="AH26" s="60"/>
      <c r="AI26" s="60"/>
      <c r="AJ26" s="74" t="str">
        <f t="shared" si="4"/>
        <v>-</v>
      </c>
      <c r="AK26" s="60"/>
      <c r="AL26" s="60"/>
      <c r="AM26" s="60"/>
      <c r="AN26" s="60"/>
      <c r="AO26" s="60"/>
      <c r="AP26" s="60"/>
      <c r="AQ26" s="60"/>
      <c r="AR26" s="60"/>
      <c r="AS26" s="60"/>
      <c r="AT26" s="74" t="str">
        <f>IF(COUNTIF(AK26:AS26,"&lt;&gt;"&amp;"")=9,SUM(AK26:AS26),"-")</f>
        <v>-</v>
      </c>
      <c r="AU26" s="148" t="str">
        <f>IF(AND(ISNUMBER(AJ26),ISNUMBER(AT26)),AJ26+AT26,"-")</f>
        <v>-</v>
      </c>
      <c r="AV26" s="74" t="str">
        <f>IF(ISNUMBER(AU26),AU26-C26,"-")</f>
        <v>-</v>
      </c>
      <c r="AX26" s="59" t="str">
        <f t="shared" si="5"/>
        <v>-</v>
      </c>
      <c r="AY26" s="59" t="str">
        <f t="shared" si="6"/>
        <v>-</v>
      </c>
      <c r="AZ26" s="59" t="str">
        <f t="shared" si="7"/>
        <v>-</v>
      </c>
      <c r="BA26" s="59" t="str">
        <f t="shared" si="8"/>
        <v>-</v>
      </c>
      <c r="BB26" s="59" t="str">
        <f t="shared" si="9"/>
        <v>-</v>
      </c>
      <c r="BC26" s="59" t="str">
        <f t="shared" si="10"/>
        <v>-</v>
      </c>
      <c r="BD26" s="59" t="str">
        <f t="shared" si="11"/>
        <v>-</v>
      </c>
      <c r="BE26" s="59" t="str">
        <f t="shared" si="12"/>
        <v>-</v>
      </c>
      <c r="BF26" s="59" t="str">
        <f t="shared" si="13"/>
        <v>-</v>
      </c>
      <c r="BG26" s="59" t="str">
        <f t="shared" si="14"/>
        <v>-</v>
      </c>
      <c r="BH26" s="59" t="str">
        <f t="shared" si="15"/>
        <v>-</v>
      </c>
      <c r="BI26" s="59" t="str">
        <f t="shared" si="16"/>
        <v>-</v>
      </c>
      <c r="BJ26" s="59" t="str">
        <f t="shared" si="17"/>
        <v>-</v>
      </c>
      <c r="BK26" s="59" t="str">
        <f t="shared" si="18"/>
        <v>-</v>
      </c>
      <c r="BL26" s="59" t="str">
        <f>IF(AND(R26&gt;0,AO26&gt;0),MIN(R26,AO26),"-")</f>
        <v>-</v>
      </c>
      <c r="BM26" s="59" t="str">
        <f>IF(AND(S26&gt;0,AP26&gt;0),MIN(S26,AP26),"-")</f>
        <v>-</v>
      </c>
      <c r="BN26" s="59" t="str">
        <f>IF(AND(T26&gt;0,AQ26&gt;0),MIN(T26,AQ26),"-")</f>
        <v>-</v>
      </c>
      <c r="BO26" s="59" t="str">
        <f>IF(AND(U26&gt;0,AR26&gt;0),MIN(U26,AR26),"-")</f>
        <v>-</v>
      </c>
      <c r="BP26" s="59" t="str">
        <f>IF(AND(V26&gt;0,AS26&gt;0),MIN(V26,AS26),"-")</f>
        <v>-</v>
      </c>
      <c r="BQ26" s="59" t="str">
        <f t="shared" si="19"/>
        <v>-</v>
      </c>
      <c r="BR26" s="59" t="str">
        <f t="shared" si="20"/>
        <v>-</v>
      </c>
      <c r="BS26" s="59" t="str">
        <f t="shared" si="21"/>
        <v>-</v>
      </c>
      <c r="BT26" s="98" t="str">
        <f>IF(ISNUMBER(BS26),BS26-(C26*Rules!$P$9/100),"-")</f>
        <v>-</v>
      </c>
      <c r="BU26" s="59" t="e">
        <f>RANK($BT26,$BT$5:$BT$106,1)+COUNTIF(BT$5:BT26,BT26)-1</f>
        <v>#VALUE!</v>
      </c>
      <c r="BV26" s="59" t="e">
        <f t="shared" si="22"/>
        <v>#VALUE!</v>
      </c>
      <c r="BW26" s="59" t="str">
        <f t="shared" si="23"/>
        <v xml:space="preserve"> </v>
      </c>
      <c r="BX26" s="59" t="str">
        <f t="shared" si="24"/>
        <v>-</v>
      </c>
      <c r="BY26" s="98" t="str">
        <f t="shared" si="25"/>
        <v>-</v>
      </c>
      <c r="CC26" s="4">
        <v>22</v>
      </c>
      <c r="CD26" s="2" t="e">
        <f>VLOOKUP(CC26,$BU$5:BY$215,2,FALSE)</f>
        <v>#N/A</v>
      </c>
      <c r="CE26" s="6" t="e">
        <f>VLOOKUP(CC26,$BU$5:BY$215,3,FALSE)</f>
        <v>#N/A</v>
      </c>
      <c r="CF26" s="2" t="e">
        <f>VLOOKUP(CC26,$BU$5:BY$215,5,FALSE)</f>
        <v>#N/A</v>
      </c>
      <c r="CL26" s="77">
        <v>1</v>
      </c>
    </row>
    <row r="27" spans="1:90" ht="17.45" customHeight="1">
      <c r="A27" s="58">
        <v>23</v>
      </c>
      <c r="B27" s="59" t="str">
        <f>'A Div'!A27 &amp; " " &amp; 'A Div'!B27</f>
        <v xml:space="preserve"> </v>
      </c>
      <c r="C27" s="59" t="str">
        <f>'A Div'!E27</f>
        <v>-</v>
      </c>
      <c r="D27" s="60"/>
      <c r="E27" s="60"/>
      <c r="F27" s="60"/>
      <c r="G27" s="60"/>
      <c r="H27" s="60"/>
      <c r="I27" s="60"/>
      <c r="J27" s="60"/>
      <c r="K27" s="60"/>
      <c r="L27" s="60"/>
      <c r="M27" s="74" t="str">
        <f t="shared" si="0"/>
        <v>-</v>
      </c>
      <c r="N27" s="60"/>
      <c r="O27" s="60"/>
      <c r="P27" s="60"/>
      <c r="Q27" s="60"/>
      <c r="R27" s="60"/>
      <c r="S27" s="60"/>
      <c r="T27" s="60"/>
      <c r="U27" s="60"/>
      <c r="V27" s="60"/>
      <c r="W27" s="74" t="str">
        <f t="shared" si="1"/>
        <v>-</v>
      </c>
      <c r="X27" s="148" t="str">
        <f t="shared" si="2"/>
        <v>-</v>
      </c>
      <c r="Y27" s="74" t="str">
        <f t="shared" si="3"/>
        <v>-</v>
      </c>
      <c r="AA27" s="60"/>
      <c r="AB27" s="60"/>
      <c r="AC27" s="60"/>
      <c r="AD27" s="60"/>
      <c r="AE27" s="60"/>
      <c r="AF27" s="60"/>
      <c r="AG27" s="60"/>
      <c r="AH27" s="60"/>
      <c r="AI27" s="60"/>
      <c r="AJ27" s="74" t="str">
        <f t="shared" si="4"/>
        <v>-</v>
      </c>
      <c r="AK27" s="60"/>
      <c r="AL27" s="60"/>
      <c r="AM27" s="60"/>
      <c r="AN27" s="60"/>
      <c r="AO27" s="60"/>
      <c r="AP27" s="60"/>
      <c r="AQ27" s="60"/>
      <c r="AR27" s="60"/>
      <c r="AS27" s="60"/>
      <c r="AT27" s="74" t="str">
        <f>IF(COUNTIF(AK27:AS27,"&lt;&gt;"&amp;"")=9,SUM(AK27:AS27),"-")</f>
        <v>-</v>
      </c>
      <c r="AU27" s="148" t="str">
        <f>IF(AND(ISNUMBER(AJ27),ISNUMBER(AT27)),AJ27+AT27,"-")</f>
        <v>-</v>
      </c>
      <c r="AV27" s="74" t="str">
        <f>IF(ISNUMBER(AU27),AU27-C27,"-")</f>
        <v>-</v>
      </c>
      <c r="AX27" s="59" t="str">
        <f t="shared" si="5"/>
        <v>-</v>
      </c>
      <c r="AY27" s="59" t="str">
        <f t="shared" si="6"/>
        <v>-</v>
      </c>
      <c r="AZ27" s="59" t="str">
        <f t="shared" si="7"/>
        <v>-</v>
      </c>
      <c r="BA27" s="59" t="str">
        <f t="shared" si="8"/>
        <v>-</v>
      </c>
      <c r="BB27" s="59" t="str">
        <f t="shared" si="9"/>
        <v>-</v>
      </c>
      <c r="BC27" s="59" t="str">
        <f t="shared" si="10"/>
        <v>-</v>
      </c>
      <c r="BD27" s="59" t="str">
        <f t="shared" si="11"/>
        <v>-</v>
      </c>
      <c r="BE27" s="59" t="str">
        <f t="shared" si="12"/>
        <v>-</v>
      </c>
      <c r="BF27" s="59" t="str">
        <f t="shared" si="13"/>
        <v>-</v>
      </c>
      <c r="BG27" s="59" t="str">
        <f t="shared" si="14"/>
        <v>-</v>
      </c>
      <c r="BH27" s="59" t="str">
        <f t="shared" si="15"/>
        <v>-</v>
      </c>
      <c r="BI27" s="59" t="str">
        <f t="shared" si="16"/>
        <v>-</v>
      </c>
      <c r="BJ27" s="59" t="str">
        <f t="shared" si="17"/>
        <v>-</v>
      </c>
      <c r="BK27" s="59" t="str">
        <f t="shared" si="18"/>
        <v>-</v>
      </c>
      <c r="BL27" s="59" t="str">
        <f>IF(AND(R27&gt;0,AO27&gt;0),MIN(R27,AO27),"-")</f>
        <v>-</v>
      </c>
      <c r="BM27" s="59" t="str">
        <f>IF(AND(S27&gt;0,AP27&gt;0),MIN(S27,AP27),"-")</f>
        <v>-</v>
      </c>
      <c r="BN27" s="59" t="str">
        <f>IF(AND(T27&gt;0,AQ27&gt;0),MIN(T27,AQ27),"-")</f>
        <v>-</v>
      </c>
      <c r="BO27" s="59" t="str">
        <f>IF(AND(U27&gt;0,AR27&gt;0),MIN(U27,AR27),"-")</f>
        <v>-</v>
      </c>
      <c r="BP27" s="59" t="str">
        <f>IF(AND(V27&gt;0,AS27&gt;0),MIN(V27,AS27),"-")</f>
        <v>-</v>
      </c>
      <c r="BQ27" s="59" t="str">
        <f t="shared" si="19"/>
        <v>-</v>
      </c>
      <c r="BR27" s="59" t="str">
        <f t="shared" si="20"/>
        <v>-</v>
      </c>
      <c r="BS27" s="59" t="str">
        <f t="shared" si="21"/>
        <v>-</v>
      </c>
      <c r="BT27" s="98" t="str">
        <f>IF(ISNUMBER(BS27),BS27-(C27*Rules!$P$9/100),"-")</f>
        <v>-</v>
      </c>
      <c r="BU27" s="59" t="e">
        <f>RANK($BT27,$BT$5:$BT$106,1)+COUNTIF(BT$5:BT27,BT27)-1</f>
        <v>#VALUE!</v>
      </c>
      <c r="BV27" s="59" t="e">
        <f t="shared" si="22"/>
        <v>#VALUE!</v>
      </c>
      <c r="BW27" s="59" t="str">
        <f t="shared" si="23"/>
        <v xml:space="preserve"> </v>
      </c>
      <c r="BX27" s="59" t="str">
        <f t="shared" si="24"/>
        <v>-</v>
      </c>
      <c r="BY27" s="98" t="str">
        <f t="shared" si="25"/>
        <v>-</v>
      </c>
      <c r="CC27" s="4">
        <v>23</v>
      </c>
      <c r="CD27" s="2" t="e">
        <f>VLOOKUP(CC27,$BU$5:BY$215,2,FALSE)</f>
        <v>#N/A</v>
      </c>
      <c r="CE27" s="6" t="e">
        <f>VLOOKUP(CC27,$BU$5:BY$215,3,FALSE)</f>
        <v>#N/A</v>
      </c>
      <c r="CF27" s="2" t="e">
        <f>VLOOKUP(CC27,$BU$5:BY$215,5,FALSE)</f>
        <v>#N/A</v>
      </c>
      <c r="CL27" s="77">
        <v>1</v>
      </c>
    </row>
    <row r="28" spans="1:90" ht="17.45" customHeight="1">
      <c r="A28" s="58">
        <v>24</v>
      </c>
      <c r="B28" s="59" t="str">
        <f>'A Div'!A28 &amp; " " &amp; 'A Div'!B28</f>
        <v xml:space="preserve"> </v>
      </c>
      <c r="C28" s="59" t="str">
        <f>'A Div'!E28</f>
        <v>-</v>
      </c>
      <c r="D28" s="60"/>
      <c r="E28" s="60"/>
      <c r="F28" s="60"/>
      <c r="G28" s="60"/>
      <c r="H28" s="60"/>
      <c r="I28" s="60"/>
      <c r="J28" s="60"/>
      <c r="K28" s="60"/>
      <c r="L28" s="60"/>
      <c r="M28" s="74" t="str">
        <f t="shared" si="0"/>
        <v>-</v>
      </c>
      <c r="N28" s="60"/>
      <c r="O28" s="60"/>
      <c r="P28" s="60"/>
      <c r="Q28" s="60"/>
      <c r="R28" s="60"/>
      <c r="S28" s="60"/>
      <c r="T28" s="60"/>
      <c r="U28" s="60"/>
      <c r="V28" s="60"/>
      <c r="W28" s="74" t="str">
        <f t="shared" si="1"/>
        <v>-</v>
      </c>
      <c r="X28" s="148" t="str">
        <f t="shared" si="2"/>
        <v>-</v>
      </c>
      <c r="Y28" s="74" t="str">
        <f t="shared" si="3"/>
        <v>-</v>
      </c>
      <c r="AA28" s="60"/>
      <c r="AB28" s="60"/>
      <c r="AC28" s="60"/>
      <c r="AD28" s="60"/>
      <c r="AE28" s="60"/>
      <c r="AF28" s="60"/>
      <c r="AG28" s="60"/>
      <c r="AH28" s="60"/>
      <c r="AI28" s="60"/>
      <c r="AJ28" s="74" t="str">
        <f t="shared" si="4"/>
        <v>-</v>
      </c>
      <c r="AK28" s="60"/>
      <c r="AL28" s="60"/>
      <c r="AM28" s="60"/>
      <c r="AN28" s="60"/>
      <c r="AO28" s="60"/>
      <c r="AP28" s="60"/>
      <c r="AQ28" s="60"/>
      <c r="AR28" s="60"/>
      <c r="AS28" s="60"/>
      <c r="AT28" s="74" t="str">
        <f>IF(COUNTIF(AK28:AS28,"&lt;&gt;"&amp;"")=9,SUM(AK28:AS28),"-")</f>
        <v>-</v>
      </c>
      <c r="AU28" s="148" t="str">
        <f>IF(AND(ISNUMBER(AJ28),ISNUMBER(AT28)),AJ28+AT28,"-")</f>
        <v>-</v>
      </c>
      <c r="AV28" s="74" t="str">
        <f>IF(ISNUMBER(AU28),AU28-C28,"-")</f>
        <v>-</v>
      </c>
      <c r="AX28" s="59" t="str">
        <f t="shared" si="5"/>
        <v>-</v>
      </c>
      <c r="AY28" s="59" t="str">
        <f t="shared" si="6"/>
        <v>-</v>
      </c>
      <c r="AZ28" s="59" t="str">
        <f t="shared" si="7"/>
        <v>-</v>
      </c>
      <c r="BA28" s="59" t="str">
        <f t="shared" si="8"/>
        <v>-</v>
      </c>
      <c r="BB28" s="59" t="str">
        <f t="shared" si="9"/>
        <v>-</v>
      </c>
      <c r="BC28" s="59" t="str">
        <f t="shared" si="10"/>
        <v>-</v>
      </c>
      <c r="BD28" s="59" t="str">
        <f t="shared" si="11"/>
        <v>-</v>
      </c>
      <c r="BE28" s="59" t="str">
        <f t="shared" si="12"/>
        <v>-</v>
      </c>
      <c r="BF28" s="59" t="str">
        <f t="shared" si="13"/>
        <v>-</v>
      </c>
      <c r="BG28" s="59" t="str">
        <f t="shared" si="14"/>
        <v>-</v>
      </c>
      <c r="BH28" s="59" t="str">
        <f t="shared" si="15"/>
        <v>-</v>
      </c>
      <c r="BI28" s="59" t="str">
        <f t="shared" si="16"/>
        <v>-</v>
      </c>
      <c r="BJ28" s="59" t="str">
        <f t="shared" si="17"/>
        <v>-</v>
      </c>
      <c r="BK28" s="59" t="str">
        <f t="shared" si="18"/>
        <v>-</v>
      </c>
      <c r="BL28" s="59" t="str">
        <f>IF(AND(R28&gt;0,AO28&gt;0),MIN(R28,AO28),"-")</f>
        <v>-</v>
      </c>
      <c r="BM28" s="59" t="str">
        <f>IF(AND(S28&gt;0,AP28&gt;0),MIN(S28,AP28),"-")</f>
        <v>-</v>
      </c>
      <c r="BN28" s="59" t="str">
        <f>IF(AND(T28&gt;0,AQ28&gt;0),MIN(T28,AQ28),"-")</f>
        <v>-</v>
      </c>
      <c r="BO28" s="59" t="str">
        <f>IF(AND(U28&gt;0,AR28&gt;0),MIN(U28,AR28),"-")</f>
        <v>-</v>
      </c>
      <c r="BP28" s="59" t="str">
        <f>IF(AND(V28&gt;0,AS28&gt;0),MIN(V28,AS28),"-")</f>
        <v>-</v>
      </c>
      <c r="BQ28" s="59" t="str">
        <f t="shared" si="19"/>
        <v>-</v>
      </c>
      <c r="BR28" s="59" t="str">
        <f t="shared" si="20"/>
        <v>-</v>
      </c>
      <c r="BS28" s="59" t="str">
        <f t="shared" si="21"/>
        <v>-</v>
      </c>
      <c r="BT28" s="98" t="str">
        <f>IF(ISNUMBER(BS28),BS28-(C28*Rules!$P$9/100),"-")</f>
        <v>-</v>
      </c>
      <c r="BU28" s="59" t="e">
        <f>RANK($BT28,$BT$5:$BT$106,1)+COUNTIF(BT$5:BT28,BT28)-1</f>
        <v>#VALUE!</v>
      </c>
      <c r="BV28" s="59" t="e">
        <f t="shared" si="22"/>
        <v>#VALUE!</v>
      </c>
      <c r="BW28" s="59" t="str">
        <f t="shared" si="23"/>
        <v xml:space="preserve"> </v>
      </c>
      <c r="BX28" s="59" t="str">
        <f t="shared" si="24"/>
        <v>-</v>
      </c>
      <c r="BY28" s="98" t="str">
        <f t="shared" si="25"/>
        <v>-</v>
      </c>
      <c r="CC28" s="4">
        <v>24</v>
      </c>
      <c r="CD28" s="2" t="e">
        <f>VLOOKUP(CC28,$BU$5:BY$215,2,FALSE)</f>
        <v>#N/A</v>
      </c>
      <c r="CE28" s="6" t="e">
        <f>VLOOKUP(CC28,$BU$5:BY$215,3,FALSE)</f>
        <v>#N/A</v>
      </c>
      <c r="CF28" s="2" t="e">
        <f>VLOOKUP(CC28,$BU$5:BY$215,5,FALSE)</f>
        <v>#N/A</v>
      </c>
      <c r="CL28" s="77">
        <v>1</v>
      </c>
    </row>
    <row r="29" spans="1:90" ht="17.45" customHeight="1">
      <c r="A29" s="58">
        <v>25</v>
      </c>
      <c r="B29" s="59" t="str">
        <f>'A Div'!A29 &amp; " " &amp; 'A Div'!B29</f>
        <v xml:space="preserve"> </v>
      </c>
      <c r="C29" s="59" t="str">
        <f>'A Div'!E29</f>
        <v>-</v>
      </c>
      <c r="D29" s="60"/>
      <c r="E29" s="60"/>
      <c r="F29" s="60"/>
      <c r="G29" s="60"/>
      <c r="H29" s="60"/>
      <c r="I29" s="60"/>
      <c r="J29" s="60"/>
      <c r="K29" s="60"/>
      <c r="L29" s="60"/>
      <c r="M29" s="74" t="str">
        <f t="shared" si="0"/>
        <v>-</v>
      </c>
      <c r="N29" s="60"/>
      <c r="O29" s="60"/>
      <c r="P29" s="60"/>
      <c r="Q29" s="60"/>
      <c r="R29" s="60"/>
      <c r="S29" s="60"/>
      <c r="T29" s="60"/>
      <c r="U29" s="60"/>
      <c r="V29" s="60"/>
      <c r="W29" s="74" t="str">
        <f t="shared" si="1"/>
        <v>-</v>
      </c>
      <c r="X29" s="148" t="str">
        <f t="shared" si="2"/>
        <v>-</v>
      </c>
      <c r="Y29" s="74" t="str">
        <f t="shared" si="3"/>
        <v>-</v>
      </c>
      <c r="AA29" s="60"/>
      <c r="AB29" s="60"/>
      <c r="AC29" s="60"/>
      <c r="AD29" s="60"/>
      <c r="AE29" s="60"/>
      <c r="AF29" s="60"/>
      <c r="AG29" s="60"/>
      <c r="AH29" s="60"/>
      <c r="AI29" s="60"/>
      <c r="AJ29" s="74" t="str">
        <f t="shared" si="4"/>
        <v>-</v>
      </c>
      <c r="AK29" s="60"/>
      <c r="AL29" s="60"/>
      <c r="AM29" s="60"/>
      <c r="AN29" s="60"/>
      <c r="AO29" s="60"/>
      <c r="AP29" s="60"/>
      <c r="AQ29" s="60"/>
      <c r="AR29" s="60"/>
      <c r="AS29" s="60"/>
      <c r="AT29" s="74" t="str">
        <f>IF(COUNTIF(AK29:AS29,"&lt;&gt;"&amp;"")=9,SUM(AK29:AS29),"-")</f>
        <v>-</v>
      </c>
      <c r="AU29" s="148" t="str">
        <f>IF(AND(ISNUMBER(AJ29),ISNUMBER(AT29)),AJ29+AT29,"-")</f>
        <v>-</v>
      </c>
      <c r="AV29" s="74" t="str">
        <f>IF(ISNUMBER(AU29),AU29-C29,"-")</f>
        <v>-</v>
      </c>
      <c r="AX29" s="59" t="str">
        <f t="shared" si="5"/>
        <v>-</v>
      </c>
      <c r="AY29" s="59" t="str">
        <f t="shared" si="6"/>
        <v>-</v>
      </c>
      <c r="AZ29" s="59" t="str">
        <f t="shared" si="7"/>
        <v>-</v>
      </c>
      <c r="BA29" s="59" t="str">
        <f t="shared" si="8"/>
        <v>-</v>
      </c>
      <c r="BB29" s="59" t="str">
        <f t="shared" si="9"/>
        <v>-</v>
      </c>
      <c r="BC29" s="59" t="str">
        <f t="shared" si="10"/>
        <v>-</v>
      </c>
      <c r="BD29" s="59" t="str">
        <f t="shared" si="11"/>
        <v>-</v>
      </c>
      <c r="BE29" s="59" t="str">
        <f t="shared" si="12"/>
        <v>-</v>
      </c>
      <c r="BF29" s="59" t="str">
        <f t="shared" si="13"/>
        <v>-</v>
      </c>
      <c r="BG29" s="59" t="str">
        <f t="shared" si="14"/>
        <v>-</v>
      </c>
      <c r="BH29" s="59" t="str">
        <f t="shared" si="15"/>
        <v>-</v>
      </c>
      <c r="BI29" s="59" t="str">
        <f t="shared" si="16"/>
        <v>-</v>
      </c>
      <c r="BJ29" s="59" t="str">
        <f t="shared" si="17"/>
        <v>-</v>
      </c>
      <c r="BK29" s="59" t="str">
        <f t="shared" si="18"/>
        <v>-</v>
      </c>
      <c r="BL29" s="59" t="str">
        <f>IF(AND(R29&gt;0,AO29&gt;0),MIN(R29,AO29),"-")</f>
        <v>-</v>
      </c>
      <c r="BM29" s="59" t="str">
        <f>IF(AND(S29&gt;0,AP29&gt;0),MIN(S29,AP29),"-")</f>
        <v>-</v>
      </c>
      <c r="BN29" s="59" t="str">
        <f>IF(AND(T29&gt;0,AQ29&gt;0),MIN(T29,AQ29),"-")</f>
        <v>-</v>
      </c>
      <c r="BO29" s="59" t="str">
        <f>IF(AND(U29&gt;0,AR29&gt;0),MIN(U29,AR29),"-")</f>
        <v>-</v>
      </c>
      <c r="BP29" s="59" t="str">
        <f>IF(AND(V29&gt;0,AS29&gt;0),MIN(V29,AS29),"-")</f>
        <v>-</v>
      </c>
      <c r="BQ29" s="59" t="str">
        <f t="shared" si="19"/>
        <v>-</v>
      </c>
      <c r="BR29" s="59" t="str">
        <f t="shared" si="20"/>
        <v>-</v>
      </c>
      <c r="BS29" s="59" t="str">
        <f t="shared" si="21"/>
        <v>-</v>
      </c>
      <c r="BT29" s="98" t="str">
        <f>IF(ISNUMBER(BS29),BS29-(C29*Rules!$P$9/100),"-")</f>
        <v>-</v>
      </c>
      <c r="BU29" s="59" t="e">
        <f>RANK($BT29,$BT$5:$BT$106,1)+COUNTIF(BT$5:BT29,BT29)-1</f>
        <v>#VALUE!</v>
      </c>
      <c r="BV29" s="59" t="e">
        <f t="shared" si="22"/>
        <v>#VALUE!</v>
      </c>
      <c r="BW29" s="59" t="str">
        <f t="shared" si="23"/>
        <v xml:space="preserve"> </v>
      </c>
      <c r="BX29" s="59" t="str">
        <f t="shared" si="24"/>
        <v>-</v>
      </c>
      <c r="BY29" s="98" t="str">
        <f t="shared" si="25"/>
        <v>-</v>
      </c>
      <c r="CC29" s="4">
        <v>25</v>
      </c>
      <c r="CD29" s="2" t="e">
        <f>VLOOKUP(CC29,$BU$5:BY$215,2,FALSE)</f>
        <v>#N/A</v>
      </c>
      <c r="CE29" s="6" t="e">
        <f>VLOOKUP(CC29,$BU$5:BY$215,3,FALSE)</f>
        <v>#N/A</v>
      </c>
      <c r="CF29" s="2" t="e">
        <f>VLOOKUP(CC29,$BU$5:BY$215,5,FALSE)</f>
        <v>#N/A</v>
      </c>
      <c r="CL29" s="77">
        <v>1</v>
      </c>
    </row>
    <row r="30" spans="1:90" ht="17.45" customHeight="1">
      <c r="A30" s="58">
        <v>26</v>
      </c>
      <c r="B30" s="59" t="str">
        <f>'A Div'!A30 &amp; " " &amp; 'A Div'!B30</f>
        <v xml:space="preserve"> </v>
      </c>
      <c r="C30" s="59" t="str">
        <f>'A Div'!E30</f>
        <v>-</v>
      </c>
      <c r="D30" s="60"/>
      <c r="E30" s="60"/>
      <c r="F30" s="60"/>
      <c r="G30" s="60"/>
      <c r="H30" s="60"/>
      <c r="I30" s="60"/>
      <c r="J30" s="60"/>
      <c r="K30" s="60"/>
      <c r="L30" s="60"/>
      <c r="M30" s="74" t="str">
        <f t="shared" si="0"/>
        <v>-</v>
      </c>
      <c r="N30" s="60"/>
      <c r="O30" s="60"/>
      <c r="P30" s="60"/>
      <c r="Q30" s="60"/>
      <c r="R30" s="60"/>
      <c r="S30" s="60"/>
      <c r="T30" s="60"/>
      <c r="U30" s="60"/>
      <c r="V30" s="60"/>
      <c r="W30" s="74" t="str">
        <f t="shared" si="1"/>
        <v>-</v>
      </c>
      <c r="X30" s="148" t="str">
        <f t="shared" si="2"/>
        <v>-</v>
      </c>
      <c r="Y30" s="74" t="str">
        <f t="shared" si="3"/>
        <v>-</v>
      </c>
      <c r="AA30" s="60"/>
      <c r="AB30" s="60"/>
      <c r="AC30" s="60"/>
      <c r="AD30" s="60"/>
      <c r="AE30" s="60"/>
      <c r="AF30" s="60"/>
      <c r="AG30" s="60"/>
      <c r="AH30" s="60"/>
      <c r="AI30" s="60"/>
      <c r="AJ30" s="74" t="str">
        <f t="shared" si="4"/>
        <v>-</v>
      </c>
      <c r="AK30" s="60"/>
      <c r="AL30" s="60"/>
      <c r="AM30" s="60"/>
      <c r="AN30" s="60"/>
      <c r="AO30" s="60"/>
      <c r="AP30" s="60"/>
      <c r="AQ30" s="60"/>
      <c r="AR30" s="60"/>
      <c r="AS30" s="60"/>
      <c r="AT30" s="74" t="str">
        <f>IF(COUNTIF(AK30:AS30,"&lt;&gt;"&amp;"")=9,SUM(AK30:AS30),"-")</f>
        <v>-</v>
      </c>
      <c r="AU30" s="148" t="str">
        <f>IF(AND(ISNUMBER(AJ30),ISNUMBER(AT30)),AJ30+AT30,"-")</f>
        <v>-</v>
      </c>
      <c r="AV30" s="74" t="str">
        <f>IF(ISNUMBER(AU30),AU30-C30,"-")</f>
        <v>-</v>
      </c>
      <c r="AX30" s="59" t="str">
        <f t="shared" si="5"/>
        <v>-</v>
      </c>
      <c r="AY30" s="59" t="str">
        <f t="shared" si="6"/>
        <v>-</v>
      </c>
      <c r="AZ30" s="59" t="str">
        <f t="shared" si="7"/>
        <v>-</v>
      </c>
      <c r="BA30" s="59" t="str">
        <f t="shared" si="8"/>
        <v>-</v>
      </c>
      <c r="BB30" s="59" t="str">
        <f t="shared" si="9"/>
        <v>-</v>
      </c>
      <c r="BC30" s="59" t="str">
        <f t="shared" si="10"/>
        <v>-</v>
      </c>
      <c r="BD30" s="59" t="str">
        <f t="shared" si="11"/>
        <v>-</v>
      </c>
      <c r="BE30" s="59" t="str">
        <f t="shared" si="12"/>
        <v>-</v>
      </c>
      <c r="BF30" s="59" t="str">
        <f t="shared" si="13"/>
        <v>-</v>
      </c>
      <c r="BG30" s="59" t="str">
        <f t="shared" si="14"/>
        <v>-</v>
      </c>
      <c r="BH30" s="59" t="str">
        <f t="shared" si="15"/>
        <v>-</v>
      </c>
      <c r="BI30" s="59" t="str">
        <f t="shared" si="16"/>
        <v>-</v>
      </c>
      <c r="BJ30" s="59" t="str">
        <f t="shared" si="17"/>
        <v>-</v>
      </c>
      <c r="BK30" s="59" t="str">
        <f t="shared" si="18"/>
        <v>-</v>
      </c>
      <c r="BL30" s="59" t="str">
        <f>IF(AND(R30&gt;0,AO30&gt;0),MIN(R30,AO30),"-")</f>
        <v>-</v>
      </c>
      <c r="BM30" s="59" t="str">
        <f>IF(AND(S30&gt;0,AP30&gt;0),MIN(S30,AP30),"-")</f>
        <v>-</v>
      </c>
      <c r="BN30" s="59" t="str">
        <f>IF(AND(T30&gt;0,AQ30&gt;0),MIN(T30,AQ30),"-")</f>
        <v>-</v>
      </c>
      <c r="BO30" s="59" t="str">
        <f>IF(AND(U30&gt;0,AR30&gt;0),MIN(U30,AR30),"-")</f>
        <v>-</v>
      </c>
      <c r="BP30" s="59" t="str">
        <f>IF(AND(V30&gt;0,AS30&gt;0),MIN(V30,AS30),"-")</f>
        <v>-</v>
      </c>
      <c r="BQ30" s="59" t="str">
        <f t="shared" si="19"/>
        <v>-</v>
      </c>
      <c r="BR30" s="59" t="str">
        <f t="shared" si="20"/>
        <v>-</v>
      </c>
      <c r="BS30" s="59" t="str">
        <f t="shared" si="21"/>
        <v>-</v>
      </c>
      <c r="BT30" s="98" t="str">
        <f>IF(ISNUMBER(BS30),BS30-(C30*Rules!$P$9/100),"-")</f>
        <v>-</v>
      </c>
      <c r="BU30" s="59" t="e">
        <f>RANK($BT30,$BT$5:$BT$106,1)+COUNTIF(BT$5:BT30,BT30)-1</f>
        <v>#VALUE!</v>
      </c>
      <c r="BV30" s="59" t="e">
        <f t="shared" si="22"/>
        <v>#VALUE!</v>
      </c>
      <c r="BW30" s="59" t="str">
        <f t="shared" si="23"/>
        <v xml:space="preserve"> </v>
      </c>
      <c r="BX30" s="59" t="str">
        <f t="shared" si="24"/>
        <v>-</v>
      </c>
      <c r="BY30" s="98" t="str">
        <f t="shared" si="25"/>
        <v>-</v>
      </c>
      <c r="CC30" s="4">
        <v>26</v>
      </c>
      <c r="CD30" s="2" t="e">
        <f>VLOOKUP(CC30,$BU$5:BY$215,2,FALSE)</f>
        <v>#N/A</v>
      </c>
      <c r="CE30" s="6" t="e">
        <f>VLOOKUP(CC30,$BU$5:BY$215,3,FALSE)</f>
        <v>#N/A</v>
      </c>
      <c r="CF30" s="2" t="e">
        <f>VLOOKUP(CC30,$BU$5:BY$215,5,FALSE)</f>
        <v>#N/A</v>
      </c>
      <c r="CL30" s="77">
        <v>1</v>
      </c>
    </row>
    <row r="31" spans="1:90" ht="17.45" customHeight="1">
      <c r="A31" s="58">
        <v>27</v>
      </c>
      <c r="B31" s="59" t="str">
        <f>'A Div'!A31 &amp; " " &amp; 'A Div'!B31</f>
        <v xml:space="preserve"> </v>
      </c>
      <c r="C31" s="59" t="str">
        <f>'A Div'!E31</f>
        <v>-</v>
      </c>
      <c r="D31" s="60"/>
      <c r="E31" s="60"/>
      <c r="F31" s="60"/>
      <c r="G31" s="60"/>
      <c r="H31" s="60"/>
      <c r="I31" s="60"/>
      <c r="J31" s="60"/>
      <c r="K31" s="60"/>
      <c r="L31" s="60"/>
      <c r="M31" s="74" t="str">
        <f t="shared" si="0"/>
        <v>-</v>
      </c>
      <c r="N31" s="60"/>
      <c r="O31" s="60"/>
      <c r="P31" s="60"/>
      <c r="Q31" s="60"/>
      <c r="R31" s="60"/>
      <c r="S31" s="60"/>
      <c r="T31" s="60"/>
      <c r="U31" s="60"/>
      <c r="V31" s="60"/>
      <c r="W31" s="74" t="str">
        <f t="shared" si="1"/>
        <v>-</v>
      </c>
      <c r="X31" s="148" t="str">
        <f t="shared" si="2"/>
        <v>-</v>
      </c>
      <c r="Y31" s="74" t="str">
        <f t="shared" si="3"/>
        <v>-</v>
      </c>
      <c r="AA31" s="60"/>
      <c r="AB31" s="60"/>
      <c r="AC31" s="60"/>
      <c r="AD31" s="60"/>
      <c r="AE31" s="60"/>
      <c r="AF31" s="60"/>
      <c r="AG31" s="60"/>
      <c r="AH31" s="60"/>
      <c r="AI31" s="60"/>
      <c r="AJ31" s="74" t="str">
        <f t="shared" si="4"/>
        <v>-</v>
      </c>
      <c r="AK31" s="60"/>
      <c r="AL31" s="60"/>
      <c r="AM31" s="60"/>
      <c r="AN31" s="60"/>
      <c r="AO31" s="60"/>
      <c r="AP31" s="60"/>
      <c r="AQ31" s="60"/>
      <c r="AR31" s="60"/>
      <c r="AS31" s="60"/>
      <c r="AT31" s="74" t="str">
        <f>IF(COUNTIF(AK31:AS31,"&lt;&gt;"&amp;"")=9,SUM(AK31:AS31),"-")</f>
        <v>-</v>
      </c>
      <c r="AU31" s="148" t="str">
        <f>IF(AND(ISNUMBER(AJ31),ISNUMBER(AT31)),AJ31+AT31,"-")</f>
        <v>-</v>
      </c>
      <c r="AV31" s="74" t="str">
        <f>IF(ISNUMBER(AU31),AU31-C31,"-")</f>
        <v>-</v>
      </c>
      <c r="AX31" s="59" t="str">
        <f t="shared" si="5"/>
        <v>-</v>
      </c>
      <c r="AY31" s="59" t="str">
        <f t="shared" si="6"/>
        <v>-</v>
      </c>
      <c r="AZ31" s="59" t="str">
        <f t="shared" si="7"/>
        <v>-</v>
      </c>
      <c r="BA31" s="59" t="str">
        <f t="shared" si="8"/>
        <v>-</v>
      </c>
      <c r="BB31" s="59" t="str">
        <f t="shared" si="9"/>
        <v>-</v>
      </c>
      <c r="BC31" s="59" t="str">
        <f t="shared" si="10"/>
        <v>-</v>
      </c>
      <c r="BD31" s="59" t="str">
        <f t="shared" si="11"/>
        <v>-</v>
      </c>
      <c r="BE31" s="59" t="str">
        <f t="shared" si="12"/>
        <v>-</v>
      </c>
      <c r="BF31" s="59" t="str">
        <f t="shared" si="13"/>
        <v>-</v>
      </c>
      <c r="BG31" s="59" t="str">
        <f t="shared" si="14"/>
        <v>-</v>
      </c>
      <c r="BH31" s="59" t="str">
        <f t="shared" si="15"/>
        <v>-</v>
      </c>
      <c r="BI31" s="59" t="str">
        <f t="shared" si="16"/>
        <v>-</v>
      </c>
      <c r="BJ31" s="59" t="str">
        <f t="shared" si="17"/>
        <v>-</v>
      </c>
      <c r="BK31" s="59" t="str">
        <f t="shared" si="18"/>
        <v>-</v>
      </c>
      <c r="BL31" s="59" t="str">
        <f>IF(AND(R31&gt;0,AO31&gt;0),MIN(R31,AO31),"-")</f>
        <v>-</v>
      </c>
      <c r="BM31" s="59" t="str">
        <f>IF(AND(S31&gt;0,AP31&gt;0),MIN(S31,AP31),"-")</f>
        <v>-</v>
      </c>
      <c r="BN31" s="59" t="str">
        <f>IF(AND(T31&gt;0,AQ31&gt;0),MIN(T31,AQ31),"-")</f>
        <v>-</v>
      </c>
      <c r="BO31" s="59" t="str">
        <f>IF(AND(U31&gt;0,AR31&gt;0),MIN(U31,AR31),"-")</f>
        <v>-</v>
      </c>
      <c r="BP31" s="59" t="str">
        <f>IF(AND(V31&gt;0,AS31&gt;0),MIN(V31,AS31),"-")</f>
        <v>-</v>
      </c>
      <c r="BQ31" s="59" t="str">
        <f t="shared" si="19"/>
        <v>-</v>
      </c>
      <c r="BR31" s="59" t="str">
        <f t="shared" si="20"/>
        <v>-</v>
      </c>
      <c r="BS31" s="59" t="str">
        <f t="shared" si="21"/>
        <v>-</v>
      </c>
      <c r="BT31" s="98" t="str">
        <f>IF(ISNUMBER(BS31),BS31-(C31*Rules!$P$9/100),"-")</f>
        <v>-</v>
      </c>
      <c r="BU31" s="59" t="e">
        <f>RANK($BT31,$BT$5:$BT$106,1)+COUNTIF(BT$5:BT31,BT31)-1</f>
        <v>#VALUE!</v>
      </c>
      <c r="BV31" s="59" t="e">
        <f t="shared" si="22"/>
        <v>#VALUE!</v>
      </c>
      <c r="BW31" s="59" t="str">
        <f t="shared" si="23"/>
        <v xml:space="preserve"> </v>
      </c>
      <c r="BX31" s="59" t="str">
        <f t="shared" si="24"/>
        <v>-</v>
      </c>
      <c r="BY31" s="98" t="str">
        <f t="shared" si="25"/>
        <v>-</v>
      </c>
      <c r="CC31" s="4">
        <v>27</v>
      </c>
      <c r="CD31" s="2" t="e">
        <f>VLOOKUP(CC31,$BU$5:BY$215,2,FALSE)</f>
        <v>#N/A</v>
      </c>
      <c r="CE31" s="6" t="e">
        <f>VLOOKUP(CC31,$BU$5:BY$215,3,FALSE)</f>
        <v>#N/A</v>
      </c>
      <c r="CF31" s="2" t="e">
        <f>VLOOKUP(CC31,$BU$5:BY$215,5,FALSE)</f>
        <v>#N/A</v>
      </c>
      <c r="CL31" s="77">
        <v>1</v>
      </c>
    </row>
    <row r="32" spans="1:90" ht="17.45" customHeight="1">
      <c r="A32" s="58">
        <v>28</v>
      </c>
      <c r="B32" s="59" t="str">
        <f>'A Div'!A32 &amp; " " &amp; 'A Div'!B32</f>
        <v xml:space="preserve"> </v>
      </c>
      <c r="C32" s="59" t="str">
        <f>'A Div'!E32</f>
        <v>-</v>
      </c>
      <c r="D32" s="60"/>
      <c r="E32" s="60"/>
      <c r="F32" s="60"/>
      <c r="G32" s="60"/>
      <c r="H32" s="60"/>
      <c r="I32" s="60"/>
      <c r="J32" s="60"/>
      <c r="K32" s="60"/>
      <c r="L32" s="60"/>
      <c r="M32" s="74" t="str">
        <f t="shared" si="0"/>
        <v>-</v>
      </c>
      <c r="N32" s="60"/>
      <c r="O32" s="60"/>
      <c r="P32" s="60"/>
      <c r="Q32" s="60"/>
      <c r="R32" s="60"/>
      <c r="S32" s="60"/>
      <c r="T32" s="60"/>
      <c r="U32" s="60"/>
      <c r="V32" s="60"/>
      <c r="W32" s="74" t="str">
        <f t="shared" si="1"/>
        <v>-</v>
      </c>
      <c r="X32" s="148" t="str">
        <f t="shared" si="2"/>
        <v>-</v>
      </c>
      <c r="Y32" s="74" t="str">
        <f t="shared" si="3"/>
        <v>-</v>
      </c>
      <c r="AA32" s="60"/>
      <c r="AB32" s="60"/>
      <c r="AC32" s="60"/>
      <c r="AD32" s="60"/>
      <c r="AE32" s="60"/>
      <c r="AF32" s="60"/>
      <c r="AG32" s="60"/>
      <c r="AH32" s="60"/>
      <c r="AI32" s="60"/>
      <c r="AJ32" s="74" t="str">
        <f t="shared" si="4"/>
        <v>-</v>
      </c>
      <c r="AK32" s="60"/>
      <c r="AL32" s="60"/>
      <c r="AM32" s="60"/>
      <c r="AN32" s="60"/>
      <c r="AO32" s="60"/>
      <c r="AP32" s="60"/>
      <c r="AQ32" s="60"/>
      <c r="AR32" s="60"/>
      <c r="AS32" s="60"/>
      <c r="AT32" s="74" t="str">
        <f>IF(COUNTIF(AK32:AS32,"&lt;&gt;"&amp;"")=9,SUM(AK32:AS32),"-")</f>
        <v>-</v>
      </c>
      <c r="AU32" s="148" t="str">
        <f>IF(AND(ISNUMBER(AJ32),ISNUMBER(AT32)),AJ32+AT32,"-")</f>
        <v>-</v>
      </c>
      <c r="AV32" s="74" t="str">
        <f>IF(ISNUMBER(AU32),AU32-C32,"-")</f>
        <v>-</v>
      </c>
      <c r="AX32" s="59" t="str">
        <f t="shared" si="5"/>
        <v>-</v>
      </c>
      <c r="AY32" s="59" t="str">
        <f t="shared" si="6"/>
        <v>-</v>
      </c>
      <c r="AZ32" s="59" t="str">
        <f t="shared" si="7"/>
        <v>-</v>
      </c>
      <c r="BA32" s="59" t="str">
        <f t="shared" si="8"/>
        <v>-</v>
      </c>
      <c r="BB32" s="59" t="str">
        <f t="shared" si="9"/>
        <v>-</v>
      </c>
      <c r="BC32" s="59" t="str">
        <f t="shared" si="10"/>
        <v>-</v>
      </c>
      <c r="BD32" s="59" t="str">
        <f t="shared" si="11"/>
        <v>-</v>
      </c>
      <c r="BE32" s="59" t="str">
        <f t="shared" si="12"/>
        <v>-</v>
      </c>
      <c r="BF32" s="59" t="str">
        <f t="shared" si="13"/>
        <v>-</v>
      </c>
      <c r="BG32" s="59" t="str">
        <f t="shared" si="14"/>
        <v>-</v>
      </c>
      <c r="BH32" s="59" t="str">
        <f t="shared" si="15"/>
        <v>-</v>
      </c>
      <c r="BI32" s="59" t="str">
        <f t="shared" si="16"/>
        <v>-</v>
      </c>
      <c r="BJ32" s="59" t="str">
        <f t="shared" si="17"/>
        <v>-</v>
      </c>
      <c r="BK32" s="59" t="str">
        <f t="shared" si="18"/>
        <v>-</v>
      </c>
      <c r="BL32" s="59" t="str">
        <f>IF(AND(R32&gt;0,AO32&gt;0),MIN(R32,AO32),"-")</f>
        <v>-</v>
      </c>
      <c r="BM32" s="59" t="str">
        <f>IF(AND(S32&gt;0,AP32&gt;0),MIN(S32,AP32),"-")</f>
        <v>-</v>
      </c>
      <c r="BN32" s="59" t="str">
        <f>IF(AND(T32&gt;0,AQ32&gt;0),MIN(T32,AQ32),"-")</f>
        <v>-</v>
      </c>
      <c r="BO32" s="59" t="str">
        <f>IF(AND(U32&gt;0,AR32&gt;0),MIN(U32,AR32),"-")</f>
        <v>-</v>
      </c>
      <c r="BP32" s="59" t="str">
        <f>IF(AND(V32&gt;0,AS32&gt;0),MIN(V32,AS32),"-")</f>
        <v>-</v>
      </c>
      <c r="BQ32" s="59" t="str">
        <f t="shared" si="19"/>
        <v>-</v>
      </c>
      <c r="BR32" s="59" t="str">
        <f t="shared" si="20"/>
        <v>-</v>
      </c>
      <c r="BS32" s="59" t="str">
        <f t="shared" si="21"/>
        <v>-</v>
      </c>
      <c r="BT32" s="98" t="str">
        <f>IF(ISNUMBER(BS32),BS32-(C32*Rules!$P$9/100),"-")</f>
        <v>-</v>
      </c>
      <c r="BU32" s="59" t="e">
        <f>RANK($BT32,$BT$5:$BT$106,1)+COUNTIF(BT$5:BT32,BT32)-1</f>
        <v>#VALUE!</v>
      </c>
      <c r="BV32" s="59" t="e">
        <f t="shared" si="22"/>
        <v>#VALUE!</v>
      </c>
      <c r="BW32" s="59" t="str">
        <f t="shared" si="23"/>
        <v xml:space="preserve"> </v>
      </c>
      <c r="BX32" s="59" t="str">
        <f t="shared" si="24"/>
        <v>-</v>
      </c>
      <c r="BY32" s="98" t="str">
        <f t="shared" si="25"/>
        <v>-</v>
      </c>
      <c r="CC32" s="4">
        <v>28</v>
      </c>
      <c r="CD32" s="2" t="e">
        <f>VLOOKUP(CC32,$BU$5:BY$215,2,FALSE)</f>
        <v>#N/A</v>
      </c>
      <c r="CE32" s="6" t="e">
        <f>VLOOKUP(CC32,$BU$5:BY$215,3,FALSE)</f>
        <v>#N/A</v>
      </c>
      <c r="CF32" s="2" t="e">
        <f>VLOOKUP(CC32,$BU$5:BY$215,5,FALSE)</f>
        <v>#N/A</v>
      </c>
      <c r="CL32" s="77">
        <v>1</v>
      </c>
    </row>
    <row r="33" spans="1:90" ht="17.45" customHeight="1">
      <c r="A33" s="58">
        <v>29</v>
      </c>
      <c r="B33" s="59" t="str">
        <f>'A Div'!A33 &amp; " " &amp; 'A Div'!B33</f>
        <v xml:space="preserve"> </v>
      </c>
      <c r="C33" s="59" t="str">
        <f>'A Div'!E33</f>
        <v>-</v>
      </c>
      <c r="D33" s="60"/>
      <c r="E33" s="60"/>
      <c r="F33" s="60"/>
      <c r="G33" s="60"/>
      <c r="H33" s="60"/>
      <c r="I33" s="60"/>
      <c r="J33" s="60"/>
      <c r="K33" s="60"/>
      <c r="L33" s="60"/>
      <c r="M33" s="74" t="str">
        <f t="shared" si="0"/>
        <v>-</v>
      </c>
      <c r="N33" s="60"/>
      <c r="O33" s="60"/>
      <c r="P33" s="60"/>
      <c r="Q33" s="60"/>
      <c r="R33" s="60"/>
      <c r="S33" s="60"/>
      <c r="T33" s="60"/>
      <c r="U33" s="60"/>
      <c r="V33" s="60"/>
      <c r="W33" s="74" t="str">
        <f t="shared" si="1"/>
        <v>-</v>
      </c>
      <c r="X33" s="148" t="str">
        <f t="shared" si="2"/>
        <v>-</v>
      </c>
      <c r="Y33" s="74" t="str">
        <f t="shared" si="3"/>
        <v>-</v>
      </c>
      <c r="AA33" s="60"/>
      <c r="AB33" s="60"/>
      <c r="AC33" s="60"/>
      <c r="AD33" s="60"/>
      <c r="AE33" s="60"/>
      <c r="AF33" s="60"/>
      <c r="AG33" s="60"/>
      <c r="AH33" s="60"/>
      <c r="AI33" s="60"/>
      <c r="AJ33" s="74" t="str">
        <f t="shared" si="4"/>
        <v>-</v>
      </c>
      <c r="AK33" s="60"/>
      <c r="AL33" s="60"/>
      <c r="AM33" s="60"/>
      <c r="AN33" s="60"/>
      <c r="AO33" s="60"/>
      <c r="AP33" s="60"/>
      <c r="AQ33" s="60"/>
      <c r="AR33" s="60"/>
      <c r="AS33" s="60"/>
      <c r="AT33" s="74" t="str">
        <f>IF(COUNTIF(AK33:AS33,"&lt;&gt;"&amp;"")=9,SUM(AK33:AS33),"-")</f>
        <v>-</v>
      </c>
      <c r="AU33" s="148" t="str">
        <f>IF(AND(ISNUMBER(AJ33),ISNUMBER(AT33)),AJ33+AT33,"-")</f>
        <v>-</v>
      </c>
      <c r="AV33" s="74" t="str">
        <f>IF(ISNUMBER(AU33),AU33-C33,"-")</f>
        <v>-</v>
      </c>
      <c r="AX33" s="59" t="str">
        <f t="shared" si="5"/>
        <v>-</v>
      </c>
      <c r="AY33" s="59" t="str">
        <f t="shared" si="6"/>
        <v>-</v>
      </c>
      <c r="AZ33" s="59" t="str">
        <f t="shared" si="7"/>
        <v>-</v>
      </c>
      <c r="BA33" s="59" t="str">
        <f t="shared" si="8"/>
        <v>-</v>
      </c>
      <c r="BB33" s="59" t="str">
        <f t="shared" si="9"/>
        <v>-</v>
      </c>
      <c r="BC33" s="59" t="str">
        <f t="shared" si="10"/>
        <v>-</v>
      </c>
      <c r="BD33" s="59" t="str">
        <f t="shared" si="11"/>
        <v>-</v>
      </c>
      <c r="BE33" s="59" t="str">
        <f t="shared" si="12"/>
        <v>-</v>
      </c>
      <c r="BF33" s="59" t="str">
        <f t="shared" si="13"/>
        <v>-</v>
      </c>
      <c r="BG33" s="59" t="str">
        <f t="shared" si="14"/>
        <v>-</v>
      </c>
      <c r="BH33" s="59" t="str">
        <f t="shared" si="15"/>
        <v>-</v>
      </c>
      <c r="BI33" s="59" t="str">
        <f t="shared" si="16"/>
        <v>-</v>
      </c>
      <c r="BJ33" s="59" t="str">
        <f t="shared" si="17"/>
        <v>-</v>
      </c>
      <c r="BK33" s="59" t="str">
        <f t="shared" si="18"/>
        <v>-</v>
      </c>
      <c r="BL33" s="59" t="str">
        <f>IF(AND(R33&gt;0,AO33&gt;0),MIN(R33,AO33),"-")</f>
        <v>-</v>
      </c>
      <c r="BM33" s="59" t="str">
        <f>IF(AND(S33&gt;0,AP33&gt;0),MIN(S33,AP33),"-")</f>
        <v>-</v>
      </c>
      <c r="BN33" s="59" t="str">
        <f>IF(AND(T33&gt;0,AQ33&gt;0),MIN(T33,AQ33),"-")</f>
        <v>-</v>
      </c>
      <c r="BO33" s="59" t="str">
        <f>IF(AND(U33&gt;0,AR33&gt;0),MIN(U33,AR33),"-")</f>
        <v>-</v>
      </c>
      <c r="BP33" s="59" t="str">
        <f>IF(AND(V33&gt;0,AS33&gt;0),MIN(V33,AS33),"-")</f>
        <v>-</v>
      </c>
      <c r="BQ33" s="59" t="str">
        <f t="shared" si="19"/>
        <v>-</v>
      </c>
      <c r="BR33" s="59" t="str">
        <f t="shared" si="20"/>
        <v>-</v>
      </c>
      <c r="BS33" s="59" t="str">
        <f t="shared" si="21"/>
        <v>-</v>
      </c>
      <c r="BT33" s="98" t="str">
        <f>IF(ISNUMBER(BS33),BS33-(C33*Rules!$P$9/100),"-")</f>
        <v>-</v>
      </c>
      <c r="BU33" s="59" t="e">
        <f>RANK($BT33,$BT$5:$BT$106,1)+COUNTIF(BT$5:BT33,BT33)-1</f>
        <v>#VALUE!</v>
      </c>
      <c r="BV33" s="59" t="e">
        <f t="shared" si="22"/>
        <v>#VALUE!</v>
      </c>
      <c r="BW33" s="59" t="str">
        <f t="shared" si="23"/>
        <v xml:space="preserve"> </v>
      </c>
      <c r="BX33" s="59" t="str">
        <f t="shared" si="24"/>
        <v>-</v>
      </c>
      <c r="BY33" s="98" t="str">
        <f t="shared" si="25"/>
        <v>-</v>
      </c>
      <c r="CC33" s="4">
        <v>29</v>
      </c>
      <c r="CD33" s="2" t="e">
        <f>VLOOKUP(CC33,$BU$5:BY$215,2,FALSE)</f>
        <v>#N/A</v>
      </c>
      <c r="CE33" s="6" t="e">
        <f>VLOOKUP(CC33,$BU$5:BY$215,3,FALSE)</f>
        <v>#N/A</v>
      </c>
      <c r="CF33" s="2" t="e">
        <f>VLOOKUP(CC33,$BU$5:BY$215,5,FALSE)</f>
        <v>#N/A</v>
      </c>
      <c r="CL33" s="77">
        <v>1</v>
      </c>
    </row>
    <row r="34" spans="1:90" ht="17.45" customHeight="1">
      <c r="A34" s="58">
        <v>30</v>
      </c>
      <c r="B34" s="59" t="str">
        <f>'A Div'!A34 &amp; " " &amp; 'A Div'!B34</f>
        <v xml:space="preserve"> </v>
      </c>
      <c r="C34" s="59" t="str">
        <f>'A Div'!E34</f>
        <v>-</v>
      </c>
      <c r="D34" s="60"/>
      <c r="E34" s="60"/>
      <c r="F34" s="60"/>
      <c r="G34" s="60"/>
      <c r="H34" s="60"/>
      <c r="I34" s="60"/>
      <c r="J34" s="60"/>
      <c r="K34" s="60"/>
      <c r="L34" s="60"/>
      <c r="M34" s="74" t="str">
        <f t="shared" si="0"/>
        <v>-</v>
      </c>
      <c r="N34" s="60"/>
      <c r="O34" s="60"/>
      <c r="P34" s="60"/>
      <c r="Q34" s="60"/>
      <c r="R34" s="60"/>
      <c r="S34" s="60"/>
      <c r="T34" s="60"/>
      <c r="U34" s="60"/>
      <c r="V34" s="60"/>
      <c r="W34" s="74" t="str">
        <f t="shared" si="1"/>
        <v>-</v>
      </c>
      <c r="X34" s="148" t="str">
        <f t="shared" si="2"/>
        <v>-</v>
      </c>
      <c r="Y34" s="74" t="str">
        <f t="shared" si="3"/>
        <v>-</v>
      </c>
      <c r="AA34" s="60"/>
      <c r="AB34" s="60"/>
      <c r="AC34" s="60"/>
      <c r="AD34" s="60"/>
      <c r="AE34" s="60"/>
      <c r="AF34" s="60"/>
      <c r="AG34" s="60"/>
      <c r="AH34" s="60"/>
      <c r="AI34" s="60"/>
      <c r="AJ34" s="74" t="str">
        <f t="shared" si="4"/>
        <v>-</v>
      </c>
      <c r="AK34" s="60"/>
      <c r="AL34" s="60"/>
      <c r="AM34" s="60"/>
      <c r="AN34" s="60"/>
      <c r="AO34" s="60"/>
      <c r="AP34" s="60"/>
      <c r="AQ34" s="60"/>
      <c r="AR34" s="60"/>
      <c r="AS34" s="60"/>
      <c r="AT34" s="74" t="str">
        <f>IF(COUNTIF(AK34:AS34,"&lt;&gt;"&amp;"")=9,SUM(AK34:AS34),"-")</f>
        <v>-</v>
      </c>
      <c r="AU34" s="148" t="str">
        <f>IF(AND(ISNUMBER(AJ34),ISNUMBER(AT34)),AJ34+AT34,"-")</f>
        <v>-</v>
      </c>
      <c r="AV34" s="74" t="str">
        <f>IF(ISNUMBER(AU34),AU34-C34,"-")</f>
        <v>-</v>
      </c>
      <c r="AX34" s="59" t="str">
        <f t="shared" si="5"/>
        <v>-</v>
      </c>
      <c r="AY34" s="59" t="str">
        <f t="shared" si="6"/>
        <v>-</v>
      </c>
      <c r="AZ34" s="59" t="str">
        <f t="shared" si="7"/>
        <v>-</v>
      </c>
      <c r="BA34" s="59" t="str">
        <f t="shared" si="8"/>
        <v>-</v>
      </c>
      <c r="BB34" s="59" t="str">
        <f t="shared" si="9"/>
        <v>-</v>
      </c>
      <c r="BC34" s="59" t="str">
        <f t="shared" si="10"/>
        <v>-</v>
      </c>
      <c r="BD34" s="59" t="str">
        <f t="shared" si="11"/>
        <v>-</v>
      </c>
      <c r="BE34" s="59" t="str">
        <f t="shared" si="12"/>
        <v>-</v>
      </c>
      <c r="BF34" s="59" t="str">
        <f t="shared" si="13"/>
        <v>-</v>
      </c>
      <c r="BG34" s="59" t="str">
        <f t="shared" si="14"/>
        <v>-</v>
      </c>
      <c r="BH34" s="59" t="str">
        <f t="shared" si="15"/>
        <v>-</v>
      </c>
      <c r="BI34" s="59" t="str">
        <f t="shared" si="16"/>
        <v>-</v>
      </c>
      <c r="BJ34" s="59" t="str">
        <f t="shared" si="17"/>
        <v>-</v>
      </c>
      <c r="BK34" s="59" t="str">
        <f t="shared" si="18"/>
        <v>-</v>
      </c>
      <c r="BL34" s="59" t="str">
        <f>IF(AND(R34&gt;0,AO34&gt;0),MIN(R34,AO34),"-")</f>
        <v>-</v>
      </c>
      <c r="BM34" s="59" t="str">
        <f>IF(AND(S34&gt;0,AP34&gt;0),MIN(S34,AP34),"-")</f>
        <v>-</v>
      </c>
      <c r="BN34" s="59" t="str">
        <f>IF(AND(T34&gt;0,AQ34&gt;0),MIN(T34,AQ34),"-")</f>
        <v>-</v>
      </c>
      <c r="BO34" s="59" t="str">
        <f>IF(AND(U34&gt;0,AR34&gt;0),MIN(U34,AR34),"-")</f>
        <v>-</v>
      </c>
      <c r="BP34" s="59" t="str">
        <f>IF(AND(V34&gt;0,AS34&gt;0),MIN(V34,AS34),"-")</f>
        <v>-</v>
      </c>
      <c r="BQ34" s="59" t="str">
        <f t="shared" si="19"/>
        <v>-</v>
      </c>
      <c r="BR34" s="59" t="str">
        <f t="shared" si="20"/>
        <v>-</v>
      </c>
      <c r="BS34" s="59" t="str">
        <f t="shared" si="21"/>
        <v>-</v>
      </c>
      <c r="BT34" s="98" t="str">
        <f>IF(ISNUMBER(BS34),BS34-(C34*Rules!$P$9/100),"-")</f>
        <v>-</v>
      </c>
      <c r="BU34" s="59" t="e">
        <f>RANK($BT34,$BT$5:$BT$106,1)+COUNTIF(BT$5:BT34,BT34)-1</f>
        <v>#VALUE!</v>
      </c>
      <c r="BV34" s="59" t="e">
        <f t="shared" si="22"/>
        <v>#VALUE!</v>
      </c>
      <c r="BW34" s="59" t="str">
        <f t="shared" si="23"/>
        <v xml:space="preserve"> </v>
      </c>
      <c r="BX34" s="59" t="str">
        <f t="shared" si="24"/>
        <v>-</v>
      </c>
      <c r="BY34" s="98" t="str">
        <f t="shared" si="25"/>
        <v>-</v>
      </c>
      <c r="CC34" s="4">
        <v>30</v>
      </c>
      <c r="CD34" s="2" t="e">
        <f>VLOOKUP(CC34,$BU$5:BY$215,2,FALSE)</f>
        <v>#N/A</v>
      </c>
      <c r="CE34" s="6" t="e">
        <f>VLOOKUP(CC34,$BU$5:BY$215,3,FALSE)</f>
        <v>#N/A</v>
      </c>
      <c r="CF34" s="2" t="e">
        <f>VLOOKUP(CC34,$BU$5:BY$215,5,FALSE)</f>
        <v>#N/A</v>
      </c>
      <c r="CL34" s="77">
        <v>1</v>
      </c>
    </row>
    <row r="35" spans="1:90" ht="17.45" customHeight="1">
      <c r="A35" s="58">
        <v>31</v>
      </c>
      <c r="B35" s="59" t="str">
        <f>'A Div'!A35 &amp; " " &amp; 'A Div'!B35</f>
        <v xml:space="preserve"> </v>
      </c>
      <c r="C35" s="59" t="str">
        <f>'A Div'!E35</f>
        <v>-</v>
      </c>
      <c r="D35" s="60"/>
      <c r="E35" s="60"/>
      <c r="F35" s="60"/>
      <c r="G35" s="60"/>
      <c r="H35" s="60"/>
      <c r="I35" s="60"/>
      <c r="J35" s="60"/>
      <c r="K35" s="60"/>
      <c r="L35" s="60"/>
      <c r="M35" s="74" t="str">
        <f t="shared" si="0"/>
        <v>-</v>
      </c>
      <c r="N35" s="60"/>
      <c r="O35" s="60"/>
      <c r="P35" s="60"/>
      <c r="Q35" s="60"/>
      <c r="R35" s="60"/>
      <c r="S35" s="60"/>
      <c r="T35" s="60"/>
      <c r="U35" s="60"/>
      <c r="V35" s="60"/>
      <c r="W35" s="74" t="str">
        <f t="shared" si="1"/>
        <v>-</v>
      </c>
      <c r="X35" s="148" t="str">
        <f t="shared" si="2"/>
        <v>-</v>
      </c>
      <c r="Y35" s="74" t="str">
        <f t="shared" si="3"/>
        <v>-</v>
      </c>
      <c r="AA35" s="60"/>
      <c r="AB35" s="60"/>
      <c r="AC35" s="60"/>
      <c r="AD35" s="60"/>
      <c r="AE35" s="60"/>
      <c r="AF35" s="60"/>
      <c r="AG35" s="60"/>
      <c r="AH35" s="60"/>
      <c r="AI35" s="60"/>
      <c r="AJ35" s="74" t="str">
        <f t="shared" si="4"/>
        <v>-</v>
      </c>
      <c r="AK35" s="60"/>
      <c r="AL35" s="60"/>
      <c r="AM35" s="60"/>
      <c r="AN35" s="60"/>
      <c r="AO35" s="60"/>
      <c r="AP35" s="60"/>
      <c r="AQ35" s="60"/>
      <c r="AR35" s="60"/>
      <c r="AS35" s="60"/>
      <c r="AT35" s="74" t="str">
        <f>IF(COUNTIF(AK35:AS35,"&lt;&gt;"&amp;"")=9,SUM(AK35:AS35),"-")</f>
        <v>-</v>
      </c>
      <c r="AU35" s="148" t="str">
        <f>IF(AND(ISNUMBER(AJ35),ISNUMBER(AT35)),AJ35+AT35,"-")</f>
        <v>-</v>
      </c>
      <c r="AV35" s="74" t="str">
        <f>IF(ISNUMBER(AU35),AU35-C35,"-")</f>
        <v>-</v>
      </c>
      <c r="AX35" s="59" t="str">
        <f t="shared" si="5"/>
        <v>-</v>
      </c>
      <c r="AY35" s="59" t="str">
        <f t="shared" si="6"/>
        <v>-</v>
      </c>
      <c r="AZ35" s="59" t="str">
        <f t="shared" si="7"/>
        <v>-</v>
      </c>
      <c r="BA35" s="59" t="str">
        <f t="shared" si="8"/>
        <v>-</v>
      </c>
      <c r="BB35" s="59" t="str">
        <f t="shared" si="9"/>
        <v>-</v>
      </c>
      <c r="BC35" s="59" t="str">
        <f t="shared" si="10"/>
        <v>-</v>
      </c>
      <c r="BD35" s="59" t="str">
        <f t="shared" si="11"/>
        <v>-</v>
      </c>
      <c r="BE35" s="59" t="str">
        <f t="shared" si="12"/>
        <v>-</v>
      </c>
      <c r="BF35" s="59" t="str">
        <f t="shared" si="13"/>
        <v>-</v>
      </c>
      <c r="BG35" s="59" t="str">
        <f t="shared" si="14"/>
        <v>-</v>
      </c>
      <c r="BH35" s="59" t="str">
        <f t="shared" si="15"/>
        <v>-</v>
      </c>
      <c r="BI35" s="59" t="str">
        <f t="shared" si="16"/>
        <v>-</v>
      </c>
      <c r="BJ35" s="59" t="str">
        <f t="shared" si="17"/>
        <v>-</v>
      </c>
      <c r="BK35" s="59" t="str">
        <f t="shared" si="18"/>
        <v>-</v>
      </c>
      <c r="BL35" s="59" t="str">
        <f>IF(AND(R35&gt;0,AO35&gt;0),MIN(R35,AO35),"-")</f>
        <v>-</v>
      </c>
      <c r="BM35" s="59" t="str">
        <f>IF(AND(S35&gt;0,AP35&gt;0),MIN(S35,AP35),"-")</f>
        <v>-</v>
      </c>
      <c r="BN35" s="59" t="str">
        <f>IF(AND(T35&gt;0,AQ35&gt;0),MIN(T35,AQ35),"-")</f>
        <v>-</v>
      </c>
      <c r="BO35" s="59" t="str">
        <f>IF(AND(U35&gt;0,AR35&gt;0),MIN(U35,AR35),"-")</f>
        <v>-</v>
      </c>
      <c r="BP35" s="59" t="str">
        <f>IF(AND(V35&gt;0,AS35&gt;0),MIN(V35,AS35),"-")</f>
        <v>-</v>
      </c>
      <c r="BQ35" s="59" t="str">
        <f t="shared" si="19"/>
        <v>-</v>
      </c>
      <c r="BR35" s="59" t="str">
        <f t="shared" si="20"/>
        <v>-</v>
      </c>
      <c r="BS35" s="59" t="str">
        <f t="shared" si="21"/>
        <v>-</v>
      </c>
      <c r="BT35" s="98" t="str">
        <f>IF(ISNUMBER(BS35),BS35-(C35*Rules!$P$9/100),"-")</f>
        <v>-</v>
      </c>
      <c r="BU35" s="59" t="e">
        <f>RANK($BT35,$BT$5:$BT$106,1)+COUNTIF(BT$5:BT35,BT35)-1</f>
        <v>#VALUE!</v>
      </c>
      <c r="BV35" s="59" t="e">
        <f t="shared" si="22"/>
        <v>#VALUE!</v>
      </c>
      <c r="BW35" s="59" t="str">
        <f t="shared" si="23"/>
        <v xml:space="preserve"> </v>
      </c>
      <c r="BX35" s="59" t="str">
        <f t="shared" si="24"/>
        <v>-</v>
      </c>
      <c r="BY35" s="98" t="str">
        <f t="shared" si="25"/>
        <v>-</v>
      </c>
      <c r="CC35" s="4">
        <v>31</v>
      </c>
      <c r="CD35" s="2" t="e">
        <f>VLOOKUP(CC35,$BU$5:BY$215,2,FALSE)</f>
        <v>#N/A</v>
      </c>
      <c r="CE35" s="6" t="e">
        <f>VLOOKUP(CC35,$BU$5:BY$215,3,FALSE)</f>
        <v>#N/A</v>
      </c>
      <c r="CF35" s="2" t="e">
        <f>VLOOKUP(CC35,$BU$5:BY$215,5,FALSE)</f>
        <v>#N/A</v>
      </c>
      <c r="CL35" s="77">
        <v>1</v>
      </c>
    </row>
    <row r="36" spans="1:90" ht="17.45" customHeight="1">
      <c r="A36" s="58">
        <v>32</v>
      </c>
      <c r="B36" s="59" t="str">
        <f>'A Div'!A36 &amp; " " &amp; 'A Div'!B36</f>
        <v xml:space="preserve"> </v>
      </c>
      <c r="C36" s="59" t="str">
        <f>'A Div'!E36</f>
        <v>-</v>
      </c>
      <c r="D36" s="60"/>
      <c r="E36" s="60"/>
      <c r="F36" s="60"/>
      <c r="G36" s="60"/>
      <c r="H36" s="60"/>
      <c r="I36" s="60"/>
      <c r="J36" s="60"/>
      <c r="K36" s="60"/>
      <c r="L36" s="60"/>
      <c r="M36" s="74" t="str">
        <f t="shared" si="0"/>
        <v>-</v>
      </c>
      <c r="N36" s="60"/>
      <c r="O36" s="60"/>
      <c r="P36" s="60"/>
      <c r="Q36" s="60"/>
      <c r="R36" s="60"/>
      <c r="S36" s="60"/>
      <c r="T36" s="60"/>
      <c r="U36" s="60"/>
      <c r="V36" s="60"/>
      <c r="W36" s="74" t="str">
        <f t="shared" si="1"/>
        <v>-</v>
      </c>
      <c r="X36" s="148" t="str">
        <f t="shared" si="2"/>
        <v>-</v>
      </c>
      <c r="Y36" s="74" t="str">
        <f t="shared" si="3"/>
        <v>-</v>
      </c>
      <c r="AA36" s="60"/>
      <c r="AB36" s="60"/>
      <c r="AC36" s="60"/>
      <c r="AD36" s="60"/>
      <c r="AE36" s="60"/>
      <c r="AF36" s="60"/>
      <c r="AG36" s="60"/>
      <c r="AH36" s="60"/>
      <c r="AI36" s="60"/>
      <c r="AJ36" s="74" t="str">
        <f t="shared" si="4"/>
        <v>-</v>
      </c>
      <c r="AK36" s="60"/>
      <c r="AL36" s="60"/>
      <c r="AM36" s="60"/>
      <c r="AN36" s="60"/>
      <c r="AO36" s="60"/>
      <c r="AP36" s="60"/>
      <c r="AQ36" s="60"/>
      <c r="AR36" s="60"/>
      <c r="AS36" s="60"/>
      <c r="AT36" s="74" t="str">
        <f>IF(COUNTIF(AK36:AS36,"&lt;&gt;"&amp;"")=9,SUM(AK36:AS36),"-")</f>
        <v>-</v>
      </c>
      <c r="AU36" s="148" t="str">
        <f>IF(AND(ISNUMBER(AJ36),ISNUMBER(AT36)),AJ36+AT36,"-")</f>
        <v>-</v>
      </c>
      <c r="AV36" s="74" t="str">
        <f>IF(ISNUMBER(AU36),AU36-C36,"-")</f>
        <v>-</v>
      </c>
      <c r="AX36" s="59" t="str">
        <f t="shared" si="5"/>
        <v>-</v>
      </c>
      <c r="AY36" s="59" t="str">
        <f t="shared" si="6"/>
        <v>-</v>
      </c>
      <c r="AZ36" s="59" t="str">
        <f t="shared" si="7"/>
        <v>-</v>
      </c>
      <c r="BA36" s="59" t="str">
        <f t="shared" si="8"/>
        <v>-</v>
      </c>
      <c r="BB36" s="59" t="str">
        <f t="shared" si="9"/>
        <v>-</v>
      </c>
      <c r="BC36" s="59" t="str">
        <f t="shared" si="10"/>
        <v>-</v>
      </c>
      <c r="BD36" s="59" t="str">
        <f t="shared" si="11"/>
        <v>-</v>
      </c>
      <c r="BE36" s="59" t="str">
        <f t="shared" si="12"/>
        <v>-</v>
      </c>
      <c r="BF36" s="59" t="str">
        <f t="shared" si="13"/>
        <v>-</v>
      </c>
      <c r="BG36" s="59" t="str">
        <f t="shared" si="14"/>
        <v>-</v>
      </c>
      <c r="BH36" s="59" t="str">
        <f t="shared" si="15"/>
        <v>-</v>
      </c>
      <c r="BI36" s="59" t="str">
        <f t="shared" si="16"/>
        <v>-</v>
      </c>
      <c r="BJ36" s="59" t="str">
        <f t="shared" si="17"/>
        <v>-</v>
      </c>
      <c r="BK36" s="59" t="str">
        <f t="shared" si="18"/>
        <v>-</v>
      </c>
      <c r="BL36" s="59" t="str">
        <f>IF(AND(R36&gt;0,AO36&gt;0),MIN(R36,AO36),"-")</f>
        <v>-</v>
      </c>
      <c r="BM36" s="59" t="str">
        <f>IF(AND(S36&gt;0,AP36&gt;0),MIN(S36,AP36),"-")</f>
        <v>-</v>
      </c>
      <c r="BN36" s="59" t="str">
        <f>IF(AND(T36&gt;0,AQ36&gt;0),MIN(T36,AQ36),"-")</f>
        <v>-</v>
      </c>
      <c r="BO36" s="59" t="str">
        <f>IF(AND(U36&gt;0,AR36&gt;0),MIN(U36,AR36),"-")</f>
        <v>-</v>
      </c>
      <c r="BP36" s="59" t="str">
        <f>IF(AND(V36&gt;0,AS36&gt;0),MIN(V36,AS36),"-")</f>
        <v>-</v>
      </c>
      <c r="BQ36" s="59" t="str">
        <f t="shared" si="19"/>
        <v>-</v>
      </c>
      <c r="BR36" s="59" t="str">
        <f t="shared" si="20"/>
        <v>-</v>
      </c>
      <c r="BS36" s="59" t="str">
        <f t="shared" si="21"/>
        <v>-</v>
      </c>
      <c r="BT36" s="98" t="str">
        <f>IF(ISNUMBER(BS36),BS36-(C36*Rules!$P$9/100),"-")</f>
        <v>-</v>
      </c>
      <c r="BU36" s="59" t="e">
        <f>RANK($BT36,$BT$5:$BT$106,1)+COUNTIF(BT$5:BT36,BT36)-1</f>
        <v>#VALUE!</v>
      </c>
      <c r="BV36" s="59" t="e">
        <f t="shared" si="22"/>
        <v>#VALUE!</v>
      </c>
      <c r="BW36" s="59" t="str">
        <f t="shared" si="23"/>
        <v xml:space="preserve"> </v>
      </c>
      <c r="BX36" s="59" t="str">
        <f t="shared" si="24"/>
        <v>-</v>
      </c>
      <c r="BY36" s="98" t="str">
        <f t="shared" si="25"/>
        <v>-</v>
      </c>
      <c r="CC36" s="4">
        <v>32</v>
      </c>
      <c r="CD36" s="2" t="e">
        <f>VLOOKUP(CC36,$BU$5:BY$215,2,FALSE)</f>
        <v>#N/A</v>
      </c>
      <c r="CE36" s="6" t="e">
        <f>VLOOKUP(CC36,$BU$5:BY$215,3,FALSE)</f>
        <v>#N/A</v>
      </c>
      <c r="CF36" s="2" t="e">
        <f>VLOOKUP(CC36,$BU$5:BY$215,5,FALSE)</f>
        <v>#N/A</v>
      </c>
      <c r="CL36" s="77">
        <v>1</v>
      </c>
    </row>
    <row r="37" spans="1:90" ht="17.45" customHeight="1">
      <c r="A37" s="58">
        <v>33</v>
      </c>
      <c r="B37" s="59" t="str">
        <f>'A Div'!A37 &amp; " " &amp; 'A Div'!B37</f>
        <v xml:space="preserve"> </v>
      </c>
      <c r="C37" s="59" t="str">
        <f>'A Div'!E37</f>
        <v>-</v>
      </c>
      <c r="D37" s="60"/>
      <c r="E37" s="60"/>
      <c r="F37" s="60"/>
      <c r="G37" s="60"/>
      <c r="H37" s="60"/>
      <c r="I37" s="60"/>
      <c r="J37" s="60"/>
      <c r="K37" s="60"/>
      <c r="L37" s="60"/>
      <c r="M37" s="74" t="str">
        <f t="shared" si="0"/>
        <v>-</v>
      </c>
      <c r="N37" s="60"/>
      <c r="O37" s="60"/>
      <c r="P37" s="60"/>
      <c r="Q37" s="60"/>
      <c r="R37" s="60"/>
      <c r="S37" s="60"/>
      <c r="T37" s="60"/>
      <c r="U37" s="60"/>
      <c r="V37" s="60"/>
      <c r="W37" s="74" t="str">
        <f t="shared" si="1"/>
        <v>-</v>
      </c>
      <c r="X37" s="148" t="str">
        <f t="shared" si="2"/>
        <v>-</v>
      </c>
      <c r="Y37" s="74" t="str">
        <f t="shared" si="3"/>
        <v>-</v>
      </c>
      <c r="AA37" s="60"/>
      <c r="AB37" s="60"/>
      <c r="AC37" s="60"/>
      <c r="AD37" s="60"/>
      <c r="AE37" s="60"/>
      <c r="AF37" s="60"/>
      <c r="AG37" s="60"/>
      <c r="AH37" s="60"/>
      <c r="AI37" s="60"/>
      <c r="AJ37" s="74" t="str">
        <f t="shared" si="4"/>
        <v>-</v>
      </c>
      <c r="AK37" s="60"/>
      <c r="AL37" s="60"/>
      <c r="AM37" s="60"/>
      <c r="AN37" s="60"/>
      <c r="AO37" s="60"/>
      <c r="AP37" s="60"/>
      <c r="AQ37" s="60"/>
      <c r="AR37" s="60"/>
      <c r="AS37" s="60"/>
      <c r="AT37" s="74" t="str">
        <f>IF(COUNTIF(AK37:AS37,"&lt;&gt;"&amp;"")=9,SUM(AK37:AS37),"-")</f>
        <v>-</v>
      </c>
      <c r="AU37" s="148" t="str">
        <f>IF(AND(ISNUMBER(AJ37),ISNUMBER(AT37)),AJ37+AT37,"-")</f>
        <v>-</v>
      </c>
      <c r="AV37" s="74" t="str">
        <f>IF(ISNUMBER(AU37),AU37-C37,"-")</f>
        <v>-</v>
      </c>
      <c r="AX37" s="59" t="str">
        <f t="shared" si="5"/>
        <v>-</v>
      </c>
      <c r="AY37" s="59" t="str">
        <f t="shared" si="6"/>
        <v>-</v>
      </c>
      <c r="AZ37" s="59" t="str">
        <f t="shared" si="7"/>
        <v>-</v>
      </c>
      <c r="BA37" s="59" t="str">
        <f t="shared" si="8"/>
        <v>-</v>
      </c>
      <c r="BB37" s="59" t="str">
        <f t="shared" si="9"/>
        <v>-</v>
      </c>
      <c r="BC37" s="59" t="str">
        <f t="shared" si="10"/>
        <v>-</v>
      </c>
      <c r="BD37" s="59" t="str">
        <f t="shared" si="11"/>
        <v>-</v>
      </c>
      <c r="BE37" s="59" t="str">
        <f t="shared" si="12"/>
        <v>-</v>
      </c>
      <c r="BF37" s="59" t="str">
        <f t="shared" si="13"/>
        <v>-</v>
      </c>
      <c r="BG37" s="59" t="str">
        <f t="shared" si="14"/>
        <v>-</v>
      </c>
      <c r="BH37" s="59" t="str">
        <f t="shared" si="15"/>
        <v>-</v>
      </c>
      <c r="BI37" s="59" t="str">
        <f t="shared" si="16"/>
        <v>-</v>
      </c>
      <c r="BJ37" s="59" t="str">
        <f t="shared" si="17"/>
        <v>-</v>
      </c>
      <c r="BK37" s="59" t="str">
        <f t="shared" si="18"/>
        <v>-</v>
      </c>
      <c r="BL37" s="59" t="str">
        <f>IF(AND(R37&gt;0,AO37&gt;0),MIN(R37,AO37),"-")</f>
        <v>-</v>
      </c>
      <c r="BM37" s="59" t="str">
        <f>IF(AND(S37&gt;0,AP37&gt;0),MIN(S37,AP37),"-")</f>
        <v>-</v>
      </c>
      <c r="BN37" s="59" t="str">
        <f>IF(AND(T37&gt;0,AQ37&gt;0),MIN(T37,AQ37),"-")</f>
        <v>-</v>
      </c>
      <c r="BO37" s="59" t="str">
        <f>IF(AND(U37&gt;0,AR37&gt;0),MIN(U37,AR37),"-")</f>
        <v>-</v>
      </c>
      <c r="BP37" s="59" t="str">
        <f>IF(AND(V37&gt;0,AS37&gt;0),MIN(V37,AS37),"-")</f>
        <v>-</v>
      </c>
      <c r="BQ37" s="59" t="str">
        <f t="shared" si="19"/>
        <v>-</v>
      </c>
      <c r="BR37" s="59" t="str">
        <f t="shared" si="20"/>
        <v>-</v>
      </c>
      <c r="BS37" s="59" t="str">
        <f t="shared" si="21"/>
        <v>-</v>
      </c>
      <c r="BT37" s="98" t="str">
        <f>IF(ISNUMBER(BS37),BS37-(C37*Rules!$P$9/100),"-")</f>
        <v>-</v>
      </c>
      <c r="BU37" s="59" t="e">
        <f>RANK($BT37,$BT$5:$BT$106,1)+COUNTIF(BT$5:BT37,BT37)-1</f>
        <v>#VALUE!</v>
      </c>
      <c r="BV37" s="59" t="e">
        <f t="shared" si="22"/>
        <v>#VALUE!</v>
      </c>
      <c r="BW37" s="59" t="str">
        <f t="shared" si="23"/>
        <v xml:space="preserve"> </v>
      </c>
      <c r="BX37" s="59" t="str">
        <f t="shared" si="24"/>
        <v>-</v>
      </c>
      <c r="BY37" s="98" t="str">
        <f t="shared" si="25"/>
        <v>-</v>
      </c>
      <c r="CC37" s="4">
        <v>33</v>
      </c>
      <c r="CD37" s="2" t="e">
        <f>VLOOKUP(CC37,$BU$5:BY$215,2,FALSE)</f>
        <v>#N/A</v>
      </c>
      <c r="CE37" s="6" t="e">
        <f>VLOOKUP(CC37,$BU$5:BY$215,3,FALSE)</f>
        <v>#N/A</v>
      </c>
      <c r="CF37" s="2" t="e">
        <f>VLOOKUP(CC37,$BU$5:BY$215,5,FALSE)</f>
        <v>#N/A</v>
      </c>
      <c r="CL37" s="77">
        <v>1</v>
      </c>
    </row>
    <row r="38" spans="1:90" ht="17.45" customHeight="1">
      <c r="A38" s="58">
        <v>34</v>
      </c>
      <c r="B38" s="59" t="str">
        <f>'A Div'!A38 &amp; " " &amp; 'A Div'!B38</f>
        <v xml:space="preserve"> </v>
      </c>
      <c r="C38" s="59" t="str">
        <f>'A Div'!E38</f>
        <v>-</v>
      </c>
      <c r="D38" s="60"/>
      <c r="E38" s="60"/>
      <c r="F38" s="60"/>
      <c r="G38" s="60"/>
      <c r="H38" s="60"/>
      <c r="I38" s="60"/>
      <c r="J38" s="60"/>
      <c r="K38" s="60"/>
      <c r="L38" s="60"/>
      <c r="M38" s="74" t="str">
        <f t="shared" si="0"/>
        <v>-</v>
      </c>
      <c r="N38" s="60"/>
      <c r="O38" s="60"/>
      <c r="P38" s="60"/>
      <c r="Q38" s="60"/>
      <c r="R38" s="60"/>
      <c r="S38" s="60"/>
      <c r="T38" s="60"/>
      <c r="U38" s="60"/>
      <c r="V38" s="60"/>
      <c r="W38" s="74" t="str">
        <f t="shared" si="1"/>
        <v>-</v>
      </c>
      <c r="X38" s="148" t="str">
        <f t="shared" si="2"/>
        <v>-</v>
      </c>
      <c r="Y38" s="74" t="str">
        <f t="shared" si="3"/>
        <v>-</v>
      </c>
      <c r="AA38" s="60"/>
      <c r="AB38" s="60"/>
      <c r="AC38" s="60"/>
      <c r="AD38" s="60"/>
      <c r="AE38" s="60"/>
      <c r="AF38" s="60"/>
      <c r="AG38" s="60"/>
      <c r="AH38" s="60"/>
      <c r="AI38" s="60"/>
      <c r="AJ38" s="74" t="str">
        <f t="shared" si="4"/>
        <v>-</v>
      </c>
      <c r="AK38" s="60"/>
      <c r="AL38" s="60"/>
      <c r="AM38" s="60"/>
      <c r="AN38" s="60"/>
      <c r="AO38" s="60"/>
      <c r="AP38" s="60"/>
      <c r="AQ38" s="60"/>
      <c r="AR38" s="60"/>
      <c r="AS38" s="60"/>
      <c r="AT38" s="74" t="str">
        <f>IF(COUNTIF(AK38:AS38,"&lt;&gt;"&amp;"")=9,SUM(AK38:AS38),"-")</f>
        <v>-</v>
      </c>
      <c r="AU38" s="148" t="str">
        <f>IF(AND(ISNUMBER(AJ38),ISNUMBER(AT38)),AJ38+AT38,"-")</f>
        <v>-</v>
      </c>
      <c r="AV38" s="74" t="str">
        <f>IF(ISNUMBER(AU38),AU38-C38,"-")</f>
        <v>-</v>
      </c>
      <c r="AX38" s="59" t="str">
        <f t="shared" si="5"/>
        <v>-</v>
      </c>
      <c r="AY38" s="59" t="str">
        <f t="shared" si="6"/>
        <v>-</v>
      </c>
      <c r="AZ38" s="59" t="str">
        <f t="shared" si="7"/>
        <v>-</v>
      </c>
      <c r="BA38" s="59" t="str">
        <f t="shared" si="8"/>
        <v>-</v>
      </c>
      <c r="BB38" s="59" t="str">
        <f t="shared" si="9"/>
        <v>-</v>
      </c>
      <c r="BC38" s="59" t="str">
        <f t="shared" si="10"/>
        <v>-</v>
      </c>
      <c r="BD38" s="59" t="str">
        <f t="shared" si="11"/>
        <v>-</v>
      </c>
      <c r="BE38" s="59" t="str">
        <f t="shared" si="12"/>
        <v>-</v>
      </c>
      <c r="BF38" s="59" t="str">
        <f t="shared" si="13"/>
        <v>-</v>
      </c>
      <c r="BG38" s="59" t="str">
        <f t="shared" si="14"/>
        <v>-</v>
      </c>
      <c r="BH38" s="59" t="str">
        <f t="shared" si="15"/>
        <v>-</v>
      </c>
      <c r="BI38" s="59" t="str">
        <f t="shared" si="16"/>
        <v>-</v>
      </c>
      <c r="BJ38" s="59" t="str">
        <f t="shared" si="17"/>
        <v>-</v>
      </c>
      <c r="BK38" s="59" t="str">
        <f t="shared" si="18"/>
        <v>-</v>
      </c>
      <c r="BL38" s="59" t="str">
        <f>IF(AND(R38&gt;0,AO38&gt;0),MIN(R38,AO38),"-")</f>
        <v>-</v>
      </c>
      <c r="BM38" s="59" t="str">
        <f>IF(AND(S38&gt;0,AP38&gt;0),MIN(S38,AP38),"-")</f>
        <v>-</v>
      </c>
      <c r="BN38" s="59" t="str">
        <f>IF(AND(T38&gt;0,AQ38&gt;0),MIN(T38,AQ38),"-")</f>
        <v>-</v>
      </c>
      <c r="BO38" s="59" t="str">
        <f>IF(AND(U38&gt;0,AR38&gt;0),MIN(U38,AR38),"-")</f>
        <v>-</v>
      </c>
      <c r="BP38" s="59" t="str">
        <f>IF(AND(V38&gt;0,AS38&gt;0),MIN(V38,AS38),"-")</f>
        <v>-</v>
      </c>
      <c r="BQ38" s="59" t="str">
        <f t="shared" si="19"/>
        <v>-</v>
      </c>
      <c r="BR38" s="59" t="str">
        <f t="shared" si="20"/>
        <v>-</v>
      </c>
      <c r="BS38" s="59" t="str">
        <f t="shared" si="21"/>
        <v>-</v>
      </c>
      <c r="BT38" s="98" t="str">
        <f>IF(ISNUMBER(BS38),BS38-(C38*Rules!$P$9/100),"-")</f>
        <v>-</v>
      </c>
      <c r="BU38" s="59" t="e">
        <f>RANK($BT38,$BT$5:$BT$106,1)+COUNTIF(BT$5:BT38,BT38)-1</f>
        <v>#VALUE!</v>
      </c>
      <c r="BV38" s="59" t="e">
        <f t="shared" si="22"/>
        <v>#VALUE!</v>
      </c>
      <c r="BW38" s="59" t="str">
        <f t="shared" si="23"/>
        <v xml:space="preserve"> </v>
      </c>
      <c r="BX38" s="59" t="str">
        <f t="shared" si="24"/>
        <v>-</v>
      </c>
      <c r="BY38" s="98" t="str">
        <f t="shared" si="25"/>
        <v>-</v>
      </c>
      <c r="CC38" s="4">
        <v>34</v>
      </c>
      <c r="CD38" s="2" t="e">
        <f>VLOOKUP(CC38,$BU$5:BY$215,2,FALSE)</f>
        <v>#N/A</v>
      </c>
      <c r="CE38" s="6" t="e">
        <f>VLOOKUP(CC38,$BU$5:BY$215,3,FALSE)</f>
        <v>#N/A</v>
      </c>
      <c r="CF38" s="2" t="e">
        <f>VLOOKUP(CC38,$BU$5:BY$215,5,FALSE)</f>
        <v>#N/A</v>
      </c>
      <c r="CL38" s="77">
        <v>1</v>
      </c>
    </row>
    <row r="39" spans="1:90" ht="17.45" customHeight="1">
      <c r="A39" s="58">
        <v>35</v>
      </c>
      <c r="B39" s="59" t="str">
        <f>'A Div'!A39 &amp; " " &amp; 'A Div'!B39</f>
        <v xml:space="preserve"> </v>
      </c>
      <c r="C39" s="59" t="str">
        <f>'A Div'!E39</f>
        <v>-</v>
      </c>
      <c r="D39" s="60"/>
      <c r="E39" s="60"/>
      <c r="F39" s="60"/>
      <c r="G39" s="60"/>
      <c r="H39" s="60"/>
      <c r="I39" s="60"/>
      <c r="J39" s="60"/>
      <c r="K39" s="60"/>
      <c r="L39" s="60"/>
      <c r="M39" s="74" t="str">
        <f t="shared" si="0"/>
        <v>-</v>
      </c>
      <c r="N39" s="60"/>
      <c r="O39" s="60"/>
      <c r="P39" s="60"/>
      <c r="Q39" s="60"/>
      <c r="R39" s="60"/>
      <c r="S39" s="60"/>
      <c r="T39" s="60"/>
      <c r="U39" s="60"/>
      <c r="V39" s="60"/>
      <c r="W39" s="74" t="str">
        <f t="shared" si="1"/>
        <v>-</v>
      </c>
      <c r="X39" s="148" t="str">
        <f t="shared" si="2"/>
        <v>-</v>
      </c>
      <c r="Y39" s="74" t="str">
        <f t="shared" si="3"/>
        <v>-</v>
      </c>
      <c r="AA39" s="60"/>
      <c r="AB39" s="60"/>
      <c r="AC39" s="60"/>
      <c r="AD39" s="60"/>
      <c r="AE39" s="60"/>
      <c r="AF39" s="60"/>
      <c r="AG39" s="60"/>
      <c r="AH39" s="60"/>
      <c r="AI39" s="60"/>
      <c r="AJ39" s="74" t="str">
        <f t="shared" si="4"/>
        <v>-</v>
      </c>
      <c r="AK39" s="60"/>
      <c r="AL39" s="60"/>
      <c r="AM39" s="60"/>
      <c r="AN39" s="60"/>
      <c r="AO39" s="60"/>
      <c r="AP39" s="60"/>
      <c r="AQ39" s="60"/>
      <c r="AR39" s="60"/>
      <c r="AS39" s="60"/>
      <c r="AT39" s="74" t="str">
        <f>IF(COUNTIF(AK39:AS39,"&lt;&gt;"&amp;"")=9,SUM(AK39:AS39),"-")</f>
        <v>-</v>
      </c>
      <c r="AU39" s="148" t="str">
        <f>IF(AND(ISNUMBER(AJ39),ISNUMBER(AT39)),AJ39+AT39,"-")</f>
        <v>-</v>
      </c>
      <c r="AV39" s="74" t="str">
        <f>IF(ISNUMBER(AU39),AU39-C39,"-")</f>
        <v>-</v>
      </c>
      <c r="AX39" s="59" t="str">
        <f t="shared" si="5"/>
        <v>-</v>
      </c>
      <c r="AY39" s="59" t="str">
        <f t="shared" si="6"/>
        <v>-</v>
      </c>
      <c r="AZ39" s="59" t="str">
        <f t="shared" si="7"/>
        <v>-</v>
      </c>
      <c r="BA39" s="59" t="str">
        <f t="shared" si="8"/>
        <v>-</v>
      </c>
      <c r="BB39" s="59" t="str">
        <f t="shared" si="9"/>
        <v>-</v>
      </c>
      <c r="BC39" s="59" t="str">
        <f t="shared" si="10"/>
        <v>-</v>
      </c>
      <c r="BD39" s="59" t="str">
        <f t="shared" si="11"/>
        <v>-</v>
      </c>
      <c r="BE39" s="59" t="str">
        <f t="shared" si="12"/>
        <v>-</v>
      </c>
      <c r="BF39" s="59" t="str">
        <f t="shared" si="13"/>
        <v>-</v>
      </c>
      <c r="BG39" s="59" t="str">
        <f t="shared" si="14"/>
        <v>-</v>
      </c>
      <c r="BH39" s="59" t="str">
        <f t="shared" si="15"/>
        <v>-</v>
      </c>
      <c r="BI39" s="59" t="str">
        <f t="shared" si="16"/>
        <v>-</v>
      </c>
      <c r="BJ39" s="59" t="str">
        <f t="shared" si="17"/>
        <v>-</v>
      </c>
      <c r="BK39" s="59" t="str">
        <f t="shared" si="18"/>
        <v>-</v>
      </c>
      <c r="BL39" s="59" t="str">
        <f>IF(AND(R39&gt;0,AO39&gt;0),MIN(R39,AO39),"-")</f>
        <v>-</v>
      </c>
      <c r="BM39" s="59" t="str">
        <f>IF(AND(S39&gt;0,AP39&gt;0),MIN(S39,AP39),"-")</f>
        <v>-</v>
      </c>
      <c r="BN39" s="59" t="str">
        <f>IF(AND(T39&gt;0,AQ39&gt;0),MIN(T39,AQ39),"-")</f>
        <v>-</v>
      </c>
      <c r="BO39" s="59" t="str">
        <f>IF(AND(U39&gt;0,AR39&gt;0),MIN(U39,AR39),"-")</f>
        <v>-</v>
      </c>
      <c r="BP39" s="59" t="str">
        <f>IF(AND(V39&gt;0,AS39&gt;0),MIN(V39,AS39),"-")</f>
        <v>-</v>
      </c>
      <c r="BQ39" s="59" t="str">
        <f t="shared" si="19"/>
        <v>-</v>
      </c>
      <c r="BR39" s="59" t="str">
        <f t="shared" si="20"/>
        <v>-</v>
      </c>
      <c r="BS39" s="59" t="str">
        <f t="shared" si="21"/>
        <v>-</v>
      </c>
      <c r="BT39" s="98" t="str">
        <f>IF(ISNUMBER(BS39),BS39-(C39*Rules!$P$9/100),"-")</f>
        <v>-</v>
      </c>
      <c r="BU39" s="59" t="e">
        <f>RANK($BT39,$BT$5:$BT$106,1)+COUNTIF(BT$5:BT39,BT39)-1</f>
        <v>#VALUE!</v>
      </c>
      <c r="BV39" s="59" t="e">
        <f t="shared" si="22"/>
        <v>#VALUE!</v>
      </c>
      <c r="BW39" s="59" t="str">
        <f t="shared" si="23"/>
        <v xml:space="preserve"> </v>
      </c>
      <c r="BX39" s="59" t="str">
        <f t="shared" si="24"/>
        <v>-</v>
      </c>
      <c r="BY39" s="98" t="str">
        <f t="shared" si="25"/>
        <v>-</v>
      </c>
      <c r="CC39" s="4">
        <v>35</v>
      </c>
      <c r="CD39" s="2" t="e">
        <f>VLOOKUP(CC39,$BU$5:BY$215,2,FALSE)</f>
        <v>#N/A</v>
      </c>
      <c r="CE39" s="6" t="e">
        <f>VLOOKUP(CC39,$BU$5:BY$215,3,FALSE)</f>
        <v>#N/A</v>
      </c>
      <c r="CF39" s="2" t="e">
        <f>VLOOKUP(CC39,$BU$5:BY$215,5,FALSE)</f>
        <v>#N/A</v>
      </c>
      <c r="CL39" s="77">
        <v>1</v>
      </c>
    </row>
    <row r="40" spans="1:90" ht="17.45" customHeight="1">
      <c r="A40" s="58">
        <v>36</v>
      </c>
      <c r="B40" s="59" t="str">
        <f>'A Div'!A40 &amp; " " &amp; 'A Div'!B40</f>
        <v xml:space="preserve"> </v>
      </c>
      <c r="C40" s="59" t="str">
        <f>'A Div'!E40</f>
        <v>-</v>
      </c>
      <c r="D40" s="60"/>
      <c r="E40" s="60"/>
      <c r="F40" s="60"/>
      <c r="G40" s="60"/>
      <c r="H40" s="60"/>
      <c r="I40" s="60"/>
      <c r="J40" s="60"/>
      <c r="K40" s="60"/>
      <c r="L40" s="60"/>
      <c r="M40" s="74" t="str">
        <f t="shared" si="0"/>
        <v>-</v>
      </c>
      <c r="N40" s="60"/>
      <c r="O40" s="60"/>
      <c r="P40" s="60"/>
      <c r="Q40" s="60"/>
      <c r="R40" s="60"/>
      <c r="S40" s="60"/>
      <c r="T40" s="60"/>
      <c r="U40" s="60"/>
      <c r="V40" s="60"/>
      <c r="W40" s="74" t="str">
        <f t="shared" si="1"/>
        <v>-</v>
      </c>
      <c r="X40" s="148" t="str">
        <f t="shared" si="2"/>
        <v>-</v>
      </c>
      <c r="Y40" s="74" t="str">
        <f t="shared" si="3"/>
        <v>-</v>
      </c>
      <c r="AA40" s="60"/>
      <c r="AB40" s="60"/>
      <c r="AC40" s="60"/>
      <c r="AD40" s="60"/>
      <c r="AE40" s="60"/>
      <c r="AF40" s="60"/>
      <c r="AG40" s="60"/>
      <c r="AH40" s="60"/>
      <c r="AI40" s="60"/>
      <c r="AJ40" s="74" t="str">
        <f t="shared" si="4"/>
        <v>-</v>
      </c>
      <c r="AK40" s="60"/>
      <c r="AL40" s="60"/>
      <c r="AM40" s="60"/>
      <c r="AN40" s="60"/>
      <c r="AO40" s="60"/>
      <c r="AP40" s="60"/>
      <c r="AQ40" s="60"/>
      <c r="AR40" s="60"/>
      <c r="AS40" s="60"/>
      <c r="AT40" s="74" t="str">
        <f>IF(COUNTIF(AK40:AS40,"&lt;&gt;"&amp;"")=9,SUM(AK40:AS40),"-")</f>
        <v>-</v>
      </c>
      <c r="AU40" s="148" t="str">
        <f>IF(AND(ISNUMBER(AJ40),ISNUMBER(AT40)),AJ40+AT40,"-")</f>
        <v>-</v>
      </c>
      <c r="AV40" s="74" t="str">
        <f>IF(ISNUMBER(AU40),AU40-C40,"-")</f>
        <v>-</v>
      </c>
      <c r="AX40" s="59" t="str">
        <f t="shared" si="5"/>
        <v>-</v>
      </c>
      <c r="AY40" s="59" t="str">
        <f t="shared" si="6"/>
        <v>-</v>
      </c>
      <c r="AZ40" s="59" t="str">
        <f t="shared" si="7"/>
        <v>-</v>
      </c>
      <c r="BA40" s="59" t="str">
        <f t="shared" si="8"/>
        <v>-</v>
      </c>
      <c r="BB40" s="59" t="str">
        <f t="shared" si="9"/>
        <v>-</v>
      </c>
      <c r="BC40" s="59" t="str">
        <f t="shared" si="10"/>
        <v>-</v>
      </c>
      <c r="BD40" s="59" t="str">
        <f t="shared" si="11"/>
        <v>-</v>
      </c>
      <c r="BE40" s="59" t="str">
        <f t="shared" si="12"/>
        <v>-</v>
      </c>
      <c r="BF40" s="59" t="str">
        <f t="shared" si="13"/>
        <v>-</v>
      </c>
      <c r="BG40" s="59" t="str">
        <f t="shared" si="14"/>
        <v>-</v>
      </c>
      <c r="BH40" s="59" t="str">
        <f t="shared" si="15"/>
        <v>-</v>
      </c>
      <c r="BI40" s="59" t="str">
        <f t="shared" si="16"/>
        <v>-</v>
      </c>
      <c r="BJ40" s="59" t="str">
        <f t="shared" si="17"/>
        <v>-</v>
      </c>
      <c r="BK40" s="59" t="str">
        <f t="shared" si="18"/>
        <v>-</v>
      </c>
      <c r="BL40" s="59" t="str">
        <f>IF(AND(R40&gt;0,AO40&gt;0),MIN(R40,AO40),"-")</f>
        <v>-</v>
      </c>
      <c r="BM40" s="59" t="str">
        <f>IF(AND(S40&gt;0,AP40&gt;0),MIN(S40,AP40),"-")</f>
        <v>-</v>
      </c>
      <c r="BN40" s="59" t="str">
        <f>IF(AND(T40&gt;0,AQ40&gt;0),MIN(T40,AQ40),"-")</f>
        <v>-</v>
      </c>
      <c r="BO40" s="59" t="str">
        <f>IF(AND(U40&gt;0,AR40&gt;0),MIN(U40,AR40),"-")</f>
        <v>-</v>
      </c>
      <c r="BP40" s="59" t="str">
        <f>IF(AND(V40&gt;0,AS40&gt;0),MIN(V40,AS40),"-")</f>
        <v>-</v>
      </c>
      <c r="BQ40" s="59" t="str">
        <f t="shared" si="19"/>
        <v>-</v>
      </c>
      <c r="BR40" s="59" t="str">
        <f t="shared" si="20"/>
        <v>-</v>
      </c>
      <c r="BS40" s="59" t="str">
        <f t="shared" si="21"/>
        <v>-</v>
      </c>
      <c r="BT40" s="98" t="str">
        <f>IF(ISNUMBER(BS40),BS40-(C40*Rules!$P$9/100),"-")</f>
        <v>-</v>
      </c>
      <c r="BU40" s="59" t="e">
        <f>RANK($BT40,$BT$5:$BT$106,1)+COUNTIF(BT$5:BT40,BT40)-1</f>
        <v>#VALUE!</v>
      </c>
      <c r="BV40" s="59" t="e">
        <f t="shared" si="22"/>
        <v>#VALUE!</v>
      </c>
      <c r="BW40" s="59" t="str">
        <f t="shared" si="23"/>
        <v xml:space="preserve"> </v>
      </c>
      <c r="BX40" s="59" t="str">
        <f t="shared" si="24"/>
        <v>-</v>
      </c>
      <c r="BY40" s="98" t="str">
        <f t="shared" si="25"/>
        <v>-</v>
      </c>
      <c r="CC40" s="4">
        <v>36</v>
      </c>
      <c r="CD40" s="2" t="e">
        <f>VLOOKUP(CC40,$BU$5:BY$215,2,FALSE)</f>
        <v>#N/A</v>
      </c>
      <c r="CE40" s="6" t="e">
        <f>VLOOKUP(CC40,$BU$5:BY$215,3,FALSE)</f>
        <v>#N/A</v>
      </c>
      <c r="CF40" s="2" t="e">
        <f>VLOOKUP(CC40,$BU$5:BY$215,5,FALSE)</f>
        <v>#N/A</v>
      </c>
      <c r="CL40" s="77">
        <v>1</v>
      </c>
    </row>
    <row r="41" spans="1:90" ht="17.45" customHeight="1">
      <c r="A41" s="58">
        <v>37</v>
      </c>
      <c r="B41" s="59" t="str">
        <f>'A Div'!A41 &amp; " " &amp; 'A Div'!B41</f>
        <v xml:space="preserve"> </v>
      </c>
      <c r="C41" s="59" t="str">
        <f>'A Div'!E41</f>
        <v>-</v>
      </c>
      <c r="D41" s="60"/>
      <c r="E41" s="60"/>
      <c r="F41" s="60"/>
      <c r="G41" s="60"/>
      <c r="H41" s="60"/>
      <c r="I41" s="60"/>
      <c r="J41" s="60"/>
      <c r="K41" s="60"/>
      <c r="L41" s="60"/>
      <c r="M41" s="74" t="str">
        <f t="shared" si="0"/>
        <v>-</v>
      </c>
      <c r="N41" s="60"/>
      <c r="O41" s="60"/>
      <c r="P41" s="60"/>
      <c r="Q41" s="60"/>
      <c r="R41" s="60"/>
      <c r="S41" s="60"/>
      <c r="T41" s="60"/>
      <c r="U41" s="60"/>
      <c r="V41" s="60"/>
      <c r="W41" s="74" t="str">
        <f t="shared" si="1"/>
        <v>-</v>
      </c>
      <c r="X41" s="148" t="str">
        <f t="shared" si="2"/>
        <v>-</v>
      </c>
      <c r="Y41" s="74" t="str">
        <f t="shared" si="3"/>
        <v>-</v>
      </c>
      <c r="AA41" s="60"/>
      <c r="AB41" s="60"/>
      <c r="AC41" s="60"/>
      <c r="AD41" s="60"/>
      <c r="AE41" s="60"/>
      <c r="AF41" s="60"/>
      <c r="AG41" s="60"/>
      <c r="AH41" s="60"/>
      <c r="AI41" s="60"/>
      <c r="AJ41" s="74" t="str">
        <f t="shared" si="4"/>
        <v>-</v>
      </c>
      <c r="AK41" s="60"/>
      <c r="AL41" s="60"/>
      <c r="AM41" s="60"/>
      <c r="AN41" s="60"/>
      <c r="AO41" s="60"/>
      <c r="AP41" s="60"/>
      <c r="AQ41" s="60"/>
      <c r="AR41" s="60"/>
      <c r="AS41" s="60"/>
      <c r="AT41" s="74" t="str">
        <f>IF(COUNTIF(AK41:AS41,"&lt;&gt;"&amp;"")=9,SUM(AK41:AS41),"-")</f>
        <v>-</v>
      </c>
      <c r="AU41" s="148" t="str">
        <f>IF(AND(ISNUMBER(AJ41),ISNUMBER(AT41)),AJ41+AT41,"-")</f>
        <v>-</v>
      </c>
      <c r="AV41" s="74" t="str">
        <f>IF(ISNUMBER(AU41),AU41-C41,"-")</f>
        <v>-</v>
      </c>
      <c r="AX41" s="59" t="str">
        <f t="shared" si="5"/>
        <v>-</v>
      </c>
      <c r="AY41" s="59" t="str">
        <f t="shared" si="6"/>
        <v>-</v>
      </c>
      <c r="AZ41" s="59" t="str">
        <f t="shared" si="7"/>
        <v>-</v>
      </c>
      <c r="BA41" s="59" t="str">
        <f t="shared" si="8"/>
        <v>-</v>
      </c>
      <c r="BB41" s="59" t="str">
        <f t="shared" si="9"/>
        <v>-</v>
      </c>
      <c r="BC41" s="59" t="str">
        <f t="shared" si="10"/>
        <v>-</v>
      </c>
      <c r="BD41" s="59" t="str">
        <f t="shared" si="11"/>
        <v>-</v>
      </c>
      <c r="BE41" s="59" t="str">
        <f t="shared" si="12"/>
        <v>-</v>
      </c>
      <c r="BF41" s="59" t="str">
        <f t="shared" si="13"/>
        <v>-</v>
      </c>
      <c r="BG41" s="59" t="str">
        <f t="shared" si="14"/>
        <v>-</v>
      </c>
      <c r="BH41" s="59" t="str">
        <f t="shared" si="15"/>
        <v>-</v>
      </c>
      <c r="BI41" s="59" t="str">
        <f t="shared" si="16"/>
        <v>-</v>
      </c>
      <c r="BJ41" s="59" t="str">
        <f t="shared" si="17"/>
        <v>-</v>
      </c>
      <c r="BK41" s="59" t="str">
        <f t="shared" si="18"/>
        <v>-</v>
      </c>
      <c r="BL41" s="59" t="str">
        <f>IF(AND(R41&gt;0,AO41&gt;0),MIN(R41,AO41),"-")</f>
        <v>-</v>
      </c>
      <c r="BM41" s="59" t="str">
        <f>IF(AND(S41&gt;0,AP41&gt;0),MIN(S41,AP41),"-")</f>
        <v>-</v>
      </c>
      <c r="BN41" s="59" t="str">
        <f>IF(AND(T41&gt;0,AQ41&gt;0),MIN(T41,AQ41),"-")</f>
        <v>-</v>
      </c>
      <c r="BO41" s="59" t="str">
        <f>IF(AND(U41&gt;0,AR41&gt;0),MIN(U41,AR41),"-")</f>
        <v>-</v>
      </c>
      <c r="BP41" s="59" t="str">
        <f>IF(AND(V41&gt;0,AS41&gt;0),MIN(V41,AS41),"-")</f>
        <v>-</v>
      </c>
      <c r="BQ41" s="59" t="str">
        <f t="shared" si="19"/>
        <v>-</v>
      </c>
      <c r="BR41" s="59" t="str">
        <f t="shared" si="20"/>
        <v>-</v>
      </c>
      <c r="BS41" s="59" t="str">
        <f t="shared" si="21"/>
        <v>-</v>
      </c>
      <c r="BT41" s="98" t="str">
        <f>IF(ISNUMBER(BS41),BS41-(C41*Rules!$P$9/100),"-")</f>
        <v>-</v>
      </c>
      <c r="BU41" s="59" t="e">
        <f>RANK($BT41,$BT$5:$BT$106,1)+COUNTIF(BT$5:BT41,BT41)-1</f>
        <v>#VALUE!</v>
      </c>
      <c r="BV41" s="59" t="e">
        <f t="shared" si="22"/>
        <v>#VALUE!</v>
      </c>
      <c r="BW41" s="59" t="str">
        <f t="shared" si="23"/>
        <v xml:space="preserve"> </v>
      </c>
      <c r="BX41" s="59" t="str">
        <f t="shared" si="24"/>
        <v>-</v>
      </c>
      <c r="BY41" s="98" t="str">
        <f t="shared" si="25"/>
        <v>-</v>
      </c>
      <c r="CC41" s="4">
        <v>37</v>
      </c>
      <c r="CD41" s="2" t="e">
        <f>VLOOKUP(CC41,$BU$5:BY$215,2,FALSE)</f>
        <v>#N/A</v>
      </c>
      <c r="CE41" s="6" t="e">
        <f>VLOOKUP(CC41,$BU$5:BY$215,3,FALSE)</f>
        <v>#N/A</v>
      </c>
      <c r="CF41" s="2" t="e">
        <f>VLOOKUP(CC41,$BU$5:BY$215,5,FALSE)</f>
        <v>#N/A</v>
      </c>
      <c r="CL41" s="77">
        <v>1</v>
      </c>
    </row>
    <row r="42" spans="1:90" ht="17.45" customHeight="1">
      <c r="A42" s="58">
        <v>38</v>
      </c>
      <c r="B42" s="59" t="str">
        <f>'A Div'!A42 &amp; " " &amp; 'A Div'!B42</f>
        <v xml:space="preserve"> </v>
      </c>
      <c r="C42" s="59" t="str">
        <f>'A Div'!E42</f>
        <v>-</v>
      </c>
      <c r="D42" s="60"/>
      <c r="E42" s="60"/>
      <c r="F42" s="60"/>
      <c r="G42" s="60"/>
      <c r="H42" s="60"/>
      <c r="I42" s="60"/>
      <c r="J42" s="60"/>
      <c r="K42" s="60"/>
      <c r="L42" s="60"/>
      <c r="M42" s="74" t="str">
        <f t="shared" si="0"/>
        <v>-</v>
      </c>
      <c r="N42" s="60"/>
      <c r="O42" s="60"/>
      <c r="P42" s="60"/>
      <c r="Q42" s="60"/>
      <c r="R42" s="60"/>
      <c r="S42" s="60"/>
      <c r="T42" s="60"/>
      <c r="U42" s="60"/>
      <c r="V42" s="60"/>
      <c r="W42" s="74" t="str">
        <f t="shared" si="1"/>
        <v>-</v>
      </c>
      <c r="X42" s="148" t="str">
        <f t="shared" si="2"/>
        <v>-</v>
      </c>
      <c r="Y42" s="74" t="str">
        <f t="shared" si="3"/>
        <v>-</v>
      </c>
      <c r="AA42" s="60"/>
      <c r="AB42" s="60"/>
      <c r="AC42" s="60"/>
      <c r="AD42" s="60"/>
      <c r="AE42" s="60"/>
      <c r="AF42" s="60"/>
      <c r="AG42" s="60"/>
      <c r="AH42" s="60"/>
      <c r="AI42" s="60"/>
      <c r="AJ42" s="74" t="str">
        <f t="shared" si="4"/>
        <v>-</v>
      </c>
      <c r="AK42" s="60"/>
      <c r="AL42" s="60"/>
      <c r="AM42" s="60"/>
      <c r="AN42" s="60"/>
      <c r="AO42" s="60"/>
      <c r="AP42" s="60"/>
      <c r="AQ42" s="60"/>
      <c r="AR42" s="60"/>
      <c r="AS42" s="60"/>
      <c r="AT42" s="74" t="str">
        <f>IF(COUNTIF(AK42:AS42,"&lt;&gt;"&amp;"")=9,SUM(AK42:AS42),"-")</f>
        <v>-</v>
      </c>
      <c r="AU42" s="148" t="str">
        <f>IF(AND(ISNUMBER(AJ42),ISNUMBER(AT42)),AJ42+AT42,"-")</f>
        <v>-</v>
      </c>
      <c r="AV42" s="74" t="str">
        <f>IF(ISNUMBER(AU42),AU42-C42,"-")</f>
        <v>-</v>
      </c>
      <c r="AX42" s="59" t="str">
        <f t="shared" si="5"/>
        <v>-</v>
      </c>
      <c r="AY42" s="59" t="str">
        <f t="shared" si="6"/>
        <v>-</v>
      </c>
      <c r="AZ42" s="59" t="str">
        <f t="shared" si="7"/>
        <v>-</v>
      </c>
      <c r="BA42" s="59" t="str">
        <f t="shared" si="8"/>
        <v>-</v>
      </c>
      <c r="BB42" s="59" t="str">
        <f t="shared" si="9"/>
        <v>-</v>
      </c>
      <c r="BC42" s="59" t="str">
        <f t="shared" si="10"/>
        <v>-</v>
      </c>
      <c r="BD42" s="59" t="str">
        <f t="shared" si="11"/>
        <v>-</v>
      </c>
      <c r="BE42" s="59" t="str">
        <f t="shared" si="12"/>
        <v>-</v>
      </c>
      <c r="BF42" s="59" t="str">
        <f t="shared" si="13"/>
        <v>-</v>
      </c>
      <c r="BG42" s="59" t="str">
        <f t="shared" si="14"/>
        <v>-</v>
      </c>
      <c r="BH42" s="59" t="str">
        <f t="shared" si="15"/>
        <v>-</v>
      </c>
      <c r="BI42" s="59" t="str">
        <f t="shared" si="16"/>
        <v>-</v>
      </c>
      <c r="BJ42" s="59" t="str">
        <f t="shared" si="17"/>
        <v>-</v>
      </c>
      <c r="BK42" s="59" t="str">
        <f t="shared" si="18"/>
        <v>-</v>
      </c>
      <c r="BL42" s="59" t="str">
        <f>IF(AND(R42&gt;0,AO42&gt;0),MIN(R42,AO42),"-")</f>
        <v>-</v>
      </c>
      <c r="BM42" s="59" t="str">
        <f>IF(AND(S42&gt;0,AP42&gt;0),MIN(S42,AP42),"-")</f>
        <v>-</v>
      </c>
      <c r="BN42" s="59" t="str">
        <f>IF(AND(T42&gt;0,AQ42&gt;0),MIN(T42,AQ42),"-")</f>
        <v>-</v>
      </c>
      <c r="BO42" s="59" t="str">
        <f>IF(AND(U42&gt;0,AR42&gt;0),MIN(U42,AR42),"-")</f>
        <v>-</v>
      </c>
      <c r="BP42" s="59" t="str">
        <f>IF(AND(V42&gt;0,AS42&gt;0),MIN(V42,AS42),"-")</f>
        <v>-</v>
      </c>
      <c r="BQ42" s="59" t="str">
        <f t="shared" si="19"/>
        <v>-</v>
      </c>
      <c r="BR42" s="59" t="str">
        <f t="shared" si="20"/>
        <v>-</v>
      </c>
      <c r="BS42" s="59" t="str">
        <f t="shared" si="21"/>
        <v>-</v>
      </c>
      <c r="BT42" s="98" t="str">
        <f>IF(ISNUMBER(BS42),BS42-(C42*Rules!$P$9/100),"-")</f>
        <v>-</v>
      </c>
      <c r="BU42" s="59" t="e">
        <f>RANK($BT42,$BT$5:$BT$106,1)+COUNTIF(BT$5:BT42,BT42)-1</f>
        <v>#VALUE!</v>
      </c>
      <c r="BV42" s="59" t="e">
        <f t="shared" si="22"/>
        <v>#VALUE!</v>
      </c>
      <c r="BW42" s="59" t="str">
        <f t="shared" si="23"/>
        <v xml:space="preserve"> </v>
      </c>
      <c r="BX42" s="59" t="str">
        <f t="shared" si="24"/>
        <v>-</v>
      </c>
      <c r="BY42" s="98" t="str">
        <f t="shared" si="25"/>
        <v>-</v>
      </c>
      <c r="CC42" s="4">
        <v>38</v>
      </c>
      <c r="CD42" s="2" t="e">
        <f>VLOOKUP(CC42,$BU$5:BY$215,2,FALSE)</f>
        <v>#N/A</v>
      </c>
      <c r="CE42" s="6" t="e">
        <f>VLOOKUP(CC42,$BU$5:BY$215,3,FALSE)</f>
        <v>#N/A</v>
      </c>
      <c r="CF42" s="2" t="e">
        <f>VLOOKUP(CC42,$BU$5:BY$215,5,FALSE)</f>
        <v>#N/A</v>
      </c>
      <c r="CL42" s="77">
        <v>1</v>
      </c>
    </row>
    <row r="43" spans="1:90" ht="17.45" customHeight="1">
      <c r="A43" s="58">
        <v>39</v>
      </c>
      <c r="B43" s="59" t="str">
        <f>'A Div'!A43 &amp; " " &amp; 'A Div'!B43</f>
        <v xml:space="preserve"> </v>
      </c>
      <c r="C43" s="59" t="str">
        <f>'A Div'!E43</f>
        <v>-</v>
      </c>
      <c r="D43" s="60"/>
      <c r="E43" s="60"/>
      <c r="F43" s="60"/>
      <c r="G43" s="60"/>
      <c r="H43" s="60"/>
      <c r="I43" s="60"/>
      <c r="J43" s="60"/>
      <c r="K43" s="60"/>
      <c r="L43" s="60"/>
      <c r="M43" s="74" t="str">
        <f t="shared" si="0"/>
        <v>-</v>
      </c>
      <c r="N43" s="60"/>
      <c r="O43" s="60"/>
      <c r="P43" s="60"/>
      <c r="Q43" s="60"/>
      <c r="R43" s="60"/>
      <c r="S43" s="60"/>
      <c r="T43" s="60"/>
      <c r="U43" s="60"/>
      <c r="V43" s="60"/>
      <c r="W43" s="74" t="str">
        <f t="shared" si="1"/>
        <v>-</v>
      </c>
      <c r="X43" s="148" t="str">
        <f t="shared" si="2"/>
        <v>-</v>
      </c>
      <c r="Y43" s="74" t="str">
        <f t="shared" si="3"/>
        <v>-</v>
      </c>
      <c r="AA43" s="60"/>
      <c r="AB43" s="60"/>
      <c r="AC43" s="60"/>
      <c r="AD43" s="60"/>
      <c r="AE43" s="60"/>
      <c r="AF43" s="60"/>
      <c r="AG43" s="60"/>
      <c r="AH43" s="60"/>
      <c r="AI43" s="60"/>
      <c r="AJ43" s="74" t="str">
        <f t="shared" si="4"/>
        <v>-</v>
      </c>
      <c r="AK43" s="60"/>
      <c r="AL43" s="60"/>
      <c r="AM43" s="60"/>
      <c r="AN43" s="60"/>
      <c r="AO43" s="60"/>
      <c r="AP43" s="60"/>
      <c r="AQ43" s="60"/>
      <c r="AR43" s="60"/>
      <c r="AS43" s="60"/>
      <c r="AT43" s="74" t="str">
        <f>IF(COUNTIF(AK43:AS43,"&lt;&gt;"&amp;"")=9,SUM(AK43:AS43),"-")</f>
        <v>-</v>
      </c>
      <c r="AU43" s="148" t="str">
        <f>IF(AND(ISNUMBER(AJ43),ISNUMBER(AT43)),AJ43+AT43,"-")</f>
        <v>-</v>
      </c>
      <c r="AV43" s="74" t="str">
        <f>IF(ISNUMBER(AU43),AU43-C43,"-")</f>
        <v>-</v>
      </c>
      <c r="AX43" s="59" t="str">
        <f t="shared" si="5"/>
        <v>-</v>
      </c>
      <c r="AY43" s="59" t="str">
        <f t="shared" si="6"/>
        <v>-</v>
      </c>
      <c r="AZ43" s="59" t="str">
        <f t="shared" si="7"/>
        <v>-</v>
      </c>
      <c r="BA43" s="59" t="str">
        <f t="shared" si="8"/>
        <v>-</v>
      </c>
      <c r="BB43" s="59" t="str">
        <f t="shared" si="9"/>
        <v>-</v>
      </c>
      <c r="BC43" s="59" t="str">
        <f t="shared" si="10"/>
        <v>-</v>
      </c>
      <c r="BD43" s="59" t="str">
        <f t="shared" si="11"/>
        <v>-</v>
      </c>
      <c r="BE43" s="59" t="str">
        <f t="shared" si="12"/>
        <v>-</v>
      </c>
      <c r="BF43" s="59" t="str">
        <f t="shared" si="13"/>
        <v>-</v>
      </c>
      <c r="BG43" s="59" t="str">
        <f t="shared" si="14"/>
        <v>-</v>
      </c>
      <c r="BH43" s="59" t="str">
        <f t="shared" si="15"/>
        <v>-</v>
      </c>
      <c r="BI43" s="59" t="str">
        <f t="shared" si="16"/>
        <v>-</v>
      </c>
      <c r="BJ43" s="59" t="str">
        <f t="shared" si="17"/>
        <v>-</v>
      </c>
      <c r="BK43" s="59" t="str">
        <f t="shared" si="18"/>
        <v>-</v>
      </c>
      <c r="BL43" s="59" t="str">
        <f>IF(AND(R43&gt;0,AO43&gt;0),MIN(R43,AO43),"-")</f>
        <v>-</v>
      </c>
      <c r="BM43" s="59" t="str">
        <f>IF(AND(S43&gt;0,AP43&gt;0),MIN(S43,AP43),"-")</f>
        <v>-</v>
      </c>
      <c r="BN43" s="59" t="str">
        <f>IF(AND(T43&gt;0,AQ43&gt;0),MIN(T43,AQ43),"-")</f>
        <v>-</v>
      </c>
      <c r="BO43" s="59" t="str">
        <f>IF(AND(U43&gt;0,AR43&gt;0),MIN(U43,AR43),"-")</f>
        <v>-</v>
      </c>
      <c r="BP43" s="59" t="str">
        <f>IF(AND(V43&gt;0,AS43&gt;0),MIN(V43,AS43),"-")</f>
        <v>-</v>
      </c>
      <c r="BQ43" s="59" t="str">
        <f t="shared" si="19"/>
        <v>-</v>
      </c>
      <c r="BR43" s="59" t="str">
        <f t="shared" si="20"/>
        <v>-</v>
      </c>
      <c r="BS43" s="59" t="str">
        <f t="shared" si="21"/>
        <v>-</v>
      </c>
      <c r="BT43" s="98" t="str">
        <f>IF(ISNUMBER(BS43),BS43-(C43*Rules!$P$9/100),"-")</f>
        <v>-</v>
      </c>
      <c r="BU43" s="59" t="e">
        <f>RANK($BT43,$BT$5:$BT$106,1)+COUNTIF(BT$5:BT43,BT43)-1</f>
        <v>#VALUE!</v>
      </c>
      <c r="BV43" s="59" t="e">
        <f t="shared" si="22"/>
        <v>#VALUE!</v>
      </c>
      <c r="BW43" s="59" t="str">
        <f t="shared" si="23"/>
        <v xml:space="preserve"> </v>
      </c>
      <c r="BX43" s="59" t="str">
        <f t="shared" si="24"/>
        <v>-</v>
      </c>
      <c r="BY43" s="98" t="str">
        <f t="shared" si="25"/>
        <v>-</v>
      </c>
      <c r="CC43" s="4">
        <v>39</v>
      </c>
      <c r="CD43" s="2" t="e">
        <f>VLOOKUP(CC43,$BU$5:BY$215,2,FALSE)</f>
        <v>#N/A</v>
      </c>
      <c r="CE43" s="6" t="e">
        <f>VLOOKUP(CC43,$BU$5:BY$215,3,FALSE)</f>
        <v>#N/A</v>
      </c>
      <c r="CF43" s="2" t="e">
        <f>VLOOKUP(CC43,$BU$5:BY$215,5,FALSE)</f>
        <v>#N/A</v>
      </c>
      <c r="CL43" s="77">
        <v>1</v>
      </c>
    </row>
    <row r="44" spans="1:90" ht="17.45" customHeight="1">
      <c r="A44" s="58">
        <v>40</v>
      </c>
      <c r="B44" s="59" t="str">
        <f>'A Div'!A44 &amp; " " &amp; 'A Div'!B44</f>
        <v xml:space="preserve"> </v>
      </c>
      <c r="C44" s="59" t="str">
        <f>'A Div'!E44</f>
        <v>-</v>
      </c>
      <c r="D44" s="60"/>
      <c r="E44" s="60"/>
      <c r="F44" s="60"/>
      <c r="G44" s="60"/>
      <c r="H44" s="60"/>
      <c r="I44" s="60"/>
      <c r="J44" s="60"/>
      <c r="K44" s="60"/>
      <c r="L44" s="60"/>
      <c r="M44" s="74" t="str">
        <f t="shared" si="0"/>
        <v>-</v>
      </c>
      <c r="N44" s="60"/>
      <c r="O44" s="60"/>
      <c r="P44" s="60"/>
      <c r="Q44" s="60"/>
      <c r="R44" s="60"/>
      <c r="S44" s="60"/>
      <c r="T44" s="60"/>
      <c r="U44" s="60"/>
      <c r="V44" s="60"/>
      <c r="W44" s="74" t="str">
        <f t="shared" si="1"/>
        <v>-</v>
      </c>
      <c r="X44" s="148" t="str">
        <f t="shared" si="2"/>
        <v>-</v>
      </c>
      <c r="Y44" s="74" t="str">
        <f t="shared" si="3"/>
        <v>-</v>
      </c>
      <c r="AA44" s="60"/>
      <c r="AB44" s="60"/>
      <c r="AC44" s="60"/>
      <c r="AD44" s="60"/>
      <c r="AE44" s="60"/>
      <c r="AF44" s="60"/>
      <c r="AG44" s="60"/>
      <c r="AH44" s="60"/>
      <c r="AI44" s="60"/>
      <c r="AJ44" s="74" t="str">
        <f t="shared" si="4"/>
        <v>-</v>
      </c>
      <c r="AK44" s="60"/>
      <c r="AL44" s="60"/>
      <c r="AM44" s="60"/>
      <c r="AN44" s="60"/>
      <c r="AO44" s="60"/>
      <c r="AP44" s="60"/>
      <c r="AQ44" s="60"/>
      <c r="AR44" s="60"/>
      <c r="AS44" s="60"/>
      <c r="AT44" s="74" t="str">
        <f>IF(COUNTIF(AK44:AS44,"&lt;&gt;"&amp;"")=9,SUM(AK44:AS44),"-")</f>
        <v>-</v>
      </c>
      <c r="AU44" s="148" t="str">
        <f>IF(AND(ISNUMBER(AJ44),ISNUMBER(AT44)),AJ44+AT44,"-")</f>
        <v>-</v>
      </c>
      <c r="AV44" s="74" t="str">
        <f>IF(ISNUMBER(AU44),AU44-C44,"-")</f>
        <v>-</v>
      </c>
      <c r="AX44" s="59" t="str">
        <f t="shared" si="5"/>
        <v>-</v>
      </c>
      <c r="AY44" s="59" t="str">
        <f t="shared" si="6"/>
        <v>-</v>
      </c>
      <c r="AZ44" s="59" t="str">
        <f t="shared" si="7"/>
        <v>-</v>
      </c>
      <c r="BA44" s="59" t="str">
        <f t="shared" si="8"/>
        <v>-</v>
      </c>
      <c r="BB44" s="59" t="str">
        <f t="shared" si="9"/>
        <v>-</v>
      </c>
      <c r="BC44" s="59" t="str">
        <f t="shared" si="10"/>
        <v>-</v>
      </c>
      <c r="BD44" s="59" t="str">
        <f t="shared" si="11"/>
        <v>-</v>
      </c>
      <c r="BE44" s="59" t="str">
        <f t="shared" si="12"/>
        <v>-</v>
      </c>
      <c r="BF44" s="59" t="str">
        <f t="shared" si="13"/>
        <v>-</v>
      </c>
      <c r="BG44" s="59" t="str">
        <f t="shared" si="14"/>
        <v>-</v>
      </c>
      <c r="BH44" s="59" t="str">
        <f t="shared" si="15"/>
        <v>-</v>
      </c>
      <c r="BI44" s="59" t="str">
        <f t="shared" si="16"/>
        <v>-</v>
      </c>
      <c r="BJ44" s="59" t="str">
        <f t="shared" si="17"/>
        <v>-</v>
      </c>
      <c r="BK44" s="59" t="str">
        <f t="shared" si="18"/>
        <v>-</v>
      </c>
      <c r="BL44" s="59" t="str">
        <f>IF(AND(R44&gt;0,AO44&gt;0),MIN(R44,AO44),"-")</f>
        <v>-</v>
      </c>
      <c r="BM44" s="59" t="str">
        <f>IF(AND(S44&gt;0,AP44&gt;0),MIN(S44,AP44),"-")</f>
        <v>-</v>
      </c>
      <c r="BN44" s="59" t="str">
        <f>IF(AND(T44&gt;0,AQ44&gt;0),MIN(T44,AQ44),"-")</f>
        <v>-</v>
      </c>
      <c r="BO44" s="59" t="str">
        <f>IF(AND(U44&gt;0,AR44&gt;0),MIN(U44,AR44),"-")</f>
        <v>-</v>
      </c>
      <c r="BP44" s="59" t="str">
        <f>IF(AND(V44&gt;0,AS44&gt;0),MIN(V44,AS44),"-")</f>
        <v>-</v>
      </c>
      <c r="BQ44" s="59" t="str">
        <f t="shared" si="19"/>
        <v>-</v>
      </c>
      <c r="BR44" s="59" t="str">
        <f t="shared" si="20"/>
        <v>-</v>
      </c>
      <c r="BS44" s="59" t="str">
        <f t="shared" si="21"/>
        <v>-</v>
      </c>
      <c r="BT44" s="98" t="str">
        <f>IF(ISNUMBER(BS44),BS44-(C44*Rules!$P$9/100),"-")</f>
        <v>-</v>
      </c>
      <c r="BU44" s="59" t="e">
        <f>RANK($BT44,$BT$5:$BT$106,1)+COUNTIF(BT$5:BT44,BT44)-1</f>
        <v>#VALUE!</v>
      </c>
      <c r="BV44" s="59" t="e">
        <f t="shared" si="22"/>
        <v>#VALUE!</v>
      </c>
      <c r="BW44" s="59" t="str">
        <f t="shared" si="23"/>
        <v xml:space="preserve"> </v>
      </c>
      <c r="BX44" s="59" t="str">
        <f t="shared" si="24"/>
        <v>-</v>
      </c>
      <c r="BY44" s="98" t="str">
        <f t="shared" si="25"/>
        <v>-</v>
      </c>
      <c r="CC44" s="4">
        <v>40</v>
      </c>
      <c r="CD44" s="2" t="e">
        <f>VLOOKUP(CC44,$BU$5:BY$215,2,FALSE)</f>
        <v>#N/A</v>
      </c>
      <c r="CE44" s="6" t="e">
        <f>VLOOKUP(CC44,$BU$5:BY$215,3,FALSE)</f>
        <v>#N/A</v>
      </c>
      <c r="CF44" s="2" t="e">
        <f>VLOOKUP(CC44,$BU$5:BY$215,5,FALSE)</f>
        <v>#N/A</v>
      </c>
      <c r="CL44" s="77">
        <v>1</v>
      </c>
    </row>
    <row r="45" spans="1:90" ht="17.45" customHeight="1">
      <c r="A45" s="58">
        <v>41</v>
      </c>
      <c r="B45" s="59" t="str">
        <f>'A Div'!A45 &amp; " " &amp; 'A Div'!B45</f>
        <v xml:space="preserve"> </v>
      </c>
      <c r="C45" s="59" t="str">
        <f>'A Div'!E45</f>
        <v>-</v>
      </c>
      <c r="D45" s="60"/>
      <c r="E45" s="60"/>
      <c r="F45" s="60"/>
      <c r="G45" s="60"/>
      <c r="H45" s="60"/>
      <c r="I45" s="60"/>
      <c r="J45" s="60"/>
      <c r="K45" s="60"/>
      <c r="L45" s="60"/>
      <c r="M45" s="74" t="str">
        <f t="shared" si="0"/>
        <v>-</v>
      </c>
      <c r="N45" s="60"/>
      <c r="O45" s="60"/>
      <c r="P45" s="60"/>
      <c r="Q45" s="60"/>
      <c r="R45" s="60"/>
      <c r="S45" s="60"/>
      <c r="T45" s="60"/>
      <c r="U45" s="60"/>
      <c r="V45" s="60"/>
      <c r="W45" s="74" t="str">
        <f t="shared" si="1"/>
        <v>-</v>
      </c>
      <c r="X45" s="148" t="str">
        <f t="shared" si="2"/>
        <v>-</v>
      </c>
      <c r="Y45" s="74" t="str">
        <f t="shared" si="3"/>
        <v>-</v>
      </c>
      <c r="AA45" s="60"/>
      <c r="AB45" s="60"/>
      <c r="AC45" s="60"/>
      <c r="AD45" s="60"/>
      <c r="AE45" s="60"/>
      <c r="AF45" s="60"/>
      <c r="AG45" s="60"/>
      <c r="AH45" s="60"/>
      <c r="AI45" s="60"/>
      <c r="AJ45" s="74" t="str">
        <f t="shared" si="4"/>
        <v>-</v>
      </c>
      <c r="AK45" s="60"/>
      <c r="AL45" s="60"/>
      <c r="AM45" s="60"/>
      <c r="AN45" s="60"/>
      <c r="AO45" s="60"/>
      <c r="AP45" s="60"/>
      <c r="AQ45" s="60"/>
      <c r="AR45" s="60"/>
      <c r="AS45" s="60"/>
      <c r="AT45" s="74" t="str">
        <f>IF(COUNTIF(AK45:AS45,"&lt;&gt;"&amp;"")=9,SUM(AK45:AS45),"-")</f>
        <v>-</v>
      </c>
      <c r="AU45" s="148" t="str">
        <f>IF(AND(ISNUMBER(AJ45),ISNUMBER(AT45)),AJ45+AT45,"-")</f>
        <v>-</v>
      </c>
      <c r="AV45" s="74" t="str">
        <f>IF(ISNUMBER(AU45),AU45-C45,"-")</f>
        <v>-</v>
      </c>
      <c r="AX45" s="59" t="str">
        <f t="shared" si="5"/>
        <v>-</v>
      </c>
      <c r="AY45" s="59" t="str">
        <f t="shared" si="6"/>
        <v>-</v>
      </c>
      <c r="AZ45" s="59" t="str">
        <f t="shared" si="7"/>
        <v>-</v>
      </c>
      <c r="BA45" s="59" t="str">
        <f t="shared" si="8"/>
        <v>-</v>
      </c>
      <c r="BB45" s="59" t="str">
        <f t="shared" si="9"/>
        <v>-</v>
      </c>
      <c r="BC45" s="59" t="str">
        <f t="shared" si="10"/>
        <v>-</v>
      </c>
      <c r="BD45" s="59" t="str">
        <f t="shared" si="11"/>
        <v>-</v>
      </c>
      <c r="BE45" s="59" t="str">
        <f t="shared" si="12"/>
        <v>-</v>
      </c>
      <c r="BF45" s="59" t="str">
        <f t="shared" si="13"/>
        <v>-</v>
      </c>
      <c r="BG45" s="59" t="str">
        <f t="shared" si="14"/>
        <v>-</v>
      </c>
      <c r="BH45" s="59" t="str">
        <f t="shared" si="15"/>
        <v>-</v>
      </c>
      <c r="BI45" s="59" t="str">
        <f t="shared" si="16"/>
        <v>-</v>
      </c>
      <c r="BJ45" s="59" t="str">
        <f t="shared" si="17"/>
        <v>-</v>
      </c>
      <c r="BK45" s="59" t="str">
        <f t="shared" si="18"/>
        <v>-</v>
      </c>
      <c r="BL45" s="59" t="str">
        <f>IF(AND(R45&gt;0,AO45&gt;0),MIN(R45,AO45),"-")</f>
        <v>-</v>
      </c>
      <c r="BM45" s="59" t="str">
        <f>IF(AND(S45&gt;0,AP45&gt;0),MIN(S45,AP45),"-")</f>
        <v>-</v>
      </c>
      <c r="BN45" s="59" t="str">
        <f>IF(AND(T45&gt;0,AQ45&gt;0),MIN(T45,AQ45),"-")</f>
        <v>-</v>
      </c>
      <c r="BO45" s="59" t="str">
        <f>IF(AND(U45&gt;0,AR45&gt;0),MIN(U45,AR45),"-")</f>
        <v>-</v>
      </c>
      <c r="BP45" s="59" t="str">
        <f>IF(AND(V45&gt;0,AS45&gt;0),MIN(V45,AS45),"-")</f>
        <v>-</v>
      </c>
      <c r="BQ45" s="59" t="str">
        <f t="shared" si="19"/>
        <v>-</v>
      </c>
      <c r="BR45" s="59" t="str">
        <f t="shared" si="20"/>
        <v>-</v>
      </c>
      <c r="BS45" s="59" t="str">
        <f t="shared" si="21"/>
        <v>-</v>
      </c>
      <c r="BT45" s="98" t="str">
        <f>IF(ISNUMBER(BS45),BS45-(C45*Rules!$P$9/100),"-")</f>
        <v>-</v>
      </c>
      <c r="BU45" s="59" t="e">
        <f>RANK($BT45,$BT$5:$BT$106,1)+COUNTIF(BT$5:BT45,BT45)-1</f>
        <v>#VALUE!</v>
      </c>
      <c r="BV45" s="59" t="e">
        <f t="shared" si="22"/>
        <v>#VALUE!</v>
      </c>
      <c r="BW45" s="59" t="str">
        <f t="shared" si="23"/>
        <v xml:space="preserve"> </v>
      </c>
      <c r="BX45" s="59" t="str">
        <f t="shared" si="24"/>
        <v>-</v>
      </c>
      <c r="BY45" s="98" t="str">
        <f t="shared" si="25"/>
        <v>-</v>
      </c>
      <c r="CC45" s="4">
        <v>41</v>
      </c>
      <c r="CD45" s="2" t="e">
        <f>VLOOKUP(CC45,$BU$5:BY$215,2,FALSE)</f>
        <v>#N/A</v>
      </c>
      <c r="CE45" s="6" t="e">
        <f>VLOOKUP(CC45,$BU$5:BY$215,3,FALSE)</f>
        <v>#N/A</v>
      </c>
      <c r="CF45" s="2" t="e">
        <f>VLOOKUP(CC45,$BU$5:BY$215,5,FALSE)</f>
        <v>#N/A</v>
      </c>
      <c r="CL45" s="77">
        <v>1</v>
      </c>
    </row>
    <row r="46" spans="1:90" ht="17.45" customHeight="1">
      <c r="A46" s="58">
        <v>42</v>
      </c>
      <c r="B46" s="59" t="str">
        <f>'A Div'!A46 &amp; " " &amp; 'A Div'!B46</f>
        <v xml:space="preserve"> </v>
      </c>
      <c r="C46" s="59" t="str">
        <f>'A Div'!E46</f>
        <v>-</v>
      </c>
      <c r="D46" s="60"/>
      <c r="E46" s="60"/>
      <c r="F46" s="60"/>
      <c r="G46" s="60"/>
      <c r="H46" s="60"/>
      <c r="I46" s="60"/>
      <c r="J46" s="60"/>
      <c r="K46" s="60"/>
      <c r="L46" s="60"/>
      <c r="M46" s="74" t="str">
        <f t="shared" si="0"/>
        <v>-</v>
      </c>
      <c r="N46" s="60"/>
      <c r="O46" s="60"/>
      <c r="P46" s="60"/>
      <c r="Q46" s="60"/>
      <c r="R46" s="60"/>
      <c r="S46" s="60"/>
      <c r="T46" s="60"/>
      <c r="U46" s="60"/>
      <c r="V46" s="60"/>
      <c r="W46" s="74" t="str">
        <f t="shared" si="1"/>
        <v>-</v>
      </c>
      <c r="X46" s="148" t="str">
        <f t="shared" si="2"/>
        <v>-</v>
      </c>
      <c r="Y46" s="74" t="str">
        <f t="shared" si="3"/>
        <v>-</v>
      </c>
      <c r="AA46" s="60"/>
      <c r="AB46" s="60"/>
      <c r="AC46" s="60"/>
      <c r="AD46" s="60"/>
      <c r="AE46" s="60"/>
      <c r="AF46" s="60"/>
      <c r="AG46" s="60"/>
      <c r="AH46" s="60"/>
      <c r="AI46" s="60"/>
      <c r="AJ46" s="74" t="str">
        <f t="shared" si="4"/>
        <v>-</v>
      </c>
      <c r="AK46" s="60"/>
      <c r="AL46" s="60"/>
      <c r="AM46" s="60"/>
      <c r="AN46" s="60"/>
      <c r="AO46" s="60"/>
      <c r="AP46" s="60"/>
      <c r="AQ46" s="60"/>
      <c r="AR46" s="60"/>
      <c r="AS46" s="60"/>
      <c r="AT46" s="74" t="str">
        <f>IF(COUNTIF(AK46:AS46,"&lt;&gt;"&amp;"")=9,SUM(AK46:AS46),"-")</f>
        <v>-</v>
      </c>
      <c r="AU46" s="148" t="str">
        <f>IF(AND(ISNUMBER(AJ46),ISNUMBER(AT46)),AJ46+AT46,"-")</f>
        <v>-</v>
      </c>
      <c r="AV46" s="74" t="str">
        <f>IF(ISNUMBER(AU46),AU46-C46,"-")</f>
        <v>-</v>
      </c>
      <c r="AX46" s="59" t="str">
        <f t="shared" si="5"/>
        <v>-</v>
      </c>
      <c r="AY46" s="59" t="str">
        <f t="shared" si="6"/>
        <v>-</v>
      </c>
      <c r="AZ46" s="59" t="str">
        <f t="shared" si="7"/>
        <v>-</v>
      </c>
      <c r="BA46" s="59" t="str">
        <f t="shared" si="8"/>
        <v>-</v>
      </c>
      <c r="BB46" s="59" t="str">
        <f t="shared" si="9"/>
        <v>-</v>
      </c>
      <c r="BC46" s="59" t="str">
        <f t="shared" si="10"/>
        <v>-</v>
      </c>
      <c r="BD46" s="59" t="str">
        <f t="shared" si="11"/>
        <v>-</v>
      </c>
      <c r="BE46" s="59" t="str">
        <f t="shared" si="12"/>
        <v>-</v>
      </c>
      <c r="BF46" s="59" t="str">
        <f t="shared" si="13"/>
        <v>-</v>
      </c>
      <c r="BG46" s="59" t="str">
        <f t="shared" si="14"/>
        <v>-</v>
      </c>
      <c r="BH46" s="59" t="str">
        <f t="shared" si="15"/>
        <v>-</v>
      </c>
      <c r="BI46" s="59" t="str">
        <f t="shared" si="16"/>
        <v>-</v>
      </c>
      <c r="BJ46" s="59" t="str">
        <f t="shared" si="17"/>
        <v>-</v>
      </c>
      <c r="BK46" s="59" t="str">
        <f t="shared" si="18"/>
        <v>-</v>
      </c>
      <c r="BL46" s="59" t="str">
        <f>IF(AND(R46&gt;0,AO46&gt;0),MIN(R46,AO46),"-")</f>
        <v>-</v>
      </c>
      <c r="BM46" s="59" t="str">
        <f>IF(AND(S46&gt;0,AP46&gt;0),MIN(S46,AP46),"-")</f>
        <v>-</v>
      </c>
      <c r="BN46" s="59" t="str">
        <f>IF(AND(T46&gt;0,AQ46&gt;0),MIN(T46,AQ46),"-")</f>
        <v>-</v>
      </c>
      <c r="BO46" s="59" t="str">
        <f>IF(AND(U46&gt;0,AR46&gt;0),MIN(U46,AR46),"-")</f>
        <v>-</v>
      </c>
      <c r="BP46" s="59" t="str">
        <f>IF(AND(V46&gt;0,AS46&gt;0),MIN(V46,AS46),"-")</f>
        <v>-</v>
      </c>
      <c r="BQ46" s="59" t="str">
        <f t="shared" si="19"/>
        <v>-</v>
      </c>
      <c r="BR46" s="59" t="str">
        <f t="shared" si="20"/>
        <v>-</v>
      </c>
      <c r="BS46" s="59" t="str">
        <f t="shared" si="21"/>
        <v>-</v>
      </c>
      <c r="BT46" s="98" t="str">
        <f>IF(ISNUMBER(BS46),BS46-(C46*Rules!$P$9/100),"-")</f>
        <v>-</v>
      </c>
      <c r="BU46" s="59" t="e">
        <f>RANK($BT46,$BT$5:$BT$106,1)+COUNTIF(BT$5:BT46,BT46)-1</f>
        <v>#VALUE!</v>
      </c>
      <c r="BV46" s="59" t="e">
        <f t="shared" si="22"/>
        <v>#VALUE!</v>
      </c>
      <c r="BW46" s="59" t="str">
        <f t="shared" si="23"/>
        <v xml:space="preserve"> </v>
      </c>
      <c r="BX46" s="59" t="str">
        <f t="shared" si="24"/>
        <v>-</v>
      </c>
      <c r="BY46" s="98" t="str">
        <f t="shared" si="25"/>
        <v>-</v>
      </c>
      <c r="CC46" s="4">
        <v>42</v>
      </c>
      <c r="CD46" s="2" t="e">
        <f>VLOOKUP(CC46,$BU$5:BY$215,2,FALSE)</f>
        <v>#N/A</v>
      </c>
      <c r="CE46" s="6" t="e">
        <f>VLOOKUP(CC46,$BU$5:BY$215,3,FALSE)</f>
        <v>#N/A</v>
      </c>
      <c r="CF46" s="2" t="e">
        <f>VLOOKUP(CC46,$BU$5:BY$215,5,FALSE)</f>
        <v>#N/A</v>
      </c>
      <c r="CL46" s="77">
        <v>1</v>
      </c>
    </row>
    <row r="47" spans="1:90" ht="17.45" customHeight="1">
      <c r="A47" s="58">
        <v>43</v>
      </c>
      <c r="B47" s="59" t="str">
        <f>'A Div'!A47 &amp; " " &amp; 'A Div'!B47</f>
        <v xml:space="preserve"> </v>
      </c>
      <c r="C47" s="59" t="str">
        <f>'A Div'!E47</f>
        <v>-</v>
      </c>
      <c r="D47" s="60"/>
      <c r="E47" s="60"/>
      <c r="F47" s="60"/>
      <c r="G47" s="60"/>
      <c r="H47" s="60"/>
      <c r="I47" s="60"/>
      <c r="J47" s="60"/>
      <c r="K47" s="60"/>
      <c r="L47" s="60"/>
      <c r="M47" s="74" t="str">
        <f t="shared" si="0"/>
        <v>-</v>
      </c>
      <c r="N47" s="60"/>
      <c r="O47" s="60"/>
      <c r="P47" s="60"/>
      <c r="Q47" s="60"/>
      <c r="R47" s="60"/>
      <c r="S47" s="60"/>
      <c r="T47" s="60"/>
      <c r="U47" s="60"/>
      <c r="V47" s="60"/>
      <c r="W47" s="74" t="str">
        <f t="shared" si="1"/>
        <v>-</v>
      </c>
      <c r="X47" s="148" t="str">
        <f t="shared" si="2"/>
        <v>-</v>
      </c>
      <c r="Y47" s="74" t="str">
        <f t="shared" si="3"/>
        <v>-</v>
      </c>
      <c r="AA47" s="60"/>
      <c r="AB47" s="60"/>
      <c r="AC47" s="60"/>
      <c r="AD47" s="60"/>
      <c r="AE47" s="60"/>
      <c r="AF47" s="60"/>
      <c r="AG47" s="60"/>
      <c r="AH47" s="60"/>
      <c r="AI47" s="60"/>
      <c r="AJ47" s="74" t="str">
        <f t="shared" si="4"/>
        <v>-</v>
      </c>
      <c r="AK47" s="60"/>
      <c r="AL47" s="60"/>
      <c r="AM47" s="60"/>
      <c r="AN47" s="60"/>
      <c r="AO47" s="60"/>
      <c r="AP47" s="60"/>
      <c r="AQ47" s="60"/>
      <c r="AR47" s="60"/>
      <c r="AS47" s="60"/>
      <c r="AT47" s="74" t="str">
        <f>IF(COUNTIF(AK47:AS47,"&lt;&gt;"&amp;"")=9,SUM(AK47:AS47),"-")</f>
        <v>-</v>
      </c>
      <c r="AU47" s="148" t="str">
        <f>IF(AND(ISNUMBER(AJ47),ISNUMBER(AT47)),AJ47+AT47,"-")</f>
        <v>-</v>
      </c>
      <c r="AV47" s="74" t="str">
        <f>IF(ISNUMBER(AU47),AU47-C47,"-")</f>
        <v>-</v>
      </c>
      <c r="AX47" s="59" t="str">
        <f t="shared" si="5"/>
        <v>-</v>
      </c>
      <c r="AY47" s="59" t="str">
        <f t="shared" si="6"/>
        <v>-</v>
      </c>
      <c r="AZ47" s="59" t="str">
        <f t="shared" si="7"/>
        <v>-</v>
      </c>
      <c r="BA47" s="59" t="str">
        <f t="shared" si="8"/>
        <v>-</v>
      </c>
      <c r="BB47" s="59" t="str">
        <f t="shared" si="9"/>
        <v>-</v>
      </c>
      <c r="BC47" s="59" t="str">
        <f t="shared" si="10"/>
        <v>-</v>
      </c>
      <c r="BD47" s="59" t="str">
        <f t="shared" si="11"/>
        <v>-</v>
      </c>
      <c r="BE47" s="59" t="str">
        <f t="shared" si="12"/>
        <v>-</v>
      </c>
      <c r="BF47" s="59" t="str">
        <f t="shared" si="13"/>
        <v>-</v>
      </c>
      <c r="BG47" s="59" t="str">
        <f t="shared" si="14"/>
        <v>-</v>
      </c>
      <c r="BH47" s="59" t="str">
        <f t="shared" si="15"/>
        <v>-</v>
      </c>
      <c r="BI47" s="59" t="str">
        <f t="shared" si="16"/>
        <v>-</v>
      </c>
      <c r="BJ47" s="59" t="str">
        <f t="shared" si="17"/>
        <v>-</v>
      </c>
      <c r="BK47" s="59" t="str">
        <f t="shared" si="18"/>
        <v>-</v>
      </c>
      <c r="BL47" s="59" t="str">
        <f>IF(AND(R47&gt;0,AO47&gt;0),MIN(R47,AO47),"-")</f>
        <v>-</v>
      </c>
      <c r="BM47" s="59" t="str">
        <f>IF(AND(S47&gt;0,AP47&gt;0),MIN(S47,AP47),"-")</f>
        <v>-</v>
      </c>
      <c r="BN47" s="59" t="str">
        <f>IF(AND(T47&gt;0,AQ47&gt;0),MIN(T47,AQ47),"-")</f>
        <v>-</v>
      </c>
      <c r="BO47" s="59" t="str">
        <f>IF(AND(U47&gt;0,AR47&gt;0),MIN(U47,AR47),"-")</f>
        <v>-</v>
      </c>
      <c r="BP47" s="59" t="str">
        <f>IF(AND(V47&gt;0,AS47&gt;0),MIN(V47,AS47),"-")</f>
        <v>-</v>
      </c>
      <c r="BQ47" s="59" t="str">
        <f t="shared" si="19"/>
        <v>-</v>
      </c>
      <c r="BR47" s="59" t="str">
        <f t="shared" si="20"/>
        <v>-</v>
      </c>
      <c r="BS47" s="59" t="str">
        <f t="shared" si="21"/>
        <v>-</v>
      </c>
      <c r="BT47" s="98" t="str">
        <f>IF(ISNUMBER(BS47),BS47-(C47*Rules!$P$9/100),"-")</f>
        <v>-</v>
      </c>
      <c r="BU47" s="59" t="e">
        <f>RANK($BT47,$BT$5:$BT$106,1)+COUNTIF(BT$5:BT47,BT47)-1</f>
        <v>#VALUE!</v>
      </c>
      <c r="BV47" s="59" t="e">
        <f t="shared" si="22"/>
        <v>#VALUE!</v>
      </c>
      <c r="BW47" s="59" t="str">
        <f t="shared" si="23"/>
        <v xml:space="preserve"> </v>
      </c>
      <c r="BX47" s="59" t="str">
        <f t="shared" si="24"/>
        <v>-</v>
      </c>
      <c r="BY47" s="98" t="str">
        <f t="shared" si="25"/>
        <v>-</v>
      </c>
      <c r="CC47" s="4">
        <v>43</v>
      </c>
      <c r="CD47" s="2" t="e">
        <f>VLOOKUP(CC47,$BU$5:BY$215,2,FALSE)</f>
        <v>#N/A</v>
      </c>
      <c r="CE47" s="6" t="e">
        <f>VLOOKUP(CC47,$BU$5:BY$215,3,FALSE)</f>
        <v>#N/A</v>
      </c>
      <c r="CF47" s="2" t="e">
        <f>VLOOKUP(CC47,$BU$5:BY$215,5,FALSE)</f>
        <v>#N/A</v>
      </c>
      <c r="CL47" s="77">
        <v>1</v>
      </c>
    </row>
    <row r="48" spans="1:90" ht="17.45" customHeight="1">
      <c r="A48" s="58">
        <v>44</v>
      </c>
      <c r="B48" s="59" t="str">
        <f>'A Div'!A48 &amp; " " &amp; 'A Div'!B48</f>
        <v xml:space="preserve"> </v>
      </c>
      <c r="C48" s="59" t="str">
        <f>'A Div'!E48</f>
        <v>-</v>
      </c>
      <c r="D48" s="60"/>
      <c r="E48" s="60"/>
      <c r="F48" s="60"/>
      <c r="G48" s="60"/>
      <c r="H48" s="60"/>
      <c r="I48" s="60"/>
      <c r="J48" s="60"/>
      <c r="K48" s="60"/>
      <c r="L48" s="60"/>
      <c r="M48" s="74" t="str">
        <f t="shared" si="0"/>
        <v>-</v>
      </c>
      <c r="N48" s="60"/>
      <c r="O48" s="60"/>
      <c r="P48" s="60"/>
      <c r="Q48" s="60"/>
      <c r="R48" s="60"/>
      <c r="S48" s="60"/>
      <c r="T48" s="60"/>
      <c r="U48" s="60"/>
      <c r="V48" s="60"/>
      <c r="W48" s="74" t="str">
        <f t="shared" si="1"/>
        <v>-</v>
      </c>
      <c r="X48" s="148" t="str">
        <f t="shared" si="2"/>
        <v>-</v>
      </c>
      <c r="Y48" s="74" t="str">
        <f t="shared" si="3"/>
        <v>-</v>
      </c>
      <c r="AA48" s="60"/>
      <c r="AB48" s="60"/>
      <c r="AC48" s="60"/>
      <c r="AD48" s="60"/>
      <c r="AE48" s="60"/>
      <c r="AF48" s="60"/>
      <c r="AG48" s="60"/>
      <c r="AH48" s="60"/>
      <c r="AI48" s="60"/>
      <c r="AJ48" s="74" t="str">
        <f t="shared" si="4"/>
        <v>-</v>
      </c>
      <c r="AK48" s="60"/>
      <c r="AL48" s="60"/>
      <c r="AM48" s="60"/>
      <c r="AN48" s="60"/>
      <c r="AO48" s="60"/>
      <c r="AP48" s="60"/>
      <c r="AQ48" s="60"/>
      <c r="AR48" s="60"/>
      <c r="AS48" s="60"/>
      <c r="AT48" s="74" t="str">
        <f>IF(COUNTIF(AK48:AS48,"&lt;&gt;"&amp;"")=9,SUM(AK48:AS48),"-")</f>
        <v>-</v>
      </c>
      <c r="AU48" s="148" t="str">
        <f>IF(AND(ISNUMBER(AJ48),ISNUMBER(AT48)),AJ48+AT48,"-")</f>
        <v>-</v>
      </c>
      <c r="AV48" s="74" t="str">
        <f>IF(ISNUMBER(AU48),AU48-C48,"-")</f>
        <v>-</v>
      </c>
      <c r="AX48" s="59" t="str">
        <f t="shared" si="5"/>
        <v>-</v>
      </c>
      <c r="AY48" s="59" t="str">
        <f t="shared" si="6"/>
        <v>-</v>
      </c>
      <c r="AZ48" s="59" t="str">
        <f t="shared" si="7"/>
        <v>-</v>
      </c>
      <c r="BA48" s="59" t="str">
        <f t="shared" si="8"/>
        <v>-</v>
      </c>
      <c r="BB48" s="59" t="str">
        <f t="shared" si="9"/>
        <v>-</v>
      </c>
      <c r="BC48" s="59" t="str">
        <f t="shared" si="10"/>
        <v>-</v>
      </c>
      <c r="BD48" s="59" t="str">
        <f t="shared" si="11"/>
        <v>-</v>
      </c>
      <c r="BE48" s="59" t="str">
        <f t="shared" si="12"/>
        <v>-</v>
      </c>
      <c r="BF48" s="59" t="str">
        <f t="shared" si="13"/>
        <v>-</v>
      </c>
      <c r="BG48" s="59" t="str">
        <f t="shared" si="14"/>
        <v>-</v>
      </c>
      <c r="BH48" s="59" t="str">
        <f t="shared" si="15"/>
        <v>-</v>
      </c>
      <c r="BI48" s="59" t="str">
        <f t="shared" si="16"/>
        <v>-</v>
      </c>
      <c r="BJ48" s="59" t="str">
        <f t="shared" si="17"/>
        <v>-</v>
      </c>
      <c r="BK48" s="59" t="str">
        <f t="shared" si="18"/>
        <v>-</v>
      </c>
      <c r="BL48" s="59" t="str">
        <f>IF(AND(R48&gt;0,AO48&gt;0),MIN(R48,AO48),"-")</f>
        <v>-</v>
      </c>
      <c r="BM48" s="59" t="str">
        <f>IF(AND(S48&gt;0,AP48&gt;0),MIN(S48,AP48),"-")</f>
        <v>-</v>
      </c>
      <c r="BN48" s="59" t="str">
        <f>IF(AND(T48&gt;0,AQ48&gt;0),MIN(T48,AQ48),"-")</f>
        <v>-</v>
      </c>
      <c r="BO48" s="59" t="str">
        <f>IF(AND(U48&gt;0,AR48&gt;0),MIN(U48,AR48),"-")</f>
        <v>-</v>
      </c>
      <c r="BP48" s="59" t="str">
        <f>IF(AND(V48&gt;0,AS48&gt;0),MIN(V48,AS48),"-")</f>
        <v>-</v>
      </c>
      <c r="BQ48" s="59" t="str">
        <f t="shared" si="19"/>
        <v>-</v>
      </c>
      <c r="BR48" s="59" t="str">
        <f t="shared" si="20"/>
        <v>-</v>
      </c>
      <c r="BS48" s="59" t="str">
        <f t="shared" si="21"/>
        <v>-</v>
      </c>
      <c r="BT48" s="98" t="str">
        <f>IF(ISNUMBER(BS48),BS48-(C48*Rules!$P$9/100),"-")</f>
        <v>-</v>
      </c>
      <c r="BU48" s="59" t="e">
        <f>RANK($BT48,$BT$5:$BT$106,1)+COUNTIF(BT$5:BT48,BT48)-1</f>
        <v>#VALUE!</v>
      </c>
      <c r="BV48" s="59" t="e">
        <f t="shared" si="22"/>
        <v>#VALUE!</v>
      </c>
      <c r="BW48" s="59" t="str">
        <f t="shared" si="23"/>
        <v xml:space="preserve"> </v>
      </c>
      <c r="BX48" s="59" t="str">
        <f t="shared" si="24"/>
        <v>-</v>
      </c>
      <c r="BY48" s="98" t="str">
        <f t="shared" si="25"/>
        <v>-</v>
      </c>
      <c r="CC48" s="4">
        <v>44</v>
      </c>
      <c r="CD48" s="2" t="e">
        <f>VLOOKUP(CC48,$BU$5:BY$215,2,FALSE)</f>
        <v>#N/A</v>
      </c>
      <c r="CE48" s="6" t="e">
        <f>VLOOKUP(CC48,$BU$5:BY$215,3,FALSE)</f>
        <v>#N/A</v>
      </c>
      <c r="CF48" s="2" t="e">
        <f>VLOOKUP(CC48,$BU$5:BY$215,5,FALSE)</f>
        <v>#N/A</v>
      </c>
      <c r="CL48" s="77">
        <v>1</v>
      </c>
    </row>
    <row r="49" spans="1:90" ht="17.45" customHeight="1">
      <c r="A49" s="58">
        <v>45</v>
      </c>
      <c r="B49" s="59" t="str">
        <f>'A Div'!A49 &amp; " " &amp; 'A Div'!B49</f>
        <v xml:space="preserve"> </v>
      </c>
      <c r="C49" s="59" t="str">
        <f>'A Div'!E49</f>
        <v>-</v>
      </c>
      <c r="D49" s="60"/>
      <c r="E49" s="60"/>
      <c r="F49" s="60"/>
      <c r="G49" s="60"/>
      <c r="H49" s="60"/>
      <c r="I49" s="60"/>
      <c r="J49" s="60"/>
      <c r="K49" s="60"/>
      <c r="L49" s="60"/>
      <c r="M49" s="74" t="str">
        <f t="shared" si="0"/>
        <v>-</v>
      </c>
      <c r="N49" s="60"/>
      <c r="O49" s="60"/>
      <c r="P49" s="60"/>
      <c r="Q49" s="60"/>
      <c r="R49" s="60"/>
      <c r="S49" s="60"/>
      <c r="T49" s="60"/>
      <c r="U49" s="60"/>
      <c r="V49" s="60"/>
      <c r="W49" s="74" t="str">
        <f t="shared" si="1"/>
        <v>-</v>
      </c>
      <c r="X49" s="148" t="str">
        <f t="shared" si="2"/>
        <v>-</v>
      </c>
      <c r="Y49" s="74" t="str">
        <f t="shared" si="3"/>
        <v>-</v>
      </c>
      <c r="AA49" s="60"/>
      <c r="AB49" s="60"/>
      <c r="AC49" s="60"/>
      <c r="AD49" s="60"/>
      <c r="AE49" s="60"/>
      <c r="AF49" s="60"/>
      <c r="AG49" s="60"/>
      <c r="AH49" s="60"/>
      <c r="AI49" s="60"/>
      <c r="AJ49" s="74" t="str">
        <f t="shared" si="4"/>
        <v>-</v>
      </c>
      <c r="AK49" s="60"/>
      <c r="AL49" s="60"/>
      <c r="AM49" s="60"/>
      <c r="AN49" s="60"/>
      <c r="AO49" s="60"/>
      <c r="AP49" s="60"/>
      <c r="AQ49" s="60"/>
      <c r="AR49" s="60"/>
      <c r="AS49" s="60"/>
      <c r="AT49" s="74" t="str">
        <f>IF(COUNTIF(AK49:AS49,"&lt;&gt;"&amp;"")=9,SUM(AK49:AS49),"-")</f>
        <v>-</v>
      </c>
      <c r="AU49" s="148" t="str">
        <f>IF(AND(ISNUMBER(AJ49),ISNUMBER(AT49)),AJ49+AT49,"-")</f>
        <v>-</v>
      </c>
      <c r="AV49" s="74" t="str">
        <f>IF(ISNUMBER(AU49),AU49-C49,"-")</f>
        <v>-</v>
      </c>
      <c r="AX49" s="59" t="str">
        <f t="shared" si="5"/>
        <v>-</v>
      </c>
      <c r="AY49" s="59" t="str">
        <f t="shared" si="6"/>
        <v>-</v>
      </c>
      <c r="AZ49" s="59" t="str">
        <f t="shared" si="7"/>
        <v>-</v>
      </c>
      <c r="BA49" s="59" t="str">
        <f t="shared" si="8"/>
        <v>-</v>
      </c>
      <c r="BB49" s="59" t="str">
        <f t="shared" si="9"/>
        <v>-</v>
      </c>
      <c r="BC49" s="59" t="str">
        <f t="shared" si="10"/>
        <v>-</v>
      </c>
      <c r="BD49" s="59" t="str">
        <f t="shared" si="11"/>
        <v>-</v>
      </c>
      <c r="BE49" s="59" t="str">
        <f t="shared" si="12"/>
        <v>-</v>
      </c>
      <c r="BF49" s="59" t="str">
        <f t="shared" si="13"/>
        <v>-</v>
      </c>
      <c r="BG49" s="59" t="str">
        <f t="shared" si="14"/>
        <v>-</v>
      </c>
      <c r="BH49" s="59" t="str">
        <f t="shared" si="15"/>
        <v>-</v>
      </c>
      <c r="BI49" s="59" t="str">
        <f t="shared" si="16"/>
        <v>-</v>
      </c>
      <c r="BJ49" s="59" t="str">
        <f t="shared" si="17"/>
        <v>-</v>
      </c>
      <c r="BK49" s="59" t="str">
        <f t="shared" si="18"/>
        <v>-</v>
      </c>
      <c r="BL49" s="59" t="str">
        <f>IF(AND(R49&gt;0,AO49&gt;0),MIN(R49,AO49),"-")</f>
        <v>-</v>
      </c>
      <c r="BM49" s="59" t="str">
        <f>IF(AND(S49&gt;0,AP49&gt;0),MIN(S49,AP49),"-")</f>
        <v>-</v>
      </c>
      <c r="BN49" s="59" t="str">
        <f>IF(AND(T49&gt;0,AQ49&gt;0),MIN(T49,AQ49),"-")</f>
        <v>-</v>
      </c>
      <c r="BO49" s="59" t="str">
        <f>IF(AND(U49&gt;0,AR49&gt;0),MIN(U49,AR49),"-")</f>
        <v>-</v>
      </c>
      <c r="BP49" s="59" t="str">
        <f>IF(AND(V49&gt;0,AS49&gt;0),MIN(V49,AS49),"-")</f>
        <v>-</v>
      </c>
      <c r="BQ49" s="59" t="str">
        <f t="shared" si="19"/>
        <v>-</v>
      </c>
      <c r="BR49" s="59" t="str">
        <f t="shared" si="20"/>
        <v>-</v>
      </c>
      <c r="BS49" s="59" t="str">
        <f t="shared" si="21"/>
        <v>-</v>
      </c>
      <c r="BT49" s="98" t="str">
        <f>IF(ISNUMBER(BS49),BS49-(C49*Rules!$P$9/100),"-")</f>
        <v>-</v>
      </c>
      <c r="BU49" s="59" t="e">
        <f>RANK($BT49,$BT$5:$BT$106,1)+COUNTIF(BT$5:BT49,BT49)-1</f>
        <v>#VALUE!</v>
      </c>
      <c r="BV49" s="59" t="e">
        <f t="shared" si="22"/>
        <v>#VALUE!</v>
      </c>
      <c r="BW49" s="59" t="str">
        <f t="shared" si="23"/>
        <v xml:space="preserve"> </v>
      </c>
      <c r="BX49" s="59" t="str">
        <f t="shared" si="24"/>
        <v>-</v>
      </c>
      <c r="BY49" s="98" t="str">
        <f t="shared" si="25"/>
        <v>-</v>
      </c>
      <c r="CC49" s="4">
        <v>45</v>
      </c>
      <c r="CD49" s="2" t="e">
        <f>VLOOKUP(CC49,$BU$5:BY$215,2,FALSE)</f>
        <v>#N/A</v>
      </c>
      <c r="CE49" s="6" t="e">
        <f>VLOOKUP(CC49,$BU$5:BY$215,3,FALSE)</f>
        <v>#N/A</v>
      </c>
      <c r="CF49" s="2" t="e">
        <f>VLOOKUP(CC49,$BU$5:BY$215,5,FALSE)</f>
        <v>#N/A</v>
      </c>
      <c r="CL49" s="77">
        <v>1</v>
      </c>
    </row>
    <row r="50" spans="1:90" ht="17.45" customHeight="1">
      <c r="A50" s="58">
        <v>46</v>
      </c>
      <c r="B50" s="59" t="str">
        <f>'A Div'!A50 &amp; " " &amp; 'A Div'!B50</f>
        <v xml:space="preserve"> </v>
      </c>
      <c r="C50" s="59" t="str">
        <f>'A Div'!E50</f>
        <v>-</v>
      </c>
      <c r="D50" s="60"/>
      <c r="E50" s="60"/>
      <c r="F50" s="60"/>
      <c r="G50" s="60"/>
      <c r="H50" s="60"/>
      <c r="I50" s="60"/>
      <c r="J50" s="60"/>
      <c r="K50" s="60"/>
      <c r="L50" s="60"/>
      <c r="M50" s="74" t="str">
        <f t="shared" si="0"/>
        <v>-</v>
      </c>
      <c r="N50" s="60"/>
      <c r="O50" s="60"/>
      <c r="P50" s="60"/>
      <c r="Q50" s="60"/>
      <c r="R50" s="60"/>
      <c r="S50" s="60"/>
      <c r="T50" s="60"/>
      <c r="U50" s="60"/>
      <c r="V50" s="60"/>
      <c r="W50" s="74" t="str">
        <f t="shared" si="1"/>
        <v>-</v>
      </c>
      <c r="X50" s="148" t="str">
        <f t="shared" si="2"/>
        <v>-</v>
      </c>
      <c r="Y50" s="74" t="str">
        <f t="shared" si="3"/>
        <v>-</v>
      </c>
      <c r="AA50" s="60"/>
      <c r="AB50" s="60"/>
      <c r="AC50" s="60"/>
      <c r="AD50" s="60"/>
      <c r="AE50" s="60"/>
      <c r="AF50" s="60"/>
      <c r="AG50" s="60"/>
      <c r="AH50" s="60"/>
      <c r="AI50" s="60"/>
      <c r="AJ50" s="74" t="str">
        <f t="shared" si="4"/>
        <v>-</v>
      </c>
      <c r="AK50" s="60"/>
      <c r="AL50" s="60"/>
      <c r="AM50" s="60"/>
      <c r="AN50" s="60"/>
      <c r="AO50" s="60"/>
      <c r="AP50" s="60"/>
      <c r="AQ50" s="60"/>
      <c r="AR50" s="60"/>
      <c r="AS50" s="60"/>
      <c r="AT50" s="74" t="str">
        <f>IF(COUNTIF(AK50:AS50,"&lt;&gt;"&amp;"")=9,SUM(AK50:AS50),"-")</f>
        <v>-</v>
      </c>
      <c r="AU50" s="148" t="str">
        <f>IF(AND(ISNUMBER(AJ50),ISNUMBER(AT50)),AJ50+AT50,"-")</f>
        <v>-</v>
      </c>
      <c r="AV50" s="74" t="str">
        <f>IF(ISNUMBER(AU50),AU50-C50,"-")</f>
        <v>-</v>
      </c>
      <c r="AX50" s="59" t="str">
        <f t="shared" si="5"/>
        <v>-</v>
      </c>
      <c r="AY50" s="59" t="str">
        <f t="shared" si="6"/>
        <v>-</v>
      </c>
      <c r="AZ50" s="59" t="str">
        <f t="shared" si="7"/>
        <v>-</v>
      </c>
      <c r="BA50" s="59" t="str">
        <f t="shared" si="8"/>
        <v>-</v>
      </c>
      <c r="BB50" s="59" t="str">
        <f t="shared" si="9"/>
        <v>-</v>
      </c>
      <c r="BC50" s="59" t="str">
        <f t="shared" si="10"/>
        <v>-</v>
      </c>
      <c r="BD50" s="59" t="str">
        <f t="shared" si="11"/>
        <v>-</v>
      </c>
      <c r="BE50" s="59" t="str">
        <f t="shared" si="12"/>
        <v>-</v>
      </c>
      <c r="BF50" s="59" t="str">
        <f t="shared" si="13"/>
        <v>-</v>
      </c>
      <c r="BG50" s="59" t="str">
        <f t="shared" si="14"/>
        <v>-</v>
      </c>
      <c r="BH50" s="59" t="str">
        <f t="shared" si="15"/>
        <v>-</v>
      </c>
      <c r="BI50" s="59" t="str">
        <f t="shared" si="16"/>
        <v>-</v>
      </c>
      <c r="BJ50" s="59" t="str">
        <f t="shared" si="17"/>
        <v>-</v>
      </c>
      <c r="BK50" s="59" t="str">
        <f t="shared" si="18"/>
        <v>-</v>
      </c>
      <c r="BL50" s="59" t="str">
        <f>IF(AND(R50&gt;0,AO50&gt;0),MIN(R50,AO50),"-")</f>
        <v>-</v>
      </c>
      <c r="BM50" s="59" t="str">
        <f>IF(AND(S50&gt;0,AP50&gt;0),MIN(S50,AP50),"-")</f>
        <v>-</v>
      </c>
      <c r="BN50" s="59" t="str">
        <f>IF(AND(T50&gt;0,AQ50&gt;0),MIN(T50,AQ50),"-")</f>
        <v>-</v>
      </c>
      <c r="BO50" s="59" t="str">
        <f>IF(AND(U50&gt;0,AR50&gt;0),MIN(U50,AR50),"-")</f>
        <v>-</v>
      </c>
      <c r="BP50" s="59" t="str">
        <f>IF(AND(V50&gt;0,AS50&gt;0),MIN(V50,AS50),"-")</f>
        <v>-</v>
      </c>
      <c r="BQ50" s="59" t="str">
        <f t="shared" si="19"/>
        <v>-</v>
      </c>
      <c r="BR50" s="59" t="str">
        <f t="shared" si="20"/>
        <v>-</v>
      </c>
      <c r="BS50" s="59" t="str">
        <f t="shared" si="21"/>
        <v>-</v>
      </c>
      <c r="BT50" s="98" t="str">
        <f>IF(ISNUMBER(BS50),BS50-(C50*Rules!$P$9/100),"-")</f>
        <v>-</v>
      </c>
      <c r="BU50" s="59" t="e">
        <f>RANK($BT50,$BT$5:$BT$106,1)+COUNTIF(BT$5:BT50,BT50)-1</f>
        <v>#VALUE!</v>
      </c>
      <c r="BV50" s="59" t="e">
        <f t="shared" si="22"/>
        <v>#VALUE!</v>
      </c>
      <c r="BW50" s="59" t="str">
        <f t="shared" si="23"/>
        <v xml:space="preserve"> </v>
      </c>
      <c r="BX50" s="59" t="str">
        <f t="shared" si="24"/>
        <v>-</v>
      </c>
      <c r="BY50" s="98" t="str">
        <f t="shared" si="25"/>
        <v>-</v>
      </c>
      <c r="CC50" s="4">
        <v>46</v>
      </c>
      <c r="CD50" s="2" t="e">
        <f>VLOOKUP(CC50,$BU$5:BY$215,2,FALSE)</f>
        <v>#N/A</v>
      </c>
      <c r="CE50" s="6" t="e">
        <f>VLOOKUP(CC50,$BU$5:BY$215,3,FALSE)</f>
        <v>#N/A</v>
      </c>
      <c r="CF50" s="2" t="e">
        <f>VLOOKUP(CC50,$BU$5:BY$215,5,FALSE)</f>
        <v>#N/A</v>
      </c>
      <c r="CL50" s="77">
        <v>1</v>
      </c>
    </row>
    <row r="51" spans="1:90" ht="17.45" customHeight="1">
      <c r="A51" s="58">
        <v>47</v>
      </c>
      <c r="B51" s="59" t="str">
        <f>'A Div'!A51 &amp; " " &amp; 'A Div'!B51</f>
        <v xml:space="preserve"> </v>
      </c>
      <c r="C51" s="59" t="str">
        <f>'A Div'!E51</f>
        <v>-</v>
      </c>
      <c r="D51" s="60"/>
      <c r="E51" s="60"/>
      <c r="F51" s="60"/>
      <c r="G51" s="60"/>
      <c r="H51" s="60"/>
      <c r="I51" s="60"/>
      <c r="J51" s="60"/>
      <c r="K51" s="60"/>
      <c r="L51" s="60"/>
      <c r="M51" s="74" t="str">
        <f t="shared" si="0"/>
        <v>-</v>
      </c>
      <c r="N51" s="60"/>
      <c r="O51" s="60"/>
      <c r="P51" s="60"/>
      <c r="Q51" s="60"/>
      <c r="R51" s="60"/>
      <c r="S51" s="60"/>
      <c r="T51" s="60"/>
      <c r="U51" s="60"/>
      <c r="V51" s="60"/>
      <c r="W51" s="74" t="str">
        <f t="shared" si="1"/>
        <v>-</v>
      </c>
      <c r="X51" s="148" t="str">
        <f t="shared" si="2"/>
        <v>-</v>
      </c>
      <c r="Y51" s="74" t="str">
        <f t="shared" si="3"/>
        <v>-</v>
      </c>
      <c r="AA51" s="60"/>
      <c r="AB51" s="60"/>
      <c r="AC51" s="60"/>
      <c r="AD51" s="60"/>
      <c r="AE51" s="60"/>
      <c r="AF51" s="60"/>
      <c r="AG51" s="60"/>
      <c r="AH51" s="60"/>
      <c r="AI51" s="60"/>
      <c r="AJ51" s="74" t="str">
        <f t="shared" si="4"/>
        <v>-</v>
      </c>
      <c r="AK51" s="60"/>
      <c r="AL51" s="60"/>
      <c r="AM51" s="60"/>
      <c r="AN51" s="60"/>
      <c r="AO51" s="60"/>
      <c r="AP51" s="60"/>
      <c r="AQ51" s="60"/>
      <c r="AR51" s="60"/>
      <c r="AS51" s="60"/>
      <c r="AT51" s="74" t="str">
        <f>IF(COUNTIF(AK51:AS51,"&lt;&gt;"&amp;"")=9,SUM(AK51:AS51),"-")</f>
        <v>-</v>
      </c>
      <c r="AU51" s="148" t="str">
        <f>IF(AND(ISNUMBER(AJ51),ISNUMBER(AT51)),AJ51+AT51,"-")</f>
        <v>-</v>
      </c>
      <c r="AV51" s="74" t="str">
        <f>IF(ISNUMBER(AU51),AU51-C51,"-")</f>
        <v>-</v>
      </c>
      <c r="AX51" s="59" t="str">
        <f t="shared" si="5"/>
        <v>-</v>
      </c>
      <c r="AY51" s="59" t="str">
        <f t="shared" si="6"/>
        <v>-</v>
      </c>
      <c r="AZ51" s="59" t="str">
        <f t="shared" si="7"/>
        <v>-</v>
      </c>
      <c r="BA51" s="59" t="str">
        <f t="shared" si="8"/>
        <v>-</v>
      </c>
      <c r="BB51" s="59" t="str">
        <f t="shared" si="9"/>
        <v>-</v>
      </c>
      <c r="BC51" s="59" t="str">
        <f t="shared" si="10"/>
        <v>-</v>
      </c>
      <c r="BD51" s="59" t="str">
        <f t="shared" si="11"/>
        <v>-</v>
      </c>
      <c r="BE51" s="59" t="str">
        <f t="shared" si="12"/>
        <v>-</v>
      </c>
      <c r="BF51" s="59" t="str">
        <f t="shared" si="13"/>
        <v>-</v>
      </c>
      <c r="BG51" s="59" t="str">
        <f t="shared" si="14"/>
        <v>-</v>
      </c>
      <c r="BH51" s="59" t="str">
        <f t="shared" si="15"/>
        <v>-</v>
      </c>
      <c r="BI51" s="59" t="str">
        <f t="shared" si="16"/>
        <v>-</v>
      </c>
      <c r="BJ51" s="59" t="str">
        <f t="shared" si="17"/>
        <v>-</v>
      </c>
      <c r="BK51" s="59" t="str">
        <f t="shared" si="18"/>
        <v>-</v>
      </c>
      <c r="BL51" s="59" t="str">
        <f>IF(AND(R51&gt;0,AO51&gt;0),MIN(R51,AO51),"-")</f>
        <v>-</v>
      </c>
      <c r="BM51" s="59" t="str">
        <f>IF(AND(S51&gt;0,AP51&gt;0),MIN(S51,AP51),"-")</f>
        <v>-</v>
      </c>
      <c r="BN51" s="59" t="str">
        <f>IF(AND(T51&gt;0,AQ51&gt;0),MIN(T51,AQ51),"-")</f>
        <v>-</v>
      </c>
      <c r="BO51" s="59" t="str">
        <f>IF(AND(U51&gt;0,AR51&gt;0),MIN(U51,AR51),"-")</f>
        <v>-</v>
      </c>
      <c r="BP51" s="59" t="str">
        <f>IF(AND(V51&gt;0,AS51&gt;0),MIN(V51,AS51),"-")</f>
        <v>-</v>
      </c>
      <c r="BQ51" s="59" t="str">
        <f t="shared" si="19"/>
        <v>-</v>
      </c>
      <c r="BR51" s="59" t="str">
        <f t="shared" si="20"/>
        <v>-</v>
      </c>
      <c r="BS51" s="59" t="str">
        <f t="shared" si="21"/>
        <v>-</v>
      </c>
      <c r="BT51" s="98" t="str">
        <f>IF(ISNUMBER(BS51),BS51-(C51*Rules!$P$9/100),"-")</f>
        <v>-</v>
      </c>
      <c r="BU51" s="59" t="e">
        <f>RANK($BT51,$BT$5:$BT$106,1)+COUNTIF(BT$5:BT51,BT51)-1</f>
        <v>#VALUE!</v>
      </c>
      <c r="BV51" s="59" t="e">
        <f t="shared" si="22"/>
        <v>#VALUE!</v>
      </c>
      <c r="BW51" s="59" t="str">
        <f t="shared" si="23"/>
        <v xml:space="preserve"> </v>
      </c>
      <c r="BX51" s="59" t="str">
        <f t="shared" si="24"/>
        <v>-</v>
      </c>
      <c r="BY51" s="98" t="str">
        <f t="shared" si="25"/>
        <v>-</v>
      </c>
      <c r="CC51" s="4">
        <v>47</v>
      </c>
      <c r="CD51" s="2" t="e">
        <f>VLOOKUP(CC51,$BU$5:BY$215,2,FALSE)</f>
        <v>#N/A</v>
      </c>
      <c r="CE51" s="6" t="e">
        <f>VLOOKUP(CC51,$BU$5:BY$215,3,FALSE)</f>
        <v>#N/A</v>
      </c>
      <c r="CF51" s="2" t="e">
        <f>VLOOKUP(CC51,$BU$5:BY$215,5,FALSE)</f>
        <v>#N/A</v>
      </c>
      <c r="CL51" s="77">
        <v>1</v>
      </c>
    </row>
    <row r="52" spans="1:90" ht="17.45" customHeight="1">
      <c r="A52" s="58">
        <v>48</v>
      </c>
      <c r="B52" s="59" t="str">
        <f>'A Div'!A52 &amp; " " &amp; 'A Div'!B52</f>
        <v xml:space="preserve"> </v>
      </c>
      <c r="C52" s="59" t="str">
        <f>'A Div'!E52</f>
        <v>-</v>
      </c>
      <c r="D52" s="60"/>
      <c r="E52" s="60"/>
      <c r="F52" s="60"/>
      <c r="G52" s="60"/>
      <c r="H52" s="60"/>
      <c r="I52" s="60"/>
      <c r="J52" s="60"/>
      <c r="K52" s="60"/>
      <c r="L52" s="60"/>
      <c r="M52" s="74" t="str">
        <f t="shared" si="0"/>
        <v>-</v>
      </c>
      <c r="N52" s="60"/>
      <c r="O52" s="60"/>
      <c r="P52" s="60"/>
      <c r="Q52" s="60"/>
      <c r="R52" s="60"/>
      <c r="S52" s="60"/>
      <c r="T52" s="60"/>
      <c r="U52" s="60"/>
      <c r="V52" s="60"/>
      <c r="W52" s="74" t="str">
        <f t="shared" si="1"/>
        <v>-</v>
      </c>
      <c r="X52" s="148" t="str">
        <f t="shared" si="2"/>
        <v>-</v>
      </c>
      <c r="Y52" s="74" t="str">
        <f t="shared" si="3"/>
        <v>-</v>
      </c>
      <c r="AA52" s="60"/>
      <c r="AB52" s="60"/>
      <c r="AC52" s="60"/>
      <c r="AD52" s="60"/>
      <c r="AE52" s="60"/>
      <c r="AF52" s="60"/>
      <c r="AG52" s="60"/>
      <c r="AH52" s="60"/>
      <c r="AI52" s="60"/>
      <c r="AJ52" s="74" t="str">
        <f t="shared" si="4"/>
        <v>-</v>
      </c>
      <c r="AK52" s="60"/>
      <c r="AL52" s="60"/>
      <c r="AM52" s="60"/>
      <c r="AN52" s="60"/>
      <c r="AO52" s="60"/>
      <c r="AP52" s="60"/>
      <c r="AQ52" s="60"/>
      <c r="AR52" s="60"/>
      <c r="AS52" s="60"/>
      <c r="AT52" s="74" t="str">
        <f>IF(COUNTIF(AK52:AS52,"&lt;&gt;"&amp;"")=9,SUM(AK52:AS52),"-")</f>
        <v>-</v>
      </c>
      <c r="AU52" s="148" t="str">
        <f>IF(AND(ISNUMBER(AJ52),ISNUMBER(AT52)),AJ52+AT52,"-")</f>
        <v>-</v>
      </c>
      <c r="AV52" s="74" t="str">
        <f>IF(ISNUMBER(AU52),AU52-C52,"-")</f>
        <v>-</v>
      </c>
      <c r="AX52" s="59" t="str">
        <f t="shared" si="5"/>
        <v>-</v>
      </c>
      <c r="AY52" s="59" t="str">
        <f t="shared" si="6"/>
        <v>-</v>
      </c>
      <c r="AZ52" s="59" t="str">
        <f t="shared" si="7"/>
        <v>-</v>
      </c>
      <c r="BA52" s="59" t="str">
        <f t="shared" si="8"/>
        <v>-</v>
      </c>
      <c r="BB52" s="59" t="str">
        <f t="shared" si="9"/>
        <v>-</v>
      </c>
      <c r="BC52" s="59" t="str">
        <f t="shared" si="10"/>
        <v>-</v>
      </c>
      <c r="BD52" s="59" t="str">
        <f t="shared" si="11"/>
        <v>-</v>
      </c>
      <c r="BE52" s="59" t="str">
        <f t="shared" si="12"/>
        <v>-</v>
      </c>
      <c r="BF52" s="59" t="str">
        <f t="shared" si="13"/>
        <v>-</v>
      </c>
      <c r="BG52" s="59" t="str">
        <f t="shared" si="14"/>
        <v>-</v>
      </c>
      <c r="BH52" s="59" t="str">
        <f t="shared" si="15"/>
        <v>-</v>
      </c>
      <c r="BI52" s="59" t="str">
        <f t="shared" si="16"/>
        <v>-</v>
      </c>
      <c r="BJ52" s="59" t="str">
        <f t="shared" si="17"/>
        <v>-</v>
      </c>
      <c r="BK52" s="59" t="str">
        <f t="shared" si="18"/>
        <v>-</v>
      </c>
      <c r="BL52" s="59" t="str">
        <f>IF(AND(R52&gt;0,AO52&gt;0),MIN(R52,AO52),"-")</f>
        <v>-</v>
      </c>
      <c r="BM52" s="59" t="str">
        <f>IF(AND(S52&gt;0,AP52&gt;0),MIN(S52,AP52),"-")</f>
        <v>-</v>
      </c>
      <c r="BN52" s="59" t="str">
        <f>IF(AND(T52&gt;0,AQ52&gt;0),MIN(T52,AQ52),"-")</f>
        <v>-</v>
      </c>
      <c r="BO52" s="59" t="str">
        <f>IF(AND(U52&gt;0,AR52&gt;0),MIN(U52,AR52),"-")</f>
        <v>-</v>
      </c>
      <c r="BP52" s="59" t="str">
        <f>IF(AND(V52&gt;0,AS52&gt;0),MIN(V52,AS52),"-")</f>
        <v>-</v>
      </c>
      <c r="BQ52" s="59" t="str">
        <f t="shared" si="19"/>
        <v>-</v>
      </c>
      <c r="BR52" s="59" t="str">
        <f t="shared" si="20"/>
        <v>-</v>
      </c>
      <c r="BS52" s="59" t="str">
        <f t="shared" si="21"/>
        <v>-</v>
      </c>
      <c r="BT52" s="98" t="str">
        <f>IF(ISNUMBER(BS52),BS52-(C52*Rules!$P$9/100),"-")</f>
        <v>-</v>
      </c>
      <c r="BU52" s="59" t="e">
        <f>RANK($BT52,$BT$5:$BT$106,1)+COUNTIF(BT$5:BT52,BT52)-1</f>
        <v>#VALUE!</v>
      </c>
      <c r="BV52" s="59" t="e">
        <f t="shared" si="22"/>
        <v>#VALUE!</v>
      </c>
      <c r="BW52" s="59" t="str">
        <f t="shared" si="23"/>
        <v xml:space="preserve"> </v>
      </c>
      <c r="BX52" s="59" t="str">
        <f t="shared" si="24"/>
        <v>-</v>
      </c>
      <c r="BY52" s="98" t="str">
        <f t="shared" si="25"/>
        <v>-</v>
      </c>
      <c r="CC52" s="4">
        <v>48</v>
      </c>
      <c r="CD52" s="2" t="e">
        <f>VLOOKUP(CC52,$BU$5:BY$215,2,FALSE)</f>
        <v>#N/A</v>
      </c>
      <c r="CE52" s="6" t="e">
        <f>VLOOKUP(CC52,$BU$5:BY$215,3,FALSE)</f>
        <v>#N/A</v>
      </c>
      <c r="CF52" s="2" t="e">
        <f>VLOOKUP(CC52,$BU$5:BY$215,5,FALSE)</f>
        <v>#N/A</v>
      </c>
      <c r="CL52" s="77">
        <v>1</v>
      </c>
    </row>
    <row r="53" spans="1:90" ht="17.45" customHeight="1">
      <c r="A53" s="58">
        <v>49</v>
      </c>
      <c r="B53" s="59" t="str">
        <f>'A Div'!A53 &amp; " " &amp; 'A Div'!B53</f>
        <v xml:space="preserve"> </v>
      </c>
      <c r="C53" s="59" t="str">
        <f>'A Div'!E53</f>
        <v>-</v>
      </c>
      <c r="D53" s="60"/>
      <c r="E53" s="60"/>
      <c r="F53" s="60"/>
      <c r="G53" s="60"/>
      <c r="H53" s="60"/>
      <c r="I53" s="60"/>
      <c r="J53" s="60"/>
      <c r="K53" s="60"/>
      <c r="L53" s="60"/>
      <c r="M53" s="74" t="str">
        <f t="shared" si="0"/>
        <v>-</v>
      </c>
      <c r="N53" s="60"/>
      <c r="O53" s="60"/>
      <c r="P53" s="60"/>
      <c r="Q53" s="60"/>
      <c r="R53" s="60"/>
      <c r="S53" s="60"/>
      <c r="T53" s="60"/>
      <c r="U53" s="60"/>
      <c r="V53" s="60"/>
      <c r="W53" s="74" t="str">
        <f t="shared" si="1"/>
        <v>-</v>
      </c>
      <c r="X53" s="148" t="str">
        <f t="shared" si="2"/>
        <v>-</v>
      </c>
      <c r="Y53" s="74" t="str">
        <f t="shared" si="3"/>
        <v>-</v>
      </c>
      <c r="AA53" s="60"/>
      <c r="AB53" s="60"/>
      <c r="AC53" s="60"/>
      <c r="AD53" s="60"/>
      <c r="AE53" s="60"/>
      <c r="AF53" s="60"/>
      <c r="AG53" s="60"/>
      <c r="AH53" s="60"/>
      <c r="AI53" s="60"/>
      <c r="AJ53" s="74" t="str">
        <f t="shared" si="4"/>
        <v>-</v>
      </c>
      <c r="AK53" s="60"/>
      <c r="AL53" s="60"/>
      <c r="AM53" s="60"/>
      <c r="AN53" s="60"/>
      <c r="AO53" s="60"/>
      <c r="AP53" s="60"/>
      <c r="AQ53" s="60"/>
      <c r="AR53" s="60"/>
      <c r="AS53" s="60"/>
      <c r="AT53" s="74" t="str">
        <f>IF(COUNTIF(AK53:AS53,"&lt;&gt;"&amp;"")=9,SUM(AK53:AS53),"-")</f>
        <v>-</v>
      </c>
      <c r="AU53" s="148" t="str">
        <f>IF(AND(ISNUMBER(AJ53),ISNUMBER(AT53)),AJ53+AT53,"-")</f>
        <v>-</v>
      </c>
      <c r="AV53" s="74" t="str">
        <f>IF(ISNUMBER(AU53),AU53-C53,"-")</f>
        <v>-</v>
      </c>
      <c r="AX53" s="59" t="str">
        <f t="shared" si="5"/>
        <v>-</v>
      </c>
      <c r="AY53" s="59" t="str">
        <f t="shared" si="6"/>
        <v>-</v>
      </c>
      <c r="AZ53" s="59" t="str">
        <f t="shared" si="7"/>
        <v>-</v>
      </c>
      <c r="BA53" s="59" t="str">
        <f t="shared" si="8"/>
        <v>-</v>
      </c>
      <c r="BB53" s="59" t="str">
        <f t="shared" si="9"/>
        <v>-</v>
      </c>
      <c r="BC53" s="59" t="str">
        <f t="shared" si="10"/>
        <v>-</v>
      </c>
      <c r="BD53" s="59" t="str">
        <f t="shared" si="11"/>
        <v>-</v>
      </c>
      <c r="BE53" s="59" t="str">
        <f t="shared" si="12"/>
        <v>-</v>
      </c>
      <c r="BF53" s="59" t="str">
        <f t="shared" si="13"/>
        <v>-</v>
      </c>
      <c r="BG53" s="59" t="str">
        <f t="shared" si="14"/>
        <v>-</v>
      </c>
      <c r="BH53" s="59" t="str">
        <f t="shared" si="15"/>
        <v>-</v>
      </c>
      <c r="BI53" s="59" t="str">
        <f t="shared" si="16"/>
        <v>-</v>
      </c>
      <c r="BJ53" s="59" t="str">
        <f t="shared" si="17"/>
        <v>-</v>
      </c>
      <c r="BK53" s="59" t="str">
        <f t="shared" si="18"/>
        <v>-</v>
      </c>
      <c r="BL53" s="59" t="str">
        <f>IF(AND(R53&gt;0,AO53&gt;0),MIN(R53,AO53),"-")</f>
        <v>-</v>
      </c>
      <c r="BM53" s="59" t="str">
        <f>IF(AND(S53&gt;0,AP53&gt;0),MIN(S53,AP53),"-")</f>
        <v>-</v>
      </c>
      <c r="BN53" s="59" t="str">
        <f>IF(AND(T53&gt;0,AQ53&gt;0),MIN(T53,AQ53),"-")</f>
        <v>-</v>
      </c>
      <c r="BO53" s="59" t="str">
        <f>IF(AND(U53&gt;0,AR53&gt;0),MIN(U53,AR53),"-")</f>
        <v>-</v>
      </c>
      <c r="BP53" s="59" t="str">
        <f>IF(AND(V53&gt;0,AS53&gt;0),MIN(V53,AS53),"-")</f>
        <v>-</v>
      </c>
      <c r="BQ53" s="59" t="str">
        <f t="shared" si="19"/>
        <v>-</v>
      </c>
      <c r="BR53" s="59" t="str">
        <f t="shared" si="20"/>
        <v>-</v>
      </c>
      <c r="BS53" s="59" t="str">
        <f t="shared" si="21"/>
        <v>-</v>
      </c>
      <c r="BT53" s="98" t="str">
        <f>IF(ISNUMBER(BS53),BS53-(C53*Rules!$P$9/100),"-")</f>
        <v>-</v>
      </c>
      <c r="BU53" s="59" t="e">
        <f>RANK($BT53,$BT$5:$BT$106,1)+COUNTIF(BT$5:BT53,BT53)-1</f>
        <v>#VALUE!</v>
      </c>
      <c r="BV53" s="59" t="e">
        <f t="shared" si="22"/>
        <v>#VALUE!</v>
      </c>
      <c r="BW53" s="59" t="str">
        <f t="shared" si="23"/>
        <v xml:space="preserve"> </v>
      </c>
      <c r="BX53" s="59" t="str">
        <f t="shared" si="24"/>
        <v>-</v>
      </c>
      <c r="BY53" s="98" t="str">
        <f t="shared" si="25"/>
        <v>-</v>
      </c>
      <c r="CC53" s="4">
        <v>49</v>
      </c>
      <c r="CD53" s="2" t="e">
        <f>VLOOKUP(CC53,$BU$5:BY$215,2,FALSE)</f>
        <v>#N/A</v>
      </c>
      <c r="CE53" s="6" t="e">
        <f>VLOOKUP(CC53,$BU$5:BY$215,3,FALSE)</f>
        <v>#N/A</v>
      </c>
      <c r="CF53" s="2" t="e">
        <f>VLOOKUP(CC53,$BU$5:BY$215,5,FALSE)</f>
        <v>#N/A</v>
      </c>
      <c r="CL53" s="77">
        <v>1</v>
      </c>
    </row>
    <row r="54" spans="1:90" ht="17.45" customHeight="1">
      <c r="A54" s="58">
        <v>50</v>
      </c>
      <c r="B54" s="59" t="str">
        <f>'A Div'!A54 &amp; " " &amp; 'A Div'!B54</f>
        <v xml:space="preserve"> </v>
      </c>
      <c r="C54" s="59" t="str">
        <f>'A Div'!E54</f>
        <v>-</v>
      </c>
      <c r="D54" s="60"/>
      <c r="E54" s="60"/>
      <c r="F54" s="60"/>
      <c r="G54" s="60"/>
      <c r="H54" s="60"/>
      <c r="I54" s="60"/>
      <c r="J54" s="60"/>
      <c r="K54" s="60"/>
      <c r="L54" s="60"/>
      <c r="M54" s="74" t="str">
        <f t="shared" si="0"/>
        <v>-</v>
      </c>
      <c r="N54" s="60"/>
      <c r="O54" s="60"/>
      <c r="P54" s="60"/>
      <c r="Q54" s="60"/>
      <c r="R54" s="60"/>
      <c r="S54" s="60"/>
      <c r="T54" s="60"/>
      <c r="U54" s="60"/>
      <c r="V54" s="60"/>
      <c r="W54" s="74" t="str">
        <f t="shared" si="1"/>
        <v>-</v>
      </c>
      <c r="X54" s="148" t="str">
        <f t="shared" si="2"/>
        <v>-</v>
      </c>
      <c r="Y54" s="74" t="str">
        <f t="shared" si="3"/>
        <v>-</v>
      </c>
      <c r="AA54" s="60"/>
      <c r="AB54" s="60"/>
      <c r="AC54" s="60"/>
      <c r="AD54" s="60"/>
      <c r="AE54" s="60"/>
      <c r="AF54" s="60"/>
      <c r="AG54" s="60"/>
      <c r="AH54" s="60"/>
      <c r="AI54" s="60"/>
      <c r="AJ54" s="74" t="str">
        <f t="shared" si="4"/>
        <v>-</v>
      </c>
      <c r="AK54" s="60"/>
      <c r="AL54" s="60"/>
      <c r="AM54" s="60"/>
      <c r="AN54" s="60"/>
      <c r="AO54" s="60"/>
      <c r="AP54" s="60"/>
      <c r="AQ54" s="60"/>
      <c r="AR54" s="60"/>
      <c r="AS54" s="60"/>
      <c r="AT54" s="74" t="str">
        <f>IF(COUNTIF(AK54:AS54,"&lt;&gt;"&amp;"")=9,SUM(AK54:AS54),"-")</f>
        <v>-</v>
      </c>
      <c r="AU54" s="148" t="str">
        <f>IF(AND(ISNUMBER(AJ54),ISNUMBER(AT54)),AJ54+AT54,"-")</f>
        <v>-</v>
      </c>
      <c r="AV54" s="74" t="str">
        <f>IF(ISNUMBER(AU54),AU54-C54,"-")</f>
        <v>-</v>
      </c>
      <c r="AX54" s="59" t="str">
        <f t="shared" si="5"/>
        <v>-</v>
      </c>
      <c r="AY54" s="59" t="str">
        <f t="shared" si="6"/>
        <v>-</v>
      </c>
      <c r="AZ54" s="59" t="str">
        <f t="shared" si="7"/>
        <v>-</v>
      </c>
      <c r="BA54" s="59" t="str">
        <f t="shared" si="8"/>
        <v>-</v>
      </c>
      <c r="BB54" s="59" t="str">
        <f t="shared" si="9"/>
        <v>-</v>
      </c>
      <c r="BC54" s="59" t="str">
        <f t="shared" si="10"/>
        <v>-</v>
      </c>
      <c r="BD54" s="59" t="str">
        <f t="shared" si="11"/>
        <v>-</v>
      </c>
      <c r="BE54" s="59" t="str">
        <f t="shared" si="12"/>
        <v>-</v>
      </c>
      <c r="BF54" s="59" t="str">
        <f t="shared" si="13"/>
        <v>-</v>
      </c>
      <c r="BG54" s="59" t="str">
        <f t="shared" si="14"/>
        <v>-</v>
      </c>
      <c r="BH54" s="59" t="str">
        <f t="shared" si="15"/>
        <v>-</v>
      </c>
      <c r="BI54" s="59" t="str">
        <f t="shared" si="16"/>
        <v>-</v>
      </c>
      <c r="BJ54" s="59" t="str">
        <f t="shared" si="17"/>
        <v>-</v>
      </c>
      <c r="BK54" s="59" t="str">
        <f t="shared" si="18"/>
        <v>-</v>
      </c>
      <c r="BL54" s="59" t="str">
        <f>IF(AND(R54&gt;0,AO54&gt;0),MIN(R54,AO54),"-")</f>
        <v>-</v>
      </c>
      <c r="BM54" s="59" t="str">
        <f>IF(AND(S54&gt;0,AP54&gt;0),MIN(S54,AP54),"-")</f>
        <v>-</v>
      </c>
      <c r="BN54" s="59" t="str">
        <f>IF(AND(T54&gt;0,AQ54&gt;0),MIN(T54,AQ54),"-")</f>
        <v>-</v>
      </c>
      <c r="BO54" s="59" t="str">
        <f>IF(AND(U54&gt;0,AR54&gt;0),MIN(U54,AR54),"-")</f>
        <v>-</v>
      </c>
      <c r="BP54" s="59" t="str">
        <f>IF(AND(V54&gt;0,AS54&gt;0),MIN(V54,AS54),"-")</f>
        <v>-</v>
      </c>
      <c r="BQ54" s="59" t="str">
        <f t="shared" si="19"/>
        <v>-</v>
      </c>
      <c r="BR54" s="59" t="str">
        <f t="shared" si="20"/>
        <v>-</v>
      </c>
      <c r="BS54" s="59" t="str">
        <f t="shared" si="21"/>
        <v>-</v>
      </c>
      <c r="BT54" s="98" t="str">
        <f>IF(ISNUMBER(BS54),BS54-(C54*Rules!$P$9/100),"-")</f>
        <v>-</v>
      </c>
      <c r="BU54" s="59" t="e">
        <f>RANK($BT54,$BT$5:$BT$106,1)+COUNTIF(BT$5:BT54,BT54)-1</f>
        <v>#VALUE!</v>
      </c>
      <c r="BV54" s="59" t="e">
        <f t="shared" si="22"/>
        <v>#VALUE!</v>
      </c>
      <c r="BW54" s="59" t="str">
        <f t="shared" si="23"/>
        <v xml:space="preserve"> </v>
      </c>
      <c r="BX54" s="59" t="str">
        <f t="shared" si="24"/>
        <v>-</v>
      </c>
      <c r="BY54" s="98" t="str">
        <f t="shared" si="25"/>
        <v>-</v>
      </c>
      <c r="CC54" s="4">
        <v>50</v>
      </c>
      <c r="CD54" s="2" t="e">
        <f>VLOOKUP(CC54,$BU$5:BY$215,2,FALSE)</f>
        <v>#N/A</v>
      </c>
      <c r="CE54" s="6" t="e">
        <f>VLOOKUP(CC54,$BU$5:BY$215,3,FALSE)</f>
        <v>#N/A</v>
      </c>
      <c r="CF54" s="2" t="e">
        <f>VLOOKUP(CC54,$BU$5:BY$215,5,FALSE)</f>
        <v>#N/A</v>
      </c>
      <c r="CL54" s="77">
        <v>1</v>
      </c>
    </row>
    <row r="55" spans="1:90" ht="17.45" customHeight="1">
      <c r="A55" s="58">
        <v>51</v>
      </c>
      <c r="B55" s="59" t="str">
        <f>'A Div'!A55 &amp; " " &amp; 'A Div'!B55</f>
        <v xml:space="preserve"> </v>
      </c>
      <c r="C55" s="59" t="str">
        <f>'A Div'!E55</f>
        <v>-</v>
      </c>
      <c r="D55" s="60"/>
      <c r="E55" s="60"/>
      <c r="F55" s="60"/>
      <c r="G55" s="60"/>
      <c r="H55" s="60"/>
      <c r="I55" s="60"/>
      <c r="J55" s="60"/>
      <c r="K55" s="60"/>
      <c r="L55" s="60"/>
      <c r="M55" s="74" t="str">
        <f t="shared" si="0"/>
        <v>-</v>
      </c>
      <c r="N55" s="60"/>
      <c r="O55" s="60"/>
      <c r="P55" s="60"/>
      <c r="Q55" s="60"/>
      <c r="R55" s="60"/>
      <c r="S55" s="60"/>
      <c r="T55" s="60"/>
      <c r="U55" s="60"/>
      <c r="V55" s="60"/>
      <c r="W55" s="74" t="str">
        <f t="shared" si="1"/>
        <v>-</v>
      </c>
      <c r="X55" s="148" t="str">
        <f t="shared" si="2"/>
        <v>-</v>
      </c>
      <c r="Y55" s="74" t="str">
        <f t="shared" si="3"/>
        <v>-</v>
      </c>
      <c r="AA55" s="60"/>
      <c r="AB55" s="60"/>
      <c r="AC55" s="60"/>
      <c r="AD55" s="60"/>
      <c r="AE55" s="60"/>
      <c r="AF55" s="60"/>
      <c r="AG55" s="60"/>
      <c r="AH55" s="60"/>
      <c r="AI55" s="60"/>
      <c r="AJ55" s="74" t="str">
        <f t="shared" si="4"/>
        <v>-</v>
      </c>
      <c r="AK55" s="60"/>
      <c r="AL55" s="60"/>
      <c r="AM55" s="60"/>
      <c r="AN55" s="60"/>
      <c r="AO55" s="60"/>
      <c r="AP55" s="60"/>
      <c r="AQ55" s="60"/>
      <c r="AR55" s="60"/>
      <c r="AS55" s="60"/>
      <c r="AT55" s="74" t="str">
        <f>IF(COUNTIF(AK55:AS55,"&lt;&gt;"&amp;"")=9,SUM(AK55:AS55),"-")</f>
        <v>-</v>
      </c>
      <c r="AU55" s="148" t="str">
        <f>IF(AND(ISNUMBER(AJ55),ISNUMBER(AT55)),AJ55+AT55,"-")</f>
        <v>-</v>
      </c>
      <c r="AV55" s="74" t="str">
        <f>IF(ISNUMBER(AU55),AU55-C55,"-")</f>
        <v>-</v>
      </c>
      <c r="AX55" s="59" t="str">
        <f t="shared" si="5"/>
        <v>-</v>
      </c>
      <c r="AY55" s="59" t="str">
        <f t="shared" si="6"/>
        <v>-</v>
      </c>
      <c r="AZ55" s="59" t="str">
        <f t="shared" si="7"/>
        <v>-</v>
      </c>
      <c r="BA55" s="59" t="str">
        <f t="shared" si="8"/>
        <v>-</v>
      </c>
      <c r="BB55" s="59" t="str">
        <f t="shared" si="9"/>
        <v>-</v>
      </c>
      <c r="BC55" s="59" t="str">
        <f t="shared" si="10"/>
        <v>-</v>
      </c>
      <c r="BD55" s="59" t="str">
        <f t="shared" si="11"/>
        <v>-</v>
      </c>
      <c r="BE55" s="59" t="str">
        <f t="shared" si="12"/>
        <v>-</v>
      </c>
      <c r="BF55" s="59" t="str">
        <f t="shared" si="13"/>
        <v>-</v>
      </c>
      <c r="BG55" s="59" t="str">
        <f t="shared" si="14"/>
        <v>-</v>
      </c>
      <c r="BH55" s="59" t="str">
        <f t="shared" si="15"/>
        <v>-</v>
      </c>
      <c r="BI55" s="59" t="str">
        <f t="shared" si="16"/>
        <v>-</v>
      </c>
      <c r="BJ55" s="59" t="str">
        <f t="shared" si="17"/>
        <v>-</v>
      </c>
      <c r="BK55" s="59" t="str">
        <f t="shared" si="18"/>
        <v>-</v>
      </c>
      <c r="BL55" s="59" t="str">
        <f>IF(AND(R55&gt;0,AO55&gt;0),MIN(R55,AO55),"-")</f>
        <v>-</v>
      </c>
      <c r="BM55" s="59" t="str">
        <f>IF(AND(S55&gt;0,AP55&gt;0),MIN(S55,AP55),"-")</f>
        <v>-</v>
      </c>
      <c r="BN55" s="59" t="str">
        <f>IF(AND(T55&gt;0,AQ55&gt;0),MIN(T55,AQ55),"-")</f>
        <v>-</v>
      </c>
      <c r="BO55" s="59" t="str">
        <f>IF(AND(U55&gt;0,AR55&gt;0),MIN(U55,AR55),"-")</f>
        <v>-</v>
      </c>
      <c r="BP55" s="59" t="str">
        <f>IF(AND(V55&gt;0,AS55&gt;0),MIN(V55,AS55),"-")</f>
        <v>-</v>
      </c>
      <c r="BQ55" s="59" t="str">
        <f t="shared" si="19"/>
        <v>-</v>
      </c>
      <c r="BR55" s="59" t="str">
        <f t="shared" si="20"/>
        <v>-</v>
      </c>
      <c r="BS55" s="59" t="str">
        <f t="shared" si="21"/>
        <v>-</v>
      </c>
      <c r="BT55" s="98" t="str">
        <f>IF(ISNUMBER(BS55),BS55-(C55*Rules!$P$9/100),"-")</f>
        <v>-</v>
      </c>
      <c r="BU55" s="59" t="e">
        <f>RANK($BT55,$BT$5:$BT$106,1)+COUNTIF(BT$5:BT55,BT55)-1</f>
        <v>#VALUE!</v>
      </c>
      <c r="BV55" s="59" t="e">
        <f t="shared" si="22"/>
        <v>#VALUE!</v>
      </c>
      <c r="BW55" s="59" t="str">
        <f t="shared" si="23"/>
        <v xml:space="preserve"> </v>
      </c>
      <c r="BX55" s="59" t="str">
        <f t="shared" si="24"/>
        <v>-</v>
      </c>
      <c r="BY55" s="98" t="str">
        <f t="shared" si="25"/>
        <v>-</v>
      </c>
      <c r="CC55" s="4">
        <v>51</v>
      </c>
      <c r="CD55" s="2" t="e">
        <f>VLOOKUP(CC55,$BU$5:BY$215,2,FALSE)</f>
        <v>#N/A</v>
      </c>
      <c r="CE55" s="6" t="e">
        <f>VLOOKUP(CC55,$BU$5:BY$215,3,FALSE)</f>
        <v>#N/A</v>
      </c>
      <c r="CF55" s="2" t="e">
        <f>VLOOKUP(CC55,$BU$5:BY$215,5,FALSE)</f>
        <v>#N/A</v>
      </c>
      <c r="CL55" s="77">
        <v>1</v>
      </c>
    </row>
    <row r="56" spans="1:90" ht="17.45" customHeight="1">
      <c r="A56" s="58">
        <v>52</v>
      </c>
      <c r="B56" s="59" t="str">
        <f>'A Div'!A56 &amp; " " &amp; 'A Div'!B56</f>
        <v xml:space="preserve"> </v>
      </c>
      <c r="C56" s="59" t="str">
        <f>'A Div'!E56</f>
        <v>-</v>
      </c>
      <c r="D56" s="60"/>
      <c r="E56" s="60"/>
      <c r="F56" s="60"/>
      <c r="G56" s="60"/>
      <c r="H56" s="60"/>
      <c r="I56" s="60"/>
      <c r="J56" s="60"/>
      <c r="K56" s="60"/>
      <c r="L56" s="60"/>
      <c r="M56" s="74" t="str">
        <f t="shared" si="0"/>
        <v>-</v>
      </c>
      <c r="N56" s="60"/>
      <c r="O56" s="60"/>
      <c r="P56" s="60"/>
      <c r="Q56" s="60"/>
      <c r="R56" s="60"/>
      <c r="S56" s="60"/>
      <c r="T56" s="60"/>
      <c r="U56" s="60"/>
      <c r="V56" s="60"/>
      <c r="W56" s="74" t="str">
        <f t="shared" si="1"/>
        <v>-</v>
      </c>
      <c r="X56" s="148" t="str">
        <f t="shared" si="2"/>
        <v>-</v>
      </c>
      <c r="Y56" s="74" t="str">
        <f t="shared" si="3"/>
        <v>-</v>
      </c>
      <c r="AA56" s="60"/>
      <c r="AB56" s="60"/>
      <c r="AC56" s="60"/>
      <c r="AD56" s="60"/>
      <c r="AE56" s="60"/>
      <c r="AF56" s="60"/>
      <c r="AG56" s="60"/>
      <c r="AH56" s="60"/>
      <c r="AI56" s="60"/>
      <c r="AJ56" s="74" t="str">
        <f t="shared" si="4"/>
        <v>-</v>
      </c>
      <c r="AK56" s="60"/>
      <c r="AL56" s="60"/>
      <c r="AM56" s="60"/>
      <c r="AN56" s="60"/>
      <c r="AO56" s="60"/>
      <c r="AP56" s="60"/>
      <c r="AQ56" s="60"/>
      <c r="AR56" s="60"/>
      <c r="AS56" s="60"/>
      <c r="AT56" s="74" t="str">
        <f>IF(COUNTIF(AK56:AS56,"&lt;&gt;"&amp;"")=9,SUM(AK56:AS56),"-")</f>
        <v>-</v>
      </c>
      <c r="AU56" s="148" t="str">
        <f>IF(AND(ISNUMBER(AJ56),ISNUMBER(AT56)),AJ56+AT56,"-")</f>
        <v>-</v>
      </c>
      <c r="AV56" s="74" t="str">
        <f>IF(ISNUMBER(AU56),AU56-C56,"-")</f>
        <v>-</v>
      </c>
      <c r="AX56" s="59" t="str">
        <f t="shared" si="5"/>
        <v>-</v>
      </c>
      <c r="AY56" s="59" t="str">
        <f t="shared" si="6"/>
        <v>-</v>
      </c>
      <c r="AZ56" s="59" t="str">
        <f t="shared" si="7"/>
        <v>-</v>
      </c>
      <c r="BA56" s="59" t="str">
        <f t="shared" si="8"/>
        <v>-</v>
      </c>
      <c r="BB56" s="59" t="str">
        <f t="shared" si="9"/>
        <v>-</v>
      </c>
      <c r="BC56" s="59" t="str">
        <f t="shared" si="10"/>
        <v>-</v>
      </c>
      <c r="BD56" s="59" t="str">
        <f t="shared" si="11"/>
        <v>-</v>
      </c>
      <c r="BE56" s="59" t="str">
        <f t="shared" si="12"/>
        <v>-</v>
      </c>
      <c r="BF56" s="59" t="str">
        <f t="shared" si="13"/>
        <v>-</v>
      </c>
      <c r="BG56" s="59" t="str">
        <f t="shared" si="14"/>
        <v>-</v>
      </c>
      <c r="BH56" s="59" t="str">
        <f t="shared" si="15"/>
        <v>-</v>
      </c>
      <c r="BI56" s="59" t="str">
        <f t="shared" si="16"/>
        <v>-</v>
      </c>
      <c r="BJ56" s="59" t="str">
        <f t="shared" si="17"/>
        <v>-</v>
      </c>
      <c r="BK56" s="59" t="str">
        <f t="shared" si="18"/>
        <v>-</v>
      </c>
      <c r="BL56" s="59" t="str">
        <f>IF(AND(R56&gt;0,AO56&gt;0),MIN(R56,AO56),"-")</f>
        <v>-</v>
      </c>
      <c r="BM56" s="59" t="str">
        <f>IF(AND(S56&gt;0,AP56&gt;0),MIN(S56,AP56),"-")</f>
        <v>-</v>
      </c>
      <c r="BN56" s="59" t="str">
        <f>IF(AND(T56&gt;0,AQ56&gt;0),MIN(T56,AQ56),"-")</f>
        <v>-</v>
      </c>
      <c r="BO56" s="59" t="str">
        <f>IF(AND(U56&gt;0,AR56&gt;0),MIN(U56,AR56),"-")</f>
        <v>-</v>
      </c>
      <c r="BP56" s="59" t="str">
        <f>IF(AND(V56&gt;0,AS56&gt;0),MIN(V56,AS56),"-")</f>
        <v>-</v>
      </c>
      <c r="BQ56" s="59" t="str">
        <f t="shared" si="19"/>
        <v>-</v>
      </c>
      <c r="BR56" s="59" t="str">
        <f t="shared" si="20"/>
        <v>-</v>
      </c>
      <c r="BS56" s="59" t="str">
        <f t="shared" si="21"/>
        <v>-</v>
      </c>
      <c r="BT56" s="98" t="str">
        <f>IF(ISNUMBER(BS56),BS56-(C56*Rules!$P$9/100),"-")</f>
        <v>-</v>
      </c>
      <c r="BU56" s="59" t="e">
        <f>RANK($BT56,$BT$5:$BT$106,1)+COUNTIF(BT$5:BT56,BT56)-1</f>
        <v>#VALUE!</v>
      </c>
      <c r="BV56" s="59" t="e">
        <f t="shared" si="22"/>
        <v>#VALUE!</v>
      </c>
      <c r="BW56" s="59" t="str">
        <f t="shared" si="23"/>
        <v xml:space="preserve"> </v>
      </c>
      <c r="BX56" s="59" t="str">
        <f t="shared" si="24"/>
        <v>-</v>
      </c>
      <c r="BY56" s="98" t="str">
        <f t="shared" si="25"/>
        <v>-</v>
      </c>
      <c r="CC56" s="4">
        <v>52</v>
      </c>
      <c r="CD56" s="2" t="e">
        <f>VLOOKUP(CC56,$BU$5:BY$215,2,FALSE)</f>
        <v>#N/A</v>
      </c>
      <c r="CE56" s="6" t="e">
        <f>VLOOKUP(CC56,$BU$5:BY$215,3,FALSE)</f>
        <v>#N/A</v>
      </c>
      <c r="CF56" s="2" t="e">
        <f>VLOOKUP(CC56,$BU$5:BY$215,5,FALSE)</f>
        <v>#N/A</v>
      </c>
      <c r="CL56" s="77">
        <v>1</v>
      </c>
    </row>
    <row r="57" spans="1:90" ht="17.45" customHeight="1">
      <c r="A57" s="58">
        <v>53</v>
      </c>
      <c r="B57" s="59" t="str">
        <f>'A Div'!A57 &amp; " " &amp; 'A Div'!B57</f>
        <v xml:space="preserve"> </v>
      </c>
      <c r="C57" s="59" t="str">
        <f>'A Div'!E57</f>
        <v>-</v>
      </c>
      <c r="D57" s="60"/>
      <c r="E57" s="60"/>
      <c r="F57" s="60"/>
      <c r="G57" s="60"/>
      <c r="H57" s="60"/>
      <c r="I57" s="60"/>
      <c r="J57" s="60"/>
      <c r="K57" s="60"/>
      <c r="L57" s="60"/>
      <c r="M57" s="74" t="str">
        <f t="shared" si="0"/>
        <v>-</v>
      </c>
      <c r="N57" s="60"/>
      <c r="O57" s="60"/>
      <c r="P57" s="60"/>
      <c r="Q57" s="60"/>
      <c r="R57" s="60"/>
      <c r="S57" s="60"/>
      <c r="T57" s="60"/>
      <c r="U57" s="60"/>
      <c r="V57" s="60"/>
      <c r="W57" s="74" t="str">
        <f t="shared" si="1"/>
        <v>-</v>
      </c>
      <c r="X57" s="148" t="str">
        <f t="shared" si="2"/>
        <v>-</v>
      </c>
      <c r="Y57" s="74" t="str">
        <f t="shared" si="3"/>
        <v>-</v>
      </c>
      <c r="AA57" s="60"/>
      <c r="AB57" s="60"/>
      <c r="AC57" s="60"/>
      <c r="AD57" s="60"/>
      <c r="AE57" s="60"/>
      <c r="AF57" s="60"/>
      <c r="AG57" s="60"/>
      <c r="AH57" s="60"/>
      <c r="AI57" s="60"/>
      <c r="AJ57" s="74" t="str">
        <f t="shared" si="4"/>
        <v>-</v>
      </c>
      <c r="AK57" s="60"/>
      <c r="AL57" s="60"/>
      <c r="AM57" s="60"/>
      <c r="AN57" s="60"/>
      <c r="AO57" s="60"/>
      <c r="AP57" s="60"/>
      <c r="AQ57" s="60"/>
      <c r="AR57" s="60"/>
      <c r="AS57" s="60"/>
      <c r="AT57" s="74" t="str">
        <f>IF(COUNTIF(AK57:AS57,"&lt;&gt;"&amp;"")=9,SUM(AK57:AS57),"-")</f>
        <v>-</v>
      </c>
      <c r="AU57" s="148" t="str">
        <f>IF(AND(ISNUMBER(AJ57),ISNUMBER(AT57)),AJ57+AT57,"-")</f>
        <v>-</v>
      </c>
      <c r="AV57" s="74" t="str">
        <f>IF(ISNUMBER(AU57),AU57-C57,"-")</f>
        <v>-</v>
      </c>
      <c r="AX57" s="59" t="str">
        <f t="shared" si="5"/>
        <v>-</v>
      </c>
      <c r="AY57" s="59" t="str">
        <f t="shared" si="6"/>
        <v>-</v>
      </c>
      <c r="AZ57" s="59" t="str">
        <f t="shared" si="7"/>
        <v>-</v>
      </c>
      <c r="BA57" s="59" t="str">
        <f t="shared" si="8"/>
        <v>-</v>
      </c>
      <c r="BB57" s="59" t="str">
        <f t="shared" si="9"/>
        <v>-</v>
      </c>
      <c r="BC57" s="59" t="str">
        <f t="shared" si="10"/>
        <v>-</v>
      </c>
      <c r="BD57" s="59" t="str">
        <f t="shared" si="11"/>
        <v>-</v>
      </c>
      <c r="BE57" s="59" t="str">
        <f t="shared" si="12"/>
        <v>-</v>
      </c>
      <c r="BF57" s="59" t="str">
        <f t="shared" si="13"/>
        <v>-</v>
      </c>
      <c r="BG57" s="59" t="str">
        <f t="shared" si="14"/>
        <v>-</v>
      </c>
      <c r="BH57" s="59" t="str">
        <f t="shared" si="15"/>
        <v>-</v>
      </c>
      <c r="BI57" s="59" t="str">
        <f t="shared" si="16"/>
        <v>-</v>
      </c>
      <c r="BJ57" s="59" t="str">
        <f t="shared" si="17"/>
        <v>-</v>
      </c>
      <c r="BK57" s="59" t="str">
        <f t="shared" si="18"/>
        <v>-</v>
      </c>
      <c r="BL57" s="59" t="str">
        <f>IF(AND(R57&gt;0,AO57&gt;0),MIN(R57,AO57),"-")</f>
        <v>-</v>
      </c>
      <c r="BM57" s="59" t="str">
        <f>IF(AND(S57&gt;0,AP57&gt;0),MIN(S57,AP57),"-")</f>
        <v>-</v>
      </c>
      <c r="BN57" s="59" t="str">
        <f>IF(AND(T57&gt;0,AQ57&gt;0),MIN(T57,AQ57),"-")</f>
        <v>-</v>
      </c>
      <c r="BO57" s="59" t="str">
        <f>IF(AND(U57&gt;0,AR57&gt;0),MIN(U57,AR57),"-")</f>
        <v>-</v>
      </c>
      <c r="BP57" s="59" t="str">
        <f>IF(AND(V57&gt;0,AS57&gt;0),MIN(V57,AS57),"-")</f>
        <v>-</v>
      </c>
      <c r="BQ57" s="59" t="str">
        <f t="shared" si="19"/>
        <v>-</v>
      </c>
      <c r="BR57" s="59" t="str">
        <f t="shared" si="20"/>
        <v>-</v>
      </c>
      <c r="BS57" s="59" t="str">
        <f t="shared" si="21"/>
        <v>-</v>
      </c>
      <c r="BT57" s="98" t="str">
        <f>IF(ISNUMBER(BS57),BS57-(C57*Rules!$P$9/100),"-")</f>
        <v>-</v>
      </c>
      <c r="BU57" s="59" t="e">
        <f>RANK($BT57,$BT$5:$BT$106,1)+COUNTIF(BT$5:BT57,BT57)-1</f>
        <v>#VALUE!</v>
      </c>
      <c r="BV57" s="59" t="e">
        <f t="shared" si="22"/>
        <v>#VALUE!</v>
      </c>
      <c r="BW57" s="59" t="str">
        <f t="shared" si="23"/>
        <v xml:space="preserve"> </v>
      </c>
      <c r="BX57" s="59" t="str">
        <f t="shared" si="24"/>
        <v>-</v>
      </c>
      <c r="BY57" s="98" t="str">
        <f t="shared" si="25"/>
        <v>-</v>
      </c>
      <c r="CC57" s="4">
        <v>53</v>
      </c>
      <c r="CD57" s="2" t="e">
        <f>VLOOKUP(CC57,$BU$5:BY$215,2,FALSE)</f>
        <v>#N/A</v>
      </c>
      <c r="CE57" s="6" t="e">
        <f>VLOOKUP(CC57,$BU$5:BY$215,3,FALSE)</f>
        <v>#N/A</v>
      </c>
      <c r="CF57" s="2" t="e">
        <f>VLOOKUP(CC57,$BU$5:BY$215,5,FALSE)</f>
        <v>#N/A</v>
      </c>
      <c r="CL57" s="77">
        <v>1</v>
      </c>
    </row>
    <row r="58" spans="1:90" ht="17.45" customHeight="1">
      <c r="A58" s="58">
        <v>54</v>
      </c>
      <c r="B58" s="59" t="str">
        <f>'A Div'!A58 &amp; " " &amp; 'A Div'!B58</f>
        <v xml:space="preserve"> </v>
      </c>
      <c r="C58" s="59" t="str">
        <f>'A Div'!E58</f>
        <v>-</v>
      </c>
      <c r="D58" s="60"/>
      <c r="E58" s="60"/>
      <c r="F58" s="60"/>
      <c r="G58" s="60"/>
      <c r="H58" s="60"/>
      <c r="I58" s="60"/>
      <c r="J58" s="60"/>
      <c r="K58" s="60"/>
      <c r="L58" s="60"/>
      <c r="M58" s="74" t="str">
        <f t="shared" si="0"/>
        <v>-</v>
      </c>
      <c r="N58" s="60"/>
      <c r="O58" s="60"/>
      <c r="P58" s="60"/>
      <c r="Q58" s="60"/>
      <c r="R58" s="60"/>
      <c r="S58" s="60"/>
      <c r="T58" s="60"/>
      <c r="U58" s="60"/>
      <c r="V58" s="60"/>
      <c r="W58" s="74" t="str">
        <f t="shared" si="1"/>
        <v>-</v>
      </c>
      <c r="X58" s="148" t="str">
        <f t="shared" si="2"/>
        <v>-</v>
      </c>
      <c r="Y58" s="74" t="str">
        <f t="shared" si="3"/>
        <v>-</v>
      </c>
      <c r="AA58" s="60"/>
      <c r="AB58" s="60"/>
      <c r="AC58" s="60"/>
      <c r="AD58" s="60"/>
      <c r="AE58" s="60"/>
      <c r="AF58" s="60"/>
      <c r="AG58" s="60"/>
      <c r="AH58" s="60"/>
      <c r="AI58" s="60"/>
      <c r="AJ58" s="74" t="str">
        <f t="shared" si="4"/>
        <v>-</v>
      </c>
      <c r="AK58" s="60"/>
      <c r="AL58" s="60"/>
      <c r="AM58" s="60"/>
      <c r="AN58" s="60"/>
      <c r="AO58" s="60"/>
      <c r="AP58" s="60"/>
      <c r="AQ58" s="60"/>
      <c r="AR58" s="60"/>
      <c r="AS58" s="60"/>
      <c r="AT58" s="74" t="str">
        <f>IF(COUNTIF(AK58:AS58,"&lt;&gt;"&amp;"")=9,SUM(AK58:AS58),"-")</f>
        <v>-</v>
      </c>
      <c r="AU58" s="148" t="str">
        <f>IF(AND(ISNUMBER(AJ58),ISNUMBER(AT58)),AJ58+AT58,"-")</f>
        <v>-</v>
      </c>
      <c r="AV58" s="74" t="str">
        <f>IF(ISNUMBER(AU58),AU58-C58,"-")</f>
        <v>-</v>
      </c>
      <c r="AX58" s="59" t="str">
        <f t="shared" si="5"/>
        <v>-</v>
      </c>
      <c r="AY58" s="59" t="str">
        <f t="shared" si="6"/>
        <v>-</v>
      </c>
      <c r="AZ58" s="59" t="str">
        <f t="shared" si="7"/>
        <v>-</v>
      </c>
      <c r="BA58" s="59" t="str">
        <f t="shared" si="8"/>
        <v>-</v>
      </c>
      <c r="BB58" s="59" t="str">
        <f t="shared" si="9"/>
        <v>-</v>
      </c>
      <c r="BC58" s="59" t="str">
        <f t="shared" si="10"/>
        <v>-</v>
      </c>
      <c r="BD58" s="59" t="str">
        <f t="shared" si="11"/>
        <v>-</v>
      </c>
      <c r="BE58" s="59" t="str">
        <f t="shared" si="12"/>
        <v>-</v>
      </c>
      <c r="BF58" s="59" t="str">
        <f t="shared" si="13"/>
        <v>-</v>
      </c>
      <c r="BG58" s="59" t="str">
        <f t="shared" si="14"/>
        <v>-</v>
      </c>
      <c r="BH58" s="59" t="str">
        <f t="shared" si="15"/>
        <v>-</v>
      </c>
      <c r="BI58" s="59" t="str">
        <f t="shared" si="16"/>
        <v>-</v>
      </c>
      <c r="BJ58" s="59" t="str">
        <f t="shared" si="17"/>
        <v>-</v>
      </c>
      <c r="BK58" s="59" t="str">
        <f t="shared" si="18"/>
        <v>-</v>
      </c>
      <c r="BL58" s="59" t="str">
        <f>IF(AND(R58&gt;0,AO58&gt;0),MIN(R58,AO58),"-")</f>
        <v>-</v>
      </c>
      <c r="BM58" s="59" t="str">
        <f>IF(AND(S58&gt;0,AP58&gt;0),MIN(S58,AP58),"-")</f>
        <v>-</v>
      </c>
      <c r="BN58" s="59" t="str">
        <f>IF(AND(T58&gt;0,AQ58&gt;0),MIN(T58,AQ58),"-")</f>
        <v>-</v>
      </c>
      <c r="BO58" s="59" t="str">
        <f>IF(AND(U58&gt;0,AR58&gt;0),MIN(U58,AR58),"-")</f>
        <v>-</v>
      </c>
      <c r="BP58" s="59" t="str">
        <f>IF(AND(V58&gt;0,AS58&gt;0),MIN(V58,AS58),"-")</f>
        <v>-</v>
      </c>
      <c r="BQ58" s="59" t="str">
        <f t="shared" si="19"/>
        <v>-</v>
      </c>
      <c r="BR58" s="59" t="str">
        <f t="shared" si="20"/>
        <v>-</v>
      </c>
      <c r="BS58" s="59" t="str">
        <f t="shared" si="21"/>
        <v>-</v>
      </c>
      <c r="BT58" s="98" t="str">
        <f>IF(ISNUMBER(BS58),BS58-(C58*Rules!$P$9/100),"-")</f>
        <v>-</v>
      </c>
      <c r="BU58" s="59" t="e">
        <f>RANK($BT58,$BT$5:$BT$106,1)+COUNTIF(BT$5:BT58,BT58)-1</f>
        <v>#VALUE!</v>
      </c>
      <c r="BV58" s="59" t="e">
        <f t="shared" si="22"/>
        <v>#VALUE!</v>
      </c>
      <c r="BW58" s="59" t="str">
        <f t="shared" si="23"/>
        <v xml:space="preserve"> </v>
      </c>
      <c r="BX58" s="59" t="str">
        <f t="shared" si="24"/>
        <v>-</v>
      </c>
      <c r="BY58" s="98" t="str">
        <f t="shared" si="25"/>
        <v>-</v>
      </c>
      <c r="CC58" s="4">
        <v>54</v>
      </c>
      <c r="CD58" s="2" t="e">
        <f>VLOOKUP(CC58,$BU$5:BY$215,2,FALSE)</f>
        <v>#N/A</v>
      </c>
      <c r="CE58" s="6" t="e">
        <f>VLOOKUP(CC58,$BU$5:BY$215,3,FALSE)</f>
        <v>#N/A</v>
      </c>
      <c r="CF58" s="2" t="e">
        <f>VLOOKUP(CC58,$BU$5:BY$215,5,FALSE)</f>
        <v>#N/A</v>
      </c>
      <c r="CL58" s="77">
        <v>1</v>
      </c>
    </row>
    <row r="59" spans="1:90" ht="17.45" customHeight="1">
      <c r="A59" s="58">
        <v>55</v>
      </c>
      <c r="B59" s="59" t="str">
        <f>'A Div'!A59 &amp; " " &amp; 'A Div'!B59</f>
        <v xml:space="preserve"> </v>
      </c>
      <c r="C59" s="59" t="str">
        <f>'A Div'!E59</f>
        <v>-</v>
      </c>
      <c r="D59" s="60"/>
      <c r="E59" s="60"/>
      <c r="F59" s="60"/>
      <c r="G59" s="60"/>
      <c r="H59" s="60"/>
      <c r="I59" s="60"/>
      <c r="J59" s="60"/>
      <c r="K59" s="60"/>
      <c r="L59" s="60"/>
      <c r="M59" s="74" t="str">
        <f t="shared" si="0"/>
        <v>-</v>
      </c>
      <c r="N59" s="60"/>
      <c r="O59" s="60"/>
      <c r="P59" s="60"/>
      <c r="Q59" s="60"/>
      <c r="R59" s="60"/>
      <c r="S59" s="60"/>
      <c r="T59" s="60"/>
      <c r="U59" s="60"/>
      <c r="V59" s="60"/>
      <c r="W59" s="74" t="str">
        <f t="shared" si="1"/>
        <v>-</v>
      </c>
      <c r="X59" s="148" t="str">
        <f t="shared" si="2"/>
        <v>-</v>
      </c>
      <c r="Y59" s="74" t="str">
        <f t="shared" si="3"/>
        <v>-</v>
      </c>
      <c r="AA59" s="60"/>
      <c r="AB59" s="60"/>
      <c r="AC59" s="60"/>
      <c r="AD59" s="60"/>
      <c r="AE59" s="60"/>
      <c r="AF59" s="60"/>
      <c r="AG59" s="60"/>
      <c r="AH59" s="60"/>
      <c r="AI59" s="60"/>
      <c r="AJ59" s="74" t="str">
        <f t="shared" si="4"/>
        <v>-</v>
      </c>
      <c r="AK59" s="60"/>
      <c r="AL59" s="60"/>
      <c r="AM59" s="60"/>
      <c r="AN59" s="60"/>
      <c r="AO59" s="60"/>
      <c r="AP59" s="60"/>
      <c r="AQ59" s="60"/>
      <c r="AR59" s="60"/>
      <c r="AS59" s="60"/>
      <c r="AT59" s="74" t="str">
        <f>IF(COUNTIF(AK59:AS59,"&lt;&gt;"&amp;"")=9,SUM(AK59:AS59),"-")</f>
        <v>-</v>
      </c>
      <c r="AU59" s="148" t="str">
        <f>IF(AND(ISNUMBER(AJ59),ISNUMBER(AT59)),AJ59+AT59,"-")</f>
        <v>-</v>
      </c>
      <c r="AV59" s="74" t="str">
        <f>IF(ISNUMBER(AU59),AU59-C59,"-")</f>
        <v>-</v>
      </c>
      <c r="AX59" s="59" t="str">
        <f t="shared" si="5"/>
        <v>-</v>
      </c>
      <c r="AY59" s="59" t="str">
        <f t="shared" si="6"/>
        <v>-</v>
      </c>
      <c r="AZ59" s="59" t="str">
        <f t="shared" si="7"/>
        <v>-</v>
      </c>
      <c r="BA59" s="59" t="str">
        <f t="shared" si="8"/>
        <v>-</v>
      </c>
      <c r="BB59" s="59" t="str">
        <f t="shared" si="9"/>
        <v>-</v>
      </c>
      <c r="BC59" s="59" t="str">
        <f t="shared" si="10"/>
        <v>-</v>
      </c>
      <c r="BD59" s="59" t="str">
        <f t="shared" si="11"/>
        <v>-</v>
      </c>
      <c r="BE59" s="59" t="str">
        <f t="shared" si="12"/>
        <v>-</v>
      </c>
      <c r="BF59" s="59" t="str">
        <f t="shared" si="13"/>
        <v>-</v>
      </c>
      <c r="BG59" s="59" t="str">
        <f t="shared" si="14"/>
        <v>-</v>
      </c>
      <c r="BH59" s="59" t="str">
        <f t="shared" si="15"/>
        <v>-</v>
      </c>
      <c r="BI59" s="59" t="str">
        <f t="shared" si="16"/>
        <v>-</v>
      </c>
      <c r="BJ59" s="59" t="str">
        <f t="shared" si="17"/>
        <v>-</v>
      </c>
      <c r="BK59" s="59" t="str">
        <f t="shared" si="18"/>
        <v>-</v>
      </c>
      <c r="BL59" s="59" t="str">
        <f>IF(AND(R59&gt;0,AO59&gt;0),MIN(R59,AO59),"-")</f>
        <v>-</v>
      </c>
      <c r="BM59" s="59" t="str">
        <f>IF(AND(S59&gt;0,AP59&gt;0),MIN(S59,AP59),"-")</f>
        <v>-</v>
      </c>
      <c r="BN59" s="59" t="str">
        <f>IF(AND(T59&gt;0,AQ59&gt;0),MIN(T59,AQ59),"-")</f>
        <v>-</v>
      </c>
      <c r="BO59" s="59" t="str">
        <f>IF(AND(U59&gt;0,AR59&gt;0),MIN(U59,AR59),"-")</f>
        <v>-</v>
      </c>
      <c r="BP59" s="59" t="str">
        <f>IF(AND(V59&gt;0,AS59&gt;0),MIN(V59,AS59),"-")</f>
        <v>-</v>
      </c>
      <c r="BQ59" s="59" t="str">
        <f t="shared" si="19"/>
        <v>-</v>
      </c>
      <c r="BR59" s="59" t="str">
        <f t="shared" si="20"/>
        <v>-</v>
      </c>
      <c r="BS59" s="59" t="str">
        <f t="shared" si="21"/>
        <v>-</v>
      </c>
      <c r="BT59" s="98" t="str">
        <f>IF(ISNUMBER(BS59),BS59-(C59*Rules!$P$9/100),"-")</f>
        <v>-</v>
      </c>
      <c r="BU59" s="59" t="e">
        <f>RANK($BT59,$BT$5:$BT$106,1)+COUNTIF(BT$5:BT59,BT59)-1</f>
        <v>#VALUE!</v>
      </c>
      <c r="BV59" s="59" t="e">
        <f t="shared" si="22"/>
        <v>#VALUE!</v>
      </c>
      <c r="BW59" s="59" t="str">
        <f t="shared" si="23"/>
        <v xml:space="preserve"> </v>
      </c>
      <c r="BX59" s="59" t="str">
        <f t="shared" si="24"/>
        <v>-</v>
      </c>
      <c r="BY59" s="98" t="str">
        <f t="shared" si="25"/>
        <v>-</v>
      </c>
      <c r="CC59" s="4">
        <v>55</v>
      </c>
      <c r="CD59" s="2" t="e">
        <f>VLOOKUP(CC59,$BU$5:BY$215,2,FALSE)</f>
        <v>#N/A</v>
      </c>
      <c r="CE59" s="6" t="e">
        <f>VLOOKUP(CC59,$BU$5:BY$215,3,FALSE)</f>
        <v>#N/A</v>
      </c>
      <c r="CF59" s="2" t="e">
        <f>VLOOKUP(CC59,$BU$5:BY$215,5,FALSE)</f>
        <v>#N/A</v>
      </c>
      <c r="CL59" s="77">
        <v>1</v>
      </c>
    </row>
    <row r="60" spans="1:90" ht="17.45" customHeight="1">
      <c r="A60" s="58">
        <v>56</v>
      </c>
      <c r="B60" s="59" t="str">
        <f>'A Div'!A60 &amp; " " &amp; 'A Div'!B60</f>
        <v xml:space="preserve"> </v>
      </c>
      <c r="C60" s="59" t="str">
        <f>'A Div'!E60</f>
        <v>-</v>
      </c>
      <c r="D60" s="60"/>
      <c r="E60" s="60"/>
      <c r="F60" s="60"/>
      <c r="G60" s="60"/>
      <c r="H60" s="60"/>
      <c r="I60" s="60"/>
      <c r="J60" s="60"/>
      <c r="K60" s="60"/>
      <c r="L60" s="60"/>
      <c r="M60" s="74" t="str">
        <f t="shared" si="0"/>
        <v>-</v>
      </c>
      <c r="N60" s="60"/>
      <c r="O60" s="60"/>
      <c r="P60" s="60"/>
      <c r="Q60" s="60"/>
      <c r="R60" s="60"/>
      <c r="S60" s="60"/>
      <c r="T60" s="60"/>
      <c r="U60" s="60"/>
      <c r="V60" s="60"/>
      <c r="W60" s="74" t="str">
        <f t="shared" si="1"/>
        <v>-</v>
      </c>
      <c r="X60" s="148" t="str">
        <f t="shared" si="2"/>
        <v>-</v>
      </c>
      <c r="Y60" s="74" t="str">
        <f t="shared" si="3"/>
        <v>-</v>
      </c>
      <c r="AA60" s="60"/>
      <c r="AB60" s="60"/>
      <c r="AC60" s="60"/>
      <c r="AD60" s="60"/>
      <c r="AE60" s="60"/>
      <c r="AF60" s="60"/>
      <c r="AG60" s="60"/>
      <c r="AH60" s="60"/>
      <c r="AI60" s="60"/>
      <c r="AJ60" s="74" t="str">
        <f t="shared" si="4"/>
        <v>-</v>
      </c>
      <c r="AK60" s="60"/>
      <c r="AL60" s="60"/>
      <c r="AM60" s="60"/>
      <c r="AN60" s="60"/>
      <c r="AO60" s="60"/>
      <c r="AP60" s="60"/>
      <c r="AQ60" s="60"/>
      <c r="AR60" s="60"/>
      <c r="AS60" s="60"/>
      <c r="AT60" s="74" t="str">
        <f>IF(COUNTIF(AK60:AS60,"&lt;&gt;"&amp;"")=9,SUM(AK60:AS60),"-")</f>
        <v>-</v>
      </c>
      <c r="AU60" s="148" t="str">
        <f>IF(AND(ISNUMBER(AJ60),ISNUMBER(AT60)),AJ60+AT60,"-")</f>
        <v>-</v>
      </c>
      <c r="AV60" s="74" t="str">
        <f>IF(ISNUMBER(AU60),AU60-C60,"-")</f>
        <v>-</v>
      </c>
      <c r="AX60" s="59" t="str">
        <f t="shared" si="5"/>
        <v>-</v>
      </c>
      <c r="AY60" s="59" t="str">
        <f t="shared" si="6"/>
        <v>-</v>
      </c>
      <c r="AZ60" s="59" t="str">
        <f t="shared" si="7"/>
        <v>-</v>
      </c>
      <c r="BA60" s="59" t="str">
        <f t="shared" si="8"/>
        <v>-</v>
      </c>
      <c r="BB60" s="59" t="str">
        <f t="shared" si="9"/>
        <v>-</v>
      </c>
      <c r="BC60" s="59" t="str">
        <f t="shared" si="10"/>
        <v>-</v>
      </c>
      <c r="BD60" s="59" t="str">
        <f t="shared" si="11"/>
        <v>-</v>
      </c>
      <c r="BE60" s="59" t="str">
        <f t="shared" si="12"/>
        <v>-</v>
      </c>
      <c r="BF60" s="59" t="str">
        <f t="shared" si="13"/>
        <v>-</v>
      </c>
      <c r="BG60" s="59" t="str">
        <f t="shared" si="14"/>
        <v>-</v>
      </c>
      <c r="BH60" s="59" t="str">
        <f t="shared" si="15"/>
        <v>-</v>
      </c>
      <c r="BI60" s="59" t="str">
        <f t="shared" si="16"/>
        <v>-</v>
      </c>
      <c r="BJ60" s="59" t="str">
        <f t="shared" si="17"/>
        <v>-</v>
      </c>
      <c r="BK60" s="59" t="str">
        <f t="shared" si="18"/>
        <v>-</v>
      </c>
      <c r="BL60" s="59" t="str">
        <f>IF(AND(R60&gt;0,AO60&gt;0),MIN(R60,AO60),"-")</f>
        <v>-</v>
      </c>
      <c r="BM60" s="59" t="str">
        <f>IF(AND(S60&gt;0,AP60&gt;0),MIN(S60,AP60),"-")</f>
        <v>-</v>
      </c>
      <c r="BN60" s="59" t="str">
        <f>IF(AND(T60&gt;0,AQ60&gt;0),MIN(T60,AQ60),"-")</f>
        <v>-</v>
      </c>
      <c r="BO60" s="59" t="str">
        <f>IF(AND(U60&gt;0,AR60&gt;0),MIN(U60,AR60),"-")</f>
        <v>-</v>
      </c>
      <c r="BP60" s="59" t="str">
        <f>IF(AND(V60&gt;0,AS60&gt;0),MIN(V60,AS60),"-")</f>
        <v>-</v>
      </c>
      <c r="BQ60" s="59" t="str">
        <f t="shared" si="19"/>
        <v>-</v>
      </c>
      <c r="BR60" s="59" t="str">
        <f t="shared" si="20"/>
        <v>-</v>
      </c>
      <c r="BS60" s="59" t="str">
        <f t="shared" si="21"/>
        <v>-</v>
      </c>
      <c r="BT60" s="98" t="str">
        <f>IF(ISNUMBER(BS60),BS60-(C60*Rules!$P$9/100),"-")</f>
        <v>-</v>
      </c>
      <c r="BU60" s="59" t="e">
        <f>RANK($BT60,$BT$5:$BT$106,1)+COUNTIF(BT$5:BT60,BT60)-1</f>
        <v>#VALUE!</v>
      </c>
      <c r="BV60" s="59" t="e">
        <f t="shared" si="22"/>
        <v>#VALUE!</v>
      </c>
      <c r="BW60" s="59" t="str">
        <f t="shared" si="23"/>
        <v xml:space="preserve"> </v>
      </c>
      <c r="BX60" s="59" t="str">
        <f t="shared" si="24"/>
        <v>-</v>
      </c>
      <c r="BY60" s="98" t="str">
        <f t="shared" si="25"/>
        <v>-</v>
      </c>
      <c r="CC60" s="4">
        <v>56</v>
      </c>
      <c r="CD60" s="2" t="e">
        <f>VLOOKUP(CC60,$BU$5:BY$215,2,FALSE)</f>
        <v>#N/A</v>
      </c>
      <c r="CE60" s="6" t="e">
        <f>VLOOKUP(CC60,$BU$5:BY$215,3,FALSE)</f>
        <v>#N/A</v>
      </c>
      <c r="CF60" s="2" t="e">
        <f>VLOOKUP(CC60,$BU$5:BY$215,5,FALSE)</f>
        <v>#N/A</v>
      </c>
      <c r="CL60" s="77">
        <v>1</v>
      </c>
    </row>
    <row r="61" spans="1:90" ht="17.45" customHeight="1">
      <c r="A61" s="58">
        <v>57</v>
      </c>
      <c r="B61" s="59" t="str">
        <f>'A Div'!A61 &amp; " " &amp; 'A Div'!B61</f>
        <v xml:space="preserve"> </v>
      </c>
      <c r="C61" s="59" t="str">
        <f>'A Div'!E61</f>
        <v>-</v>
      </c>
      <c r="D61" s="60"/>
      <c r="E61" s="60"/>
      <c r="F61" s="60"/>
      <c r="G61" s="60"/>
      <c r="H61" s="60"/>
      <c r="I61" s="60"/>
      <c r="J61" s="60"/>
      <c r="K61" s="60"/>
      <c r="L61" s="60"/>
      <c r="M61" s="74" t="str">
        <f t="shared" si="0"/>
        <v>-</v>
      </c>
      <c r="N61" s="60"/>
      <c r="O61" s="60"/>
      <c r="P61" s="60"/>
      <c r="Q61" s="60"/>
      <c r="R61" s="60"/>
      <c r="S61" s="60"/>
      <c r="T61" s="60"/>
      <c r="U61" s="60"/>
      <c r="V61" s="60"/>
      <c r="W61" s="74" t="str">
        <f t="shared" si="1"/>
        <v>-</v>
      </c>
      <c r="X61" s="148" t="str">
        <f t="shared" si="2"/>
        <v>-</v>
      </c>
      <c r="Y61" s="74" t="str">
        <f t="shared" si="3"/>
        <v>-</v>
      </c>
      <c r="AA61" s="60"/>
      <c r="AB61" s="60"/>
      <c r="AC61" s="60"/>
      <c r="AD61" s="60"/>
      <c r="AE61" s="60"/>
      <c r="AF61" s="60"/>
      <c r="AG61" s="60"/>
      <c r="AH61" s="60"/>
      <c r="AI61" s="60"/>
      <c r="AJ61" s="74" t="str">
        <f t="shared" si="4"/>
        <v>-</v>
      </c>
      <c r="AK61" s="60"/>
      <c r="AL61" s="60"/>
      <c r="AM61" s="60"/>
      <c r="AN61" s="60"/>
      <c r="AO61" s="60"/>
      <c r="AP61" s="60"/>
      <c r="AQ61" s="60"/>
      <c r="AR61" s="60"/>
      <c r="AS61" s="60"/>
      <c r="AT61" s="74" t="str">
        <f>IF(COUNTIF(AK61:AS61,"&lt;&gt;"&amp;"")=9,SUM(AK61:AS61),"-")</f>
        <v>-</v>
      </c>
      <c r="AU61" s="148" t="str">
        <f>IF(AND(ISNUMBER(AJ61),ISNUMBER(AT61)),AJ61+AT61,"-")</f>
        <v>-</v>
      </c>
      <c r="AV61" s="74" t="str">
        <f>IF(ISNUMBER(AU61),AU61-C61,"-")</f>
        <v>-</v>
      </c>
      <c r="AX61" s="59" t="str">
        <f t="shared" si="5"/>
        <v>-</v>
      </c>
      <c r="AY61" s="59" t="str">
        <f t="shared" si="6"/>
        <v>-</v>
      </c>
      <c r="AZ61" s="59" t="str">
        <f t="shared" si="7"/>
        <v>-</v>
      </c>
      <c r="BA61" s="59" t="str">
        <f t="shared" si="8"/>
        <v>-</v>
      </c>
      <c r="BB61" s="59" t="str">
        <f t="shared" si="9"/>
        <v>-</v>
      </c>
      <c r="BC61" s="59" t="str">
        <f t="shared" si="10"/>
        <v>-</v>
      </c>
      <c r="BD61" s="59" t="str">
        <f t="shared" si="11"/>
        <v>-</v>
      </c>
      <c r="BE61" s="59" t="str">
        <f t="shared" si="12"/>
        <v>-</v>
      </c>
      <c r="BF61" s="59" t="str">
        <f t="shared" si="13"/>
        <v>-</v>
      </c>
      <c r="BG61" s="59" t="str">
        <f t="shared" si="14"/>
        <v>-</v>
      </c>
      <c r="BH61" s="59" t="str">
        <f t="shared" si="15"/>
        <v>-</v>
      </c>
      <c r="BI61" s="59" t="str">
        <f t="shared" si="16"/>
        <v>-</v>
      </c>
      <c r="BJ61" s="59" t="str">
        <f t="shared" si="17"/>
        <v>-</v>
      </c>
      <c r="BK61" s="59" t="str">
        <f t="shared" si="18"/>
        <v>-</v>
      </c>
      <c r="BL61" s="59" t="str">
        <f>IF(AND(R61&gt;0,AO61&gt;0),MIN(R61,AO61),"-")</f>
        <v>-</v>
      </c>
      <c r="BM61" s="59" t="str">
        <f>IF(AND(S61&gt;0,AP61&gt;0),MIN(S61,AP61),"-")</f>
        <v>-</v>
      </c>
      <c r="BN61" s="59" t="str">
        <f>IF(AND(T61&gt;0,AQ61&gt;0),MIN(T61,AQ61),"-")</f>
        <v>-</v>
      </c>
      <c r="BO61" s="59" t="str">
        <f>IF(AND(U61&gt;0,AR61&gt;0),MIN(U61,AR61),"-")</f>
        <v>-</v>
      </c>
      <c r="BP61" s="59" t="str">
        <f>IF(AND(V61&gt;0,AS61&gt;0),MIN(V61,AS61),"-")</f>
        <v>-</v>
      </c>
      <c r="BQ61" s="59" t="str">
        <f t="shared" si="19"/>
        <v>-</v>
      </c>
      <c r="BR61" s="59" t="str">
        <f t="shared" si="20"/>
        <v>-</v>
      </c>
      <c r="BS61" s="59" t="str">
        <f t="shared" si="21"/>
        <v>-</v>
      </c>
      <c r="BT61" s="98" t="str">
        <f>IF(ISNUMBER(BS61),BS61-(C61*Rules!$P$9/100),"-")</f>
        <v>-</v>
      </c>
      <c r="BU61" s="59" t="e">
        <f>RANK($BT61,$BT$5:$BT$106,1)+COUNTIF(BT$5:BT61,BT61)-1</f>
        <v>#VALUE!</v>
      </c>
      <c r="BV61" s="59" t="e">
        <f t="shared" si="22"/>
        <v>#VALUE!</v>
      </c>
      <c r="BW61" s="59" t="str">
        <f t="shared" si="23"/>
        <v xml:space="preserve"> </v>
      </c>
      <c r="BX61" s="59" t="str">
        <f t="shared" si="24"/>
        <v>-</v>
      </c>
      <c r="BY61" s="98" t="str">
        <f t="shared" si="25"/>
        <v>-</v>
      </c>
      <c r="CC61" s="4">
        <v>57</v>
      </c>
      <c r="CD61" s="2" t="e">
        <f>VLOOKUP(CC61,$BU$5:BY$215,2,FALSE)</f>
        <v>#N/A</v>
      </c>
      <c r="CE61" s="6" t="e">
        <f>VLOOKUP(CC61,$BU$5:BY$215,3,FALSE)</f>
        <v>#N/A</v>
      </c>
      <c r="CF61" s="2" t="e">
        <f>VLOOKUP(CC61,$BU$5:BY$215,5,FALSE)</f>
        <v>#N/A</v>
      </c>
      <c r="CL61" s="77">
        <v>1</v>
      </c>
    </row>
    <row r="62" spans="1:90" ht="17.45" customHeight="1">
      <c r="A62" s="58">
        <v>58</v>
      </c>
      <c r="B62" s="59" t="str">
        <f>'A Div'!A62 &amp; " " &amp; 'A Div'!B62</f>
        <v xml:space="preserve"> </v>
      </c>
      <c r="C62" s="59" t="str">
        <f>'A Div'!E62</f>
        <v>-</v>
      </c>
      <c r="D62" s="60"/>
      <c r="E62" s="60"/>
      <c r="F62" s="60"/>
      <c r="G62" s="60"/>
      <c r="H62" s="60"/>
      <c r="I62" s="60"/>
      <c r="J62" s="60"/>
      <c r="K62" s="60"/>
      <c r="L62" s="60"/>
      <c r="M62" s="74" t="str">
        <f t="shared" si="0"/>
        <v>-</v>
      </c>
      <c r="N62" s="60"/>
      <c r="O62" s="60"/>
      <c r="P62" s="60"/>
      <c r="Q62" s="60"/>
      <c r="R62" s="60"/>
      <c r="S62" s="60"/>
      <c r="T62" s="60"/>
      <c r="U62" s="60"/>
      <c r="V62" s="60"/>
      <c r="W62" s="74" t="str">
        <f t="shared" si="1"/>
        <v>-</v>
      </c>
      <c r="X62" s="148" t="str">
        <f t="shared" si="2"/>
        <v>-</v>
      </c>
      <c r="Y62" s="74" t="str">
        <f t="shared" si="3"/>
        <v>-</v>
      </c>
      <c r="AA62" s="60"/>
      <c r="AB62" s="60"/>
      <c r="AC62" s="60"/>
      <c r="AD62" s="60"/>
      <c r="AE62" s="60"/>
      <c r="AF62" s="60"/>
      <c r="AG62" s="60"/>
      <c r="AH62" s="60"/>
      <c r="AI62" s="60"/>
      <c r="AJ62" s="74" t="str">
        <f t="shared" si="4"/>
        <v>-</v>
      </c>
      <c r="AK62" s="60"/>
      <c r="AL62" s="60"/>
      <c r="AM62" s="60"/>
      <c r="AN62" s="60"/>
      <c r="AO62" s="60"/>
      <c r="AP62" s="60"/>
      <c r="AQ62" s="60"/>
      <c r="AR62" s="60"/>
      <c r="AS62" s="60"/>
      <c r="AT62" s="74" t="str">
        <f>IF(COUNTIF(AK62:AS62,"&lt;&gt;"&amp;"")=9,SUM(AK62:AS62),"-")</f>
        <v>-</v>
      </c>
      <c r="AU62" s="148" t="str">
        <f>IF(AND(ISNUMBER(AJ62),ISNUMBER(AT62)),AJ62+AT62,"-")</f>
        <v>-</v>
      </c>
      <c r="AV62" s="74" t="str">
        <f>IF(ISNUMBER(AU62),AU62-C62,"-")</f>
        <v>-</v>
      </c>
      <c r="AX62" s="59" t="str">
        <f t="shared" si="5"/>
        <v>-</v>
      </c>
      <c r="AY62" s="59" t="str">
        <f t="shared" si="6"/>
        <v>-</v>
      </c>
      <c r="AZ62" s="59" t="str">
        <f t="shared" si="7"/>
        <v>-</v>
      </c>
      <c r="BA62" s="59" t="str">
        <f t="shared" si="8"/>
        <v>-</v>
      </c>
      <c r="BB62" s="59" t="str">
        <f t="shared" si="9"/>
        <v>-</v>
      </c>
      <c r="BC62" s="59" t="str">
        <f t="shared" si="10"/>
        <v>-</v>
      </c>
      <c r="BD62" s="59" t="str">
        <f t="shared" si="11"/>
        <v>-</v>
      </c>
      <c r="BE62" s="59" t="str">
        <f t="shared" si="12"/>
        <v>-</v>
      </c>
      <c r="BF62" s="59" t="str">
        <f t="shared" si="13"/>
        <v>-</v>
      </c>
      <c r="BG62" s="59" t="str">
        <f t="shared" si="14"/>
        <v>-</v>
      </c>
      <c r="BH62" s="59" t="str">
        <f t="shared" si="15"/>
        <v>-</v>
      </c>
      <c r="BI62" s="59" t="str">
        <f t="shared" si="16"/>
        <v>-</v>
      </c>
      <c r="BJ62" s="59" t="str">
        <f t="shared" si="17"/>
        <v>-</v>
      </c>
      <c r="BK62" s="59" t="str">
        <f t="shared" si="18"/>
        <v>-</v>
      </c>
      <c r="BL62" s="59" t="str">
        <f>IF(AND(R62&gt;0,AO62&gt;0),MIN(R62,AO62),"-")</f>
        <v>-</v>
      </c>
      <c r="BM62" s="59" t="str">
        <f>IF(AND(S62&gt;0,AP62&gt;0),MIN(S62,AP62),"-")</f>
        <v>-</v>
      </c>
      <c r="BN62" s="59" t="str">
        <f>IF(AND(T62&gt;0,AQ62&gt;0),MIN(T62,AQ62),"-")</f>
        <v>-</v>
      </c>
      <c r="BO62" s="59" t="str">
        <f>IF(AND(U62&gt;0,AR62&gt;0),MIN(U62,AR62),"-")</f>
        <v>-</v>
      </c>
      <c r="BP62" s="59" t="str">
        <f>IF(AND(V62&gt;0,AS62&gt;0),MIN(V62,AS62),"-")</f>
        <v>-</v>
      </c>
      <c r="BQ62" s="59" t="str">
        <f t="shared" si="19"/>
        <v>-</v>
      </c>
      <c r="BR62" s="59" t="str">
        <f t="shared" si="20"/>
        <v>-</v>
      </c>
      <c r="BS62" s="59" t="str">
        <f t="shared" si="21"/>
        <v>-</v>
      </c>
      <c r="BT62" s="98" t="str">
        <f>IF(ISNUMBER(BS62),BS62-(C62*Rules!$P$9/100),"-")</f>
        <v>-</v>
      </c>
      <c r="BU62" s="59" t="e">
        <f>RANK($BT62,$BT$5:$BT$106,1)+COUNTIF(BT$5:BT62,BT62)-1</f>
        <v>#VALUE!</v>
      </c>
      <c r="BV62" s="59" t="e">
        <f t="shared" si="22"/>
        <v>#VALUE!</v>
      </c>
      <c r="BW62" s="59" t="str">
        <f t="shared" si="23"/>
        <v xml:space="preserve"> </v>
      </c>
      <c r="BX62" s="59" t="str">
        <f t="shared" si="24"/>
        <v>-</v>
      </c>
      <c r="BY62" s="98" t="str">
        <f t="shared" si="25"/>
        <v>-</v>
      </c>
      <c r="CC62" s="4">
        <v>58</v>
      </c>
      <c r="CD62" s="2" t="e">
        <f>VLOOKUP(CC62,$BU$5:BY$215,2,FALSE)</f>
        <v>#N/A</v>
      </c>
      <c r="CE62" s="6" t="e">
        <f>VLOOKUP(CC62,$BU$5:BY$215,3,FALSE)</f>
        <v>#N/A</v>
      </c>
      <c r="CF62" s="2" t="e">
        <f>VLOOKUP(CC62,$BU$5:BY$215,5,FALSE)</f>
        <v>#N/A</v>
      </c>
      <c r="CL62" s="77">
        <v>1</v>
      </c>
    </row>
    <row r="63" spans="1:90" ht="17.45" customHeight="1">
      <c r="A63" s="58">
        <v>59</v>
      </c>
      <c r="B63" s="59" t="str">
        <f>'A Div'!A63 &amp; " " &amp; 'A Div'!B63</f>
        <v xml:space="preserve"> </v>
      </c>
      <c r="C63" s="59" t="str">
        <f>'A Div'!E63</f>
        <v>-</v>
      </c>
      <c r="D63" s="60"/>
      <c r="E63" s="60"/>
      <c r="F63" s="60"/>
      <c r="G63" s="60"/>
      <c r="H63" s="60"/>
      <c r="I63" s="60"/>
      <c r="J63" s="60"/>
      <c r="K63" s="60"/>
      <c r="L63" s="60"/>
      <c r="M63" s="74" t="str">
        <f t="shared" si="0"/>
        <v>-</v>
      </c>
      <c r="N63" s="60"/>
      <c r="O63" s="60"/>
      <c r="P63" s="60"/>
      <c r="Q63" s="60"/>
      <c r="R63" s="60"/>
      <c r="S63" s="60"/>
      <c r="T63" s="60"/>
      <c r="U63" s="60"/>
      <c r="V63" s="60"/>
      <c r="W63" s="74" t="str">
        <f t="shared" si="1"/>
        <v>-</v>
      </c>
      <c r="X63" s="148" t="str">
        <f t="shared" si="2"/>
        <v>-</v>
      </c>
      <c r="Y63" s="74" t="str">
        <f t="shared" si="3"/>
        <v>-</v>
      </c>
      <c r="AA63" s="60"/>
      <c r="AB63" s="60"/>
      <c r="AC63" s="60"/>
      <c r="AD63" s="60"/>
      <c r="AE63" s="60"/>
      <c r="AF63" s="60"/>
      <c r="AG63" s="60"/>
      <c r="AH63" s="60"/>
      <c r="AI63" s="60"/>
      <c r="AJ63" s="74" t="str">
        <f t="shared" si="4"/>
        <v>-</v>
      </c>
      <c r="AK63" s="60"/>
      <c r="AL63" s="60"/>
      <c r="AM63" s="60"/>
      <c r="AN63" s="60"/>
      <c r="AO63" s="60"/>
      <c r="AP63" s="60"/>
      <c r="AQ63" s="60"/>
      <c r="AR63" s="60"/>
      <c r="AS63" s="60"/>
      <c r="AT63" s="74" t="str">
        <f>IF(COUNTIF(AK63:AS63,"&lt;&gt;"&amp;"")=9,SUM(AK63:AS63),"-")</f>
        <v>-</v>
      </c>
      <c r="AU63" s="148" t="str">
        <f>IF(AND(ISNUMBER(AJ63),ISNUMBER(AT63)),AJ63+AT63,"-")</f>
        <v>-</v>
      </c>
      <c r="AV63" s="74" t="str">
        <f>IF(ISNUMBER(AU63),AU63-C63,"-")</f>
        <v>-</v>
      </c>
      <c r="AX63" s="59" t="str">
        <f t="shared" si="5"/>
        <v>-</v>
      </c>
      <c r="AY63" s="59" t="str">
        <f t="shared" si="6"/>
        <v>-</v>
      </c>
      <c r="AZ63" s="59" t="str">
        <f t="shared" si="7"/>
        <v>-</v>
      </c>
      <c r="BA63" s="59" t="str">
        <f t="shared" si="8"/>
        <v>-</v>
      </c>
      <c r="BB63" s="59" t="str">
        <f t="shared" si="9"/>
        <v>-</v>
      </c>
      <c r="BC63" s="59" t="str">
        <f t="shared" si="10"/>
        <v>-</v>
      </c>
      <c r="BD63" s="59" t="str">
        <f t="shared" si="11"/>
        <v>-</v>
      </c>
      <c r="BE63" s="59" t="str">
        <f t="shared" si="12"/>
        <v>-</v>
      </c>
      <c r="BF63" s="59" t="str">
        <f t="shared" si="13"/>
        <v>-</v>
      </c>
      <c r="BG63" s="59" t="str">
        <f t="shared" si="14"/>
        <v>-</v>
      </c>
      <c r="BH63" s="59" t="str">
        <f t="shared" si="15"/>
        <v>-</v>
      </c>
      <c r="BI63" s="59" t="str">
        <f t="shared" si="16"/>
        <v>-</v>
      </c>
      <c r="BJ63" s="59" t="str">
        <f t="shared" si="17"/>
        <v>-</v>
      </c>
      <c r="BK63" s="59" t="str">
        <f t="shared" si="18"/>
        <v>-</v>
      </c>
      <c r="BL63" s="59" t="str">
        <f>IF(AND(R63&gt;0,AO63&gt;0),MIN(R63,AO63),"-")</f>
        <v>-</v>
      </c>
      <c r="BM63" s="59" t="str">
        <f>IF(AND(S63&gt;0,AP63&gt;0),MIN(S63,AP63),"-")</f>
        <v>-</v>
      </c>
      <c r="BN63" s="59" t="str">
        <f>IF(AND(T63&gt;0,AQ63&gt;0),MIN(T63,AQ63),"-")</f>
        <v>-</v>
      </c>
      <c r="BO63" s="59" t="str">
        <f>IF(AND(U63&gt;0,AR63&gt;0),MIN(U63,AR63),"-")</f>
        <v>-</v>
      </c>
      <c r="BP63" s="59" t="str">
        <f>IF(AND(V63&gt;0,AS63&gt;0),MIN(V63,AS63),"-")</f>
        <v>-</v>
      </c>
      <c r="BQ63" s="59" t="str">
        <f t="shared" si="19"/>
        <v>-</v>
      </c>
      <c r="BR63" s="59" t="str">
        <f t="shared" si="20"/>
        <v>-</v>
      </c>
      <c r="BS63" s="59" t="str">
        <f t="shared" si="21"/>
        <v>-</v>
      </c>
      <c r="BT63" s="98" t="str">
        <f>IF(ISNUMBER(BS63),BS63-(C63*Rules!$P$9/100),"-")</f>
        <v>-</v>
      </c>
      <c r="BU63" s="59" t="e">
        <f>RANK($BT63,$BT$5:$BT$106,1)+COUNTIF(BT$5:BT63,BT63)-1</f>
        <v>#VALUE!</v>
      </c>
      <c r="BV63" s="59" t="e">
        <f t="shared" si="22"/>
        <v>#VALUE!</v>
      </c>
      <c r="BW63" s="59" t="str">
        <f t="shared" si="23"/>
        <v xml:space="preserve"> </v>
      </c>
      <c r="BX63" s="59" t="str">
        <f t="shared" si="24"/>
        <v>-</v>
      </c>
      <c r="BY63" s="98" t="str">
        <f t="shared" si="25"/>
        <v>-</v>
      </c>
      <c r="CC63" s="4">
        <v>59</v>
      </c>
      <c r="CD63" s="2" t="e">
        <f>VLOOKUP(CC63,$BU$5:BY$215,2,FALSE)</f>
        <v>#N/A</v>
      </c>
      <c r="CE63" s="6" t="e">
        <f>VLOOKUP(CC63,$BU$5:BY$215,3,FALSE)</f>
        <v>#N/A</v>
      </c>
      <c r="CF63" s="2" t="e">
        <f>VLOOKUP(CC63,$BU$5:BY$215,5,FALSE)</f>
        <v>#N/A</v>
      </c>
      <c r="CL63" s="77">
        <v>1</v>
      </c>
    </row>
    <row r="64" spans="1:90" ht="17.45" customHeight="1">
      <c r="A64" s="58">
        <v>60</v>
      </c>
      <c r="B64" s="59" t="str">
        <f>'A Div'!A64 &amp; " " &amp; 'A Div'!B64</f>
        <v xml:space="preserve"> </v>
      </c>
      <c r="C64" s="59" t="str">
        <f>'A Div'!E64</f>
        <v>-</v>
      </c>
      <c r="D64" s="60"/>
      <c r="E64" s="60"/>
      <c r="F64" s="60"/>
      <c r="G64" s="60"/>
      <c r="H64" s="60"/>
      <c r="I64" s="60"/>
      <c r="J64" s="60"/>
      <c r="K64" s="60"/>
      <c r="L64" s="60"/>
      <c r="M64" s="74" t="str">
        <f t="shared" si="0"/>
        <v>-</v>
      </c>
      <c r="N64" s="60"/>
      <c r="O64" s="60"/>
      <c r="P64" s="60"/>
      <c r="Q64" s="60"/>
      <c r="R64" s="60"/>
      <c r="S64" s="60"/>
      <c r="T64" s="60"/>
      <c r="U64" s="60"/>
      <c r="V64" s="60"/>
      <c r="W64" s="74" t="str">
        <f t="shared" si="1"/>
        <v>-</v>
      </c>
      <c r="X64" s="148" t="str">
        <f t="shared" si="2"/>
        <v>-</v>
      </c>
      <c r="Y64" s="74" t="str">
        <f t="shared" si="3"/>
        <v>-</v>
      </c>
      <c r="AA64" s="60"/>
      <c r="AB64" s="60"/>
      <c r="AC64" s="60"/>
      <c r="AD64" s="60"/>
      <c r="AE64" s="60"/>
      <c r="AF64" s="60"/>
      <c r="AG64" s="60"/>
      <c r="AH64" s="60"/>
      <c r="AI64" s="60"/>
      <c r="AJ64" s="74" t="str">
        <f t="shared" si="4"/>
        <v>-</v>
      </c>
      <c r="AK64" s="60"/>
      <c r="AL64" s="60"/>
      <c r="AM64" s="60"/>
      <c r="AN64" s="60"/>
      <c r="AO64" s="60"/>
      <c r="AP64" s="60"/>
      <c r="AQ64" s="60"/>
      <c r="AR64" s="60"/>
      <c r="AS64" s="60"/>
      <c r="AT64" s="74" t="str">
        <f>IF(COUNTIF(AK64:AS64,"&lt;&gt;"&amp;"")=9,SUM(AK64:AS64),"-")</f>
        <v>-</v>
      </c>
      <c r="AU64" s="148" t="str">
        <f>IF(AND(ISNUMBER(AJ64),ISNUMBER(AT64)),AJ64+AT64,"-")</f>
        <v>-</v>
      </c>
      <c r="AV64" s="74" t="str">
        <f>IF(ISNUMBER(AU64),AU64-C64,"-")</f>
        <v>-</v>
      </c>
      <c r="AX64" s="59" t="str">
        <f t="shared" si="5"/>
        <v>-</v>
      </c>
      <c r="AY64" s="59" t="str">
        <f t="shared" si="6"/>
        <v>-</v>
      </c>
      <c r="AZ64" s="59" t="str">
        <f t="shared" si="7"/>
        <v>-</v>
      </c>
      <c r="BA64" s="59" t="str">
        <f t="shared" si="8"/>
        <v>-</v>
      </c>
      <c r="BB64" s="59" t="str">
        <f t="shared" si="9"/>
        <v>-</v>
      </c>
      <c r="BC64" s="59" t="str">
        <f t="shared" si="10"/>
        <v>-</v>
      </c>
      <c r="BD64" s="59" t="str">
        <f t="shared" si="11"/>
        <v>-</v>
      </c>
      <c r="BE64" s="59" t="str">
        <f t="shared" si="12"/>
        <v>-</v>
      </c>
      <c r="BF64" s="59" t="str">
        <f t="shared" si="13"/>
        <v>-</v>
      </c>
      <c r="BG64" s="59" t="str">
        <f t="shared" si="14"/>
        <v>-</v>
      </c>
      <c r="BH64" s="59" t="str">
        <f t="shared" si="15"/>
        <v>-</v>
      </c>
      <c r="BI64" s="59" t="str">
        <f t="shared" si="16"/>
        <v>-</v>
      </c>
      <c r="BJ64" s="59" t="str">
        <f t="shared" si="17"/>
        <v>-</v>
      </c>
      <c r="BK64" s="59" t="str">
        <f t="shared" si="18"/>
        <v>-</v>
      </c>
      <c r="BL64" s="59" t="str">
        <f>IF(AND(R64&gt;0,AO64&gt;0),MIN(R64,AO64),"-")</f>
        <v>-</v>
      </c>
      <c r="BM64" s="59" t="str">
        <f>IF(AND(S64&gt;0,AP64&gt;0),MIN(S64,AP64),"-")</f>
        <v>-</v>
      </c>
      <c r="BN64" s="59" t="str">
        <f>IF(AND(T64&gt;0,AQ64&gt;0),MIN(T64,AQ64),"-")</f>
        <v>-</v>
      </c>
      <c r="BO64" s="59" t="str">
        <f>IF(AND(U64&gt;0,AR64&gt;0),MIN(U64,AR64),"-")</f>
        <v>-</v>
      </c>
      <c r="BP64" s="59" t="str">
        <f>IF(AND(V64&gt;0,AS64&gt;0),MIN(V64,AS64),"-")</f>
        <v>-</v>
      </c>
      <c r="BQ64" s="59" t="str">
        <f t="shared" si="19"/>
        <v>-</v>
      </c>
      <c r="BR64" s="59" t="str">
        <f t="shared" si="20"/>
        <v>-</v>
      </c>
      <c r="BS64" s="59" t="str">
        <f t="shared" si="21"/>
        <v>-</v>
      </c>
      <c r="BT64" s="98" t="str">
        <f>IF(ISNUMBER(BS64),BS64-(C64*Rules!$P$9/100),"-")</f>
        <v>-</v>
      </c>
      <c r="BU64" s="59" t="e">
        <f>RANK($BT64,$BT$5:$BT$106,1)+COUNTIF(BT$5:BT64,BT64)-1</f>
        <v>#VALUE!</v>
      </c>
      <c r="BV64" s="59" t="e">
        <f t="shared" si="22"/>
        <v>#VALUE!</v>
      </c>
      <c r="BW64" s="59" t="str">
        <f t="shared" si="23"/>
        <v xml:space="preserve"> </v>
      </c>
      <c r="BX64" s="59" t="str">
        <f t="shared" si="24"/>
        <v>-</v>
      </c>
      <c r="BY64" s="98" t="str">
        <f t="shared" si="25"/>
        <v>-</v>
      </c>
      <c r="CC64" s="4">
        <v>60</v>
      </c>
      <c r="CD64" s="2" t="e">
        <f>VLOOKUP(CC64,$BU$5:BY$215,2,FALSE)</f>
        <v>#N/A</v>
      </c>
      <c r="CE64" s="6" t="e">
        <f>VLOOKUP(CC64,$BU$5:BY$215,3,FALSE)</f>
        <v>#N/A</v>
      </c>
      <c r="CF64" s="2" t="e">
        <f>VLOOKUP(CC64,$BU$5:BY$215,5,FALSE)</f>
        <v>#N/A</v>
      </c>
      <c r="CL64" s="77">
        <v>1</v>
      </c>
    </row>
    <row r="65" spans="1:90" ht="17.45" customHeight="1">
      <c r="A65" s="58">
        <v>61</v>
      </c>
      <c r="B65" s="59" t="str">
        <f>'A Div'!A65 &amp; " " &amp; 'A Div'!B65</f>
        <v xml:space="preserve"> </v>
      </c>
      <c r="C65" s="59" t="str">
        <f>'A Div'!E65</f>
        <v>-</v>
      </c>
      <c r="D65" s="60"/>
      <c r="E65" s="60"/>
      <c r="F65" s="60"/>
      <c r="G65" s="60"/>
      <c r="H65" s="60"/>
      <c r="I65" s="60"/>
      <c r="J65" s="60"/>
      <c r="K65" s="60"/>
      <c r="L65" s="60"/>
      <c r="M65" s="74" t="str">
        <f t="shared" si="0"/>
        <v>-</v>
      </c>
      <c r="N65" s="60"/>
      <c r="O65" s="60"/>
      <c r="P65" s="60"/>
      <c r="Q65" s="60"/>
      <c r="R65" s="60"/>
      <c r="S65" s="60"/>
      <c r="T65" s="60"/>
      <c r="U65" s="60"/>
      <c r="V65" s="60"/>
      <c r="W65" s="74" t="str">
        <f t="shared" si="1"/>
        <v>-</v>
      </c>
      <c r="X65" s="148" t="str">
        <f t="shared" si="2"/>
        <v>-</v>
      </c>
      <c r="Y65" s="74" t="str">
        <f t="shared" si="3"/>
        <v>-</v>
      </c>
      <c r="AA65" s="60"/>
      <c r="AB65" s="60"/>
      <c r="AC65" s="60"/>
      <c r="AD65" s="60"/>
      <c r="AE65" s="60"/>
      <c r="AF65" s="60"/>
      <c r="AG65" s="60"/>
      <c r="AH65" s="60"/>
      <c r="AI65" s="60"/>
      <c r="AJ65" s="74" t="str">
        <f t="shared" si="4"/>
        <v>-</v>
      </c>
      <c r="AK65" s="60"/>
      <c r="AL65" s="60"/>
      <c r="AM65" s="60"/>
      <c r="AN65" s="60"/>
      <c r="AO65" s="60"/>
      <c r="AP65" s="60"/>
      <c r="AQ65" s="60"/>
      <c r="AR65" s="60"/>
      <c r="AS65" s="60"/>
      <c r="AT65" s="74" t="str">
        <f>IF(COUNTIF(AK65:AS65,"&lt;&gt;"&amp;"")=9,SUM(AK65:AS65),"-")</f>
        <v>-</v>
      </c>
      <c r="AU65" s="148" t="str">
        <f>IF(AND(ISNUMBER(AJ65),ISNUMBER(AT65)),AJ65+AT65,"-")</f>
        <v>-</v>
      </c>
      <c r="AV65" s="74" t="str">
        <f>IF(ISNUMBER(AU65),AU65-C65,"-")</f>
        <v>-</v>
      </c>
      <c r="AX65" s="59" t="str">
        <f t="shared" si="5"/>
        <v>-</v>
      </c>
      <c r="AY65" s="59" t="str">
        <f t="shared" si="6"/>
        <v>-</v>
      </c>
      <c r="AZ65" s="59" t="str">
        <f t="shared" si="7"/>
        <v>-</v>
      </c>
      <c r="BA65" s="59" t="str">
        <f t="shared" si="8"/>
        <v>-</v>
      </c>
      <c r="BB65" s="59" t="str">
        <f t="shared" si="9"/>
        <v>-</v>
      </c>
      <c r="BC65" s="59" t="str">
        <f t="shared" si="10"/>
        <v>-</v>
      </c>
      <c r="BD65" s="59" t="str">
        <f t="shared" si="11"/>
        <v>-</v>
      </c>
      <c r="BE65" s="59" t="str">
        <f t="shared" si="12"/>
        <v>-</v>
      </c>
      <c r="BF65" s="59" t="str">
        <f t="shared" si="13"/>
        <v>-</v>
      </c>
      <c r="BG65" s="59" t="str">
        <f t="shared" si="14"/>
        <v>-</v>
      </c>
      <c r="BH65" s="59" t="str">
        <f t="shared" si="15"/>
        <v>-</v>
      </c>
      <c r="BI65" s="59" t="str">
        <f t="shared" si="16"/>
        <v>-</v>
      </c>
      <c r="BJ65" s="59" t="str">
        <f t="shared" si="17"/>
        <v>-</v>
      </c>
      <c r="BK65" s="59" t="str">
        <f t="shared" si="18"/>
        <v>-</v>
      </c>
      <c r="BL65" s="59" t="str">
        <f>IF(AND(R65&gt;0,AO65&gt;0),MIN(R65,AO65),"-")</f>
        <v>-</v>
      </c>
      <c r="BM65" s="59" t="str">
        <f>IF(AND(S65&gt;0,AP65&gt;0),MIN(S65,AP65),"-")</f>
        <v>-</v>
      </c>
      <c r="BN65" s="59" t="str">
        <f>IF(AND(T65&gt;0,AQ65&gt;0),MIN(T65,AQ65),"-")</f>
        <v>-</v>
      </c>
      <c r="BO65" s="59" t="str">
        <f>IF(AND(U65&gt;0,AR65&gt;0),MIN(U65,AR65),"-")</f>
        <v>-</v>
      </c>
      <c r="BP65" s="59" t="str">
        <f>IF(AND(V65&gt;0,AS65&gt;0),MIN(V65,AS65),"-")</f>
        <v>-</v>
      </c>
      <c r="BQ65" s="59" t="str">
        <f t="shared" si="19"/>
        <v>-</v>
      </c>
      <c r="BR65" s="59" t="str">
        <f t="shared" si="20"/>
        <v>-</v>
      </c>
      <c r="BS65" s="59" t="str">
        <f t="shared" si="21"/>
        <v>-</v>
      </c>
      <c r="BT65" s="98" t="str">
        <f>IF(ISNUMBER(BS65),BS65-(C65*Rules!$P$9/100),"-")</f>
        <v>-</v>
      </c>
      <c r="BU65" s="59" t="e">
        <f>RANK($BT65,$BT$5:$BT$106,1)+COUNTIF(BT$5:BT65,BT65)-1</f>
        <v>#VALUE!</v>
      </c>
      <c r="BV65" s="59" t="e">
        <f t="shared" si="22"/>
        <v>#VALUE!</v>
      </c>
      <c r="BW65" s="59" t="str">
        <f t="shared" si="23"/>
        <v xml:space="preserve"> </v>
      </c>
      <c r="BX65" s="59" t="str">
        <f t="shared" si="24"/>
        <v>-</v>
      </c>
      <c r="BY65" s="98" t="str">
        <f t="shared" si="25"/>
        <v>-</v>
      </c>
      <c r="CC65" s="4">
        <v>61</v>
      </c>
      <c r="CD65" s="2" t="e">
        <f>VLOOKUP(CC65,$BU$5:BY$215,2,FALSE)</f>
        <v>#N/A</v>
      </c>
      <c r="CE65" s="6" t="e">
        <f>VLOOKUP(CC65,$BU$5:BY$215,3,FALSE)</f>
        <v>#N/A</v>
      </c>
      <c r="CF65" s="2" t="e">
        <f>VLOOKUP(CC65,$BU$5:BY$215,5,FALSE)</f>
        <v>#N/A</v>
      </c>
      <c r="CL65" s="77">
        <v>1</v>
      </c>
    </row>
    <row r="66" spans="1:90" ht="17.45" customHeight="1">
      <c r="A66" s="58">
        <v>62</v>
      </c>
      <c r="B66" s="59" t="str">
        <f>'A Div'!A66 &amp; " " &amp; 'A Div'!B66</f>
        <v xml:space="preserve"> </v>
      </c>
      <c r="C66" s="59" t="str">
        <f>'A Div'!E66</f>
        <v>-</v>
      </c>
      <c r="D66" s="60"/>
      <c r="E66" s="60"/>
      <c r="F66" s="60"/>
      <c r="G66" s="60"/>
      <c r="H66" s="60"/>
      <c r="I66" s="60"/>
      <c r="J66" s="60"/>
      <c r="K66" s="60"/>
      <c r="L66" s="60"/>
      <c r="M66" s="74" t="str">
        <f t="shared" si="0"/>
        <v>-</v>
      </c>
      <c r="N66" s="60"/>
      <c r="O66" s="60"/>
      <c r="P66" s="60"/>
      <c r="Q66" s="60"/>
      <c r="R66" s="60"/>
      <c r="S66" s="60"/>
      <c r="T66" s="60"/>
      <c r="U66" s="60"/>
      <c r="V66" s="60"/>
      <c r="W66" s="74" t="str">
        <f t="shared" si="1"/>
        <v>-</v>
      </c>
      <c r="X66" s="148" t="str">
        <f t="shared" si="2"/>
        <v>-</v>
      </c>
      <c r="Y66" s="74" t="str">
        <f t="shared" si="3"/>
        <v>-</v>
      </c>
      <c r="AA66" s="60"/>
      <c r="AB66" s="60"/>
      <c r="AC66" s="60"/>
      <c r="AD66" s="60"/>
      <c r="AE66" s="60"/>
      <c r="AF66" s="60"/>
      <c r="AG66" s="60"/>
      <c r="AH66" s="60"/>
      <c r="AI66" s="60"/>
      <c r="AJ66" s="74" t="str">
        <f t="shared" si="4"/>
        <v>-</v>
      </c>
      <c r="AK66" s="60"/>
      <c r="AL66" s="60"/>
      <c r="AM66" s="60"/>
      <c r="AN66" s="60"/>
      <c r="AO66" s="60"/>
      <c r="AP66" s="60"/>
      <c r="AQ66" s="60"/>
      <c r="AR66" s="60"/>
      <c r="AS66" s="60"/>
      <c r="AT66" s="74" t="str">
        <f>IF(COUNTIF(AK66:AS66,"&lt;&gt;"&amp;"")=9,SUM(AK66:AS66),"-")</f>
        <v>-</v>
      </c>
      <c r="AU66" s="148" t="str">
        <f>IF(AND(ISNUMBER(AJ66),ISNUMBER(AT66)),AJ66+AT66,"-")</f>
        <v>-</v>
      </c>
      <c r="AV66" s="74" t="str">
        <f>IF(ISNUMBER(AU66),AU66-C66,"-")</f>
        <v>-</v>
      </c>
      <c r="AX66" s="59" t="str">
        <f t="shared" si="5"/>
        <v>-</v>
      </c>
      <c r="AY66" s="59" t="str">
        <f t="shared" si="6"/>
        <v>-</v>
      </c>
      <c r="AZ66" s="59" t="str">
        <f t="shared" si="7"/>
        <v>-</v>
      </c>
      <c r="BA66" s="59" t="str">
        <f t="shared" si="8"/>
        <v>-</v>
      </c>
      <c r="BB66" s="59" t="str">
        <f t="shared" si="9"/>
        <v>-</v>
      </c>
      <c r="BC66" s="59" t="str">
        <f t="shared" si="10"/>
        <v>-</v>
      </c>
      <c r="BD66" s="59" t="str">
        <f t="shared" si="11"/>
        <v>-</v>
      </c>
      <c r="BE66" s="59" t="str">
        <f t="shared" si="12"/>
        <v>-</v>
      </c>
      <c r="BF66" s="59" t="str">
        <f t="shared" si="13"/>
        <v>-</v>
      </c>
      <c r="BG66" s="59" t="str">
        <f t="shared" si="14"/>
        <v>-</v>
      </c>
      <c r="BH66" s="59" t="str">
        <f t="shared" si="15"/>
        <v>-</v>
      </c>
      <c r="BI66" s="59" t="str">
        <f t="shared" si="16"/>
        <v>-</v>
      </c>
      <c r="BJ66" s="59" t="str">
        <f t="shared" si="17"/>
        <v>-</v>
      </c>
      <c r="BK66" s="59" t="str">
        <f t="shared" si="18"/>
        <v>-</v>
      </c>
      <c r="BL66" s="59" t="str">
        <f>IF(AND(R66&gt;0,AO66&gt;0),MIN(R66,AO66),"-")</f>
        <v>-</v>
      </c>
      <c r="BM66" s="59" t="str">
        <f>IF(AND(S66&gt;0,AP66&gt;0),MIN(S66,AP66),"-")</f>
        <v>-</v>
      </c>
      <c r="BN66" s="59" t="str">
        <f>IF(AND(T66&gt;0,AQ66&gt;0),MIN(T66,AQ66),"-")</f>
        <v>-</v>
      </c>
      <c r="BO66" s="59" t="str">
        <f>IF(AND(U66&gt;0,AR66&gt;0),MIN(U66,AR66),"-")</f>
        <v>-</v>
      </c>
      <c r="BP66" s="59" t="str">
        <f>IF(AND(V66&gt;0,AS66&gt;0),MIN(V66,AS66),"-")</f>
        <v>-</v>
      </c>
      <c r="BQ66" s="59" t="str">
        <f t="shared" si="19"/>
        <v>-</v>
      </c>
      <c r="BR66" s="59" t="str">
        <f t="shared" si="20"/>
        <v>-</v>
      </c>
      <c r="BS66" s="59" t="str">
        <f t="shared" si="21"/>
        <v>-</v>
      </c>
      <c r="BT66" s="98" t="str">
        <f>IF(ISNUMBER(BS66),BS66-(C66*Rules!$P$9/100),"-")</f>
        <v>-</v>
      </c>
      <c r="BU66" s="59" t="e">
        <f>RANK($BT66,$BT$5:$BT$106,1)+COUNTIF(BT$5:BT66,BT66)-1</f>
        <v>#VALUE!</v>
      </c>
      <c r="BV66" s="59" t="e">
        <f t="shared" si="22"/>
        <v>#VALUE!</v>
      </c>
      <c r="BW66" s="59" t="str">
        <f t="shared" si="23"/>
        <v xml:space="preserve"> </v>
      </c>
      <c r="BX66" s="59" t="str">
        <f t="shared" si="24"/>
        <v>-</v>
      </c>
      <c r="BY66" s="98" t="str">
        <f t="shared" si="25"/>
        <v>-</v>
      </c>
      <c r="CC66" s="4">
        <v>62</v>
      </c>
      <c r="CD66" s="2" t="e">
        <f>VLOOKUP(CC66,$BU$5:BY$215,2,FALSE)</f>
        <v>#N/A</v>
      </c>
      <c r="CE66" s="6" t="e">
        <f>VLOOKUP(CC66,$BU$5:BY$215,3,FALSE)</f>
        <v>#N/A</v>
      </c>
      <c r="CF66" s="2" t="e">
        <f>VLOOKUP(CC66,$BU$5:BY$215,5,FALSE)</f>
        <v>#N/A</v>
      </c>
      <c r="CL66" s="77">
        <v>1</v>
      </c>
    </row>
    <row r="67" spans="1:90" ht="17.45" customHeight="1">
      <c r="A67" s="58">
        <v>63</v>
      </c>
      <c r="B67" s="59" t="str">
        <f>'A Div'!A67 &amp; " " &amp; 'A Div'!B67</f>
        <v xml:space="preserve"> </v>
      </c>
      <c r="C67" s="59" t="str">
        <f>'A Div'!E67</f>
        <v>-</v>
      </c>
      <c r="D67" s="60"/>
      <c r="E67" s="60"/>
      <c r="F67" s="60"/>
      <c r="G67" s="60"/>
      <c r="H67" s="60"/>
      <c r="I67" s="60"/>
      <c r="J67" s="60"/>
      <c r="K67" s="60"/>
      <c r="L67" s="60"/>
      <c r="M67" s="74" t="str">
        <f t="shared" si="0"/>
        <v>-</v>
      </c>
      <c r="N67" s="60"/>
      <c r="O67" s="60"/>
      <c r="P67" s="60"/>
      <c r="Q67" s="60"/>
      <c r="R67" s="60"/>
      <c r="S67" s="60"/>
      <c r="T67" s="60"/>
      <c r="U67" s="60"/>
      <c r="V67" s="60"/>
      <c r="W67" s="74" t="str">
        <f t="shared" si="1"/>
        <v>-</v>
      </c>
      <c r="X67" s="148" t="str">
        <f t="shared" si="2"/>
        <v>-</v>
      </c>
      <c r="Y67" s="74" t="str">
        <f t="shared" si="3"/>
        <v>-</v>
      </c>
      <c r="AA67" s="60"/>
      <c r="AB67" s="60"/>
      <c r="AC67" s="60"/>
      <c r="AD67" s="60"/>
      <c r="AE67" s="60"/>
      <c r="AF67" s="60"/>
      <c r="AG67" s="60"/>
      <c r="AH67" s="60"/>
      <c r="AI67" s="60"/>
      <c r="AJ67" s="74" t="str">
        <f t="shared" si="4"/>
        <v>-</v>
      </c>
      <c r="AK67" s="60"/>
      <c r="AL67" s="60"/>
      <c r="AM67" s="60"/>
      <c r="AN67" s="60"/>
      <c r="AO67" s="60"/>
      <c r="AP67" s="60"/>
      <c r="AQ67" s="60"/>
      <c r="AR67" s="60"/>
      <c r="AS67" s="60"/>
      <c r="AT67" s="74" t="str">
        <f>IF(COUNTIF(AK67:AS67,"&lt;&gt;"&amp;"")=9,SUM(AK67:AS67),"-")</f>
        <v>-</v>
      </c>
      <c r="AU67" s="148" t="str">
        <f>IF(AND(ISNUMBER(AJ67),ISNUMBER(AT67)),AJ67+AT67,"-")</f>
        <v>-</v>
      </c>
      <c r="AV67" s="74" t="str">
        <f>IF(ISNUMBER(AU67),AU67-C67,"-")</f>
        <v>-</v>
      </c>
      <c r="AX67" s="59" t="str">
        <f t="shared" si="5"/>
        <v>-</v>
      </c>
      <c r="AY67" s="59" t="str">
        <f t="shared" si="6"/>
        <v>-</v>
      </c>
      <c r="AZ67" s="59" t="str">
        <f t="shared" si="7"/>
        <v>-</v>
      </c>
      <c r="BA67" s="59" t="str">
        <f t="shared" si="8"/>
        <v>-</v>
      </c>
      <c r="BB67" s="59" t="str">
        <f t="shared" si="9"/>
        <v>-</v>
      </c>
      <c r="BC67" s="59" t="str">
        <f t="shared" si="10"/>
        <v>-</v>
      </c>
      <c r="BD67" s="59" t="str">
        <f t="shared" si="11"/>
        <v>-</v>
      </c>
      <c r="BE67" s="59" t="str">
        <f t="shared" si="12"/>
        <v>-</v>
      </c>
      <c r="BF67" s="59" t="str">
        <f t="shared" si="13"/>
        <v>-</v>
      </c>
      <c r="BG67" s="59" t="str">
        <f t="shared" si="14"/>
        <v>-</v>
      </c>
      <c r="BH67" s="59" t="str">
        <f t="shared" si="15"/>
        <v>-</v>
      </c>
      <c r="BI67" s="59" t="str">
        <f t="shared" si="16"/>
        <v>-</v>
      </c>
      <c r="BJ67" s="59" t="str">
        <f t="shared" si="17"/>
        <v>-</v>
      </c>
      <c r="BK67" s="59" t="str">
        <f t="shared" si="18"/>
        <v>-</v>
      </c>
      <c r="BL67" s="59" t="str">
        <f>IF(AND(R67&gt;0,AO67&gt;0),MIN(R67,AO67),"-")</f>
        <v>-</v>
      </c>
      <c r="BM67" s="59" t="str">
        <f>IF(AND(S67&gt;0,AP67&gt;0),MIN(S67,AP67),"-")</f>
        <v>-</v>
      </c>
      <c r="BN67" s="59" t="str">
        <f>IF(AND(T67&gt;0,AQ67&gt;0),MIN(T67,AQ67),"-")</f>
        <v>-</v>
      </c>
      <c r="BO67" s="59" t="str">
        <f>IF(AND(U67&gt;0,AR67&gt;0),MIN(U67,AR67),"-")</f>
        <v>-</v>
      </c>
      <c r="BP67" s="59" t="str">
        <f>IF(AND(V67&gt;0,AS67&gt;0),MIN(V67,AS67),"-")</f>
        <v>-</v>
      </c>
      <c r="BQ67" s="59" t="str">
        <f t="shared" si="19"/>
        <v>-</v>
      </c>
      <c r="BR67" s="59" t="str">
        <f t="shared" si="20"/>
        <v>-</v>
      </c>
      <c r="BS67" s="59" t="str">
        <f t="shared" si="21"/>
        <v>-</v>
      </c>
      <c r="BT67" s="98" t="str">
        <f>IF(ISNUMBER(BS67),BS67-(C67*Rules!$P$9/100),"-")</f>
        <v>-</v>
      </c>
      <c r="BU67" s="59" t="e">
        <f>RANK($BT67,$BT$5:$BT$106,1)+COUNTIF(BT$5:BT67,BT67)-1</f>
        <v>#VALUE!</v>
      </c>
      <c r="BV67" s="59" t="e">
        <f t="shared" si="22"/>
        <v>#VALUE!</v>
      </c>
      <c r="BW67" s="59" t="str">
        <f t="shared" si="23"/>
        <v xml:space="preserve"> </v>
      </c>
      <c r="BX67" s="59" t="str">
        <f t="shared" si="24"/>
        <v>-</v>
      </c>
      <c r="BY67" s="98" t="str">
        <f t="shared" si="25"/>
        <v>-</v>
      </c>
      <c r="CC67" s="4">
        <v>63</v>
      </c>
      <c r="CD67" s="2" t="e">
        <f>VLOOKUP(CC67,$BU$5:BY$215,2,FALSE)</f>
        <v>#N/A</v>
      </c>
      <c r="CE67" s="6" t="e">
        <f>VLOOKUP(CC67,$BU$5:BY$215,3,FALSE)</f>
        <v>#N/A</v>
      </c>
      <c r="CF67" s="2" t="e">
        <f>VLOOKUP(CC67,$BU$5:BY$215,5,FALSE)</f>
        <v>#N/A</v>
      </c>
      <c r="CL67" s="77">
        <v>1</v>
      </c>
    </row>
    <row r="68" spans="1:90" ht="17.45" customHeight="1">
      <c r="A68" s="58">
        <v>64</v>
      </c>
      <c r="B68" s="59" t="str">
        <f>'A Div'!A68 &amp; " " &amp; 'A Div'!B68</f>
        <v xml:space="preserve"> </v>
      </c>
      <c r="C68" s="59" t="str">
        <f>'A Div'!E68</f>
        <v>-</v>
      </c>
      <c r="D68" s="60"/>
      <c r="E68" s="60"/>
      <c r="F68" s="60"/>
      <c r="G68" s="60"/>
      <c r="H68" s="60"/>
      <c r="I68" s="60"/>
      <c r="J68" s="60"/>
      <c r="K68" s="60"/>
      <c r="L68" s="60"/>
      <c r="M68" s="74" t="str">
        <f t="shared" si="0"/>
        <v>-</v>
      </c>
      <c r="N68" s="60"/>
      <c r="O68" s="60"/>
      <c r="P68" s="60"/>
      <c r="Q68" s="60"/>
      <c r="R68" s="60"/>
      <c r="S68" s="60"/>
      <c r="T68" s="60"/>
      <c r="U68" s="60"/>
      <c r="V68" s="60"/>
      <c r="W68" s="74" t="str">
        <f t="shared" si="1"/>
        <v>-</v>
      </c>
      <c r="X68" s="148" t="str">
        <f t="shared" si="2"/>
        <v>-</v>
      </c>
      <c r="Y68" s="74" t="str">
        <f t="shared" si="3"/>
        <v>-</v>
      </c>
      <c r="AA68" s="60"/>
      <c r="AB68" s="60"/>
      <c r="AC68" s="60"/>
      <c r="AD68" s="60"/>
      <c r="AE68" s="60"/>
      <c r="AF68" s="60"/>
      <c r="AG68" s="60"/>
      <c r="AH68" s="60"/>
      <c r="AI68" s="60"/>
      <c r="AJ68" s="74" t="str">
        <f t="shared" si="4"/>
        <v>-</v>
      </c>
      <c r="AK68" s="60"/>
      <c r="AL68" s="60"/>
      <c r="AM68" s="60"/>
      <c r="AN68" s="60"/>
      <c r="AO68" s="60"/>
      <c r="AP68" s="60"/>
      <c r="AQ68" s="60"/>
      <c r="AR68" s="60"/>
      <c r="AS68" s="60"/>
      <c r="AT68" s="74" t="str">
        <f>IF(COUNTIF(AK68:AS68,"&lt;&gt;"&amp;"")=9,SUM(AK68:AS68),"-")</f>
        <v>-</v>
      </c>
      <c r="AU68" s="148" t="str">
        <f>IF(AND(ISNUMBER(AJ68),ISNUMBER(AT68)),AJ68+AT68,"-")</f>
        <v>-</v>
      </c>
      <c r="AV68" s="74" t="str">
        <f>IF(ISNUMBER(AU68),AU68-C68,"-")</f>
        <v>-</v>
      </c>
      <c r="AX68" s="59" t="str">
        <f t="shared" si="5"/>
        <v>-</v>
      </c>
      <c r="AY68" s="59" t="str">
        <f t="shared" si="6"/>
        <v>-</v>
      </c>
      <c r="AZ68" s="59" t="str">
        <f t="shared" si="7"/>
        <v>-</v>
      </c>
      <c r="BA68" s="59" t="str">
        <f t="shared" si="8"/>
        <v>-</v>
      </c>
      <c r="BB68" s="59" t="str">
        <f t="shared" si="9"/>
        <v>-</v>
      </c>
      <c r="BC68" s="59" t="str">
        <f t="shared" si="10"/>
        <v>-</v>
      </c>
      <c r="BD68" s="59" t="str">
        <f t="shared" si="11"/>
        <v>-</v>
      </c>
      <c r="BE68" s="59" t="str">
        <f t="shared" si="12"/>
        <v>-</v>
      </c>
      <c r="BF68" s="59" t="str">
        <f t="shared" si="13"/>
        <v>-</v>
      </c>
      <c r="BG68" s="59" t="str">
        <f t="shared" si="14"/>
        <v>-</v>
      </c>
      <c r="BH68" s="59" t="str">
        <f t="shared" si="15"/>
        <v>-</v>
      </c>
      <c r="BI68" s="59" t="str">
        <f t="shared" si="16"/>
        <v>-</v>
      </c>
      <c r="BJ68" s="59" t="str">
        <f t="shared" si="17"/>
        <v>-</v>
      </c>
      <c r="BK68" s="59" t="str">
        <f t="shared" si="18"/>
        <v>-</v>
      </c>
      <c r="BL68" s="59" t="str">
        <f>IF(AND(R68&gt;0,AO68&gt;0),MIN(R68,AO68),"-")</f>
        <v>-</v>
      </c>
      <c r="BM68" s="59" t="str">
        <f>IF(AND(S68&gt;0,AP68&gt;0),MIN(S68,AP68),"-")</f>
        <v>-</v>
      </c>
      <c r="BN68" s="59" t="str">
        <f>IF(AND(T68&gt;0,AQ68&gt;0),MIN(T68,AQ68),"-")</f>
        <v>-</v>
      </c>
      <c r="BO68" s="59" t="str">
        <f>IF(AND(U68&gt;0,AR68&gt;0),MIN(U68,AR68),"-")</f>
        <v>-</v>
      </c>
      <c r="BP68" s="59" t="str">
        <f>IF(AND(V68&gt;0,AS68&gt;0),MIN(V68,AS68),"-")</f>
        <v>-</v>
      </c>
      <c r="BQ68" s="59" t="str">
        <f t="shared" si="19"/>
        <v>-</v>
      </c>
      <c r="BR68" s="59" t="str">
        <f t="shared" si="20"/>
        <v>-</v>
      </c>
      <c r="BS68" s="59" t="str">
        <f t="shared" si="21"/>
        <v>-</v>
      </c>
      <c r="BT68" s="98" t="str">
        <f>IF(ISNUMBER(BS68),BS68-(C68*Rules!$P$9/100),"-")</f>
        <v>-</v>
      </c>
      <c r="BU68" s="59" t="e">
        <f>RANK($BT68,$BT$5:$BT$106,1)+COUNTIF(BT$5:BT68,BT68)-1</f>
        <v>#VALUE!</v>
      </c>
      <c r="BV68" s="59" t="e">
        <f t="shared" si="22"/>
        <v>#VALUE!</v>
      </c>
      <c r="BW68" s="59" t="str">
        <f t="shared" si="23"/>
        <v xml:space="preserve"> </v>
      </c>
      <c r="BX68" s="59" t="str">
        <f t="shared" si="24"/>
        <v>-</v>
      </c>
      <c r="BY68" s="98" t="str">
        <f t="shared" si="25"/>
        <v>-</v>
      </c>
      <c r="CC68" s="4">
        <v>64</v>
      </c>
      <c r="CD68" s="2" t="e">
        <f>VLOOKUP(CC68,$BU$5:BY$215,2,FALSE)</f>
        <v>#N/A</v>
      </c>
      <c r="CE68" s="6" t="e">
        <f>VLOOKUP(CC68,$BU$5:BY$215,3,FALSE)</f>
        <v>#N/A</v>
      </c>
      <c r="CF68" s="2" t="e">
        <f>VLOOKUP(CC68,$BU$5:BY$215,5,FALSE)</f>
        <v>#N/A</v>
      </c>
      <c r="CL68" s="77">
        <v>1</v>
      </c>
    </row>
    <row r="69" spans="1:90" ht="17.45" customHeight="1">
      <c r="A69" s="58">
        <v>65</v>
      </c>
      <c r="B69" s="59" t="str">
        <f>'A Div'!A69 &amp; " " &amp; 'A Div'!B69</f>
        <v xml:space="preserve"> </v>
      </c>
      <c r="C69" s="59" t="str">
        <f>'A Div'!E69</f>
        <v>-</v>
      </c>
      <c r="D69" s="60"/>
      <c r="E69" s="60"/>
      <c r="F69" s="60"/>
      <c r="G69" s="60"/>
      <c r="H69" s="60"/>
      <c r="I69" s="60"/>
      <c r="J69" s="60"/>
      <c r="K69" s="60"/>
      <c r="L69" s="60"/>
      <c r="M69" s="74" t="str">
        <f t="shared" si="0"/>
        <v>-</v>
      </c>
      <c r="N69" s="60"/>
      <c r="O69" s="60"/>
      <c r="P69" s="60"/>
      <c r="Q69" s="60"/>
      <c r="R69" s="60"/>
      <c r="S69" s="60"/>
      <c r="T69" s="60"/>
      <c r="U69" s="60"/>
      <c r="V69" s="60"/>
      <c r="W69" s="74" t="str">
        <f t="shared" si="1"/>
        <v>-</v>
      </c>
      <c r="X69" s="148" t="str">
        <f t="shared" si="2"/>
        <v>-</v>
      </c>
      <c r="Y69" s="74" t="str">
        <f t="shared" si="3"/>
        <v>-</v>
      </c>
      <c r="AA69" s="60"/>
      <c r="AB69" s="60"/>
      <c r="AC69" s="60"/>
      <c r="AD69" s="60"/>
      <c r="AE69" s="60"/>
      <c r="AF69" s="60"/>
      <c r="AG69" s="60"/>
      <c r="AH69" s="60"/>
      <c r="AI69" s="60"/>
      <c r="AJ69" s="74" t="str">
        <f t="shared" si="4"/>
        <v>-</v>
      </c>
      <c r="AK69" s="60"/>
      <c r="AL69" s="60"/>
      <c r="AM69" s="60"/>
      <c r="AN69" s="60"/>
      <c r="AO69" s="60"/>
      <c r="AP69" s="60"/>
      <c r="AQ69" s="60"/>
      <c r="AR69" s="60"/>
      <c r="AS69" s="60"/>
      <c r="AT69" s="74" t="str">
        <f>IF(COUNTIF(AK69:AS69,"&lt;&gt;"&amp;"")=9,SUM(AK69:AS69),"-")</f>
        <v>-</v>
      </c>
      <c r="AU69" s="148" t="str">
        <f>IF(AND(ISNUMBER(AJ69),ISNUMBER(AT69)),AJ69+AT69,"-")</f>
        <v>-</v>
      </c>
      <c r="AV69" s="74" t="str">
        <f>IF(ISNUMBER(AU69),AU69-C69,"-")</f>
        <v>-</v>
      </c>
      <c r="AX69" s="59" t="str">
        <f t="shared" si="5"/>
        <v>-</v>
      </c>
      <c r="AY69" s="59" t="str">
        <f t="shared" si="6"/>
        <v>-</v>
      </c>
      <c r="AZ69" s="59" t="str">
        <f t="shared" si="7"/>
        <v>-</v>
      </c>
      <c r="BA69" s="59" t="str">
        <f t="shared" si="8"/>
        <v>-</v>
      </c>
      <c r="BB69" s="59" t="str">
        <f t="shared" si="9"/>
        <v>-</v>
      </c>
      <c r="BC69" s="59" t="str">
        <f t="shared" si="10"/>
        <v>-</v>
      </c>
      <c r="BD69" s="59" t="str">
        <f t="shared" si="11"/>
        <v>-</v>
      </c>
      <c r="BE69" s="59" t="str">
        <f t="shared" si="12"/>
        <v>-</v>
      </c>
      <c r="BF69" s="59" t="str">
        <f t="shared" si="13"/>
        <v>-</v>
      </c>
      <c r="BG69" s="59" t="str">
        <f t="shared" si="14"/>
        <v>-</v>
      </c>
      <c r="BH69" s="59" t="str">
        <f t="shared" si="15"/>
        <v>-</v>
      </c>
      <c r="BI69" s="59" t="str">
        <f t="shared" si="16"/>
        <v>-</v>
      </c>
      <c r="BJ69" s="59" t="str">
        <f t="shared" si="17"/>
        <v>-</v>
      </c>
      <c r="BK69" s="59" t="str">
        <f t="shared" si="18"/>
        <v>-</v>
      </c>
      <c r="BL69" s="59" t="str">
        <f>IF(AND(R69&gt;0,AO69&gt;0),MIN(R69,AO69),"-")</f>
        <v>-</v>
      </c>
      <c r="BM69" s="59" t="str">
        <f>IF(AND(S69&gt;0,AP69&gt;0),MIN(S69,AP69),"-")</f>
        <v>-</v>
      </c>
      <c r="BN69" s="59" t="str">
        <f>IF(AND(T69&gt;0,AQ69&gt;0),MIN(T69,AQ69),"-")</f>
        <v>-</v>
      </c>
      <c r="BO69" s="59" t="str">
        <f>IF(AND(U69&gt;0,AR69&gt;0),MIN(U69,AR69),"-")</f>
        <v>-</v>
      </c>
      <c r="BP69" s="59" t="str">
        <f>IF(AND(V69&gt;0,AS69&gt;0),MIN(V69,AS69),"-")</f>
        <v>-</v>
      </c>
      <c r="BQ69" s="59" t="str">
        <f t="shared" si="19"/>
        <v>-</v>
      </c>
      <c r="BR69" s="59" t="str">
        <f t="shared" si="20"/>
        <v>-</v>
      </c>
      <c r="BS69" s="59" t="str">
        <f t="shared" si="21"/>
        <v>-</v>
      </c>
      <c r="BT69" s="98" t="str">
        <f>IF(ISNUMBER(BS69),BS69-(C69*Rules!$P$9/100),"-")</f>
        <v>-</v>
      </c>
      <c r="BU69" s="59" t="e">
        <f>RANK($BT69,$BT$5:$BT$106,1)+COUNTIF(BT$5:BT69,BT69)-1</f>
        <v>#VALUE!</v>
      </c>
      <c r="BV69" s="59" t="e">
        <f t="shared" si="22"/>
        <v>#VALUE!</v>
      </c>
      <c r="BW69" s="59" t="str">
        <f t="shared" si="23"/>
        <v xml:space="preserve"> </v>
      </c>
      <c r="BX69" s="59" t="str">
        <f t="shared" si="24"/>
        <v>-</v>
      </c>
      <c r="BY69" s="98" t="str">
        <f t="shared" si="25"/>
        <v>-</v>
      </c>
      <c r="CC69" s="4">
        <v>65</v>
      </c>
      <c r="CD69" s="2" t="e">
        <f>VLOOKUP(CC69,$BU$5:BY$215,2,FALSE)</f>
        <v>#N/A</v>
      </c>
      <c r="CE69" s="6" t="e">
        <f>VLOOKUP(CC69,$BU$5:BY$215,3,FALSE)</f>
        <v>#N/A</v>
      </c>
      <c r="CF69" s="2" t="e">
        <f>VLOOKUP(CC69,$BU$5:BY$215,5,FALSE)</f>
        <v>#N/A</v>
      </c>
      <c r="CL69" s="77">
        <v>1</v>
      </c>
    </row>
    <row r="70" spans="1:90" ht="17.45" customHeight="1">
      <c r="A70" s="58">
        <v>66</v>
      </c>
      <c r="B70" s="59" t="str">
        <f>'A Div'!A70 &amp; " " &amp; 'A Div'!B70</f>
        <v xml:space="preserve"> </v>
      </c>
      <c r="C70" s="59" t="str">
        <f>'A Div'!E70</f>
        <v>-</v>
      </c>
      <c r="D70" s="60"/>
      <c r="E70" s="60"/>
      <c r="F70" s="60"/>
      <c r="G70" s="60"/>
      <c r="H70" s="60"/>
      <c r="I70" s="60"/>
      <c r="J70" s="60"/>
      <c r="K70" s="60"/>
      <c r="L70" s="60"/>
      <c r="M70" s="74" t="str">
        <f t="shared" ref="M70:M133" si="26">IF(COUNTIF(D70:L70,"&lt;&gt;"&amp;"")=9,SUM(D70:L70),"-")</f>
        <v>-</v>
      </c>
      <c r="N70" s="60"/>
      <c r="O70" s="60"/>
      <c r="P70" s="60"/>
      <c r="Q70" s="60"/>
      <c r="R70" s="60"/>
      <c r="S70" s="60"/>
      <c r="T70" s="60"/>
      <c r="U70" s="60"/>
      <c r="V70" s="60"/>
      <c r="W70" s="74" t="str">
        <f t="shared" ref="W70:W133" si="27">IF(COUNTIF(N70:V70,"&lt;&gt;"&amp;"")=9,SUM(N70:V70),"-")</f>
        <v>-</v>
      </c>
      <c r="X70" s="148" t="str">
        <f t="shared" ref="X70:X133" si="28">IF(AND(ISNUMBER(M70),ISNUMBER(W70)),M70+W70,"-")</f>
        <v>-</v>
      </c>
      <c r="Y70" s="74" t="str">
        <f t="shared" ref="Y70:Y133" si="29">IF(ISNUMBER(X70),X70-C70,"-")</f>
        <v>-</v>
      </c>
      <c r="AA70" s="60"/>
      <c r="AB70" s="60"/>
      <c r="AC70" s="60"/>
      <c r="AD70" s="60"/>
      <c r="AE70" s="60"/>
      <c r="AF70" s="60"/>
      <c r="AG70" s="60"/>
      <c r="AH70" s="60"/>
      <c r="AI70" s="60"/>
      <c r="AJ70" s="74" t="str">
        <f t="shared" ref="AJ70:AJ133" si="30">IF(COUNTIF(AA70:AI70,"&lt;&gt;"&amp;"")=9,SUM(AA70:AI70),"-")</f>
        <v>-</v>
      </c>
      <c r="AK70" s="60"/>
      <c r="AL70" s="60"/>
      <c r="AM70" s="60"/>
      <c r="AN70" s="60"/>
      <c r="AO70" s="60"/>
      <c r="AP70" s="60"/>
      <c r="AQ70" s="60"/>
      <c r="AR70" s="60"/>
      <c r="AS70" s="60"/>
      <c r="AT70" s="74" t="str">
        <f>IF(COUNTIF(AK70:AS70,"&lt;&gt;"&amp;"")=9,SUM(AK70:AS70),"-")</f>
        <v>-</v>
      </c>
      <c r="AU70" s="148" t="str">
        <f>IF(AND(ISNUMBER(AJ70),ISNUMBER(AT70)),AJ70+AT70,"-")</f>
        <v>-</v>
      </c>
      <c r="AV70" s="74" t="str">
        <f>IF(ISNUMBER(AU70),AU70-C70,"-")</f>
        <v>-</v>
      </c>
      <c r="AX70" s="59" t="str">
        <f t="shared" ref="AX70:AX133" si="31">IF(AND(D70&gt;0,AA70&gt;0),MIN(D70,AA70),"-")</f>
        <v>-</v>
      </c>
      <c r="AY70" s="59" t="str">
        <f t="shared" ref="AY70:AY133" si="32">IF(AND(E70&gt;0,AB70&gt;0),MIN(E70,AB70),"-")</f>
        <v>-</v>
      </c>
      <c r="AZ70" s="59" t="str">
        <f t="shared" ref="AZ70:AZ133" si="33">IF(AND(F70&gt;0,AC70&gt;0),MIN(F70,AC70),"-")</f>
        <v>-</v>
      </c>
      <c r="BA70" s="59" t="str">
        <f t="shared" ref="BA70:BA133" si="34">IF(AND(G70&gt;0,AD70&gt;0),MIN(G70,AD70),"-")</f>
        <v>-</v>
      </c>
      <c r="BB70" s="59" t="str">
        <f t="shared" ref="BB70:BB133" si="35">IF(AND(H70&gt;0,AE70&gt;0),MIN(H70,AE70),"-")</f>
        <v>-</v>
      </c>
      <c r="BC70" s="59" t="str">
        <f t="shared" ref="BC70:BC133" si="36">IF(AND(I70&gt;0,AF70&gt;0),MIN(I70,AF70),"-")</f>
        <v>-</v>
      </c>
      <c r="BD70" s="59" t="str">
        <f t="shared" ref="BD70:BD133" si="37">IF(AND(J70&gt;0,AG70&gt;0),MIN(J70,AG70),"-")</f>
        <v>-</v>
      </c>
      <c r="BE70" s="59" t="str">
        <f t="shared" ref="BE70:BE133" si="38">IF(AND(K70&gt;0,AH70&gt;0),MIN(K70,AH70),"-")</f>
        <v>-</v>
      </c>
      <c r="BF70" s="59" t="str">
        <f t="shared" ref="BF70:BF133" si="39">IF(AND(L70&gt;0,AI70&gt;0),MIN(L70,AI70),"-")</f>
        <v>-</v>
      </c>
      <c r="BG70" s="59" t="str">
        <f t="shared" ref="BG70:BG133" si="40">IF(COUNTIF(AX70:BF70,"&lt;&gt;-")=9,SUM(AX70:BF70),"-")</f>
        <v>-</v>
      </c>
      <c r="BH70" s="59" t="str">
        <f t="shared" ref="BH70:BH133" si="41">IF(AND(N70&gt;0,AK70&gt;0),MIN(N70,AK70),"-")</f>
        <v>-</v>
      </c>
      <c r="BI70" s="59" t="str">
        <f t="shared" ref="BI70:BI133" si="42">IF(AND(O70&gt;0,AL70&gt;0),MIN(O70,AL70),"-")</f>
        <v>-</v>
      </c>
      <c r="BJ70" s="59" t="str">
        <f t="shared" ref="BJ70:BJ133" si="43">IF(AND(P70&gt;0,AM70&gt;0),MIN(P70,AM70),"-")</f>
        <v>-</v>
      </c>
      <c r="BK70" s="59" t="str">
        <f t="shared" ref="BK70:BK133" si="44">IF(AND(Q70&gt;0,AN70&gt;0),MIN(Q70,AN70),"-")</f>
        <v>-</v>
      </c>
      <c r="BL70" s="59" t="str">
        <f>IF(AND(R70&gt;0,AO70&gt;0),MIN(R70,AO70),"-")</f>
        <v>-</v>
      </c>
      <c r="BM70" s="59" t="str">
        <f>IF(AND(S70&gt;0,AP70&gt;0),MIN(S70,AP70),"-")</f>
        <v>-</v>
      </c>
      <c r="BN70" s="59" t="str">
        <f>IF(AND(T70&gt;0,AQ70&gt;0),MIN(T70,AQ70),"-")</f>
        <v>-</v>
      </c>
      <c r="BO70" s="59" t="str">
        <f>IF(AND(U70&gt;0,AR70&gt;0),MIN(U70,AR70),"-")</f>
        <v>-</v>
      </c>
      <c r="BP70" s="59" t="str">
        <f>IF(AND(V70&gt;0,AS70&gt;0),MIN(V70,AS70),"-")</f>
        <v>-</v>
      </c>
      <c r="BQ70" s="59" t="str">
        <f t="shared" ref="BQ70:BQ133" si="45">IF(COUNTIF(BH70:BP70,"&lt;&gt;-")=9,SUM(BH70:BP70),"-")</f>
        <v>-</v>
      </c>
      <c r="BR70" s="59" t="str">
        <f t="shared" ref="BR70:BR133" si="46">BG70</f>
        <v>-</v>
      </c>
      <c r="BS70" s="59" t="str">
        <f t="shared" ref="BS70:BS133" si="47">IF(COUNTIF(BQ70:BR70,"&lt;&gt;-")=2,SUM(BQ70:BR70),"-")</f>
        <v>-</v>
      </c>
      <c r="BT70" s="98" t="str">
        <f>IF(ISNUMBER(BS70),BS70-(C70*Rules!$P$9/100),"-")</f>
        <v>-</v>
      </c>
      <c r="BU70" s="59" t="e">
        <f>RANK($BT70,$BT$5:$BT$106,1)+COUNTIF(BT$5:BT70,BT70)-1</f>
        <v>#VALUE!</v>
      </c>
      <c r="BV70" s="59" t="e">
        <f t="shared" ref="BV70:BV133" si="48">RANK(BT70,$BT$5:$BT$215,1)</f>
        <v>#VALUE!</v>
      </c>
      <c r="BW70" s="59" t="str">
        <f t="shared" ref="BW70:BW133" si="49">B70</f>
        <v xml:space="preserve"> </v>
      </c>
      <c r="BX70" s="59" t="str">
        <f t="shared" ref="BX70:BX133" si="50">C70</f>
        <v>-</v>
      </c>
      <c r="BY70" s="98" t="str">
        <f t="shared" ref="BY70:BY133" si="51">BT70</f>
        <v>-</v>
      </c>
      <c r="CC70" s="4">
        <v>66</v>
      </c>
      <c r="CD70" s="2" t="e">
        <f>VLOOKUP(CC70,$BU$5:BY$215,2,FALSE)</f>
        <v>#N/A</v>
      </c>
      <c r="CE70" s="6" t="e">
        <f>VLOOKUP(CC70,$BU$5:BY$215,3,FALSE)</f>
        <v>#N/A</v>
      </c>
      <c r="CF70" s="2" t="e">
        <f>VLOOKUP(CC70,$BU$5:BY$215,5,FALSE)</f>
        <v>#N/A</v>
      </c>
      <c r="CL70" s="77">
        <v>1</v>
      </c>
    </row>
    <row r="71" spans="1:90" ht="17.45" customHeight="1">
      <c r="A71" s="58">
        <v>67</v>
      </c>
      <c r="B71" s="59" t="str">
        <f>'A Div'!A71 &amp; " " &amp; 'A Div'!B71</f>
        <v xml:space="preserve"> </v>
      </c>
      <c r="C71" s="59" t="str">
        <f>'A Div'!E71</f>
        <v>-</v>
      </c>
      <c r="D71" s="60"/>
      <c r="E71" s="60"/>
      <c r="F71" s="60"/>
      <c r="G71" s="60"/>
      <c r="H71" s="60"/>
      <c r="I71" s="60"/>
      <c r="J71" s="60"/>
      <c r="K71" s="60"/>
      <c r="L71" s="60"/>
      <c r="M71" s="74" t="str">
        <f t="shared" si="26"/>
        <v>-</v>
      </c>
      <c r="N71" s="60"/>
      <c r="O71" s="60"/>
      <c r="P71" s="60"/>
      <c r="Q71" s="60"/>
      <c r="R71" s="60"/>
      <c r="S71" s="60"/>
      <c r="T71" s="60"/>
      <c r="U71" s="60"/>
      <c r="V71" s="60"/>
      <c r="W71" s="74" t="str">
        <f t="shared" si="27"/>
        <v>-</v>
      </c>
      <c r="X71" s="148" t="str">
        <f t="shared" si="28"/>
        <v>-</v>
      </c>
      <c r="Y71" s="74" t="str">
        <f t="shared" si="29"/>
        <v>-</v>
      </c>
      <c r="AA71" s="60"/>
      <c r="AB71" s="60"/>
      <c r="AC71" s="60"/>
      <c r="AD71" s="60"/>
      <c r="AE71" s="60"/>
      <c r="AF71" s="60"/>
      <c r="AG71" s="60"/>
      <c r="AH71" s="60"/>
      <c r="AI71" s="60"/>
      <c r="AJ71" s="74" t="str">
        <f t="shared" si="30"/>
        <v>-</v>
      </c>
      <c r="AK71" s="60"/>
      <c r="AL71" s="60"/>
      <c r="AM71" s="60"/>
      <c r="AN71" s="60"/>
      <c r="AO71" s="60"/>
      <c r="AP71" s="60"/>
      <c r="AQ71" s="60"/>
      <c r="AR71" s="60"/>
      <c r="AS71" s="60"/>
      <c r="AT71" s="74" t="str">
        <f>IF(COUNTIF(AK71:AS71,"&lt;&gt;"&amp;"")=9,SUM(AK71:AS71),"-")</f>
        <v>-</v>
      </c>
      <c r="AU71" s="148" t="str">
        <f>IF(AND(ISNUMBER(AJ71),ISNUMBER(AT71)),AJ71+AT71,"-")</f>
        <v>-</v>
      </c>
      <c r="AV71" s="74" t="str">
        <f>IF(ISNUMBER(AU71),AU71-C71,"-")</f>
        <v>-</v>
      </c>
      <c r="AX71" s="59" t="str">
        <f t="shared" si="31"/>
        <v>-</v>
      </c>
      <c r="AY71" s="59" t="str">
        <f t="shared" si="32"/>
        <v>-</v>
      </c>
      <c r="AZ71" s="59" t="str">
        <f t="shared" si="33"/>
        <v>-</v>
      </c>
      <c r="BA71" s="59" t="str">
        <f t="shared" si="34"/>
        <v>-</v>
      </c>
      <c r="BB71" s="59" t="str">
        <f t="shared" si="35"/>
        <v>-</v>
      </c>
      <c r="BC71" s="59" t="str">
        <f t="shared" si="36"/>
        <v>-</v>
      </c>
      <c r="BD71" s="59" t="str">
        <f t="shared" si="37"/>
        <v>-</v>
      </c>
      <c r="BE71" s="59" t="str">
        <f t="shared" si="38"/>
        <v>-</v>
      </c>
      <c r="BF71" s="59" t="str">
        <f t="shared" si="39"/>
        <v>-</v>
      </c>
      <c r="BG71" s="59" t="str">
        <f t="shared" si="40"/>
        <v>-</v>
      </c>
      <c r="BH71" s="59" t="str">
        <f t="shared" si="41"/>
        <v>-</v>
      </c>
      <c r="BI71" s="59" t="str">
        <f t="shared" si="42"/>
        <v>-</v>
      </c>
      <c r="BJ71" s="59" t="str">
        <f t="shared" si="43"/>
        <v>-</v>
      </c>
      <c r="BK71" s="59" t="str">
        <f t="shared" si="44"/>
        <v>-</v>
      </c>
      <c r="BL71" s="59" t="str">
        <f>IF(AND(R71&gt;0,AO71&gt;0),MIN(R71,AO71),"-")</f>
        <v>-</v>
      </c>
      <c r="BM71" s="59" t="str">
        <f>IF(AND(S71&gt;0,AP71&gt;0),MIN(S71,AP71),"-")</f>
        <v>-</v>
      </c>
      <c r="BN71" s="59" t="str">
        <f>IF(AND(T71&gt;0,AQ71&gt;0),MIN(T71,AQ71),"-")</f>
        <v>-</v>
      </c>
      <c r="BO71" s="59" t="str">
        <f>IF(AND(U71&gt;0,AR71&gt;0),MIN(U71,AR71),"-")</f>
        <v>-</v>
      </c>
      <c r="BP71" s="59" t="str">
        <f>IF(AND(V71&gt;0,AS71&gt;0),MIN(V71,AS71),"-")</f>
        <v>-</v>
      </c>
      <c r="BQ71" s="59" t="str">
        <f t="shared" si="45"/>
        <v>-</v>
      </c>
      <c r="BR71" s="59" t="str">
        <f t="shared" si="46"/>
        <v>-</v>
      </c>
      <c r="BS71" s="59" t="str">
        <f t="shared" si="47"/>
        <v>-</v>
      </c>
      <c r="BT71" s="98" t="str">
        <f>IF(ISNUMBER(BS71),BS71-(C71*Rules!$P$9/100),"-")</f>
        <v>-</v>
      </c>
      <c r="BU71" s="59" t="e">
        <f>RANK($BT71,$BT$5:$BT$106,1)+COUNTIF(BT$5:BT71,BT71)-1</f>
        <v>#VALUE!</v>
      </c>
      <c r="BV71" s="59" t="e">
        <f t="shared" si="48"/>
        <v>#VALUE!</v>
      </c>
      <c r="BW71" s="59" t="str">
        <f t="shared" si="49"/>
        <v xml:space="preserve"> </v>
      </c>
      <c r="BX71" s="59" t="str">
        <f t="shared" si="50"/>
        <v>-</v>
      </c>
      <c r="BY71" s="98" t="str">
        <f t="shared" si="51"/>
        <v>-</v>
      </c>
      <c r="CC71" s="4">
        <v>67</v>
      </c>
      <c r="CD71" s="2" t="e">
        <f>VLOOKUP(CC71,$BU$5:BY$215,2,FALSE)</f>
        <v>#N/A</v>
      </c>
      <c r="CE71" s="6" t="e">
        <f>VLOOKUP(CC71,$BU$5:BY$215,3,FALSE)</f>
        <v>#N/A</v>
      </c>
      <c r="CF71" s="2" t="e">
        <f>VLOOKUP(CC71,$BU$5:BY$215,5,FALSE)</f>
        <v>#N/A</v>
      </c>
      <c r="CL71" s="77">
        <v>1</v>
      </c>
    </row>
    <row r="72" spans="1:90" ht="17.45" customHeight="1">
      <c r="A72" s="58">
        <v>68</v>
      </c>
      <c r="B72" s="59" t="str">
        <f>'A Div'!A72 &amp; " " &amp; 'A Div'!B72</f>
        <v xml:space="preserve"> </v>
      </c>
      <c r="C72" s="59" t="str">
        <f>'A Div'!E72</f>
        <v>-</v>
      </c>
      <c r="D72" s="60"/>
      <c r="E72" s="60"/>
      <c r="F72" s="60"/>
      <c r="G72" s="60"/>
      <c r="H72" s="60"/>
      <c r="I72" s="60"/>
      <c r="J72" s="60"/>
      <c r="K72" s="60"/>
      <c r="L72" s="60"/>
      <c r="M72" s="74" t="str">
        <f t="shared" si="26"/>
        <v>-</v>
      </c>
      <c r="N72" s="60"/>
      <c r="O72" s="60"/>
      <c r="P72" s="60"/>
      <c r="Q72" s="60"/>
      <c r="R72" s="60"/>
      <c r="S72" s="60"/>
      <c r="T72" s="60"/>
      <c r="U72" s="60"/>
      <c r="V72" s="60"/>
      <c r="W72" s="74" t="str">
        <f t="shared" si="27"/>
        <v>-</v>
      </c>
      <c r="X72" s="148" t="str">
        <f t="shared" si="28"/>
        <v>-</v>
      </c>
      <c r="Y72" s="74" t="str">
        <f t="shared" si="29"/>
        <v>-</v>
      </c>
      <c r="AA72" s="60"/>
      <c r="AB72" s="60"/>
      <c r="AC72" s="60"/>
      <c r="AD72" s="60"/>
      <c r="AE72" s="60"/>
      <c r="AF72" s="60"/>
      <c r="AG72" s="60"/>
      <c r="AH72" s="60"/>
      <c r="AI72" s="60"/>
      <c r="AJ72" s="74" t="str">
        <f t="shared" si="30"/>
        <v>-</v>
      </c>
      <c r="AK72" s="60"/>
      <c r="AL72" s="60"/>
      <c r="AM72" s="60"/>
      <c r="AN72" s="60"/>
      <c r="AO72" s="60"/>
      <c r="AP72" s="60"/>
      <c r="AQ72" s="60"/>
      <c r="AR72" s="60"/>
      <c r="AS72" s="60"/>
      <c r="AT72" s="74" t="str">
        <f>IF(COUNTIF(AK72:AS72,"&lt;&gt;"&amp;"")=9,SUM(AK72:AS72),"-")</f>
        <v>-</v>
      </c>
      <c r="AU72" s="148" t="str">
        <f>IF(AND(ISNUMBER(AJ72),ISNUMBER(AT72)),AJ72+AT72,"-")</f>
        <v>-</v>
      </c>
      <c r="AV72" s="74" t="str">
        <f>IF(ISNUMBER(AU72),AU72-C72,"-")</f>
        <v>-</v>
      </c>
      <c r="AX72" s="59" t="str">
        <f t="shared" si="31"/>
        <v>-</v>
      </c>
      <c r="AY72" s="59" t="str">
        <f t="shared" si="32"/>
        <v>-</v>
      </c>
      <c r="AZ72" s="59" t="str">
        <f t="shared" si="33"/>
        <v>-</v>
      </c>
      <c r="BA72" s="59" t="str">
        <f t="shared" si="34"/>
        <v>-</v>
      </c>
      <c r="BB72" s="59" t="str">
        <f t="shared" si="35"/>
        <v>-</v>
      </c>
      <c r="BC72" s="59" t="str">
        <f t="shared" si="36"/>
        <v>-</v>
      </c>
      <c r="BD72" s="59" t="str">
        <f t="shared" si="37"/>
        <v>-</v>
      </c>
      <c r="BE72" s="59" t="str">
        <f t="shared" si="38"/>
        <v>-</v>
      </c>
      <c r="BF72" s="59" t="str">
        <f t="shared" si="39"/>
        <v>-</v>
      </c>
      <c r="BG72" s="59" t="str">
        <f t="shared" si="40"/>
        <v>-</v>
      </c>
      <c r="BH72" s="59" t="str">
        <f t="shared" si="41"/>
        <v>-</v>
      </c>
      <c r="BI72" s="59" t="str">
        <f t="shared" si="42"/>
        <v>-</v>
      </c>
      <c r="BJ72" s="59" t="str">
        <f t="shared" si="43"/>
        <v>-</v>
      </c>
      <c r="BK72" s="59" t="str">
        <f t="shared" si="44"/>
        <v>-</v>
      </c>
      <c r="BL72" s="59" t="str">
        <f>IF(AND(R72&gt;0,AO72&gt;0),MIN(R72,AO72),"-")</f>
        <v>-</v>
      </c>
      <c r="BM72" s="59" t="str">
        <f>IF(AND(S72&gt;0,AP72&gt;0),MIN(S72,AP72),"-")</f>
        <v>-</v>
      </c>
      <c r="BN72" s="59" t="str">
        <f>IF(AND(T72&gt;0,AQ72&gt;0),MIN(T72,AQ72),"-")</f>
        <v>-</v>
      </c>
      <c r="BO72" s="59" t="str">
        <f>IF(AND(U72&gt;0,AR72&gt;0),MIN(U72,AR72),"-")</f>
        <v>-</v>
      </c>
      <c r="BP72" s="59" t="str">
        <f>IF(AND(V72&gt;0,AS72&gt;0),MIN(V72,AS72),"-")</f>
        <v>-</v>
      </c>
      <c r="BQ72" s="59" t="str">
        <f t="shared" si="45"/>
        <v>-</v>
      </c>
      <c r="BR72" s="59" t="str">
        <f t="shared" si="46"/>
        <v>-</v>
      </c>
      <c r="BS72" s="59" t="str">
        <f t="shared" si="47"/>
        <v>-</v>
      </c>
      <c r="BT72" s="98" t="str">
        <f>IF(ISNUMBER(BS72),BS72-(C72*Rules!$P$9/100),"-")</f>
        <v>-</v>
      </c>
      <c r="BU72" s="59" t="e">
        <f>RANK($BT72,$BT$5:$BT$106,1)+COUNTIF(BT$5:BT72,BT72)-1</f>
        <v>#VALUE!</v>
      </c>
      <c r="BV72" s="59" t="e">
        <f t="shared" si="48"/>
        <v>#VALUE!</v>
      </c>
      <c r="BW72" s="59" t="str">
        <f t="shared" si="49"/>
        <v xml:space="preserve"> </v>
      </c>
      <c r="BX72" s="59" t="str">
        <f t="shared" si="50"/>
        <v>-</v>
      </c>
      <c r="BY72" s="98" t="str">
        <f t="shared" si="51"/>
        <v>-</v>
      </c>
      <c r="CC72" s="4">
        <v>68</v>
      </c>
      <c r="CD72" s="2" t="e">
        <f>VLOOKUP(CC72,$BU$5:BY$215,2,FALSE)</f>
        <v>#N/A</v>
      </c>
      <c r="CE72" s="6" t="e">
        <f>VLOOKUP(CC72,$BU$5:BY$215,3,FALSE)</f>
        <v>#N/A</v>
      </c>
      <c r="CF72" s="2" t="e">
        <f>VLOOKUP(CC72,$BU$5:BY$215,5,FALSE)</f>
        <v>#N/A</v>
      </c>
      <c r="CL72" s="77">
        <v>1</v>
      </c>
    </row>
    <row r="73" spans="1:90" ht="17.45" customHeight="1">
      <c r="A73" s="58">
        <v>69</v>
      </c>
      <c r="B73" s="59" t="str">
        <f>'A Div'!A73 &amp; " " &amp; 'A Div'!B73</f>
        <v xml:space="preserve"> </v>
      </c>
      <c r="C73" s="59" t="str">
        <f>'A Div'!E73</f>
        <v>-</v>
      </c>
      <c r="D73" s="60"/>
      <c r="E73" s="60"/>
      <c r="F73" s="60"/>
      <c r="G73" s="60"/>
      <c r="H73" s="60"/>
      <c r="I73" s="60"/>
      <c r="J73" s="60"/>
      <c r="K73" s="60"/>
      <c r="L73" s="60"/>
      <c r="M73" s="74" t="str">
        <f t="shared" si="26"/>
        <v>-</v>
      </c>
      <c r="N73" s="60"/>
      <c r="O73" s="60"/>
      <c r="P73" s="60"/>
      <c r="Q73" s="60"/>
      <c r="R73" s="60"/>
      <c r="S73" s="60"/>
      <c r="T73" s="60"/>
      <c r="U73" s="60"/>
      <c r="V73" s="60"/>
      <c r="W73" s="74" t="str">
        <f t="shared" si="27"/>
        <v>-</v>
      </c>
      <c r="X73" s="148" t="str">
        <f t="shared" si="28"/>
        <v>-</v>
      </c>
      <c r="Y73" s="74" t="str">
        <f t="shared" si="29"/>
        <v>-</v>
      </c>
      <c r="AA73" s="60"/>
      <c r="AB73" s="60"/>
      <c r="AC73" s="60"/>
      <c r="AD73" s="60"/>
      <c r="AE73" s="60"/>
      <c r="AF73" s="60"/>
      <c r="AG73" s="60"/>
      <c r="AH73" s="60"/>
      <c r="AI73" s="60"/>
      <c r="AJ73" s="74" t="str">
        <f t="shared" si="30"/>
        <v>-</v>
      </c>
      <c r="AK73" s="60"/>
      <c r="AL73" s="60"/>
      <c r="AM73" s="60"/>
      <c r="AN73" s="60"/>
      <c r="AO73" s="60"/>
      <c r="AP73" s="60"/>
      <c r="AQ73" s="60"/>
      <c r="AR73" s="60"/>
      <c r="AS73" s="60"/>
      <c r="AT73" s="74" t="str">
        <f>IF(COUNTIF(AK73:AS73,"&lt;&gt;"&amp;"")=9,SUM(AK73:AS73),"-")</f>
        <v>-</v>
      </c>
      <c r="AU73" s="148" t="str">
        <f>IF(AND(ISNUMBER(AJ73),ISNUMBER(AT73)),AJ73+AT73,"-")</f>
        <v>-</v>
      </c>
      <c r="AV73" s="74" t="str">
        <f>IF(ISNUMBER(AU73),AU73-C73,"-")</f>
        <v>-</v>
      </c>
      <c r="AX73" s="59" t="str">
        <f t="shared" si="31"/>
        <v>-</v>
      </c>
      <c r="AY73" s="59" t="str">
        <f t="shared" si="32"/>
        <v>-</v>
      </c>
      <c r="AZ73" s="59" t="str">
        <f t="shared" si="33"/>
        <v>-</v>
      </c>
      <c r="BA73" s="59" t="str">
        <f t="shared" si="34"/>
        <v>-</v>
      </c>
      <c r="BB73" s="59" t="str">
        <f t="shared" si="35"/>
        <v>-</v>
      </c>
      <c r="BC73" s="59" t="str">
        <f t="shared" si="36"/>
        <v>-</v>
      </c>
      <c r="BD73" s="59" t="str">
        <f t="shared" si="37"/>
        <v>-</v>
      </c>
      <c r="BE73" s="59" t="str">
        <f t="shared" si="38"/>
        <v>-</v>
      </c>
      <c r="BF73" s="59" t="str">
        <f t="shared" si="39"/>
        <v>-</v>
      </c>
      <c r="BG73" s="59" t="str">
        <f t="shared" si="40"/>
        <v>-</v>
      </c>
      <c r="BH73" s="59" t="str">
        <f t="shared" si="41"/>
        <v>-</v>
      </c>
      <c r="BI73" s="59" t="str">
        <f t="shared" si="42"/>
        <v>-</v>
      </c>
      <c r="BJ73" s="59" t="str">
        <f t="shared" si="43"/>
        <v>-</v>
      </c>
      <c r="BK73" s="59" t="str">
        <f t="shared" si="44"/>
        <v>-</v>
      </c>
      <c r="BL73" s="59" t="str">
        <f>IF(AND(R73&gt;0,AO73&gt;0),MIN(R73,AO73),"-")</f>
        <v>-</v>
      </c>
      <c r="BM73" s="59" t="str">
        <f>IF(AND(S73&gt;0,AP73&gt;0),MIN(S73,AP73),"-")</f>
        <v>-</v>
      </c>
      <c r="BN73" s="59" t="str">
        <f>IF(AND(T73&gt;0,AQ73&gt;0),MIN(T73,AQ73),"-")</f>
        <v>-</v>
      </c>
      <c r="BO73" s="59" t="str">
        <f>IF(AND(U73&gt;0,AR73&gt;0),MIN(U73,AR73),"-")</f>
        <v>-</v>
      </c>
      <c r="BP73" s="59" t="str">
        <f>IF(AND(V73&gt;0,AS73&gt;0),MIN(V73,AS73),"-")</f>
        <v>-</v>
      </c>
      <c r="BQ73" s="59" t="str">
        <f t="shared" si="45"/>
        <v>-</v>
      </c>
      <c r="BR73" s="59" t="str">
        <f t="shared" si="46"/>
        <v>-</v>
      </c>
      <c r="BS73" s="59" t="str">
        <f t="shared" si="47"/>
        <v>-</v>
      </c>
      <c r="BT73" s="98" t="str">
        <f>IF(ISNUMBER(BS73),BS73-(C73*Rules!$P$9/100),"-")</f>
        <v>-</v>
      </c>
      <c r="BU73" s="59" t="e">
        <f>RANK($BT73,$BT$5:$BT$106,1)+COUNTIF(BT$5:BT73,BT73)-1</f>
        <v>#VALUE!</v>
      </c>
      <c r="BV73" s="59" t="e">
        <f t="shared" si="48"/>
        <v>#VALUE!</v>
      </c>
      <c r="BW73" s="59" t="str">
        <f t="shared" si="49"/>
        <v xml:space="preserve"> </v>
      </c>
      <c r="BX73" s="59" t="str">
        <f t="shared" si="50"/>
        <v>-</v>
      </c>
      <c r="BY73" s="98" t="str">
        <f t="shared" si="51"/>
        <v>-</v>
      </c>
      <c r="CC73" s="4">
        <v>69</v>
      </c>
      <c r="CD73" s="2" t="e">
        <f>VLOOKUP(CC73,$BU$5:BY$215,2,FALSE)</f>
        <v>#N/A</v>
      </c>
      <c r="CE73" s="6" t="e">
        <f>VLOOKUP(CC73,$BU$5:BY$215,3,FALSE)</f>
        <v>#N/A</v>
      </c>
      <c r="CF73" s="2" t="e">
        <f>VLOOKUP(CC73,$BU$5:BY$215,5,FALSE)</f>
        <v>#N/A</v>
      </c>
      <c r="CL73" s="77">
        <v>1</v>
      </c>
    </row>
    <row r="74" spans="1:90" ht="17.45" customHeight="1">
      <c r="A74" s="58">
        <v>70</v>
      </c>
      <c r="B74" s="59" t="str">
        <f>'A Div'!A74 &amp; " " &amp; 'A Div'!B74</f>
        <v xml:space="preserve"> </v>
      </c>
      <c r="C74" s="59" t="str">
        <f>'A Div'!E74</f>
        <v>-</v>
      </c>
      <c r="D74" s="60"/>
      <c r="E74" s="60"/>
      <c r="F74" s="60"/>
      <c r="G74" s="60"/>
      <c r="H74" s="60"/>
      <c r="I74" s="60"/>
      <c r="J74" s="60"/>
      <c r="K74" s="60"/>
      <c r="L74" s="60"/>
      <c r="M74" s="74" t="str">
        <f t="shared" si="26"/>
        <v>-</v>
      </c>
      <c r="N74" s="60"/>
      <c r="O74" s="60"/>
      <c r="P74" s="60"/>
      <c r="Q74" s="60"/>
      <c r="R74" s="60"/>
      <c r="S74" s="60"/>
      <c r="T74" s="60"/>
      <c r="U74" s="60"/>
      <c r="V74" s="60"/>
      <c r="W74" s="74" t="str">
        <f t="shared" si="27"/>
        <v>-</v>
      </c>
      <c r="X74" s="148" t="str">
        <f t="shared" si="28"/>
        <v>-</v>
      </c>
      <c r="Y74" s="74" t="str">
        <f t="shared" si="29"/>
        <v>-</v>
      </c>
      <c r="AA74" s="60"/>
      <c r="AB74" s="60"/>
      <c r="AC74" s="60"/>
      <c r="AD74" s="60"/>
      <c r="AE74" s="60"/>
      <c r="AF74" s="60"/>
      <c r="AG74" s="60"/>
      <c r="AH74" s="60"/>
      <c r="AI74" s="60"/>
      <c r="AJ74" s="74" t="str">
        <f t="shared" si="30"/>
        <v>-</v>
      </c>
      <c r="AK74" s="60"/>
      <c r="AL74" s="60"/>
      <c r="AM74" s="60"/>
      <c r="AN74" s="60"/>
      <c r="AO74" s="60"/>
      <c r="AP74" s="60"/>
      <c r="AQ74" s="60"/>
      <c r="AR74" s="60"/>
      <c r="AS74" s="60"/>
      <c r="AT74" s="74" t="str">
        <f>IF(COUNTIF(AK74:AS74,"&lt;&gt;"&amp;"")=9,SUM(AK74:AS74),"-")</f>
        <v>-</v>
      </c>
      <c r="AU74" s="148" t="str">
        <f>IF(AND(ISNUMBER(AJ74),ISNUMBER(AT74)),AJ74+AT74,"-")</f>
        <v>-</v>
      </c>
      <c r="AV74" s="74" t="str">
        <f>IF(ISNUMBER(AU74),AU74-C74,"-")</f>
        <v>-</v>
      </c>
      <c r="AX74" s="59" t="str">
        <f t="shared" si="31"/>
        <v>-</v>
      </c>
      <c r="AY74" s="59" t="str">
        <f t="shared" si="32"/>
        <v>-</v>
      </c>
      <c r="AZ74" s="59" t="str">
        <f t="shared" si="33"/>
        <v>-</v>
      </c>
      <c r="BA74" s="59" t="str">
        <f t="shared" si="34"/>
        <v>-</v>
      </c>
      <c r="BB74" s="59" t="str">
        <f t="shared" si="35"/>
        <v>-</v>
      </c>
      <c r="BC74" s="59" t="str">
        <f t="shared" si="36"/>
        <v>-</v>
      </c>
      <c r="BD74" s="59" t="str">
        <f t="shared" si="37"/>
        <v>-</v>
      </c>
      <c r="BE74" s="59" t="str">
        <f t="shared" si="38"/>
        <v>-</v>
      </c>
      <c r="BF74" s="59" t="str">
        <f t="shared" si="39"/>
        <v>-</v>
      </c>
      <c r="BG74" s="59" t="str">
        <f t="shared" si="40"/>
        <v>-</v>
      </c>
      <c r="BH74" s="59" t="str">
        <f t="shared" si="41"/>
        <v>-</v>
      </c>
      <c r="BI74" s="59" t="str">
        <f t="shared" si="42"/>
        <v>-</v>
      </c>
      <c r="BJ74" s="59" t="str">
        <f t="shared" si="43"/>
        <v>-</v>
      </c>
      <c r="BK74" s="59" t="str">
        <f t="shared" si="44"/>
        <v>-</v>
      </c>
      <c r="BL74" s="59" t="str">
        <f>IF(AND(R74&gt;0,AO74&gt;0),MIN(R74,AO74),"-")</f>
        <v>-</v>
      </c>
      <c r="BM74" s="59" t="str">
        <f>IF(AND(S74&gt;0,AP74&gt;0),MIN(S74,AP74),"-")</f>
        <v>-</v>
      </c>
      <c r="BN74" s="59" t="str">
        <f>IF(AND(T74&gt;0,AQ74&gt;0),MIN(T74,AQ74),"-")</f>
        <v>-</v>
      </c>
      <c r="BO74" s="59" t="str">
        <f>IF(AND(U74&gt;0,AR74&gt;0),MIN(U74,AR74),"-")</f>
        <v>-</v>
      </c>
      <c r="BP74" s="59" t="str">
        <f>IF(AND(V74&gt;0,AS74&gt;0),MIN(V74,AS74),"-")</f>
        <v>-</v>
      </c>
      <c r="BQ74" s="59" t="str">
        <f t="shared" si="45"/>
        <v>-</v>
      </c>
      <c r="BR74" s="59" t="str">
        <f t="shared" si="46"/>
        <v>-</v>
      </c>
      <c r="BS74" s="59" t="str">
        <f t="shared" si="47"/>
        <v>-</v>
      </c>
      <c r="BT74" s="98" t="str">
        <f>IF(ISNUMBER(BS74),BS74-(C74*Rules!$P$9/100),"-")</f>
        <v>-</v>
      </c>
      <c r="BU74" s="59" t="e">
        <f>RANK($BT74,$BT$5:$BT$106,1)+COUNTIF(BT$5:BT74,BT74)-1</f>
        <v>#VALUE!</v>
      </c>
      <c r="BV74" s="59" t="e">
        <f t="shared" si="48"/>
        <v>#VALUE!</v>
      </c>
      <c r="BW74" s="59" t="str">
        <f t="shared" si="49"/>
        <v xml:space="preserve"> </v>
      </c>
      <c r="BX74" s="59" t="str">
        <f t="shared" si="50"/>
        <v>-</v>
      </c>
      <c r="BY74" s="98" t="str">
        <f t="shared" si="51"/>
        <v>-</v>
      </c>
      <c r="CC74" s="4">
        <v>70</v>
      </c>
      <c r="CD74" s="2" t="e">
        <f>VLOOKUP(CC74,$BU$5:BY$215,2,FALSE)</f>
        <v>#N/A</v>
      </c>
      <c r="CE74" s="6" t="e">
        <f>VLOOKUP(CC74,$BU$5:BY$215,3,FALSE)</f>
        <v>#N/A</v>
      </c>
      <c r="CF74" s="2" t="e">
        <f>VLOOKUP(CC74,$BU$5:BY$215,5,FALSE)</f>
        <v>#N/A</v>
      </c>
      <c r="CL74" s="77">
        <v>1</v>
      </c>
    </row>
    <row r="75" spans="1:90" ht="17.45" customHeight="1">
      <c r="A75" s="58">
        <v>71</v>
      </c>
      <c r="B75" s="59" t="str">
        <f>'A Div'!A75 &amp; " " &amp; 'A Div'!B75</f>
        <v xml:space="preserve"> </v>
      </c>
      <c r="C75" s="59" t="str">
        <f>'A Div'!E75</f>
        <v>-</v>
      </c>
      <c r="D75" s="60"/>
      <c r="E75" s="60"/>
      <c r="F75" s="60"/>
      <c r="G75" s="60"/>
      <c r="H75" s="60"/>
      <c r="I75" s="60"/>
      <c r="J75" s="60"/>
      <c r="K75" s="60"/>
      <c r="L75" s="60"/>
      <c r="M75" s="74" t="str">
        <f t="shared" si="26"/>
        <v>-</v>
      </c>
      <c r="N75" s="60"/>
      <c r="O75" s="60"/>
      <c r="P75" s="60"/>
      <c r="Q75" s="60"/>
      <c r="R75" s="60"/>
      <c r="S75" s="60"/>
      <c r="T75" s="60"/>
      <c r="U75" s="60"/>
      <c r="V75" s="60"/>
      <c r="W75" s="74" t="str">
        <f t="shared" si="27"/>
        <v>-</v>
      </c>
      <c r="X75" s="148" t="str">
        <f t="shared" si="28"/>
        <v>-</v>
      </c>
      <c r="Y75" s="74" t="str">
        <f t="shared" si="29"/>
        <v>-</v>
      </c>
      <c r="AA75" s="60"/>
      <c r="AB75" s="60"/>
      <c r="AC75" s="60"/>
      <c r="AD75" s="60"/>
      <c r="AE75" s="60"/>
      <c r="AF75" s="60"/>
      <c r="AG75" s="60"/>
      <c r="AH75" s="60"/>
      <c r="AI75" s="60"/>
      <c r="AJ75" s="74" t="str">
        <f t="shared" si="30"/>
        <v>-</v>
      </c>
      <c r="AK75" s="60"/>
      <c r="AL75" s="60"/>
      <c r="AM75" s="60"/>
      <c r="AN75" s="60"/>
      <c r="AO75" s="60"/>
      <c r="AP75" s="60"/>
      <c r="AQ75" s="60"/>
      <c r="AR75" s="60"/>
      <c r="AS75" s="60"/>
      <c r="AT75" s="74" t="str">
        <f>IF(COUNTIF(AK75:AS75,"&lt;&gt;"&amp;"")=9,SUM(AK75:AS75),"-")</f>
        <v>-</v>
      </c>
      <c r="AU75" s="148" t="str">
        <f>IF(AND(ISNUMBER(AJ75),ISNUMBER(AT75)),AJ75+AT75,"-")</f>
        <v>-</v>
      </c>
      <c r="AV75" s="74" t="str">
        <f>IF(ISNUMBER(AU75),AU75-C75,"-")</f>
        <v>-</v>
      </c>
      <c r="AX75" s="59" t="str">
        <f t="shared" si="31"/>
        <v>-</v>
      </c>
      <c r="AY75" s="59" t="str">
        <f t="shared" si="32"/>
        <v>-</v>
      </c>
      <c r="AZ75" s="59" t="str">
        <f t="shared" si="33"/>
        <v>-</v>
      </c>
      <c r="BA75" s="59" t="str">
        <f t="shared" si="34"/>
        <v>-</v>
      </c>
      <c r="BB75" s="59" t="str">
        <f t="shared" si="35"/>
        <v>-</v>
      </c>
      <c r="BC75" s="59" t="str">
        <f t="shared" si="36"/>
        <v>-</v>
      </c>
      <c r="BD75" s="59" t="str">
        <f t="shared" si="37"/>
        <v>-</v>
      </c>
      <c r="BE75" s="59" t="str">
        <f t="shared" si="38"/>
        <v>-</v>
      </c>
      <c r="BF75" s="59" t="str">
        <f t="shared" si="39"/>
        <v>-</v>
      </c>
      <c r="BG75" s="59" t="str">
        <f t="shared" si="40"/>
        <v>-</v>
      </c>
      <c r="BH75" s="59" t="str">
        <f t="shared" si="41"/>
        <v>-</v>
      </c>
      <c r="BI75" s="59" t="str">
        <f t="shared" si="42"/>
        <v>-</v>
      </c>
      <c r="BJ75" s="59" t="str">
        <f t="shared" si="43"/>
        <v>-</v>
      </c>
      <c r="BK75" s="59" t="str">
        <f t="shared" si="44"/>
        <v>-</v>
      </c>
      <c r="BL75" s="59" t="str">
        <f>IF(AND(R75&gt;0,AO75&gt;0),MIN(R75,AO75),"-")</f>
        <v>-</v>
      </c>
      <c r="BM75" s="59" t="str">
        <f>IF(AND(S75&gt;0,AP75&gt;0),MIN(S75,AP75),"-")</f>
        <v>-</v>
      </c>
      <c r="BN75" s="59" t="str">
        <f>IF(AND(T75&gt;0,AQ75&gt;0),MIN(T75,AQ75),"-")</f>
        <v>-</v>
      </c>
      <c r="BO75" s="59" t="str">
        <f>IF(AND(U75&gt;0,AR75&gt;0),MIN(U75,AR75),"-")</f>
        <v>-</v>
      </c>
      <c r="BP75" s="59" t="str">
        <f>IF(AND(V75&gt;0,AS75&gt;0),MIN(V75,AS75),"-")</f>
        <v>-</v>
      </c>
      <c r="BQ75" s="59" t="str">
        <f t="shared" si="45"/>
        <v>-</v>
      </c>
      <c r="BR75" s="59" t="str">
        <f t="shared" si="46"/>
        <v>-</v>
      </c>
      <c r="BS75" s="59" t="str">
        <f t="shared" si="47"/>
        <v>-</v>
      </c>
      <c r="BT75" s="98" t="str">
        <f>IF(ISNUMBER(BS75),BS75-(C75*Rules!$P$9/100),"-")</f>
        <v>-</v>
      </c>
      <c r="BU75" s="59" t="e">
        <f>RANK($BT75,$BT$5:$BT$106,1)+COUNTIF(BT$5:BT75,BT75)-1</f>
        <v>#VALUE!</v>
      </c>
      <c r="BV75" s="59" t="e">
        <f t="shared" si="48"/>
        <v>#VALUE!</v>
      </c>
      <c r="BW75" s="59" t="str">
        <f t="shared" si="49"/>
        <v xml:space="preserve"> </v>
      </c>
      <c r="BX75" s="59" t="str">
        <f t="shared" si="50"/>
        <v>-</v>
      </c>
      <c r="BY75" s="98" t="str">
        <f t="shared" si="51"/>
        <v>-</v>
      </c>
      <c r="CC75" s="4">
        <v>71</v>
      </c>
      <c r="CD75" s="2" t="e">
        <f>VLOOKUP(CC75,$BU$5:BY$215,2,FALSE)</f>
        <v>#N/A</v>
      </c>
      <c r="CE75" s="6" t="e">
        <f>VLOOKUP(CC75,$BU$5:BY$215,3,FALSE)</f>
        <v>#N/A</v>
      </c>
      <c r="CF75" s="2" t="e">
        <f>VLOOKUP(CC75,$BU$5:BY$215,5,FALSE)</f>
        <v>#N/A</v>
      </c>
      <c r="CL75" s="77">
        <v>1</v>
      </c>
    </row>
    <row r="76" spans="1:90" ht="17.45" customHeight="1">
      <c r="A76" s="58">
        <v>72</v>
      </c>
      <c r="B76" s="59" t="str">
        <f>'A Div'!A76 &amp; " " &amp; 'A Div'!B76</f>
        <v xml:space="preserve"> </v>
      </c>
      <c r="C76" s="59" t="str">
        <f>'A Div'!E76</f>
        <v>-</v>
      </c>
      <c r="D76" s="60"/>
      <c r="E76" s="60"/>
      <c r="F76" s="60"/>
      <c r="G76" s="60"/>
      <c r="H76" s="60"/>
      <c r="I76" s="60"/>
      <c r="J76" s="60"/>
      <c r="K76" s="60"/>
      <c r="L76" s="60"/>
      <c r="M76" s="74" t="str">
        <f t="shared" si="26"/>
        <v>-</v>
      </c>
      <c r="N76" s="60"/>
      <c r="O76" s="60"/>
      <c r="P76" s="60"/>
      <c r="Q76" s="60"/>
      <c r="R76" s="60"/>
      <c r="S76" s="60"/>
      <c r="T76" s="60"/>
      <c r="U76" s="60"/>
      <c r="V76" s="60"/>
      <c r="W76" s="74" t="str">
        <f t="shared" si="27"/>
        <v>-</v>
      </c>
      <c r="X76" s="148" t="str">
        <f t="shared" si="28"/>
        <v>-</v>
      </c>
      <c r="Y76" s="74" t="str">
        <f t="shared" si="29"/>
        <v>-</v>
      </c>
      <c r="AA76" s="60"/>
      <c r="AB76" s="60"/>
      <c r="AC76" s="60"/>
      <c r="AD76" s="60"/>
      <c r="AE76" s="60"/>
      <c r="AF76" s="60"/>
      <c r="AG76" s="60"/>
      <c r="AH76" s="60"/>
      <c r="AI76" s="60"/>
      <c r="AJ76" s="74" t="str">
        <f t="shared" si="30"/>
        <v>-</v>
      </c>
      <c r="AK76" s="60"/>
      <c r="AL76" s="60"/>
      <c r="AM76" s="60"/>
      <c r="AN76" s="60"/>
      <c r="AO76" s="60"/>
      <c r="AP76" s="60"/>
      <c r="AQ76" s="60"/>
      <c r="AR76" s="60"/>
      <c r="AS76" s="60"/>
      <c r="AT76" s="74" t="str">
        <f>IF(COUNTIF(AK76:AS76,"&lt;&gt;"&amp;"")=9,SUM(AK76:AS76),"-")</f>
        <v>-</v>
      </c>
      <c r="AU76" s="148" t="str">
        <f>IF(AND(ISNUMBER(AJ76),ISNUMBER(AT76)),AJ76+AT76,"-")</f>
        <v>-</v>
      </c>
      <c r="AV76" s="74" t="str">
        <f>IF(ISNUMBER(AU76),AU76-C76,"-")</f>
        <v>-</v>
      </c>
      <c r="AX76" s="59" t="str">
        <f t="shared" si="31"/>
        <v>-</v>
      </c>
      <c r="AY76" s="59" t="str">
        <f t="shared" si="32"/>
        <v>-</v>
      </c>
      <c r="AZ76" s="59" t="str">
        <f t="shared" si="33"/>
        <v>-</v>
      </c>
      <c r="BA76" s="59" t="str">
        <f t="shared" si="34"/>
        <v>-</v>
      </c>
      <c r="BB76" s="59" t="str">
        <f t="shared" si="35"/>
        <v>-</v>
      </c>
      <c r="BC76" s="59" t="str">
        <f t="shared" si="36"/>
        <v>-</v>
      </c>
      <c r="BD76" s="59" t="str">
        <f t="shared" si="37"/>
        <v>-</v>
      </c>
      <c r="BE76" s="59" t="str">
        <f t="shared" si="38"/>
        <v>-</v>
      </c>
      <c r="BF76" s="59" t="str">
        <f t="shared" si="39"/>
        <v>-</v>
      </c>
      <c r="BG76" s="59" t="str">
        <f t="shared" si="40"/>
        <v>-</v>
      </c>
      <c r="BH76" s="59" t="str">
        <f t="shared" si="41"/>
        <v>-</v>
      </c>
      <c r="BI76" s="59" t="str">
        <f t="shared" si="42"/>
        <v>-</v>
      </c>
      <c r="BJ76" s="59" t="str">
        <f t="shared" si="43"/>
        <v>-</v>
      </c>
      <c r="BK76" s="59" t="str">
        <f t="shared" si="44"/>
        <v>-</v>
      </c>
      <c r="BL76" s="59" t="str">
        <f>IF(AND(R76&gt;0,AO76&gt;0),MIN(R76,AO76),"-")</f>
        <v>-</v>
      </c>
      <c r="BM76" s="59" t="str">
        <f>IF(AND(S76&gt;0,AP76&gt;0),MIN(S76,AP76),"-")</f>
        <v>-</v>
      </c>
      <c r="BN76" s="59" t="str">
        <f>IF(AND(T76&gt;0,AQ76&gt;0),MIN(T76,AQ76),"-")</f>
        <v>-</v>
      </c>
      <c r="BO76" s="59" t="str">
        <f>IF(AND(U76&gt;0,AR76&gt;0),MIN(U76,AR76),"-")</f>
        <v>-</v>
      </c>
      <c r="BP76" s="59" t="str">
        <f>IF(AND(V76&gt;0,AS76&gt;0),MIN(V76,AS76),"-")</f>
        <v>-</v>
      </c>
      <c r="BQ76" s="59" t="str">
        <f t="shared" si="45"/>
        <v>-</v>
      </c>
      <c r="BR76" s="59" t="str">
        <f t="shared" si="46"/>
        <v>-</v>
      </c>
      <c r="BS76" s="59" t="str">
        <f t="shared" si="47"/>
        <v>-</v>
      </c>
      <c r="BT76" s="98" t="str">
        <f>IF(ISNUMBER(BS76),BS76-(C76*Rules!$P$9/100),"-")</f>
        <v>-</v>
      </c>
      <c r="BU76" s="59" t="e">
        <f>RANK($BT76,$BT$5:$BT$106,1)+COUNTIF(BT$5:BT76,BT76)-1</f>
        <v>#VALUE!</v>
      </c>
      <c r="BV76" s="59" t="e">
        <f t="shared" si="48"/>
        <v>#VALUE!</v>
      </c>
      <c r="BW76" s="59" t="str">
        <f t="shared" si="49"/>
        <v xml:space="preserve"> </v>
      </c>
      <c r="BX76" s="59" t="str">
        <f t="shared" si="50"/>
        <v>-</v>
      </c>
      <c r="BY76" s="98" t="str">
        <f t="shared" si="51"/>
        <v>-</v>
      </c>
      <c r="CC76" s="4">
        <v>72</v>
      </c>
      <c r="CD76" s="2" t="e">
        <f>VLOOKUP(CC76,$BU$5:BY$215,2,FALSE)</f>
        <v>#N/A</v>
      </c>
      <c r="CE76" s="6" t="e">
        <f>VLOOKUP(CC76,$BU$5:BY$215,3,FALSE)</f>
        <v>#N/A</v>
      </c>
      <c r="CF76" s="2" t="e">
        <f>VLOOKUP(CC76,$BU$5:BY$215,5,FALSE)</f>
        <v>#N/A</v>
      </c>
      <c r="CL76" s="77">
        <v>1</v>
      </c>
    </row>
    <row r="77" spans="1:90" ht="17.45" customHeight="1">
      <c r="A77" s="58">
        <v>73</v>
      </c>
      <c r="B77" s="59" t="str">
        <f>'A Div'!A77 &amp; " " &amp; 'A Div'!B77</f>
        <v xml:space="preserve"> </v>
      </c>
      <c r="C77" s="59" t="str">
        <f>'A Div'!E77</f>
        <v>-</v>
      </c>
      <c r="D77" s="60"/>
      <c r="E77" s="60"/>
      <c r="F77" s="60"/>
      <c r="G77" s="60"/>
      <c r="H77" s="60"/>
      <c r="I77" s="60"/>
      <c r="J77" s="60"/>
      <c r="K77" s="60"/>
      <c r="L77" s="60"/>
      <c r="M77" s="74" t="str">
        <f t="shared" si="26"/>
        <v>-</v>
      </c>
      <c r="N77" s="60"/>
      <c r="O77" s="60"/>
      <c r="P77" s="60"/>
      <c r="Q77" s="60"/>
      <c r="R77" s="60"/>
      <c r="S77" s="60"/>
      <c r="T77" s="60"/>
      <c r="U77" s="60"/>
      <c r="V77" s="60"/>
      <c r="W77" s="74" t="str">
        <f t="shared" si="27"/>
        <v>-</v>
      </c>
      <c r="X77" s="148" t="str">
        <f t="shared" si="28"/>
        <v>-</v>
      </c>
      <c r="Y77" s="74" t="str">
        <f t="shared" si="29"/>
        <v>-</v>
      </c>
      <c r="AA77" s="60"/>
      <c r="AB77" s="60"/>
      <c r="AC77" s="60"/>
      <c r="AD77" s="60"/>
      <c r="AE77" s="60"/>
      <c r="AF77" s="60"/>
      <c r="AG77" s="60"/>
      <c r="AH77" s="60"/>
      <c r="AI77" s="60"/>
      <c r="AJ77" s="74" t="str">
        <f t="shared" si="30"/>
        <v>-</v>
      </c>
      <c r="AK77" s="60"/>
      <c r="AL77" s="60"/>
      <c r="AM77" s="60"/>
      <c r="AN77" s="60"/>
      <c r="AO77" s="60"/>
      <c r="AP77" s="60"/>
      <c r="AQ77" s="60"/>
      <c r="AR77" s="60"/>
      <c r="AS77" s="60"/>
      <c r="AT77" s="74" t="str">
        <f>IF(COUNTIF(AK77:AS77,"&lt;&gt;"&amp;"")=9,SUM(AK77:AS77),"-")</f>
        <v>-</v>
      </c>
      <c r="AU77" s="148" t="str">
        <f>IF(AND(ISNUMBER(AJ77),ISNUMBER(AT77)),AJ77+AT77,"-")</f>
        <v>-</v>
      </c>
      <c r="AV77" s="74" t="str">
        <f>IF(ISNUMBER(AU77),AU77-C77,"-")</f>
        <v>-</v>
      </c>
      <c r="AX77" s="59" t="str">
        <f t="shared" si="31"/>
        <v>-</v>
      </c>
      <c r="AY77" s="59" t="str">
        <f t="shared" si="32"/>
        <v>-</v>
      </c>
      <c r="AZ77" s="59" t="str">
        <f t="shared" si="33"/>
        <v>-</v>
      </c>
      <c r="BA77" s="59" t="str">
        <f t="shared" si="34"/>
        <v>-</v>
      </c>
      <c r="BB77" s="59" t="str">
        <f t="shared" si="35"/>
        <v>-</v>
      </c>
      <c r="BC77" s="59" t="str">
        <f t="shared" si="36"/>
        <v>-</v>
      </c>
      <c r="BD77" s="59" t="str">
        <f t="shared" si="37"/>
        <v>-</v>
      </c>
      <c r="BE77" s="59" t="str">
        <f t="shared" si="38"/>
        <v>-</v>
      </c>
      <c r="BF77" s="59" t="str">
        <f t="shared" si="39"/>
        <v>-</v>
      </c>
      <c r="BG77" s="59" t="str">
        <f t="shared" si="40"/>
        <v>-</v>
      </c>
      <c r="BH77" s="59" t="str">
        <f t="shared" si="41"/>
        <v>-</v>
      </c>
      <c r="BI77" s="59" t="str">
        <f t="shared" si="42"/>
        <v>-</v>
      </c>
      <c r="BJ77" s="59" t="str">
        <f t="shared" si="43"/>
        <v>-</v>
      </c>
      <c r="BK77" s="59" t="str">
        <f t="shared" si="44"/>
        <v>-</v>
      </c>
      <c r="BL77" s="59" t="str">
        <f>IF(AND(R77&gt;0,AO77&gt;0),MIN(R77,AO77),"-")</f>
        <v>-</v>
      </c>
      <c r="BM77" s="59" t="str">
        <f>IF(AND(S77&gt;0,AP77&gt;0),MIN(S77,AP77),"-")</f>
        <v>-</v>
      </c>
      <c r="BN77" s="59" t="str">
        <f>IF(AND(T77&gt;0,AQ77&gt;0),MIN(T77,AQ77),"-")</f>
        <v>-</v>
      </c>
      <c r="BO77" s="59" t="str">
        <f>IF(AND(U77&gt;0,AR77&gt;0),MIN(U77,AR77),"-")</f>
        <v>-</v>
      </c>
      <c r="BP77" s="59" t="str">
        <f>IF(AND(V77&gt;0,AS77&gt;0),MIN(V77,AS77),"-")</f>
        <v>-</v>
      </c>
      <c r="BQ77" s="59" t="str">
        <f t="shared" si="45"/>
        <v>-</v>
      </c>
      <c r="BR77" s="59" t="str">
        <f t="shared" si="46"/>
        <v>-</v>
      </c>
      <c r="BS77" s="59" t="str">
        <f t="shared" si="47"/>
        <v>-</v>
      </c>
      <c r="BT77" s="98" t="str">
        <f>IF(ISNUMBER(BS77),BS77-(C77*Rules!$P$9/100),"-")</f>
        <v>-</v>
      </c>
      <c r="BU77" s="59" t="e">
        <f>RANK($BT77,$BT$5:$BT$106,1)+COUNTIF(BT$5:BT77,BT77)-1</f>
        <v>#VALUE!</v>
      </c>
      <c r="BV77" s="59" t="e">
        <f t="shared" si="48"/>
        <v>#VALUE!</v>
      </c>
      <c r="BW77" s="59" t="str">
        <f t="shared" si="49"/>
        <v xml:space="preserve"> </v>
      </c>
      <c r="BX77" s="59" t="str">
        <f t="shared" si="50"/>
        <v>-</v>
      </c>
      <c r="BY77" s="98" t="str">
        <f t="shared" si="51"/>
        <v>-</v>
      </c>
      <c r="CC77" s="4">
        <v>73</v>
      </c>
      <c r="CD77" s="2" t="e">
        <f>VLOOKUP(CC77,$BU$5:BY$215,2,FALSE)</f>
        <v>#N/A</v>
      </c>
      <c r="CE77" s="6" t="e">
        <f>VLOOKUP(CC77,$BU$5:BY$215,3,FALSE)</f>
        <v>#N/A</v>
      </c>
      <c r="CF77" s="2" t="e">
        <f>VLOOKUP(CC77,$BU$5:BY$215,5,FALSE)</f>
        <v>#N/A</v>
      </c>
      <c r="CL77" s="77">
        <v>1</v>
      </c>
    </row>
    <row r="78" spans="1:90" ht="17.45" customHeight="1">
      <c r="A78" s="58">
        <v>74</v>
      </c>
      <c r="B78" s="59" t="str">
        <f>'A Div'!A78 &amp; " " &amp; 'A Div'!B78</f>
        <v xml:space="preserve"> </v>
      </c>
      <c r="C78" s="59" t="str">
        <f>'A Div'!E78</f>
        <v>-</v>
      </c>
      <c r="D78" s="60"/>
      <c r="E78" s="60"/>
      <c r="F78" s="60"/>
      <c r="G78" s="60"/>
      <c r="H78" s="60"/>
      <c r="I78" s="60"/>
      <c r="J78" s="60"/>
      <c r="K78" s="60"/>
      <c r="L78" s="60"/>
      <c r="M78" s="74" t="str">
        <f t="shared" si="26"/>
        <v>-</v>
      </c>
      <c r="N78" s="60"/>
      <c r="O78" s="60"/>
      <c r="P78" s="60"/>
      <c r="Q78" s="60"/>
      <c r="R78" s="60"/>
      <c r="S78" s="60"/>
      <c r="T78" s="60"/>
      <c r="U78" s="60"/>
      <c r="V78" s="60"/>
      <c r="W78" s="74" t="str">
        <f t="shared" si="27"/>
        <v>-</v>
      </c>
      <c r="X78" s="148" t="str">
        <f t="shared" si="28"/>
        <v>-</v>
      </c>
      <c r="Y78" s="74" t="str">
        <f t="shared" si="29"/>
        <v>-</v>
      </c>
      <c r="AA78" s="60"/>
      <c r="AB78" s="60"/>
      <c r="AC78" s="60"/>
      <c r="AD78" s="60"/>
      <c r="AE78" s="60"/>
      <c r="AF78" s="60"/>
      <c r="AG78" s="60"/>
      <c r="AH78" s="60"/>
      <c r="AI78" s="60"/>
      <c r="AJ78" s="74" t="str">
        <f t="shared" si="30"/>
        <v>-</v>
      </c>
      <c r="AK78" s="60"/>
      <c r="AL78" s="60"/>
      <c r="AM78" s="60"/>
      <c r="AN78" s="60"/>
      <c r="AO78" s="60"/>
      <c r="AP78" s="60"/>
      <c r="AQ78" s="60"/>
      <c r="AR78" s="60"/>
      <c r="AS78" s="60"/>
      <c r="AT78" s="74" t="str">
        <f>IF(COUNTIF(AK78:AS78,"&lt;&gt;"&amp;"")=9,SUM(AK78:AS78),"-")</f>
        <v>-</v>
      </c>
      <c r="AU78" s="148" t="str">
        <f>IF(AND(ISNUMBER(AJ78),ISNUMBER(AT78)),AJ78+AT78,"-")</f>
        <v>-</v>
      </c>
      <c r="AV78" s="74" t="str">
        <f>IF(ISNUMBER(AU78),AU78-C78,"-")</f>
        <v>-</v>
      </c>
      <c r="AX78" s="59" t="str">
        <f t="shared" si="31"/>
        <v>-</v>
      </c>
      <c r="AY78" s="59" t="str">
        <f t="shared" si="32"/>
        <v>-</v>
      </c>
      <c r="AZ78" s="59" t="str">
        <f t="shared" si="33"/>
        <v>-</v>
      </c>
      <c r="BA78" s="59" t="str">
        <f t="shared" si="34"/>
        <v>-</v>
      </c>
      <c r="BB78" s="59" t="str">
        <f t="shared" si="35"/>
        <v>-</v>
      </c>
      <c r="BC78" s="59" t="str">
        <f t="shared" si="36"/>
        <v>-</v>
      </c>
      <c r="BD78" s="59" t="str">
        <f t="shared" si="37"/>
        <v>-</v>
      </c>
      <c r="BE78" s="59" t="str">
        <f t="shared" si="38"/>
        <v>-</v>
      </c>
      <c r="BF78" s="59" t="str">
        <f t="shared" si="39"/>
        <v>-</v>
      </c>
      <c r="BG78" s="59" t="str">
        <f t="shared" si="40"/>
        <v>-</v>
      </c>
      <c r="BH78" s="59" t="str">
        <f t="shared" si="41"/>
        <v>-</v>
      </c>
      <c r="BI78" s="59" t="str">
        <f t="shared" si="42"/>
        <v>-</v>
      </c>
      <c r="BJ78" s="59" t="str">
        <f t="shared" si="43"/>
        <v>-</v>
      </c>
      <c r="BK78" s="59" t="str">
        <f t="shared" si="44"/>
        <v>-</v>
      </c>
      <c r="BL78" s="59" t="str">
        <f>IF(AND(R78&gt;0,AO78&gt;0),MIN(R78,AO78),"-")</f>
        <v>-</v>
      </c>
      <c r="BM78" s="59" t="str">
        <f>IF(AND(S78&gt;0,AP78&gt;0),MIN(S78,AP78),"-")</f>
        <v>-</v>
      </c>
      <c r="BN78" s="59" t="str">
        <f>IF(AND(T78&gt;0,AQ78&gt;0),MIN(T78,AQ78),"-")</f>
        <v>-</v>
      </c>
      <c r="BO78" s="59" t="str">
        <f>IF(AND(U78&gt;0,AR78&gt;0),MIN(U78,AR78),"-")</f>
        <v>-</v>
      </c>
      <c r="BP78" s="59" t="str">
        <f>IF(AND(V78&gt;0,AS78&gt;0),MIN(V78,AS78),"-")</f>
        <v>-</v>
      </c>
      <c r="BQ78" s="59" t="str">
        <f t="shared" si="45"/>
        <v>-</v>
      </c>
      <c r="BR78" s="59" t="str">
        <f t="shared" si="46"/>
        <v>-</v>
      </c>
      <c r="BS78" s="59" t="str">
        <f t="shared" si="47"/>
        <v>-</v>
      </c>
      <c r="BT78" s="98" t="str">
        <f>IF(ISNUMBER(BS78),BS78-(C78*Rules!$P$9/100),"-")</f>
        <v>-</v>
      </c>
      <c r="BU78" s="59" t="e">
        <f>RANK($BT78,$BT$5:$BT$106,1)+COUNTIF(BT$5:BT78,BT78)-1</f>
        <v>#VALUE!</v>
      </c>
      <c r="BV78" s="59" t="e">
        <f t="shared" si="48"/>
        <v>#VALUE!</v>
      </c>
      <c r="BW78" s="59" t="str">
        <f t="shared" si="49"/>
        <v xml:space="preserve"> </v>
      </c>
      <c r="BX78" s="59" t="str">
        <f t="shared" si="50"/>
        <v>-</v>
      </c>
      <c r="BY78" s="98" t="str">
        <f t="shared" si="51"/>
        <v>-</v>
      </c>
      <c r="CC78" s="4">
        <v>74</v>
      </c>
      <c r="CD78" s="2" t="e">
        <f>VLOOKUP(CC78,$BU$5:BY$215,2,FALSE)</f>
        <v>#N/A</v>
      </c>
      <c r="CE78" s="6" t="e">
        <f>VLOOKUP(CC78,$BU$5:BY$215,3,FALSE)</f>
        <v>#N/A</v>
      </c>
      <c r="CF78" s="2" t="e">
        <f>VLOOKUP(CC78,$BU$5:BY$215,5,FALSE)</f>
        <v>#N/A</v>
      </c>
      <c r="CL78" s="77">
        <v>1</v>
      </c>
    </row>
    <row r="79" spans="1:90" ht="17.45" customHeight="1">
      <c r="A79" s="58">
        <v>75</v>
      </c>
      <c r="B79" s="59" t="str">
        <f>'A Div'!A79 &amp; " " &amp; 'A Div'!B79</f>
        <v xml:space="preserve"> </v>
      </c>
      <c r="C79" s="59" t="str">
        <f>'A Div'!E79</f>
        <v>-</v>
      </c>
      <c r="D79" s="60"/>
      <c r="E79" s="60"/>
      <c r="F79" s="60"/>
      <c r="G79" s="60"/>
      <c r="H79" s="60"/>
      <c r="I79" s="60"/>
      <c r="J79" s="60"/>
      <c r="K79" s="60"/>
      <c r="L79" s="60"/>
      <c r="M79" s="74" t="str">
        <f t="shared" si="26"/>
        <v>-</v>
      </c>
      <c r="N79" s="60"/>
      <c r="O79" s="60"/>
      <c r="P79" s="60"/>
      <c r="Q79" s="60"/>
      <c r="R79" s="60"/>
      <c r="S79" s="60"/>
      <c r="T79" s="60"/>
      <c r="U79" s="60"/>
      <c r="V79" s="60"/>
      <c r="W79" s="74" t="str">
        <f t="shared" si="27"/>
        <v>-</v>
      </c>
      <c r="X79" s="148" t="str">
        <f t="shared" si="28"/>
        <v>-</v>
      </c>
      <c r="Y79" s="74" t="str">
        <f t="shared" si="29"/>
        <v>-</v>
      </c>
      <c r="AA79" s="60"/>
      <c r="AB79" s="60"/>
      <c r="AC79" s="60"/>
      <c r="AD79" s="60"/>
      <c r="AE79" s="60"/>
      <c r="AF79" s="60"/>
      <c r="AG79" s="60"/>
      <c r="AH79" s="60"/>
      <c r="AI79" s="60"/>
      <c r="AJ79" s="74" t="str">
        <f t="shared" si="30"/>
        <v>-</v>
      </c>
      <c r="AK79" s="60"/>
      <c r="AL79" s="60"/>
      <c r="AM79" s="60"/>
      <c r="AN79" s="60"/>
      <c r="AO79" s="60"/>
      <c r="AP79" s="60"/>
      <c r="AQ79" s="60"/>
      <c r="AR79" s="60"/>
      <c r="AS79" s="60"/>
      <c r="AT79" s="74" t="str">
        <f>IF(COUNTIF(AK79:AS79,"&lt;&gt;"&amp;"")=9,SUM(AK79:AS79),"-")</f>
        <v>-</v>
      </c>
      <c r="AU79" s="148" t="str">
        <f>IF(AND(ISNUMBER(AJ79),ISNUMBER(AT79)),AJ79+AT79,"-")</f>
        <v>-</v>
      </c>
      <c r="AV79" s="74" t="str">
        <f>IF(ISNUMBER(AU79),AU79-C79,"-")</f>
        <v>-</v>
      </c>
      <c r="AX79" s="59" t="str">
        <f t="shared" si="31"/>
        <v>-</v>
      </c>
      <c r="AY79" s="59" t="str">
        <f t="shared" si="32"/>
        <v>-</v>
      </c>
      <c r="AZ79" s="59" t="str">
        <f t="shared" si="33"/>
        <v>-</v>
      </c>
      <c r="BA79" s="59" t="str">
        <f t="shared" si="34"/>
        <v>-</v>
      </c>
      <c r="BB79" s="59" t="str">
        <f t="shared" si="35"/>
        <v>-</v>
      </c>
      <c r="BC79" s="59" t="str">
        <f t="shared" si="36"/>
        <v>-</v>
      </c>
      <c r="BD79" s="59" t="str">
        <f t="shared" si="37"/>
        <v>-</v>
      </c>
      <c r="BE79" s="59" t="str">
        <f t="shared" si="38"/>
        <v>-</v>
      </c>
      <c r="BF79" s="59" t="str">
        <f t="shared" si="39"/>
        <v>-</v>
      </c>
      <c r="BG79" s="59" t="str">
        <f t="shared" si="40"/>
        <v>-</v>
      </c>
      <c r="BH79" s="59" t="str">
        <f t="shared" si="41"/>
        <v>-</v>
      </c>
      <c r="BI79" s="59" t="str">
        <f t="shared" si="42"/>
        <v>-</v>
      </c>
      <c r="BJ79" s="59" t="str">
        <f t="shared" si="43"/>
        <v>-</v>
      </c>
      <c r="BK79" s="59" t="str">
        <f t="shared" si="44"/>
        <v>-</v>
      </c>
      <c r="BL79" s="59" t="str">
        <f>IF(AND(R79&gt;0,AO79&gt;0),MIN(R79,AO79),"-")</f>
        <v>-</v>
      </c>
      <c r="BM79" s="59" t="str">
        <f>IF(AND(S79&gt;0,AP79&gt;0),MIN(S79,AP79),"-")</f>
        <v>-</v>
      </c>
      <c r="BN79" s="59" t="str">
        <f>IF(AND(T79&gt;0,AQ79&gt;0),MIN(T79,AQ79),"-")</f>
        <v>-</v>
      </c>
      <c r="BO79" s="59" t="str">
        <f>IF(AND(U79&gt;0,AR79&gt;0),MIN(U79,AR79),"-")</f>
        <v>-</v>
      </c>
      <c r="BP79" s="59" t="str">
        <f>IF(AND(V79&gt;0,AS79&gt;0),MIN(V79,AS79),"-")</f>
        <v>-</v>
      </c>
      <c r="BQ79" s="59" t="str">
        <f t="shared" si="45"/>
        <v>-</v>
      </c>
      <c r="BR79" s="59" t="str">
        <f t="shared" si="46"/>
        <v>-</v>
      </c>
      <c r="BS79" s="59" t="str">
        <f t="shared" si="47"/>
        <v>-</v>
      </c>
      <c r="BT79" s="98" t="str">
        <f>IF(ISNUMBER(BS79),BS79-(C79*Rules!$P$9/100),"-")</f>
        <v>-</v>
      </c>
      <c r="BU79" s="59" t="e">
        <f>RANK($BT79,$BT$5:$BT$106,1)+COUNTIF(BT$5:BT79,BT79)-1</f>
        <v>#VALUE!</v>
      </c>
      <c r="BV79" s="59" t="e">
        <f t="shared" si="48"/>
        <v>#VALUE!</v>
      </c>
      <c r="BW79" s="59" t="str">
        <f t="shared" si="49"/>
        <v xml:space="preserve"> </v>
      </c>
      <c r="BX79" s="59" t="str">
        <f t="shared" si="50"/>
        <v>-</v>
      </c>
      <c r="BY79" s="98" t="str">
        <f t="shared" si="51"/>
        <v>-</v>
      </c>
      <c r="CC79" s="4">
        <v>75</v>
      </c>
      <c r="CD79" s="2" t="e">
        <f>VLOOKUP(CC79,$BU$5:BY$215,2,FALSE)</f>
        <v>#N/A</v>
      </c>
      <c r="CE79" s="6" t="e">
        <f>VLOOKUP(CC79,$BU$5:BY$215,3,FALSE)</f>
        <v>#N/A</v>
      </c>
      <c r="CF79" s="2" t="e">
        <f>VLOOKUP(CC79,$BU$5:BY$215,5,FALSE)</f>
        <v>#N/A</v>
      </c>
      <c r="CL79" s="77">
        <v>1</v>
      </c>
    </row>
    <row r="80" spans="1:90" ht="17.45" customHeight="1">
      <c r="A80" s="58">
        <v>76</v>
      </c>
      <c r="B80" s="59" t="str">
        <f>'A Div'!A80 &amp; " " &amp; 'A Div'!B80</f>
        <v xml:space="preserve"> </v>
      </c>
      <c r="C80" s="59" t="str">
        <f>'A Div'!E80</f>
        <v>-</v>
      </c>
      <c r="D80" s="60"/>
      <c r="E80" s="60"/>
      <c r="F80" s="60"/>
      <c r="G80" s="60"/>
      <c r="H80" s="60"/>
      <c r="I80" s="60"/>
      <c r="J80" s="60"/>
      <c r="K80" s="60"/>
      <c r="L80" s="60"/>
      <c r="M80" s="74" t="str">
        <f t="shared" si="26"/>
        <v>-</v>
      </c>
      <c r="N80" s="60"/>
      <c r="O80" s="60"/>
      <c r="P80" s="60"/>
      <c r="Q80" s="60"/>
      <c r="R80" s="60"/>
      <c r="S80" s="60"/>
      <c r="T80" s="60"/>
      <c r="U80" s="60"/>
      <c r="V80" s="60"/>
      <c r="W80" s="74" t="str">
        <f t="shared" si="27"/>
        <v>-</v>
      </c>
      <c r="X80" s="148" t="str">
        <f t="shared" si="28"/>
        <v>-</v>
      </c>
      <c r="Y80" s="74" t="str">
        <f t="shared" si="29"/>
        <v>-</v>
      </c>
      <c r="AA80" s="60"/>
      <c r="AB80" s="60"/>
      <c r="AC80" s="60"/>
      <c r="AD80" s="60"/>
      <c r="AE80" s="60"/>
      <c r="AF80" s="60"/>
      <c r="AG80" s="60"/>
      <c r="AH80" s="60"/>
      <c r="AI80" s="60"/>
      <c r="AJ80" s="74" t="str">
        <f t="shared" si="30"/>
        <v>-</v>
      </c>
      <c r="AK80" s="60"/>
      <c r="AL80" s="60"/>
      <c r="AM80" s="60"/>
      <c r="AN80" s="60"/>
      <c r="AO80" s="60"/>
      <c r="AP80" s="60"/>
      <c r="AQ80" s="60"/>
      <c r="AR80" s="60"/>
      <c r="AS80" s="60"/>
      <c r="AT80" s="74" t="str">
        <f>IF(COUNTIF(AK80:AS80,"&lt;&gt;"&amp;"")=9,SUM(AK80:AS80),"-")</f>
        <v>-</v>
      </c>
      <c r="AU80" s="148" t="str">
        <f>IF(AND(ISNUMBER(AJ80),ISNUMBER(AT80)),AJ80+AT80,"-")</f>
        <v>-</v>
      </c>
      <c r="AV80" s="74" t="str">
        <f>IF(ISNUMBER(AU80),AU80-C80,"-")</f>
        <v>-</v>
      </c>
      <c r="AX80" s="59" t="str">
        <f t="shared" si="31"/>
        <v>-</v>
      </c>
      <c r="AY80" s="59" t="str">
        <f t="shared" si="32"/>
        <v>-</v>
      </c>
      <c r="AZ80" s="59" t="str">
        <f t="shared" si="33"/>
        <v>-</v>
      </c>
      <c r="BA80" s="59" t="str">
        <f t="shared" si="34"/>
        <v>-</v>
      </c>
      <c r="BB80" s="59" t="str">
        <f t="shared" si="35"/>
        <v>-</v>
      </c>
      <c r="BC80" s="59" t="str">
        <f t="shared" si="36"/>
        <v>-</v>
      </c>
      <c r="BD80" s="59" t="str">
        <f t="shared" si="37"/>
        <v>-</v>
      </c>
      <c r="BE80" s="59" t="str">
        <f t="shared" si="38"/>
        <v>-</v>
      </c>
      <c r="BF80" s="59" t="str">
        <f t="shared" si="39"/>
        <v>-</v>
      </c>
      <c r="BG80" s="59" t="str">
        <f t="shared" si="40"/>
        <v>-</v>
      </c>
      <c r="BH80" s="59" t="str">
        <f t="shared" si="41"/>
        <v>-</v>
      </c>
      <c r="BI80" s="59" t="str">
        <f t="shared" si="42"/>
        <v>-</v>
      </c>
      <c r="BJ80" s="59" t="str">
        <f t="shared" si="43"/>
        <v>-</v>
      </c>
      <c r="BK80" s="59" t="str">
        <f t="shared" si="44"/>
        <v>-</v>
      </c>
      <c r="BL80" s="59" t="str">
        <f>IF(AND(R80&gt;0,AO80&gt;0),MIN(R80,AO80),"-")</f>
        <v>-</v>
      </c>
      <c r="BM80" s="59" t="str">
        <f>IF(AND(S80&gt;0,AP80&gt;0),MIN(S80,AP80),"-")</f>
        <v>-</v>
      </c>
      <c r="BN80" s="59" t="str">
        <f>IF(AND(T80&gt;0,AQ80&gt;0),MIN(T80,AQ80),"-")</f>
        <v>-</v>
      </c>
      <c r="BO80" s="59" t="str">
        <f>IF(AND(U80&gt;0,AR80&gt;0),MIN(U80,AR80),"-")</f>
        <v>-</v>
      </c>
      <c r="BP80" s="59" t="str">
        <f>IF(AND(V80&gt;0,AS80&gt;0),MIN(V80,AS80),"-")</f>
        <v>-</v>
      </c>
      <c r="BQ80" s="59" t="str">
        <f t="shared" si="45"/>
        <v>-</v>
      </c>
      <c r="BR80" s="59" t="str">
        <f t="shared" si="46"/>
        <v>-</v>
      </c>
      <c r="BS80" s="59" t="str">
        <f t="shared" si="47"/>
        <v>-</v>
      </c>
      <c r="BT80" s="98" t="str">
        <f>IF(ISNUMBER(BS80),BS80-(C80*Rules!$P$9/100),"-")</f>
        <v>-</v>
      </c>
      <c r="BU80" s="59" t="e">
        <f>RANK($BT80,$BT$5:$BT$106,1)+COUNTIF(BT$5:BT80,BT80)-1</f>
        <v>#VALUE!</v>
      </c>
      <c r="BV80" s="59" t="e">
        <f t="shared" si="48"/>
        <v>#VALUE!</v>
      </c>
      <c r="BW80" s="59" t="str">
        <f t="shared" si="49"/>
        <v xml:space="preserve"> </v>
      </c>
      <c r="BX80" s="59" t="str">
        <f t="shared" si="50"/>
        <v>-</v>
      </c>
      <c r="BY80" s="98" t="str">
        <f t="shared" si="51"/>
        <v>-</v>
      </c>
      <c r="CC80" s="4">
        <v>76</v>
      </c>
      <c r="CD80" s="2" t="e">
        <f>VLOOKUP(CC80,$BU$5:BY$215,2,FALSE)</f>
        <v>#N/A</v>
      </c>
      <c r="CE80" s="6" t="e">
        <f>VLOOKUP(CC80,$BU$5:BY$215,3,FALSE)</f>
        <v>#N/A</v>
      </c>
      <c r="CF80" s="2" t="e">
        <f>VLOOKUP(CC80,$BU$5:BY$215,5,FALSE)</f>
        <v>#N/A</v>
      </c>
      <c r="CL80" s="77">
        <v>1</v>
      </c>
    </row>
    <row r="81" spans="1:90" ht="17.45" customHeight="1">
      <c r="A81" s="58">
        <v>77</v>
      </c>
      <c r="B81" s="59" t="str">
        <f>'A Div'!A81 &amp; " " &amp; 'A Div'!B81</f>
        <v xml:space="preserve"> </v>
      </c>
      <c r="C81" s="59" t="str">
        <f>'A Div'!E81</f>
        <v>-</v>
      </c>
      <c r="D81" s="60"/>
      <c r="E81" s="60"/>
      <c r="F81" s="60"/>
      <c r="G81" s="60"/>
      <c r="H81" s="60"/>
      <c r="I81" s="60"/>
      <c r="J81" s="60"/>
      <c r="K81" s="60"/>
      <c r="L81" s="60"/>
      <c r="M81" s="74" t="str">
        <f t="shared" si="26"/>
        <v>-</v>
      </c>
      <c r="N81" s="60"/>
      <c r="O81" s="60"/>
      <c r="P81" s="60"/>
      <c r="Q81" s="60"/>
      <c r="R81" s="60"/>
      <c r="S81" s="60"/>
      <c r="T81" s="60"/>
      <c r="U81" s="60"/>
      <c r="V81" s="60"/>
      <c r="W81" s="74" t="str">
        <f t="shared" si="27"/>
        <v>-</v>
      </c>
      <c r="X81" s="148" t="str">
        <f t="shared" si="28"/>
        <v>-</v>
      </c>
      <c r="Y81" s="74" t="str">
        <f t="shared" si="29"/>
        <v>-</v>
      </c>
      <c r="AA81" s="60"/>
      <c r="AB81" s="60"/>
      <c r="AC81" s="60"/>
      <c r="AD81" s="60"/>
      <c r="AE81" s="60"/>
      <c r="AF81" s="60"/>
      <c r="AG81" s="60"/>
      <c r="AH81" s="60"/>
      <c r="AI81" s="60"/>
      <c r="AJ81" s="74" t="str">
        <f t="shared" si="30"/>
        <v>-</v>
      </c>
      <c r="AK81" s="60"/>
      <c r="AL81" s="60"/>
      <c r="AM81" s="60"/>
      <c r="AN81" s="60"/>
      <c r="AO81" s="60"/>
      <c r="AP81" s="60"/>
      <c r="AQ81" s="60"/>
      <c r="AR81" s="60"/>
      <c r="AS81" s="60"/>
      <c r="AT81" s="74" t="str">
        <f>IF(COUNTIF(AK81:AS81,"&lt;&gt;"&amp;"")=9,SUM(AK81:AS81),"-")</f>
        <v>-</v>
      </c>
      <c r="AU81" s="148" t="str">
        <f>IF(AND(ISNUMBER(AJ81),ISNUMBER(AT81)),AJ81+AT81,"-")</f>
        <v>-</v>
      </c>
      <c r="AV81" s="74" t="str">
        <f>IF(ISNUMBER(AU81),AU81-C81,"-")</f>
        <v>-</v>
      </c>
      <c r="AX81" s="59" t="str">
        <f t="shared" si="31"/>
        <v>-</v>
      </c>
      <c r="AY81" s="59" t="str">
        <f t="shared" si="32"/>
        <v>-</v>
      </c>
      <c r="AZ81" s="59" t="str">
        <f t="shared" si="33"/>
        <v>-</v>
      </c>
      <c r="BA81" s="59" t="str">
        <f t="shared" si="34"/>
        <v>-</v>
      </c>
      <c r="BB81" s="59" t="str">
        <f t="shared" si="35"/>
        <v>-</v>
      </c>
      <c r="BC81" s="59" t="str">
        <f t="shared" si="36"/>
        <v>-</v>
      </c>
      <c r="BD81" s="59" t="str">
        <f t="shared" si="37"/>
        <v>-</v>
      </c>
      <c r="BE81" s="59" t="str">
        <f t="shared" si="38"/>
        <v>-</v>
      </c>
      <c r="BF81" s="59" t="str">
        <f t="shared" si="39"/>
        <v>-</v>
      </c>
      <c r="BG81" s="59" t="str">
        <f t="shared" si="40"/>
        <v>-</v>
      </c>
      <c r="BH81" s="59" t="str">
        <f t="shared" si="41"/>
        <v>-</v>
      </c>
      <c r="BI81" s="59" t="str">
        <f t="shared" si="42"/>
        <v>-</v>
      </c>
      <c r="BJ81" s="59" t="str">
        <f t="shared" si="43"/>
        <v>-</v>
      </c>
      <c r="BK81" s="59" t="str">
        <f t="shared" si="44"/>
        <v>-</v>
      </c>
      <c r="BL81" s="59" t="str">
        <f>IF(AND(R81&gt;0,AO81&gt;0),MIN(R81,AO81),"-")</f>
        <v>-</v>
      </c>
      <c r="BM81" s="59" t="str">
        <f>IF(AND(S81&gt;0,AP81&gt;0),MIN(S81,AP81),"-")</f>
        <v>-</v>
      </c>
      <c r="BN81" s="59" t="str">
        <f>IF(AND(T81&gt;0,AQ81&gt;0),MIN(T81,AQ81),"-")</f>
        <v>-</v>
      </c>
      <c r="BO81" s="59" t="str">
        <f>IF(AND(U81&gt;0,AR81&gt;0),MIN(U81,AR81),"-")</f>
        <v>-</v>
      </c>
      <c r="BP81" s="59" t="str">
        <f>IF(AND(V81&gt;0,AS81&gt;0),MIN(V81,AS81),"-")</f>
        <v>-</v>
      </c>
      <c r="BQ81" s="59" t="str">
        <f t="shared" si="45"/>
        <v>-</v>
      </c>
      <c r="BR81" s="59" t="str">
        <f t="shared" si="46"/>
        <v>-</v>
      </c>
      <c r="BS81" s="59" t="str">
        <f t="shared" si="47"/>
        <v>-</v>
      </c>
      <c r="BT81" s="98" t="str">
        <f>IF(ISNUMBER(BS81),BS81-(C81*Rules!$P$9/100),"-")</f>
        <v>-</v>
      </c>
      <c r="BU81" s="59" t="e">
        <f>RANK($BT81,$BT$5:$BT$106,1)+COUNTIF(BT$5:BT81,BT81)-1</f>
        <v>#VALUE!</v>
      </c>
      <c r="BV81" s="59" t="e">
        <f t="shared" si="48"/>
        <v>#VALUE!</v>
      </c>
      <c r="BW81" s="59" t="str">
        <f t="shared" si="49"/>
        <v xml:space="preserve"> </v>
      </c>
      <c r="BX81" s="59" t="str">
        <f t="shared" si="50"/>
        <v>-</v>
      </c>
      <c r="BY81" s="98" t="str">
        <f t="shared" si="51"/>
        <v>-</v>
      </c>
      <c r="CC81" s="4">
        <v>77</v>
      </c>
      <c r="CD81" s="2" t="e">
        <f>VLOOKUP(CC81,$BU$5:BY$215,2,FALSE)</f>
        <v>#N/A</v>
      </c>
      <c r="CE81" s="6" t="e">
        <f>VLOOKUP(CC81,$BU$5:BY$215,3,FALSE)</f>
        <v>#N/A</v>
      </c>
      <c r="CF81" s="2" t="e">
        <f>VLOOKUP(CC81,$BU$5:BY$215,5,FALSE)</f>
        <v>#N/A</v>
      </c>
      <c r="CL81" s="77">
        <v>1</v>
      </c>
    </row>
    <row r="82" spans="1:90" ht="17.45" customHeight="1">
      <c r="A82" s="58">
        <v>78</v>
      </c>
      <c r="B82" s="59" t="str">
        <f>'A Div'!A82 &amp; " " &amp; 'A Div'!B82</f>
        <v xml:space="preserve"> </v>
      </c>
      <c r="C82" s="59" t="str">
        <f>'A Div'!E82</f>
        <v>-</v>
      </c>
      <c r="D82" s="60"/>
      <c r="E82" s="60"/>
      <c r="F82" s="60"/>
      <c r="G82" s="60"/>
      <c r="H82" s="60"/>
      <c r="I82" s="60"/>
      <c r="J82" s="60"/>
      <c r="K82" s="60"/>
      <c r="L82" s="60"/>
      <c r="M82" s="74" t="str">
        <f t="shared" si="26"/>
        <v>-</v>
      </c>
      <c r="N82" s="60"/>
      <c r="O82" s="60"/>
      <c r="P82" s="60"/>
      <c r="Q82" s="60"/>
      <c r="R82" s="60"/>
      <c r="S82" s="60"/>
      <c r="T82" s="60"/>
      <c r="U82" s="60"/>
      <c r="V82" s="60"/>
      <c r="W82" s="74" t="str">
        <f t="shared" si="27"/>
        <v>-</v>
      </c>
      <c r="X82" s="148" t="str">
        <f t="shared" si="28"/>
        <v>-</v>
      </c>
      <c r="Y82" s="74" t="str">
        <f t="shared" si="29"/>
        <v>-</v>
      </c>
      <c r="AA82" s="60"/>
      <c r="AB82" s="60"/>
      <c r="AC82" s="60"/>
      <c r="AD82" s="60"/>
      <c r="AE82" s="60"/>
      <c r="AF82" s="60"/>
      <c r="AG82" s="60"/>
      <c r="AH82" s="60"/>
      <c r="AI82" s="60"/>
      <c r="AJ82" s="74" t="str">
        <f t="shared" si="30"/>
        <v>-</v>
      </c>
      <c r="AK82" s="60"/>
      <c r="AL82" s="60"/>
      <c r="AM82" s="60"/>
      <c r="AN82" s="60"/>
      <c r="AO82" s="60"/>
      <c r="AP82" s="60"/>
      <c r="AQ82" s="60"/>
      <c r="AR82" s="60"/>
      <c r="AS82" s="60"/>
      <c r="AT82" s="74" t="str">
        <f>IF(COUNTIF(AK82:AS82,"&lt;&gt;"&amp;"")=9,SUM(AK82:AS82),"-")</f>
        <v>-</v>
      </c>
      <c r="AU82" s="148" t="str">
        <f>IF(AND(ISNUMBER(AJ82),ISNUMBER(AT82)),AJ82+AT82,"-")</f>
        <v>-</v>
      </c>
      <c r="AV82" s="74" t="str">
        <f>IF(ISNUMBER(AU82),AU82-C82,"-")</f>
        <v>-</v>
      </c>
      <c r="AX82" s="59" t="str">
        <f t="shared" si="31"/>
        <v>-</v>
      </c>
      <c r="AY82" s="59" t="str">
        <f t="shared" si="32"/>
        <v>-</v>
      </c>
      <c r="AZ82" s="59" t="str">
        <f t="shared" si="33"/>
        <v>-</v>
      </c>
      <c r="BA82" s="59" t="str">
        <f t="shared" si="34"/>
        <v>-</v>
      </c>
      <c r="BB82" s="59" t="str">
        <f t="shared" si="35"/>
        <v>-</v>
      </c>
      <c r="BC82" s="59" t="str">
        <f t="shared" si="36"/>
        <v>-</v>
      </c>
      <c r="BD82" s="59" t="str">
        <f t="shared" si="37"/>
        <v>-</v>
      </c>
      <c r="BE82" s="59" t="str">
        <f t="shared" si="38"/>
        <v>-</v>
      </c>
      <c r="BF82" s="59" t="str">
        <f t="shared" si="39"/>
        <v>-</v>
      </c>
      <c r="BG82" s="59" t="str">
        <f t="shared" si="40"/>
        <v>-</v>
      </c>
      <c r="BH82" s="59" t="str">
        <f t="shared" si="41"/>
        <v>-</v>
      </c>
      <c r="BI82" s="59" t="str">
        <f t="shared" si="42"/>
        <v>-</v>
      </c>
      <c r="BJ82" s="59" t="str">
        <f t="shared" si="43"/>
        <v>-</v>
      </c>
      <c r="BK82" s="59" t="str">
        <f t="shared" si="44"/>
        <v>-</v>
      </c>
      <c r="BL82" s="59" t="str">
        <f>IF(AND(R82&gt;0,AO82&gt;0),MIN(R82,AO82),"-")</f>
        <v>-</v>
      </c>
      <c r="BM82" s="59" t="str">
        <f>IF(AND(S82&gt;0,AP82&gt;0),MIN(S82,AP82),"-")</f>
        <v>-</v>
      </c>
      <c r="BN82" s="59" t="str">
        <f>IF(AND(T82&gt;0,AQ82&gt;0),MIN(T82,AQ82),"-")</f>
        <v>-</v>
      </c>
      <c r="BO82" s="59" t="str">
        <f>IF(AND(U82&gt;0,AR82&gt;0),MIN(U82,AR82),"-")</f>
        <v>-</v>
      </c>
      <c r="BP82" s="59" t="str">
        <f>IF(AND(V82&gt;0,AS82&gt;0),MIN(V82,AS82),"-")</f>
        <v>-</v>
      </c>
      <c r="BQ82" s="59" t="str">
        <f t="shared" si="45"/>
        <v>-</v>
      </c>
      <c r="BR82" s="59" t="str">
        <f t="shared" si="46"/>
        <v>-</v>
      </c>
      <c r="BS82" s="59" t="str">
        <f t="shared" si="47"/>
        <v>-</v>
      </c>
      <c r="BT82" s="98" t="str">
        <f>IF(ISNUMBER(BS82),BS82-(C82*Rules!$P$9/100),"-")</f>
        <v>-</v>
      </c>
      <c r="BU82" s="59" t="e">
        <f>RANK($BT82,$BT$5:$BT$106,1)+COUNTIF(BT$5:BT82,BT82)-1</f>
        <v>#VALUE!</v>
      </c>
      <c r="BV82" s="59" t="e">
        <f t="shared" si="48"/>
        <v>#VALUE!</v>
      </c>
      <c r="BW82" s="59" t="str">
        <f t="shared" si="49"/>
        <v xml:space="preserve"> </v>
      </c>
      <c r="BX82" s="59" t="str">
        <f t="shared" si="50"/>
        <v>-</v>
      </c>
      <c r="BY82" s="98" t="str">
        <f t="shared" si="51"/>
        <v>-</v>
      </c>
      <c r="CC82" s="4">
        <v>78</v>
      </c>
      <c r="CD82" s="2" t="e">
        <f>VLOOKUP(CC82,$BU$5:BY$215,2,FALSE)</f>
        <v>#N/A</v>
      </c>
      <c r="CE82" s="6" t="e">
        <f>VLOOKUP(CC82,$BU$5:BY$215,3,FALSE)</f>
        <v>#N/A</v>
      </c>
      <c r="CF82" s="2" t="e">
        <f>VLOOKUP(CC82,$BU$5:BY$215,5,FALSE)</f>
        <v>#N/A</v>
      </c>
      <c r="CL82" s="77">
        <v>1</v>
      </c>
    </row>
    <row r="83" spans="1:90" ht="17.45" customHeight="1">
      <c r="A83" s="58">
        <v>79</v>
      </c>
      <c r="B83" s="59" t="str">
        <f>'A Div'!A83 &amp; " " &amp; 'A Div'!B83</f>
        <v xml:space="preserve"> </v>
      </c>
      <c r="C83" s="59" t="str">
        <f>'A Div'!E83</f>
        <v>-</v>
      </c>
      <c r="D83" s="60"/>
      <c r="E83" s="60"/>
      <c r="F83" s="60"/>
      <c r="G83" s="60"/>
      <c r="H83" s="60"/>
      <c r="I83" s="60"/>
      <c r="J83" s="60"/>
      <c r="K83" s="60"/>
      <c r="L83" s="60"/>
      <c r="M83" s="74" t="str">
        <f t="shared" si="26"/>
        <v>-</v>
      </c>
      <c r="N83" s="60"/>
      <c r="O83" s="60"/>
      <c r="P83" s="60"/>
      <c r="Q83" s="60"/>
      <c r="R83" s="60"/>
      <c r="S83" s="60"/>
      <c r="T83" s="60"/>
      <c r="U83" s="60"/>
      <c r="V83" s="60"/>
      <c r="W83" s="74" t="str">
        <f t="shared" si="27"/>
        <v>-</v>
      </c>
      <c r="X83" s="148" t="str">
        <f t="shared" si="28"/>
        <v>-</v>
      </c>
      <c r="Y83" s="74" t="str">
        <f t="shared" si="29"/>
        <v>-</v>
      </c>
      <c r="AA83" s="60"/>
      <c r="AB83" s="60"/>
      <c r="AC83" s="60"/>
      <c r="AD83" s="60"/>
      <c r="AE83" s="60"/>
      <c r="AF83" s="60"/>
      <c r="AG83" s="60"/>
      <c r="AH83" s="60"/>
      <c r="AI83" s="60"/>
      <c r="AJ83" s="74" t="str">
        <f t="shared" si="30"/>
        <v>-</v>
      </c>
      <c r="AK83" s="60"/>
      <c r="AL83" s="60"/>
      <c r="AM83" s="60"/>
      <c r="AN83" s="60"/>
      <c r="AO83" s="60"/>
      <c r="AP83" s="60"/>
      <c r="AQ83" s="60"/>
      <c r="AR83" s="60"/>
      <c r="AS83" s="60"/>
      <c r="AT83" s="74" t="str">
        <f>IF(COUNTIF(AK83:AS83,"&lt;&gt;"&amp;"")=9,SUM(AK83:AS83),"-")</f>
        <v>-</v>
      </c>
      <c r="AU83" s="148" t="str">
        <f>IF(AND(ISNUMBER(AJ83),ISNUMBER(AT83)),AJ83+AT83,"-")</f>
        <v>-</v>
      </c>
      <c r="AV83" s="74" t="str">
        <f>IF(ISNUMBER(AU83),AU83-C83,"-")</f>
        <v>-</v>
      </c>
      <c r="AX83" s="59" t="str">
        <f t="shared" si="31"/>
        <v>-</v>
      </c>
      <c r="AY83" s="59" t="str">
        <f t="shared" si="32"/>
        <v>-</v>
      </c>
      <c r="AZ83" s="59" t="str">
        <f t="shared" si="33"/>
        <v>-</v>
      </c>
      <c r="BA83" s="59" t="str">
        <f t="shared" si="34"/>
        <v>-</v>
      </c>
      <c r="BB83" s="59" t="str">
        <f t="shared" si="35"/>
        <v>-</v>
      </c>
      <c r="BC83" s="59" t="str">
        <f t="shared" si="36"/>
        <v>-</v>
      </c>
      <c r="BD83" s="59" t="str">
        <f t="shared" si="37"/>
        <v>-</v>
      </c>
      <c r="BE83" s="59" t="str">
        <f t="shared" si="38"/>
        <v>-</v>
      </c>
      <c r="BF83" s="59" t="str">
        <f t="shared" si="39"/>
        <v>-</v>
      </c>
      <c r="BG83" s="59" t="str">
        <f t="shared" si="40"/>
        <v>-</v>
      </c>
      <c r="BH83" s="59" t="str">
        <f t="shared" si="41"/>
        <v>-</v>
      </c>
      <c r="BI83" s="59" t="str">
        <f t="shared" si="42"/>
        <v>-</v>
      </c>
      <c r="BJ83" s="59" t="str">
        <f t="shared" si="43"/>
        <v>-</v>
      </c>
      <c r="BK83" s="59" t="str">
        <f t="shared" si="44"/>
        <v>-</v>
      </c>
      <c r="BL83" s="59" t="str">
        <f>IF(AND(R83&gt;0,AO83&gt;0),MIN(R83,AO83),"-")</f>
        <v>-</v>
      </c>
      <c r="BM83" s="59" t="str">
        <f>IF(AND(S83&gt;0,AP83&gt;0),MIN(S83,AP83),"-")</f>
        <v>-</v>
      </c>
      <c r="BN83" s="59" t="str">
        <f>IF(AND(T83&gt;0,AQ83&gt;0),MIN(T83,AQ83),"-")</f>
        <v>-</v>
      </c>
      <c r="BO83" s="59" t="str">
        <f>IF(AND(U83&gt;0,AR83&gt;0),MIN(U83,AR83),"-")</f>
        <v>-</v>
      </c>
      <c r="BP83" s="59" t="str">
        <f>IF(AND(V83&gt;0,AS83&gt;0),MIN(V83,AS83),"-")</f>
        <v>-</v>
      </c>
      <c r="BQ83" s="59" t="str">
        <f t="shared" si="45"/>
        <v>-</v>
      </c>
      <c r="BR83" s="59" t="str">
        <f t="shared" si="46"/>
        <v>-</v>
      </c>
      <c r="BS83" s="59" t="str">
        <f t="shared" si="47"/>
        <v>-</v>
      </c>
      <c r="BT83" s="98" t="str">
        <f>IF(ISNUMBER(BS83),BS83-(C83*Rules!$P$9/100),"-")</f>
        <v>-</v>
      </c>
      <c r="BU83" s="59" t="e">
        <f>RANK($BT83,$BT$5:$BT$106,1)+COUNTIF(BT$5:BT83,BT83)-1</f>
        <v>#VALUE!</v>
      </c>
      <c r="BV83" s="59" t="e">
        <f t="shared" si="48"/>
        <v>#VALUE!</v>
      </c>
      <c r="BW83" s="59" t="str">
        <f t="shared" si="49"/>
        <v xml:space="preserve"> </v>
      </c>
      <c r="BX83" s="59" t="str">
        <f t="shared" si="50"/>
        <v>-</v>
      </c>
      <c r="BY83" s="98" t="str">
        <f t="shared" si="51"/>
        <v>-</v>
      </c>
      <c r="CC83" s="4">
        <v>79</v>
      </c>
      <c r="CD83" s="2" t="e">
        <f>VLOOKUP(CC83,$BU$5:BY$215,2,FALSE)</f>
        <v>#N/A</v>
      </c>
      <c r="CE83" s="6" t="e">
        <f>VLOOKUP(CC83,$BU$5:BY$215,3,FALSE)</f>
        <v>#N/A</v>
      </c>
      <c r="CF83" s="2" t="e">
        <f>VLOOKUP(CC83,$BU$5:BY$215,5,FALSE)</f>
        <v>#N/A</v>
      </c>
      <c r="CL83" s="77">
        <v>1</v>
      </c>
    </row>
    <row r="84" spans="1:90" ht="17.45" customHeight="1">
      <c r="A84" s="58">
        <v>80</v>
      </c>
      <c r="B84" s="59" t="str">
        <f>'A Div'!A84 &amp; " " &amp; 'A Div'!B84</f>
        <v xml:space="preserve"> </v>
      </c>
      <c r="C84" s="59" t="str">
        <f>'A Div'!E84</f>
        <v>-</v>
      </c>
      <c r="D84" s="60"/>
      <c r="E84" s="60"/>
      <c r="F84" s="60"/>
      <c r="G84" s="60"/>
      <c r="H84" s="60"/>
      <c r="I84" s="60"/>
      <c r="J84" s="60"/>
      <c r="K84" s="60"/>
      <c r="L84" s="60"/>
      <c r="M84" s="74" t="str">
        <f t="shared" si="26"/>
        <v>-</v>
      </c>
      <c r="N84" s="60"/>
      <c r="O84" s="60"/>
      <c r="P84" s="60"/>
      <c r="Q84" s="60"/>
      <c r="R84" s="60"/>
      <c r="S84" s="60"/>
      <c r="T84" s="60"/>
      <c r="U84" s="60"/>
      <c r="V84" s="60"/>
      <c r="W84" s="74" t="str">
        <f t="shared" si="27"/>
        <v>-</v>
      </c>
      <c r="X84" s="148" t="str">
        <f t="shared" si="28"/>
        <v>-</v>
      </c>
      <c r="Y84" s="74" t="str">
        <f t="shared" si="29"/>
        <v>-</v>
      </c>
      <c r="AA84" s="60"/>
      <c r="AB84" s="60"/>
      <c r="AC84" s="60"/>
      <c r="AD84" s="60"/>
      <c r="AE84" s="60"/>
      <c r="AF84" s="60"/>
      <c r="AG84" s="60"/>
      <c r="AH84" s="60"/>
      <c r="AI84" s="60"/>
      <c r="AJ84" s="74" t="str">
        <f t="shared" si="30"/>
        <v>-</v>
      </c>
      <c r="AK84" s="60"/>
      <c r="AL84" s="60"/>
      <c r="AM84" s="60"/>
      <c r="AN84" s="60"/>
      <c r="AO84" s="60"/>
      <c r="AP84" s="60"/>
      <c r="AQ84" s="60"/>
      <c r="AR84" s="60"/>
      <c r="AS84" s="60"/>
      <c r="AT84" s="74" t="str">
        <f>IF(COUNTIF(AK84:AS84,"&lt;&gt;"&amp;"")=9,SUM(AK84:AS84),"-")</f>
        <v>-</v>
      </c>
      <c r="AU84" s="148" t="str">
        <f>IF(AND(ISNUMBER(AJ84),ISNUMBER(AT84)),AJ84+AT84,"-")</f>
        <v>-</v>
      </c>
      <c r="AV84" s="74" t="str">
        <f>IF(ISNUMBER(AU84),AU84-C84,"-")</f>
        <v>-</v>
      </c>
      <c r="AX84" s="59" t="str">
        <f t="shared" si="31"/>
        <v>-</v>
      </c>
      <c r="AY84" s="59" t="str">
        <f t="shared" si="32"/>
        <v>-</v>
      </c>
      <c r="AZ84" s="59" t="str">
        <f t="shared" si="33"/>
        <v>-</v>
      </c>
      <c r="BA84" s="59" t="str">
        <f t="shared" si="34"/>
        <v>-</v>
      </c>
      <c r="BB84" s="59" t="str">
        <f t="shared" si="35"/>
        <v>-</v>
      </c>
      <c r="BC84" s="59" t="str">
        <f t="shared" si="36"/>
        <v>-</v>
      </c>
      <c r="BD84" s="59" t="str">
        <f t="shared" si="37"/>
        <v>-</v>
      </c>
      <c r="BE84" s="59" t="str">
        <f t="shared" si="38"/>
        <v>-</v>
      </c>
      <c r="BF84" s="59" t="str">
        <f t="shared" si="39"/>
        <v>-</v>
      </c>
      <c r="BG84" s="59" t="str">
        <f t="shared" si="40"/>
        <v>-</v>
      </c>
      <c r="BH84" s="59" t="str">
        <f t="shared" si="41"/>
        <v>-</v>
      </c>
      <c r="BI84" s="59" t="str">
        <f t="shared" si="42"/>
        <v>-</v>
      </c>
      <c r="BJ84" s="59" t="str">
        <f t="shared" si="43"/>
        <v>-</v>
      </c>
      <c r="BK84" s="59" t="str">
        <f t="shared" si="44"/>
        <v>-</v>
      </c>
      <c r="BL84" s="59" t="str">
        <f>IF(AND(R84&gt;0,AO84&gt;0),MIN(R84,AO84),"-")</f>
        <v>-</v>
      </c>
      <c r="BM84" s="59" t="str">
        <f>IF(AND(S84&gt;0,AP84&gt;0),MIN(S84,AP84),"-")</f>
        <v>-</v>
      </c>
      <c r="BN84" s="59" t="str">
        <f>IF(AND(T84&gt;0,AQ84&gt;0),MIN(T84,AQ84),"-")</f>
        <v>-</v>
      </c>
      <c r="BO84" s="59" t="str">
        <f>IF(AND(U84&gt;0,AR84&gt;0),MIN(U84,AR84),"-")</f>
        <v>-</v>
      </c>
      <c r="BP84" s="59" t="str">
        <f>IF(AND(V84&gt;0,AS84&gt;0),MIN(V84,AS84),"-")</f>
        <v>-</v>
      </c>
      <c r="BQ84" s="59" t="str">
        <f t="shared" si="45"/>
        <v>-</v>
      </c>
      <c r="BR84" s="59" t="str">
        <f t="shared" si="46"/>
        <v>-</v>
      </c>
      <c r="BS84" s="59" t="str">
        <f t="shared" si="47"/>
        <v>-</v>
      </c>
      <c r="BT84" s="98" t="str">
        <f>IF(ISNUMBER(BS84),BS84-(C84*Rules!$P$9/100),"-")</f>
        <v>-</v>
      </c>
      <c r="BU84" s="59" t="e">
        <f>RANK($BT84,$BT$5:$BT$106,1)+COUNTIF(BT$5:BT84,BT84)-1</f>
        <v>#VALUE!</v>
      </c>
      <c r="BV84" s="59" t="e">
        <f t="shared" si="48"/>
        <v>#VALUE!</v>
      </c>
      <c r="BW84" s="59" t="str">
        <f t="shared" si="49"/>
        <v xml:space="preserve"> </v>
      </c>
      <c r="BX84" s="59" t="str">
        <f t="shared" si="50"/>
        <v>-</v>
      </c>
      <c r="BY84" s="98" t="str">
        <f t="shared" si="51"/>
        <v>-</v>
      </c>
      <c r="CC84" s="4">
        <v>80</v>
      </c>
      <c r="CD84" s="2" t="e">
        <f>VLOOKUP(CC84,$BU$5:BY$215,2,FALSE)</f>
        <v>#N/A</v>
      </c>
      <c r="CE84" s="6" t="e">
        <f>VLOOKUP(CC84,$BU$5:BY$215,3,FALSE)</f>
        <v>#N/A</v>
      </c>
      <c r="CF84" s="2" t="e">
        <f>VLOOKUP(CC84,$BU$5:BY$215,5,FALSE)</f>
        <v>#N/A</v>
      </c>
      <c r="CL84" s="77">
        <v>1</v>
      </c>
    </row>
    <row r="85" spans="1:90" ht="17.45" customHeight="1">
      <c r="A85" s="58">
        <v>81</v>
      </c>
      <c r="B85" s="59" t="str">
        <f>'A Div'!A85 &amp; " " &amp; 'A Div'!B85</f>
        <v xml:space="preserve"> </v>
      </c>
      <c r="C85" s="59" t="str">
        <f>'A Div'!E85</f>
        <v>-</v>
      </c>
      <c r="D85" s="60"/>
      <c r="E85" s="60"/>
      <c r="F85" s="60"/>
      <c r="G85" s="60"/>
      <c r="H85" s="60"/>
      <c r="I85" s="60"/>
      <c r="J85" s="60"/>
      <c r="K85" s="60"/>
      <c r="L85" s="60"/>
      <c r="M85" s="74" t="str">
        <f t="shared" si="26"/>
        <v>-</v>
      </c>
      <c r="N85" s="60"/>
      <c r="O85" s="60"/>
      <c r="P85" s="60"/>
      <c r="Q85" s="60"/>
      <c r="R85" s="60"/>
      <c r="S85" s="60"/>
      <c r="T85" s="60"/>
      <c r="U85" s="60"/>
      <c r="V85" s="60"/>
      <c r="W85" s="74" t="str">
        <f t="shared" si="27"/>
        <v>-</v>
      </c>
      <c r="X85" s="148" t="str">
        <f t="shared" si="28"/>
        <v>-</v>
      </c>
      <c r="Y85" s="74" t="str">
        <f t="shared" si="29"/>
        <v>-</v>
      </c>
      <c r="AA85" s="60"/>
      <c r="AB85" s="60"/>
      <c r="AC85" s="60"/>
      <c r="AD85" s="60"/>
      <c r="AE85" s="60"/>
      <c r="AF85" s="60"/>
      <c r="AG85" s="60"/>
      <c r="AH85" s="60"/>
      <c r="AI85" s="60"/>
      <c r="AJ85" s="74" t="str">
        <f t="shared" si="30"/>
        <v>-</v>
      </c>
      <c r="AK85" s="60"/>
      <c r="AL85" s="60"/>
      <c r="AM85" s="60"/>
      <c r="AN85" s="60"/>
      <c r="AO85" s="60"/>
      <c r="AP85" s="60"/>
      <c r="AQ85" s="60"/>
      <c r="AR85" s="60"/>
      <c r="AS85" s="60"/>
      <c r="AT85" s="74" t="str">
        <f>IF(COUNTIF(AK85:AS85,"&lt;&gt;"&amp;"")=9,SUM(AK85:AS85),"-")</f>
        <v>-</v>
      </c>
      <c r="AU85" s="148" t="str">
        <f>IF(AND(ISNUMBER(AJ85),ISNUMBER(AT85)),AJ85+AT85,"-")</f>
        <v>-</v>
      </c>
      <c r="AV85" s="74" t="str">
        <f>IF(ISNUMBER(AU85),AU85-C85,"-")</f>
        <v>-</v>
      </c>
      <c r="AX85" s="59" t="str">
        <f t="shared" si="31"/>
        <v>-</v>
      </c>
      <c r="AY85" s="59" t="str">
        <f t="shared" si="32"/>
        <v>-</v>
      </c>
      <c r="AZ85" s="59" t="str">
        <f t="shared" si="33"/>
        <v>-</v>
      </c>
      <c r="BA85" s="59" t="str">
        <f t="shared" si="34"/>
        <v>-</v>
      </c>
      <c r="BB85" s="59" t="str">
        <f t="shared" si="35"/>
        <v>-</v>
      </c>
      <c r="BC85" s="59" t="str">
        <f t="shared" si="36"/>
        <v>-</v>
      </c>
      <c r="BD85" s="59" t="str">
        <f t="shared" si="37"/>
        <v>-</v>
      </c>
      <c r="BE85" s="59" t="str">
        <f t="shared" si="38"/>
        <v>-</v>
      </c>
      <c r="BF85" s="59" t="str">
        <f t="shared" si="39"/>
        <v>-</v>
      </c>
      <c r="BG85" s="59" t="str">
        <f t="shared" si="40"/>
        <v>-</v>
      </c>
      <c r="BH85" s="59" t="str">
        <f t="shared" si="41"/>
        <v>-</v>
      </c>
      <c r="BI85" s="59" t="str">
        <f t="shared" si="42"/>
        <v>-</v>
      </c>
      <c r="BJ85" s="59" t="str">
        <f t="shared" si="43"/>
        <v>-</v>
      </c>
      <c r="BK85" s="59" t="str">
        <f t="shared" si="44"/>
        <v>-</v>
      </c>
      <c r="BL85" s="59" t="str">
        <f>IF(AND(R85&gt;0,AO85&gt;0),MIN(R85,AO85),"-")</f>
        <v>-</v>
      </c>
      <c r="BM85" s="59" t="str">
        <f>IF(AND(S85&gt;0,AP85&gt;0),MIN(S85,AP85),"-")</f>
        <v>-</v>
      </c>
      <c r="BN85" s="59" t="str">
        <f>IF(AND(T85&gt;0,AQ85&gt;0),MIN(T85,AQ85),"-")</f>
        <v>-</v>
      </c>
      <c r="BO85" s="59" t="str">
        <f>IF(AND(U85&gt;0,AR85&gt;0),MIN(U85,AR85),"-")</f>
        <v>-</v>
      </c>
      <c r="BP85" s="59" t="str">
        <f>IF(AND(V85&gt;0,AS85&gt;0),MIN(V85,AS85),"-")</f>
        <v>-</v>
      </c>
      <c r="BQ85" s="59" t="str">
        <f t="shared" si="45"/>
        <v>-</v>
      </c>
      <c r="BR85" s="59" t="str">
        <f t="shared" si="46"/>
        <v>-</v>
      </c>
      <c r="BS85" s="59" t="str">
        <f t="shared" si="47"/>
        <v>-</v>
      </c>
      <c r="BT85" s="98" t="str">
        <f>IF(ISNUMBER(BS85),BS85-(C85*Rules!$P$9/100),"-")</f>
        <v>-</v>
      </c>
      <c r="BU85" s="59" t="e">
        <f>RANK($BT85,$BT$5:$BT$106,1)+COUNTIF(BT$5:BT85,BT85)-1</f>
        <v>#VALUE!</v>
      </c>
      <c r="BV85" s="59" t="e">
        <f t="shared" si="48"/>
        <v>#VALUE!</v>
      </c>
      <c r="BW85" s="59" t="str">
        <f t="shared" si="49"/>
        <v xml:space="preserve"> </v>
      </c>
      <c r="BX85" s="59" t="str">
        <f t="shared" si="50"/>
        <v>-</v>
      </c>
      <c r="BY85" s="98" t="str">
        <f t="shared" si="51"/>
        <v>-</v>
      </c>
      <c r="CC85" s="4">
        <v>81</v>
      </c>
      <c r="CD85" s="2" t="e">
        <f>VLOOKUP(CC85,$BU$5:BY$215,2,FALSE)</f>
        <v>#N/A</v>
      </c>
      <c r="CE85" s="6" t="e">
        <f>VLOOKUP(CC85,$BU$5:BY$215,3,FALSE)</f>
        <v>#N/A</v>
      </c>
      <c r="CF85" s="2" t="e">
        <f>VLOOKUP(CC85,$BU$5:BY$215,5,FALSE)</f>
        <v>#N/A</v>
      </c>
      <c r="CL85" s="77">
        <v>1</v>
      </c>
    </row>
    <row r="86" spans="1:90" ht="17.45" customHeight="1">
      <c r="A86" s="58">
        <v>82</v>
      </c>
      <c r="B86" s="59" t="str">
        <f>'A Div'!A86 &amp; " " &amp; 'A Div'!B86</f>
        <v xml:space="preserve"> </v>
      </c>
      <c r="C86" s="59" t="str">
        <f>'A Div'!E86</f>
        <v>-</v>
      </c>
      <c r="D86" s="60"/>
      <c r="E86" s="60"/>
      <c r="F86" s="60"/>
      <c r="G86" s="60"/>
      <c r="H86" s="60"/>
      <c r="I86" s="60"/>
      <c r="J86" s="60"/>
      <c r="K86" s="60"/>
      <c r="L86" s="60"/>
      <c r="M86" s="74" t="str">
        <f t="shared" si="26"/>
        <v>-</v>
      </c>
      <c r="N86" s="60"/>
      <c r="O86" s="60"/>
      <c r="P86" s="60"/>
      <c r="Q86" s="60"/>
      <c r="R86" s="60"/>
      <c r="S86" s="60"/>
      <c r="T86" s="60"/>
      <c r="U86" s="60"/>
      <c r="V86" s="60"/>
      <c r="W86" s="74" t="str">
        <f t="shared" si="27"/>
        <v>-</v>
      </c>
      <c r="X86" s="148" t="str">
        <f t="shared" si="28"/>
        <v>-</v>
      </c>
      <c r="Y86" s="74" t="str">
        <f t="shared" si="29"/>
        <v>-</v>
      </c>
      <c r="AA86" s="60"/>
      <c r="AB86" s="60"/>
      <c r="AC86" s="60"/>
      <c r="AD86" s="60"/>
      <c r="AE86" s="60"/>
      <c r="AF86" s="60"/>
      <c r="AG86" s="60"/>
      <c r="AH86" s="60"/>
      <c r="AI86" s="60"/>
      <c r="AJ86" s="74" t="str">
        <f t="shared" si="30"/>
        <v>-</v>
      </c>
      <c r="AK86" s="60"/>
      <c r="AL86" s="60"/>
      <c r="AM86" s="60"/>
      <c r="AN86" s="60"/>
      <c r="AO86" s="60"/>
      <c r="AP86" s="60"/>
      <c r="AQ86" s="60"/>
      <c r="AR86" s="60"/>
      <c r="AS86" s="60"/>
      <c r="AT86" s="74" t="str">
        <f>IF(COUNTIF(AK86:AS86,"&lt;&gt;"&amp;"")=9,SUM(AK86:AS86),"-")</f>
        <v>-</v>
      </c>
      <c r="AU86" s="148" t="str">
        <f>IF(AND(ISNUMBER(AJ86),ISNUMBER(AT86)),AJ86+AT86,"-")</f>
        <v>-</v>
      </c>
      <c r="AV86" s="74" t="str">
        <f>IF(ISNUMBER(AU86),AU86-C86,"-")</f>
        <v>-</v>
      </c>
      <c r="AX86" s="59" t="str">
        <f t="shared" si="31"/>
        <v>-</v>
      </c>
      <c r="AY86" s="59" t="str">
        <f t="shared" si="32"/>
        <v>-</v>
      </c>
      <c r="AZ86" s="59" t="str">
        <f t="shared" si="33"/>
        <v>-</v>
      </c>
      <c r="BA86" s="59" t="str">
        <f t="shared" si="34"/>
        <v>-</v>
      </c>
      <c r="BB86" s="59" t="str">
        <f t="shared" si="35"/>
        <v>-</v>
      </c>
      <c r="BC86" s="59" t="str">
        <f t="shared" si="36"/>
        <v>-</v>
      </c>
      <c r="BD86" s="59" t="str">
        <f t="shared" si="37"/>
        <v>-</v>
      </c>
      <c r="BE86" s="59" t="str">
        <f t="shared" si="38"/>
        <v>-</v>
      </c>
      <c r="BF86" s="59" t="str">
        <f t="shared" si="39"/>
        <v>-</v>
      </c>
      <c r="BG86" s="59" t="str">
        <f t="shared" si="40"/>
        <v>-</v>
      </c>
      <c r="BH86" s="59" t="str">
        <f t="shared" si="41"/>
        <v>-</v>
      </c>
      <c r="BI86" s="59" t="str">
        <f t="shared" si="42"/>
        <v>-</v>
      </c>
      <c r="BJ86" s="59" t="str">
        <f t="shared" si="43"/>
        <v>-</v>
      </c>
      <c r="BK86" s="59" t="str">
        <f t="shared" si="44"/>
        <v>-</v>
      </c>
      <c r="BL86" s="59" t="str">
        <f>IF(AND(R86&gt;0,AO86&gt;0),MIN(R86,AO86),"-")</f>
        <v>-</v>
      </c>
      <c r="BM86" s="59" t="str">
        <f>IF(AND(S86&gt;0,AP86&gt;0),MIN(S86,AP86),"-")</f>
        <v>-</v>
      </c>
      <c r="BN86" s="59" t="str">
        <f>IF(AND(T86&gt;0,AQ86&gt;0),MIN(T86,AQ86),"-")</f>
        <v>-</v>
      </c>
      <c r="BO86" s="59" t="str">
        <f>IF(AND(U86&gt;0,AR86&gt;0),MIN(U86,AR86),"-")</f>
        <v>-</v>
      </c>
      <c r="BP86" s="59" t="str">
        <f>IF(AND(V86&gt;0,AS86&gt;0),MIN(V86,AS86),"-")</f>
        <v>-</v>
      </c>
      <c r="BQ86" s="59" t="str">
        <f t="shared" si="45"/>
        <v>-</v>
      </c>
      <c r="BR86" s="59" t="str">
        <f t="shared" si="46"/>
        <v>-</v>
      </c>
      <c r="BS86" s="59" t="str">
        <f t="shared" si="47"/>
        <v>-</v>
      </c>
      <c r="BT86" s="98" t="str">
        <f>IF(ISNUMBER(BS86),BS86-(C86*Rules!$P$9/100),"-")</f>
        <v>-</v>
      </c>
      <c r="BU86" s="59" t="e">
        <f>RANK($BT86,$BT$5:$BT$106,1)+COUNTIF(BT$5:BT86,BT86)-1</f>
        <v>#VALUE!</v>
      </c>
      <c r="BV86" s="59" t="e">
        <f t="shared" si="48"/>
        <v>#VALUE!</v>
      </c>
      <c r="BW86" s="59" t="str">
        <f t="shared" si="49"/>
        <v xml:space="preserve"> </v>
      </c>
      <c r="BX86" s="59" t="str">
        <f t="shared" si="50"/>
        <v>-</v>
      </c>
      <c r="BY86" s="98" t="str">
        <f t="shared" si="51"/>
        <v>-</v>
      </c>
      <c r="CC86" s="4">
        <v>82</v>
      </c>
      <c r="CD86" s="2" t="e">
        <f>VLOOKUP(CC86,$BU$5:BY$215,2,FALSE)</f>
        <v>#N/A</v>
      </c>
      <c r="CE86" s="6" t="e">
        <f>VLOOKUP(CC86,$BU$5:BY$215,3,FALSE)</f>
        <v>#N/A</v>
      </c>
      <c r="CF86" s="2" t="e">
        <f>VLOOKUP(CC86,$BU$5:BY$215,5,FALSE)</f>
        <v>#N/A</v>
      </c>
      <c r="CL86" s="77">
        <v>1</v>
      </c>
    </row>
    <row r="87" spans="1:90" ht="17.45" customHeight="1">
      <c r="A87" s="58">
        <v>83</v>
      </c>
      <c r="B87" s="59" t="str">
        <f>'A Div'!A87 &amp; " " &amp; 'A Div'!B87</f>
        <v xml:space="preserve"> </v>
      </c>
      <c r="C87" s="59" t="str">
        <f>'A Div'!E87</f>
        <v>-</v>
      </c>
      <c r="D87" s="60"/>
      <c r="E87" s="60"/>
      <c r="F87" s="60"/>
      <c r="G87" s="60"/>
      <c r="H87" s="60"/>
      <c r="I87" s="60"/>
      <c r="J87" s="60"/>
      <c r="K87" s="60"/>
      <c r="L87" s="60"/>
      <c r="M87" s="74" t="str">
        <f t="shared" si="26"/>
        <v>-</v>
      </c>
      <c r="N87" s="60"/>
      <c r="O87" s="60"/>
      <c r="P87" s="60"/>
      <c r="Q87" s="60"/>
      <c r="R87" s="60"/>
      <c r="S87" s="60"/>
      <c r="T87" s="60"/>
      <c r="U87" s="60"/>
      <c r="V87" s="60"/>
      <c r="W87" s="74" t="str">
        <f t="shared" si="27"/>
        <v>-</v>
      </c>
      <c r="X87" s="148" t="str">
        <f t="shared" si="28"/>
        <v>-</v>
      </c>
      <c r="Y87" s="74" t="str">
        <f t="shared" si="29"/>
        <v>-</v>
      </c>
      <c r="AA87" s="60"/>
      <c r="AB87" s="60"/>
      <c r="AC87" s="60"/>
      <c r="AD87" s="60"/>
      <c r="AE87" s="60"/>
      <c r="AF87" s="60"/>
      <c r="AG87" s="60"/>
      <c r="AH87" s="60"/>
      <c r="AI87" s="60"/>
      <c r="AJ87" s="74" t="str">
        <f t="shared" si="30"/>
        <v>-</v>
      </c>
      <c r="AK87" s="60"/>
      <c r="AL87" s="60"/>
      <c r="AM87" s="60"/>
      <c r="AN87" s="60"/>
      <c r="AO87" s="60"/>
      <c r="AP87" s="60"/>
      <c r="AQ87" s="60"/>
      <c r="AR87" s="60"/>
      <c r="AS87" s="60"/>
      <c r="AT87" s="74" t="str">
        <f>IF(COUNTIF(AK87:AS87,"&lt;&gt;"&amp;"")=9,SUM(AK87:AS87),"-")</f>
        <v>-</v>
      </c>
      <c r="AU87" s="148" t="str">
        <f>IF(AND(ISNUMBER(AJ87),ISNUMBER(AT87)),AJ87+AT87,"-")</f>
        <v>-</v>
      </c>
      <c r="AV87" s="74" t="str">
        <f>IF(ISNUMBER(AU87),AU87-C87,"-")</f>
        <v>-</v>
      </c>
      <c r="AX87" s="59" t="str">
        <f t="shared" si="31"/>
        <v>-</v>
      </c>
      <c r="AY87" s="59" t="str">
        <f t="shared" si="32"/>
        <v>-</v>
      </c>
      <c r="AZ87" s="59" t="str">
        <f t="shared" si="33"/>
        <v>-</v>
      </c>
      <c r="BA87" s="59" t="str">
        <f t="shared" si="34"/>
        <v>-</v>
      </c>
      <c r="BB87" s="59" t="str">
        <f t="shared" si="35"/>
        <v>-</v>
      </c>
      <c r="BC87" s="59" t="str">
        <f t="shared" si="36"/>
        <v>-</v>
      </c>
      <c r="BD87" s="59" t="str">
        <f t="shared" si="37"/>
        <v>-</v>
      </c>
      <c r="BE87" s="59" t="str">
        <f t="shared" si="38"/>
        <v>-</v>
      </c>
      <c r="BF87" s="59" t="str">
        <f t="shared" si="39"/>
        <v>-</v>
      </c>
      <c r="BG87" s="59" t="str">
        <f t="shared" si="40"/>
        <v>-</v>
      </c>
      <c r="BH87" s="59" t="str">
        <f t="shared" si="41"/>
        <v>-</v>
      </c>
      <c r="BI87" s="59" t="str">
        <f t="shared" si="42"/>
        <v>-</v>
      </c>
      <c r="BJ87" s="59" t="str">
        <f t="shared" si="43"/>
        <v>-</v>
      </c>
      <c r="BK87" s="59" t="str">
        <f t="shared" si="44"/>
        <v>-</v>
      </c>
      <c r="BL87" s="59" t="str">
        <f>IF(AND(R87&gt;0,AO87&gt;0),MIN(R87,AO87),"-")</f>
        <v>-</v>
      </c>
      <c r="BM87" s="59" t="str">
        <f>IF(AND(S87&gt;0,AP87&gt;0),MIN(S87,AP87),"-")</f>
        <v>-</v>
      </c>
      <c r="BN87" s="59" t="str">
        <f>IF(AND(T87&gt;0,AQ87&gt;0),MIN(T87,AQ87),"-")</f>
        <v>-</v>
      </c>
      <c r="BO87" s="59" t="str">
        <f>IF(AND(U87&gt;0,AR87&gt;0),MIN(U87,AR87),"-")</f>
        <v>-</v>
      </c>
      <c r="BP87" s="59" t="str">
        <f>IF(AND(V87&gt;0,AS87&gt;0),MIN(V87,AS87),"-")</f>
        <v>-</v>
      </c>
      <c r="BQ87" s="59" t="str">
        <f t="shared" si="45"/>
        <v>-</v>
      </c>
      <c r="BR87" s="59" t="str">
        <f t="shared" si="46"/>
        <v>-</v>
      </c>
      <c r="BS87" s="59" t="str">
        <f t="shared" si="47"/>
        <v>-</v>
      </c>
      <c r="BT87" s="98" t="str">
        <f>IF(ISNUMBER(BS87),BS87-(C87*Rules!$P$9/100),"-")</f>
        <v>-</v>
      </c>
      <c r="BU87" s="59" t="e">
        <f>RANK($BT87,$BT$5:$BT$106,1)+COUNTIF(BT$5:BT87,BT87)-1</f>
        <v>#VALUE!</v>
      </c>
      <c r="BV87" s="59" t="e">
        <f t="shared" si="48"/>
        <v>#VALUE!</v>
      </c>
      <c r="BW87" s="59" t="str">
        <f t="shared" si="49"/>
        <v xml:space="preserve"> </v>
      </c>
      <c r="BX87" s="59" t="str">
        <f t="shared" si="50"/>
        <v>-</v>
      </c>
      <c r="BY87" s="98" t="str">
        <f t="shared" si="51"/>
        <v>-</v>
      </c>
      <c r="CC87" s="4">
        <v>83</v>
      </c>
      <c r="CD87" s="2" t="e">
        <f>VLOOKUP(CC87,$BU$5:BY$215,2,FALSE)</f>
        <v>#N/A</v>
      </c>
      <c r="CE87" s="6" t="e">
        <f>VLOOKUP(CC87,$BU$5:BY$215,3,FALSE)</f>
        <v>#N/A</v>
      </c>
      <c r="CF87" s="2" t="e">
        <f>VLOOKUP(CC87,$BU$5:BY$215,5,FALSE)</f>
        <v>#N/A</v>
      </c>
      <c r="CL87" s="77">
        <v>1</v>
      </c>
    </row>
    <row r="88" spans="1:90" ht="17.45" customHeight="1">
      <c r="A88" s="58">
        <v>84</v>
      </c>
      <c r="B88" s="59" t="str">
        <f>'A Div'!A88 &amp; " " &amp; 'A Div'!B88</f>
        <v xml:space="preserve"> </v>
      </c>
      <c r="C88" s="59" t="str">
        <f>'A Div'!E88</f>
        <v>-</v>
      </c>
      <c r="D88" s="60"/>
      <c r="E88" s="60"/>
      <c r="F88" s="60"/>
      <c r="G88" s="60"/>
      <c r="H88" s="60"/>
      <c r="I88" s="60"/>
      <c r="J88" s="60"/>
      <c r="K88" s="60"/>
      <c r="L88" s="60"/>
      <c r="M88" s="74" t="str">
        <f t="shared" si="26"/>
        <v>-</v>
      </c>
      <c r="N88" s="60"/>
      <c r="O88" s="60"/>
      <c r="P88" s="60"/>
      <c r="Q88" s="60"/>
      <c r="R88" s="60"/>
      <c r="S88" s="60"/>
      <c r="T88" s="60"/>
      <c r="U88" s="60"/>
      <c r="V88" s="60"/>
      <c r="W88" s="74" t="str">
        <f t="shared" si="27"/>
        <v>-</v>
      </c>
      <c r="X88" s="148" t="str">
        <f t="shared" si="28"/>
        <v>-</v>
      </c>
      <c r="Y88" s="74" t="str">
        <f t="shared" si="29"/>
        <v>-</v>
      </c>
      <c r="AA88" s="60"/>
      <c r="AB88" s="60"/>
      <c r="AC88" s="60"/>
      <c r="AD88" s="60"/>
      <c r="AE88" s="60"/>
      <c r="AF88" s="60"/>
      <c r="AG88" s="60"/>
      <c r="AH88" s="60"/>
      <c r="AI88" s="60"/>
      <c r="AJ88" s="74" t="str">
        <f t="shared" si="30"/>
        <v>-</v>
      </c>
      <c r="AK88" s="60"/>
      <c r="AL88" s="60"/>
      <c r="AM88" s="60"/>
      <c r="AN88" s="60"/>
      <c r="AO88" s="60"/>
      <c r="AP88" s="60"/>
      <c r="AQ88" s="60"/>
      <c r="AR88" s="60"/>
      <c r="AS88" s="60"/>
      <c r="AT88" s="74" t="str">
        <f>IF(COUNTIF(AK88:AS88,"&lt;&gt;"&amp;"")=9,SUM(AK88:AS88),"-")</f>
        <v>-</v>
      </c>
      <c r="AU88" s="148" t="str">
        <f>IF(AND(ISNUMBER(AJ88),ISNUMBER(AT88)),AJ88+AT88,"-")</f>
        <v>-</v>
      </c>
      <c r="AV88" s="74" t="str">
        <f>IF(ISNUMBER(AU88),AU88-C88,"-")</f>
        <v>-</v>
      </c>
      <c r="AX88" s="59" t="str">
        <f t="shared" si="31"/>
        <v>-</v>
      </c>
      <c r="AY88" s="59" t="str">
        <f t="shared" si="32"/>
        <v>-</v>
      </c>
      <c r="AZ88" s="59" t="str">
        <f t="shared" si="33"/>
        <v>-</v>
      </c>
      <c r="BA88" s="59" t="str">
        <f t="shared" si="34"/>
        <v>-</v>
      </c>
      <c r="BB88" s="59" t="str">
        <f t="shared" si="35"/>
        <v>-</v>
      </c>
      <c r="BC88" s="59" t="str">
        <f t="shared" si="36"/>
        <v>-</v>
      </c>
      <c r="BD88" s="59" t="str">
        <f t="shared" si="37"/>
        <v>-</v>
      </c>
      <c r="BE88" s="59" t="str">
        <f t="shared" si="38"/>
        <v>-</v>
      </c>
      <c r="BF88" s="59" t="str">
        <f t="shared" si="39"/>
        <v>-</v>
      </c>
      <c r="BG88" s="59" t="str">
        <f t="shared" si="40"/>
        <v>-</v>
      </c>
      <c r="BH88" s="59" t="str">
        <f t="shared" si="41"/>
        <v>-</v>
      </c>
      <c r="BI88" s="59" t="str">
        <f t="shared" si="42"/>
        <v>-</v>
      </c>
      <c r="BJ88" s="59" t="str">
        <f t="shared" si="43"/>
        <v>-</v>
      </c>
      <c r="BK88" s="59" t="str">
        <f t="shared" si="44"/>
        <v>-</v>
      </c>
      <c r="BL88" s="59" t="str">
        <f>IF(AND(R88&gt;0,AO88&gt;0),MIN(R88,AO88),"-")</f>
        <v>-</v>
      </c>
      <c r="BM88" s="59" t="str">
        <f>IF(AND(S88&gt;0,AP88&gt;0),MIN(S88,AP88),"-")</f>
        <v>-</v>
      </c>
      <c r="BN88" s="59" t="str">
        <f>IF(AND(T88&gt;0,AQ88&gt;0),MIN(T88,AQ88),"-")</f>
        <v>-</v>
      </c>
      <c r="BO88" s="59" t="str">
        <f>IF(AND(U88&gt;0,AR88&gt;0),MIN(U88,AR88),"-")</f>
        <v>-</v>
      </c>
      <c r="BP88" s="59" t="str">
        <f>IF(AND(V88&gt;0,AS88&gt;0),MIN(V88,AS88),"-")</f>
        <v>-</v>
      </c>
      <c r="BQ88" s="59" t="str">
        <f t="shared" si="45"/>
        <v>-</v>
      </c>
      <c r="BR88" s="59" t="str">
        <f t="shared" si="46"/>
        <v>-</v>
      </c>
      <c r="BS88" s="59" t="str">
        <f t="shared" si="47"/>
        <v>-</v>
      </c>
      <c r="BT88" s="98" t="str">
        <f>IF(ISNUMBER(BS88),BS88-(C88*Rules!$P$9/100),"-")</f>
        <v>-</v>
      </c>
      <c r="BU88" s="59" t="e">
        <f>RANK($BT88,$BT$5:$BT$106,1)+COUNTIF(BT$5:BT88,BT88)-1</f>
        <v>#VALUE!</v>
      </c>
      <c r="BV88" s="59" t="e">
        <f t="shared" si="48"/>
        <v>#VALUE!</v>
      </c>
      <c r="BW88" s="59" t="str">
        <f t="shared" si="49"/>
        <v xml:space="preserve"> </v>
      </c>
      <c r="BX88" s="59" t="str">
        <f t="shared" si="50"/>
        <v>-</v>
      </c>
      <c r="BY88" s="98" t="str">
        <f t="shared" si="51"/>
        <v>-</v>
      </c>
      <c r="CC88" s="4">
        <v>84</v>
      </c>
      <c r="CD88" s="2" t="e">
        <f>VLOOKUP(CC88,$BU$5:BY$215,2,FALSE)</f>
        <v>#N/A</v>
      </c>
      <c r="CE88" s="6" t="e">
        <f>VLOOKUP(CC88,$BU$5:BY$215,3,FALSE)</f>
        <v>#N/A</v>
      </c>
      <c r="CF88" s="2" t="e">
        <f>VLOOKUP(CC88,$BU$5:BY$215,5,FALSE)</f>
        <v>#N/A</v>
      </c>
      <c r="CL88" s="77">
        <v>1</v>
      </c>
    </row>
    <row r="89" spans="1:90" ht="17.45" customHeight="1">
      <c r="A89" s="58">
        <v>85</v>
      </c>
      <c r="B89" s="59" t="str">
        <f>'A Div'!A89 &amp; " " &amp; 'A Div'!B89</f>
        <v xml:space="preserve"> </v>
      </c>
      <c r="C89" s="59" t="str">
        <f>'A Div'!E89</f>
        <v>-</v>
      </c>
      <c r="D89" s="60"/>
      <c r="E89" s="60"/>
      <c r="F89" s="60"/>
      <c r="G89" s="60"/>
      <c r="H89" s="60"/>
      <c r="I89" s="60"/>
      <c r="J89" s="60"/>
      <c r="K89" s="60"/>
      <c r="L89" s="60"/>
      <c r="M89" s="74" t="str">
        <f t="shared" si="26"/>
        <v>-</v>
      </c>
      <c r="N89" s="60"/>
      <c r="O89" s="60"/>
      <c r="P89" s="60"/>
      <c r="Q89" s="60"/>
      <c r="R89" s="60"/>
      <c r="S89" s="60"/>
      <c r="T89" s="60"/>
      <c r="U89" s="60"/>
      <c r="V89" s="60"/>
      <c r="W89" s="74" t="str">
        <f t="shared" si="27"/>
        <v>-</v>
      </c>
      <c r="X89" s="148" t="str">
        <f t="shared" si="28"/>
        <v>-</v>
      </c>
      <c r="Y89" s="74" t="str">
        <f t="shared" si="29"/>
        <v>-</v>
      </c>
      <c r="AA89" s="60"/>
      <c r="AB89" s="60"/>
      <c r="AC89" s="60"/>
      <c r="AD89" s="60"/>
      <c r="AE89" s="60"/>
      <c r="AF89" s="60"/>
      <c r="AG89" s="60"/>
      <c r="AH89" s="60"/>
      <c r="AI89" s="60"/>
      <c r="AJ89" s="74" t="str">
        <f t="shared" si="30"/>
        <v>-</v>
      </c>
      <c r="AK89" s="60"/>
      <c r="AL89" s="60"/>
      <c r="AM89" s="60"/>
      <c r="AN89" s="60"/>
      <c r="AO89" s="60"/>
      <c r="AP89" s="60"/>
      <c r="AQ89" s="60"/>
      <c r="AR89" s="60"/>
      <c r="AS89" s="60"/>
      <c r="AT89" s="74" t="str">
        <f>IF(COUNTIF(AK89:AS89,"&lt;&gt;"&amp;"")=9,SUM(AK89:AS89),"-")</f>
        <v>-</v>
      </c>
      <c r="AU89" s="148" t="str">
        <f>IF(AND(ISNUMBER(AJ89),ISNUMBER(AT89)),AJ89+AT89,"-")</f>
        <v>-</v>
      </c>
      <c r="AV89" s="74" t="str">
        <f>IF(ISNUMBER(AU89),AU89-C89,"-")</f>
        <v>-</v>
      </c>
      <c r="AX89" s="59" t="str">
        <f t="shared" si="31"/>
        <v>-</v>
      </c>
      <c r="AY89" s="59" t="str">
        <f t="shared" si="32"/>
        <v>-</v>
      </c>
      <c r="AZ89" s="59" t="str">
        <f t="shared" si="33"/>
        <v>-</v>
      </c>
      <c r="BA89" s="59" t="str">
        <f t="shared" si="34"/>
        <v>-</v>
      </c>
      <c r="BB89" s="59" t="str">
        <f t="shared" si="35"/>
        <v>-</v>
      </c>
      <c r="BC89" s="59" t="str">
        <f t="shared" si="36"/>
        <v>-</v>
      </c>
      <c r="BD89" s="59" t="str">
        <f t="shared" si="37"/>
        <v>-</v>
      </c>
      <c r="BE89" s="59" t="str">
        <f t="shared" si="38"/>
        <v>-</v>
      </c>
      <c r="BF89" s="59" t="str">
        <f t="shared" si="39"/>
        <v>-</v>
      </c>
      <c r="BG89" s="59" t="str">
        <f t="shared" si="40"/>
        <v>-</v>
      </c>
      <c r="BH89" s="59" t="str">
        <f t="shared" si="41"/>
        <v>-</v>
      </c>
      <c r="BI89" s="59" t="str">
        <f t="shared" si="42"/>
        <v>-</v>
      </c>
      <c r="BJ89" s="59" t="str">
        <f t="shared" si="43"/>
        <v>-</v>
      </c>
      <c r="BK89" s="59" t="str">
        <f t="shared" si="44"/>
        <v>-</v>
      </c>
      <c r="BL89" s="59" t="str">
        <f>IF(AND(R89&gt;0,AO89&gt;0),MIN(R89,AO89),"-")</f>
        <v>-</v>
      </c>
      <c r="BM89" s="59" t="str">
        <f>IF(AND(S89&gt;0,AP89&gt;0),MIN(S89,AP89),"-")</f>
        <v>-</v>
      </c>
      <c r="BN89" s="59" t="str">
        <f>IF(AND(T89&gt;0,AQ89&gt;0),MIN(T89,AQ89),"-")</f>
        <v>-</v>
      </c>
      <c r="BO89" s="59" t="str">
        <f>IF(AND(U89&gt;0,AR89&gt;0),MIN(U89,AR89),"-")</f>
        <v>-</v>
      </c>
      <c r="BP89" s="59" t="str">
        <f>IF(AND(V89&gt;0,AS89&gt;0),MIN(V89,AS89),"-")</f>
        <v>-</v>
      </c>
      <c r="BQ89" s="59" t="str">
        <f t="shared" si="45"/>
        <v>-</v>
      </c>
      <c r="BR89" s="59" t="str">
        <f t="shared" si="46"/>
        <v>-</v>
      </c>
      <c r="BS89" s="59" t="str">
        <f t="shared" si="47"/>
        <v>-</v>
      </c>
      <c r="BT89" s="98" t="str">
        <f>IF(ISNUMBER(BS89),BS89-(C89*Rules!$P$9/100),"-")</f>
        <v>-</v>
      </c>
      <c r="BU89" s="59" t="e">
        <f>RANK($BT89,$BT$5:$BT$106,1)+COUNTIF(BT$5:BT89,BT89)-1</f>
        <v>#VALUE!</v>
      </c>
      <c r="BV89" s="59" t="e">
        <f t="shared" si="48"/>
        <v>#VALUE!</v>
      </c>
      <c r="BW89" s="59" t="str">
        <f t="shared" si="49"/>
        <v xml:space="preserve"> </v>
      </c>
      <c r="BX89" s="59" t="str">
        <f t="shared" si="50"/>
        <v>-</v>
      </c>
      <c r="BY89" s="98" t="str">
        <f t="shared" si="51"/>
        <v>-</v>
      </c>
      <c r="CC89" s="4">
        <v>85</v>
      </c>
      <c r="CD89" s="2" t="e">
        <f>VLOOKUP(CC89,$BU$5:BY$215,2,FALSE)</f>
        <v>#N/A</v>
      </c>
      <c r="CE89" s="6" t="e">
        <f>VLOOKUP(CC89,$BU$5:BY$215,3,FALSE)</f>
        <v>#N/A</v>
      </c>
      <c r="CF89" s="2" t="e">
        <f>VLOOKUP(CC89,$BU$5:BY$215,5,FALSE)</f>
        <v>#N/A</v>
      </c>
      <c r="CL89" s="77">
        <v>1</v>
      </c>
    </row>
    <row r="90" spans="1:90" ht="17.45" customHeight="1">
      <c r="A90" s="58">
        <v>86</v>
      </c>
      <c r="B90" s="59" t="str">
        <f>'A Div'!A90 &amp; " " &amp; 'A Div'!B90</f>
        <v xml:space="preserve"> </v>
      </c>
      <c r="C90" s="59" t="str">
        <f>'A Div'!E90</f>
        <v>-</v>
      </c>
      <c r="D90" s="60"/>
      <c r="E90" s="60"/>
      <c r="F90" s="60"/>
      <c r="G90" s="60"/>
      <c r="H90" s="60"/>
      <c r="I90" s="60"/>
      <c r="J90" s="60"/>
      <c r="K90" s="60"/>
      <c r="L90" s="60"/>
      <c r="M90" s="74" t="str">
        <f t="shared" si="26"/>
        <v>-</v>
      </c>
      <c r="N90" s="60"/>
      <c r="O90" s="60"/>
      <c r="P90" s="60"/>
      <c r="Q90" s="60"/>
      <c r="R90" s="60"/>
      <c r="S90" s="60"/>
      <c r="T90" s="60"/>
      <c r="U90" s="60"/>
      <c r="V90" s="60"/>
      <c r="W90" s="74" t="str">
        <f t="shared" si="27"/>
        <v>-</v>
      </c>
      <c r="X90" s="148" t="str">
        <f t="shared" si="28"/>
        <v>-</v>
      </c>
      <c r="Y90" s="74" t="str">
        <f t="shared" si="29"/>
        <v>-</v>
      </c>
      <c r="AA90" s="60"/>
      <c r="AB90" s="60"/>
      <c r="AC90" s="60"/>
      <c r="AD90" s="60"/>
      <c r="AE90" s="60"/>
      <c r="AF90" s="60"/>
      <c r="AG90" s="60"/>
      <c r="AH90" s="60"/>
      <c r="AI90" s="60"/>
      <c r="AJ90" s="74" t="str">
        <f t="shared" si="30"/>
        <v>-</v>
      </c>
      <c r="AK90" s="60"/>
      <c r="AL90" s="60"/>
      <c r="AM90" s="60"/>
      <c r="AN90" s="60"/>
      <c r="AO90" s="60"/>
      <c r="AP90" s="60"/>
      <c r="AQ90" s="60"/>
      <c r="AR90" s="60"/>
      <c r="AS90" s="60"/>
      <c r="AT90" s="74" t="str">
        <f>IF(COUNTIF(AK90:AS90,"&lt;&gt;"&amp;"")=9,SUM(AK90:AS90),"-")</f>
        <v>-</v>
      </c>
      <c r="AU90" s="148" t="str">
        <f>IF(AND(ISNUMBER(AJ90),ISNUMBER(AT90)),AJ90+AT90,"-")</f>
        <v>-</v>
      </c>
      <c r="AV90" s="74" t="str">
        <f>IF(ISNUMBER(AU90),AU90-C90,"-")</f>
        <v>-</v>
      </c>
      <c r="AX90" s="59" t="str">
        <f t="shared" si="31"/>
        <v>-</v>
      </c>
      <c r="AY90" s="59" t="str">
        <f t="shared" si="32"/>
        <v>-</v>
      </c>
      <c r="AZ90" s="59" t="str">
        <f t="shared" si="33"/>
        <v>-</v>
      </c>
      <c r="BA90" s="59" t="str">
        <f t="shared" si="34"/>
        <v>-</v>
      </c>
      <c r="BB90" s="59" t="str">
        <f t="shared" si="35"/>
        <v>-</v>
      </c>
      <c r="BC90" s="59" t="str">
        <f t="shared" si="36"/>
        <v>-</v>
      </c>
      <c r="BD90" s="59" t="str">
        <f t="shared" si="37"/>
        <v>-</v>
      </c>
      <c r="BE90" s="59" t="str">
        <f t="shared" si="38"/>
        <v>-</v>
      </c>
      <c r="BF90" s="59" t="str">
        <f t="shared" si="39"/>
        <v>-</v>
      </c>
      <c r="BG90" s="59" t="str">
        <f t="shared" si="40"/>
        <v>-</v>
      </c>
      <c r="BH90" s="59" t="str">
        <f t="shared" si="41"/>
        <v>-</v>
      </c>
      <c r="BI90" s="59" t="str">
        <f t="shared" si="42"/>
        <v>-</v>
      </c>
      <c r="BJ90" s="59" t="str">
        <f t="shared" si="43"/>
        <v>-</v>
      </c>
      <c r="BK90" s="59" t="str">
        <f t="shared" si="44"/>
        <v>-</v>
      </c>
      <c r="BL90" s="59" t="str">
        <f>IF(AND(R90&gt;0,AO90&gt;0),MIN(R90,AO90),"-")</f>
        <v>-</v>
      </c>
      <c r="BM90" s="59" t="str">
        <f>IF(AND(S90&gt;0,AP90&gt;0),MIN(S90,AP90),"-")</f>
        <v>-</v>
      </c>
      <c r="BN90" s="59" t="str">
        <f>IF(AND(T90&gt;0,AQ90&gt;0),MIN(T90,AQ90),"-")</f>
        <v>-</v>
      </c>
      <c r="BO90" s="59" t="str">
        <f>IF(AND(U90&gt;0,AR90&gt;0),MIN(U90,AR90),"-")</f>
        <v>-</v>
      </c>
      <c r="BP90" s="59" t="str">
        <f>IF(AND(V90&gt;0,AS90&gt;0),MIN(V90,AS90),"-")</f>
        <v>-</v>
      </c>
      <c r="BQ90" s="59" t="str">
        <f t="shared" si="45"/>
        <v>-</v>
      </c>
      <c r="BR90" s="59" t="str">
        <f t="shared" si="46"/>
        <v>-</v>
      </c>
      <c r="BS90" s="59" t="str">
        <f t="shared" si="47"/>
        <v>-</v>
      </c>
      <c r="BT90" s="98" t="str">
        <f>IF(ISNUMBER(BS90),BS90-(C90*Rules!$P$9/100),"-")</f>
        <v>-</v>
      </c>
      <c r="BU90" s="59" t="e">
        <f>RANK($BT90,$BT$5:$BT$106,1)+COUNTIF(BT$5:BT90,BT90)-1</f>
        <v>#VALUE!</v>
      </c>
      <c r="BV90" s="59" t="e">
        <f t="shared" si="48"/>
        <v>#VALUE!</v>
      </c>
      <c r="BW90" s="59" t="str">
        <f t="shared" si="49"/>
        <v xml:space="preserve"> </v>
      </c>
      <c r="BX90" s="59" t="str">
        <f t="shared" si="50"/>
        <v>-</v>
      </c>
      <c r="BY90" s="98" t="str">
        <f t="shared" si="51"/>
        <v>-</v>
      </c>
      <c r="CC90" s="4">
        <v>86</v>
      </c>
      <c r="CD90" s="2" t="e">
        <f>VLOOKUP(CC90,$BU$5:BY$215,2,FALSE)</f>
        <v>#N/A</v>
      </c>
      <c r="CE90" s="6" t="e">
        <f>VLOOKUP(CC90,$BU$5:BY$215,3,FALSE)</f>
        <v>#N/A</v>
      </c>
      <c r="CF90" s="2" t="e">
        <f>VLOOKUP(CC90,$BU$5:BY$215,5,FALSE)</f>
        <v>#N/A</v>
      </c>
      <c r="CL90" s="77">
        <v>1</v>
      </c>
    </row>
    <row r="91" spans="1:90" ht="17.45" customHeight="1">
      <c r="A91" s="58">
        <v>87</v>
      </c>
      <c r="B91" s="59" t="str">
        <f>'A Div'!A91 &amp; " " &amp; 'A Div'!B91</f>
        <v xml:space="preserve"> </v>
      </c>
      <c r="C91" s="59" t="str">
        <f>'A Div'!E91</f>
        <v>-</v>
      </c>
      <c r="D91" s="60"/>
      <c r="E91" s="60"/>
      <c r="F91" s="60"/>
      <c r="G91" s="60"/>
      <c r="H91" s="60"/>
      <c r="I91" s="60"/>
      <c r="J91" s="60"/>
      <c r="K91" s="60"/>
      <c r="L91" s="60"/>
      <c r="M91" s="74" t="str">
        <f t="shared" si="26"/>
        <v>-</v>
      </c>
      <c r="N91" s="60"/>
      <c r="O91" s="60"/>
      <c r="P91" s="60"/>
      <c r="Q91" s="60"/>
      <c r="R91" s="60"/>
      <c r="S91" s="60"/>
      <c r="T91" s="60"/>
      <c r="U91" s="60"/>
      <c r="V91" s="60"/>
      <c r="W91" s="74" t="str">
        <f t="shared" si="27"/>
        <v>-</v>
      </c>
      <c r="X91" s="148" t="str">
        <f t="shared" si="28"/>
        <v>-</v>
      </c>
      <c r="Y91" s="74" t="str">
        <f t="shared" si="29"/>
        <v>-</v>
      </c>
      <c r="AA91" s="60"/>
      <c r="AB91" s="60"/>
      <c r="AC91" s="60"/>
      <c r="AD91" s="60"/>
      <c r="AE91" s="60"/>
      <c r="AF91" s="60"/>
      <c r="AG91" s="60"/>
      <c r="AH91" s="60"/>
      <c r="AI91" s="60"/>
      <c r="AJ91" s="74" t="str">
        <f t="shared" si="30"/>
        <v>-</v>
      </c>
      <c r="AK91" s="60"/>
      <c r="AL91" s="60"/>
      <c r="AM91" s="60"/>
      <c r="AN91" s="60"/>
      <c r="AO91" s="60"/>
      <c r="AP91" s="60"/>
      <c r="AQ91" s="60"/>
      <c r="AR91" s="60"/>
      <c r="AS91" s="60"/>
      <c r="AT91" s="74" t="str">
        <f>IF(COUNTIF(AK91:AS91,"&lt;&gt;"&amp;"")=9,SUM(AK91:AS91),"-")</f>
        <v>-</v>
      </c>
      <c r="AU91" s="148" t="str">
        <f>IF(AND(ISNUMBER(AJ91),ISNUMBER(AT91)),AJ91+AT91,"-")</f>
        <v>-</v>
      </c>
      <c r="AV91" s="74" t="str">
        <f>IF(ISNUMBER(AU91),AU91-C91,"-")</f>
        <v>-</v>
      </c>
      <c r="AX91" s="59" t="str">
        <f t="shared" si="31"/>
        <v>-</v>
      </c>
      <c r="AY91" s="59" t="str">
        <f t="shared" si="32"/>
        <v>-</v>
      </c>
      <c r="AZ91" s="59" t="str">
        <f t="shared" si="33"/>
        <v>-</v>
      </c>
      <c r="BA91" s="59" t="str">
        <f t="shared" si="34"/>
        <v>-</v>
      </c>
      <c r="BB91" s="59" t="str">
        <f t="shared" si="35"/>
        <v>-</v>
      </c>
      <c r="BC91" s="59" t="str">
        <f t="shared" si="36"/>
        <v>-</v>
      </c>
      <c r="BD91" s="59" t="str">
        <f t="shared" si="37"/>
        <v>-</v>
      </c>
      <c r="BE91" s="59" t="str">
        <f t="shared" si="38"/>
        <v>-</v>
      </c>
      <c r="BF91" s="59" t="str">
        <f t="shared" si="39"/>
        <v>-</v>
      </c>
      <c r="BG91" s="59" t="str">
        <f t="shared" si="40"/>
        <v>-</v>
      </c>
      <c r="BH91" s="59" t="str">
        <f t="shared" si="41"/>
        <v>-</v>
      </c>
      <c r="BI91" s="59" t="str">
        <f t="shared" si="42"/>
        <v>-</v>
      </c>
      <c r="BJ91" s="59" t="str">
        <f t="shared" si="43"/>
        <v>-</v>
      </c>
      <c r="BK91" s="59" t="str">
        <f t="shared" si="44"/>
        <v>-</v>
      </c>
      <c r="BL91" s="59" t="str">
        <f>IF(AND(R91&gt;0,AO91&gt;0),MIN(R91,AO91),"-")</f>
        <v>-</v>
      </c>
      <c r="BM91" s="59" t="str">
        <f>IF(AND(S91&gt;0,AP91&gt;0),MIN(S91,AP91),"-")</f>
        <v>-</v>
      </c>
      <c r="BN91" s="59" t="str">
        <f>IF(AND(T91&gt;0,AQ91&gt;0),MIN(T91,AQ91),"-")</f>
        <v>-</v>
      </c>
      <c r="BO91" s="59" t="str">
        <f>IF(AND(U91&gt;0,AR91&gt;0),MIN(U91,AR91),"-")</f>
        <v>-</v>
      </c>
      <c r="BP91" s="59" t="str">
        <f>IF(AND(V91&gt;0,AS91&gt;0),MIN(V91,AS91),"-")</f>
        <v>-</v>
      </c>
      <c r="BQ91" s="59" t="str">
        <f t="shared" si="45"/>
        <v>-</v>
      </c>
      <c r="BR91" s="59" t="str">
        <f t="shared" si="46"/>
        <v>-</v>
      </c>
      <c r="BS91" s="59" t="str">
        <f t="shared" si="47"/>
        <v>-</v>
      </c>
      <c r="BT91" s="98" t="str">
        <f>IF(ISNUMBER(BS91),BS91-(C91*Rules!$P$9/100),"-")</f>
        <v>-</v>
      </c>
      <c r="BU91" s="59" t="e">
        <f>RANK($BT91,$BT$5:$BT$106,1)+COUNTIF(BT$5:BT91,BT91)-1</f>
        <v>#VALUE!</v>
      </c>
      <c r="BV91" s="59" t="e">
        <f t="shared" si="48"/>
        <v>#VALUE!</v>
      </c>
      <c r="BW91" s="59" t="str">
        <f t="shared" si="49"/>
        <v xml:space="preserve"> </v>
      </c>
      <c r="BX91" s="59" t="str">
        <f t="shared" si="50"/>
        <v>-</v>
      </c>
      <c r="BY91" s="98" t="str">
        <f t="shared" si="51"/>
        <v>-</v>
      </c>
      <c r="CC91" s="4">
        <v>87</v>
      </c>
      <c r="CD91" s="2" t="e">
        <f>VLOOKUP(CC91,$BU$5:BY$215,2,FALSE)</f>
        <v>#N/A</v>
      </c>
      <c r="CE91" s="6" t="e">
        <f>VLOOKUP(CC91,$BU$5:BY$215,3,FALSE)</f>
        <v>#N/A</v>
      </c>
      <c r="CF91" s="2" t="e">
        <f>VLOOKUP(CC91,$BU$5:BY$215,5,FALSE)</f>
        <v>#N/A</v>
      </c>
      <c r="CL91" s="77">
        <v>1</v>
      </c>
    </row>
    <row r="92" spans="1:90" ht="17.45" customHeight="1">
      <c r="A92" s="58">
        <v>88</v>
      </c>
      <c r="B92" s="59" t="str">
        <f>'A Div'!A92 &amp; " " &amp; 'A Div'!B92</f>
        <v xml:space="preserve"> </v>
      </c>
      <c r="C92" s="59" t="str">
        <f>'A Div'!E92</f>
        <v>-</v>
      </c>
      <c r="D92" s="60"/>
      <c r="E92" s="60"/>
      <c r="F92" s="60"/>
      <c r="G92" s="60"/>
      <c r="H92" s="60"/>
      <c r="I92" s="60"/>
      <c r="J92" s="60"/>
      <c r="K92" s="60"/>
      <c r="L92" s="60"/>
      <c r="M92" s="74" t="str">
        <f t="shared" si="26"/>
        <v>-</v>
      </c>
      <c r="N92" s="60"/>
      <c r="O92" s="60"/>
      <c r="P92" s="60"/>
      <c r="Q92" s="60"/>
      <c r="R92" s="60"/>
      <c r="S92" s="60"/>
      <c r="T92" s="60"/>
      <c r="U92" s="60"/>
      <c r="V92" s="60"/>
      <c r="W92" s="74" t="str">
        <f t="shared" si="27"/>
        <v>-</v>
      </c>
      <c r="X92" s="148" t="str">
        <f t="shared" si="28"/>
        <v>-</v>
      </c>
      <c r="Y92" s="74" t="str">
        <f t="shared" si="29"/>
        <v>-</v>
      </c>
      <c r="AA92" s="60"/>
      <c r="AB92" s="60"/>
      <c r="AC92" s="60"/>
      <c r="AD92" s="60"/>
      <c r="AE92" s="60"/>
      <c r="AF92" s="60"/>
      <c r="AG92" s="60"/>
      <c r="AH92" s="60"/>
      <c r="AI92" s="60"/>
      <c r="AJ92" s="74" t="str">
        <f t="shared" si="30"/>
        <v>-</v>
      </c>
      <c r="AK92" s="60"/>
      <c r="AL92" s="60"/>
      <c r="AM92" s="60"/>
      <c r="AN92" s="60"/>
      <c r="AO92" s="60"/>
      <c r="AP92" s="60"/>
      <c r="AQ92" s="60"/>
      <c r="AR92" s="60"/>
      <c r="AS92" s="60"/>
      <c r="AT92" s="74" t="str">
        <f>IF(COUNTIF(AK92:AS92,"&lt;&gt;"&amp;"")=9,SUM(AK92:AS92),"-")</f>
        <v>-</v>
      </c>
      <c r="AU92" s="148" t="str">
        <f>IF(AND(ISNUMBER(AJ92),ISNUMBER(AT92)),AJ92+AT92,"-")</f>
        <v>-</v>
      </c>
      <c r="AV92" s="74" t="str">
        <f>IF(ISNUMBER(AU92),AU92-C92,"-")</f>
        <v>-</v>
      </c>
      <c r="AX92" s="59" t="str">
        <f t="shared" si="31"/>
        <v>-</v>
      </c>
      <c r="AY92" s="59" t="str">
        <f t="shared" si="32"/>
        <v>-</v>
      </c>
      <c r="AZ92" s="59" t="str">
        <f t="shared" si="33"/>
        <v>-</v>
      </c>
      <c r="BA92" s="59" t="str">
        <f t="shared" si="34"/>
        <v>-</v>
      </c>
      <c r="BB92" s="59" t="str">
        <f t="shared" si="35"/>
        <v>-</v>
      </c>
      <c r="BC92" s="59" t="str">
        <f t="shared" si="36"/>
        <v>-</v>
      </c>
      <c r="BD92" s="59" t="str">
        <f t="shared" si="37"/>
        <v>-</v>
      </c>
      <c r="BE92" s="59" t="str">
        <f t="shared" si="38"/>
        <v>-</v>
      </c>
      <c r="BF92" s="59" t="str">
        <f t="shared" si="39"/>
        <v>-</v>
      </c>
      <c r="BG92" s="59" t="str">
        <f t="shared" si="40"/>
        <v>-</v>
      </c>
      <c r="BH92" s="59" t="str">
        <f t="shared" si="41"/>
        <v>-</v>
      </c>
      <c r="BI92" s="59" t="str">
        <f t="shared" si="42"/>
        <v>-</v>
      </c>
      <c r="BJ92" s="59" t="str">
        <f t="shared" si="43"/>
        <v>-</v>
      </c>
      <c r="BK92" s="59" t="str">
        <f t="shared" si="44"/>
        <v>-</v>
      </c>
      <c r="BL92" s="59" t="str">
        <f>IF(AND(R92&gt;0,AO92&gt;0),MIN(R92,AO92),"-")</f>
        <v>-</v>
      </c>
      <c r="BM92" s="59" t="str">
        <f>IF(AND(S92&gt;0,AP92&gt;0),MIN(S92,AP92),"-")</f>
        <v>-</v>
      </c>
      <c r="BN92" s="59" t="str">
        <f>IF(AND(T92&gt;0,AQ92&gt;0),MIN(T92,AQ92),"-")</f>
        <v>-</v>
      </c>
      <c r="BO92" s="59" t="str">
        <f>IF(AND(U92&gt;0,AR92&gt;0),MIN(U92,AR92),"-")</f>
        <v>-</v>
      </c>
      <c r="BP92" s="59" t="str">
        <f>IF(AND(V92&gt;0,AS92&gt;0),MIN(V92,AS92),"-")</f>
        <v>-</v>
      </c>
      <c r="BQ92" s="59" t="str">
        <f t="shared" si="45"/>
        <v>-</v>
      </c>
      <c r="BR92" s="59" t="str">
        <f t="shared" si="46"/>
        <v>-</v>
      </c>
      <c r="BS92" s="59" t="str">
        <f t="shared" si="47"/>
        <v>-</v>
      </c>
      <c r="BT92" s="98" t="str">
        <f>IF(ISNUMBER(BS92),BS92-(C92*Rules!$P$9/100),"-")</f>
        <v>-</v>
      </c>
      <c r="BU92" s="59" t="e">
        <f>RANK($BT92,$BT$5:$BT$106,1)+COUNTIF(BT$5:BT92,BT92)-1</f>
        <v>#VALUE!</v>
      </c>
      <c r="BV92" s="59" t="e">
        <f t="shared" si="48"/>
        <v>#VALUE!</v>
      </c>
      <c r="BW92" s="59" t="str">
        <f t="shared" si="49"/>
        <v xml:space="preserve"> </v>
      </c>
      <c r="BX92" s="59" t="str">
        <f t="shared" si="50"/>
        <v>-</v>
      </c>
      <c r="BY92" s="98" t="str">
        <f t="shared" si="51"/>
        <v>-</v>
      </c>
      <c r="CC92" s="4">
        <v>88</v>
      </c>
      <c r="CD92" s="2" t="e">
        <f>VLOOKUP(CC92,$BU$5:BY$215,2,FALSE)</f>
        <v>#N/A</v>
      </c>
      <c r="CE92" s="6" t="e">
        <f>VLOOKUP(CC92,$BU$5:BY$215,3,FALSE)</f>
        <v>#N/A</v>
      </c>
      <c r="CF92" s="2" t="e">
        <f>VLOOKUP(CC92,$BU$5:BY$215,5,FALSE)</f>
        <v>#N/A</v>
      </c>
      <c r="CL92" s="77">
        <v>1</v>
      </c>
    </row>
    <row r="93" spans="1:90" ht="17.45" customHeight="1">
      <c r="A93" s="58">
        <v>89</v>
      </c>
      <c r="B93" s="59" t="str">
        <f>'A Div'!A93 &amp; " " &amp; 'A Div'!B93</f>
        <v xml:space="preserve"> </v>
      </c>
      <c r="C93" s="59" t="str">
        <f>'A Div'!E93</f>
        <v>-</v>
      </c>
      <c r="D93" s="60"/>
      <c r="E93" s="60"/>
      <c r="F93" s="60"/>
      <c r="G93" s="60"/>
      <c r="H93" s="60"/>
      <c r="I93" s="60"/>
      <c r="J93" s="60"/>
      <c r="K93" s="60"/>
      <c r="L93" s="60"/>
      <c r="M93" s="74" t="str">
        <f t="shared" si="26"/>
        <v>-</v>
      </c>
      <c r="N93" s="60"/>
      <c r="O93" s="60"/>
      <c r="P93" s="60"/>
      <c r="Q93" s="60"/>
      <c r="R93" s="60"/>
      <c r="S93" s="60"/>
      <c r="T93" s="60"/>
      <c r="U93" s="60"/>
      <c r="V93" s="60"/>
      <c r="W93" s="74" t="str">
        <f t="shared" si="27"/>
        <v>-</v>
      </c>
      <c r="X93" s="148" t="str">
        <f t="shared" si="28"/>
        <v>-</v>
      </c>
      <c r="Y93" s="74" t="str">
        <f t="shared" si="29"/>
        <v>-</v>
      </c>
      <c r="AA93" s="60"/>
      <c r="AB93" s="60"/>
      <c r="AC93" s="60"/>
      <c r="AD93" s="60"/>
      <c r="AE93" s="60"/>
      <c r="AF93" s="60"/>
      <c r="AG93" s="60"/>
      <c r="AH93" s="60"/>
      <c r="AI93" s="60"/>
      <c r="AJ93" s="74" t="str">
        <f t="shared" si="30"/>
        <v>-</v>
      </c>
      <c r="AK93" s="60"/>
      <c r="AL93" s="60"/>
      <c r="AM93" s="60"/>
      <c r="AN93" s="60"/>
      <c r="AO93" s="60"/>
      <c r="AP93" s="60"/>
      <c r="AQ93" s="60"/>
      <c r="AR93" s="60"/>
      <c r="AS93" s="60"/>
      <c r="AT93" s="74" t="str">
        <f>IF(COUNTIF(AK93:AS93,"&lt;&gt;"&amp;"")=9,SUM(AK93:AS93),"-")</f>
        <v>-</v>
      </c>
      <c r="AU93" s="148" t="str">
        <f>IF(AND(ISNUMBER(AJ93),ISNUMBER(AT93)),AJ93+AT93,"-")</f>
        <v>-</v>
      </c>
      <c r="AV93" s="74" t="str">
        <f>IF(ISNUMBER(AU93),AU93-C93,"-")</f>
        <v>-</v>
      </c>
      <c r="AX93" s="59" t="str">
        <f t="shared" si="31"/>
        <v>-</v>
      </c>
      <c r="AY93" s="59" t="str">
        <f t="shared" si="32"/>
        <v>-</v>
      </c>
      <c r="AZ93" s="59" t="str">
        <f t="shared" si="33"/>
        <v>-</v>
      </c>
      <c r="BA93" s="59" t="str">
        <f t="shared" si="34"/>
        <v>-</v>
      </c>
      <c r="BB93" s="59" t="str">
        <f t="shared" si="35"/>
        <v>-</v>
      </c>
      <c r="BC93" s="59" t="str">
        <f t="shared" si="36"/>
        <v>-</v>
      </c>
      <c r="BD93" s="59" t="str">
        <f t="shared" si="37"/>
        <v>-</v>
      </c>
      <c r="BE93" s="59" t="str">
        <f t="shared" si="38"/>
        <v>-</v>
      </c>
      <c r="BF93" s="59" t="str">
        <f t="shared" si="39"/>
        <v>-</v>
      </c>
      <c r="BG93" s="59" t="str">
        <f t="shared" si="40"/>
        <v>-</v>
      </c>
      <c r="BH93" s="59" t="str">
        <f t="shared" si="41"/>
        <v>-</v>
      </c>
      <c r="BI93" s="59" t="str">
        <f t="shared" si="42"/>
        <v>-</v>
      </c>
      <c r="BJ93" s="59" t="str">
        <f t="shared" si="43"/>
        <v>-</v>
      </c>
      <c r="BK93" s="59" t="str">
        <f t="shared" si="44"/>
        <v>-</v>
      </c>
      <c r="BL93" s="59" t="str">
        <f>IF(AND(R93&gt;0,AO93&gt;0),MIN(R93,AO93),"-")</f>
        <v>-</v>
      </c>
      <c r="BM93" s="59" t="str">
        <f>IF(AND(S93&gt;0,AP93&gt;0),MIN(S93,AP93),"-")</f>
        <v>-</v>
      </c>
      <c r="BN93" s="59" t="str">
        <f>IF(AND(T93&gt;0,AQ93&gt;0),MIN(T93,AQ93),"-")</f>
        <v>-</v>
      </c>
      <c r="BO93" s="59" t="str">
        <f>IF(AND(U93&gt;0,AR93&gt;0),MIN(U93,AR93),"-")</f>
        <v>-</v>
      </c>
      <c r="BP93" s="59" t="str">
        <f>IF(AND(V93&gt;0,AS93&gt;0),MIN(V93,AS93),"-")</f>
        <v>-</v>
      </c>
      <c r="BQ93" s="59" t="str">
        <f t="shared" si="45"/>
        <v>-</v>
      </c>
      <c r="BR93" s="59" t="str">
        <f t="shared" si="46"/>
        <v>-</v>
      </c>
      <c r="BS93" s="59" t="str">
        <f t="shared" si="47"/>
        <v>-</v>
      </c>
      <c r="BT93" s="98" t="str">
        <f>IF(ISNUMBER(BS93),BS93-(C93*Rules!$P$9/100),"-")</f>
        <v>-</v>
      </c>
      <c r="BU93" s="59" t="e">
        <f>RANK($BT93,$BT$5:$BT$106,1)+COUNTIF(BT$5:BT93,BT93)-1</f>
        <v>#VALUE!</v>
      </c>
      <c r="BV93" s="59" t="e">
        <f t="shared" si="48"/>
        <v>#VALUE!</v>
      </c>
      <c r="BW93" s="59" t="str">
        <f t="shared" si="49"/>
        <v xml:space="preserve"> </v>
      </c>
      <c r="BX93" s="59" t="str">
        <f t="shared" si="50"/>
        <v>-</v>
      </c>
      <c r="BY93" s="98" t="str">
        <f t="shared" si="51"/>
        <v>-</v>
      </c>
      <c r="CC93" s="4">
        <v>89</v>
      </c>
      <c r="CD93" s="2" t="e">
        <f>VLOOKUP(CC93,$BU$5:BY$215,2,FALSE)</f>
        <v>#N/A</v>
      </c>
      <c r="CE93" s="6" t="e">
        <f>VLOOKUP(CC93,$BU$5:BY$215,3,FALSE)</f>
        <v>#N/A</v>
      </c>
      <c r="CF93" s="2" t="e">
        <f>VLOOKUP(CC93,$BU$5:BY$215,5,FALSE)</f>
        <v>#N/A</v>
      </c>
      <c r="CL93" s="77">
        <v>1</v>
      </c>
    </row>
    <row r="94" spans="1:90" ht="17.45" customHeight="1">
      <c r="A94" s="58">
        <v>90</v>
      </c>
      <c r="B94" s="59" t="str">
        <f>'A Div'!A94 &amp; " " &amp; 'A Div'!B94</f>
        <v xml:space="preserve"> </v>
      </c>
      <c r="C94" s="59" t="str">
        <f>'A Div'!E94</f>
        <v>-</v>
      </c>
      <c r="D94" s="60"/>
      <c r="E94" s="60"/>
      <c r="F94" s="60"/>
      <c r="G94" s="60"/>
      <c r="H94" s="60"/>
      <c r="I94" s="60"/>
      <c r="J94" s="60"/>
      <c r="K94" s="60"/>
      <c r="L94" s="60"/>
      <c r="M94" s="74" t="str">
        <f t="shared" si="26"/>
        <v>-</v>
      </c>
      <c r="N94" s="60"/>
      <c r="O94" s="60"/>
      <c r="P94" s="60"/>
      <c r="Q94" s="60"/>
      <c r="R94" s="60"/>
      <c r="S94" s="60"/>
      <c r="T94" s="60"/>
      <c r="U94" s="60"/>
      <c r="V94" s="60"/>
      <c r="W94" s="74" t="str">
        <f t="shared" si="27"/>
        <v>-</v>
      </c>
      <c r="X94" s="148" t="str">
        <f t="shared" si="28"/>
        <v>-</v>
      </c>
      <c r="Y94" s="74" t="str">
        <f t="shared" si="29"/>
        <v>-</v>
      </c>
      <c r="AA94" s="60"/>
      <c r="AB94" s="60"/>
      <c r="AC94" s="60"/>
      <c r="AD94" s="60"/>
      <c r="AE94" s="60"/>
      <c r="AF94" s="60"/>
      <c r="AG94" s="60"/>
      <c r="AH94" s="60"/>
      <c r="AI94" s="60"/>
      <c r="AJ94" s="74" t="str">
        <f t="shared" si="30"/>
        <v>-</v>
      </c>
      <c r="AK94" s="60"/>
      <c r="AL94" s="60"/>
      <c r="AM94" s="60"/>
      <c r="AN94" s="60"/>
      <c r="AO94" s="60"/>
      <c r="AP94" s="60"/>
      <c r="AQ94" s="60"/>
      <c r="AR94" s="60"/>
      <c r="AS94" s="60"/>
      <c r="AT94" s="74" t="str">
        <f>IF(COUNTIF(AK94:AS94,"&lt;&gt;"&amp;"")=9,SUM(AK94:AS94),"-")</f>
        <v>-</v>
      </c>
      <c r="AU94" s="148" t="str">
        <f>IF(AND(ISNUMBER(AJ94),ISNUMBER(AT94)),AJ94+AT94,"-")</f>
        <v>-</v>
      </c>
      <c r="AV94" s="74" t="str">
        <f>IF(ISNUMBER(AU94),AU94-C94,"-")</f>
        <v>-</v>
      </c>
      <c r="AX94" s="59" t="str">
        <f t="shared" si="31"/>
        <v>-</v>
      </c>
      <c r="AY94" s="59" t="str">
        <f t="shared" si="32"/>
        <v>-</v>
      </c>
      <c r="AZ94" s="59" t="str">
        <f t="shared" si="33"/>
        <v>-</v>
      </c>
      <c r="BA94" s="59" t="str">
        <f t="shared" si="34"/>
        <v>-</v>
      </c>
      <c r="BB94" s="59" t="str">
        <f t="shared" si="35"/>
        <v>-</v>
      </c>
      <c r="BC94" s="59" t="str">
        <f t="shared" si="36"/>
        <v>-</v>
      </c>
      <c r="BD94" s="59" t="str">
        <f t="shared" si="37"/>
        <v>-</v>
      </c>
      <c r="BE94" s="59" t="str">
        <f t="shared" si="38"/>
        <v>-</v>
      </c>
      <c r="BF94" s="59" t="str">
        <f t="shared" si="39"/>
        <v>-</v>
      </c>
      <c r="BG94" s="59" t="str">
        <f t="shared" si="40"/>
        <v>-</v>
      </c>
      <c r="BH94" s="59" t="str">
        <f t="shared" si="41"/>
        <v>-</v>
      </c>
      <c r="BI94" s="59" t="str">
        <f t="shared" si="42"/>
        <v>-</v>
      </c>
      <c r="BJ94" s="59" t="str">
        <f t="shared" si="43"/>
        <v>-</v>
      </c>
      <c r="BK94" s="59" t="str">
        <f t="shared" si="44"/>
        <v>-</v>
      </c>
      <c r="BL94" s="59" t="str">
        <f>IF(AND(R94&gt;0,AO94&gt;0),MIN(R94,AO94),"-")</f>
        <v>-</v>
      </c>
      <c r="BM94" s="59" t="str">
        <f>IF(AND(S94&gt;0,AP94&gt;0),MIN(S94,AP94),"-")</f>
        <v>-</v>
      </c>
      <c r="BN94" s="59" t="str">
        <f>IF(AND(T94&gt;0,AQ94&gt;0),MIN(T94,AQ94),"-")</f>
        <v>-</v>
      </c>
      <c r="BO94" s="59" t="str">
        <f>IF(AND(U94&gt;0,AR94&gt;0),MIN(U94,AR94),"-")</f>
        <v>-</v>
      </c>
      <c r="BP94" s="59" t="str">
        <f>IF(AND(V94&gt;0,AS94&gt;0),MIN(V94,AS94),"-")</f>
        <v>-</v>
      </c>
      <c r="BQ94" s="59" t="str">
        <f t="shared" si="45"/>
        <v>-</v>
      </c>
      <c r="BR94" s="59" t="str">
        <f t="shared" si="46"/>
        <v>-</v>
      </c>
      <c r="BS94" s="59" t="str">
        <f t="shared" si="47"/>
        <v>-</v>
      </c>
      <c r="BT94" s="98" t="str">
        <f>IF(ISNUMBER(BS94),BS94-(C94*Rules!$P$9/100),"-")</f>
        <v>-</v>
      </c>
      <c r="BU94" s="59" t="e">
        <f>RANK($BT94,$BT$5:$BT$106,1)+COUNTIF(BT$5:BT94,BT94)-1</f>
        <v>#VALUE!</v>
      </c>
      <c r="BV94" s="59" t="e">
        <f t="shared" si="48"/>
        <v>#VALUE!</v>
      </c>
      <c r="BW94" s="59" t="str">
        <f t="shared" si="49"/>
        <v xml:space="preserve"> </v>
      </c>
      <c r="BX94" s="59" t="str">
        <f t="shared" si="50"/>
        <v>-</v>
      </c>
      <c r="BY94" s="98" t="str">
        <f t="shared" si="51"/>
        <v>-</v>
      </c>
      <c r="CC94" s="4">
        <v>90</v>
      </c>
      <c r="CD94" s="2" t="e">
        <f>VLOOKUP(CC94,$BU$5:BY$215,2,FALSE)</f>
        <v>#N/A</v>
      </c>
      <c r="CE94" s="6" t="e">
        <f>VLOOKUP(CC94,$BU$5:BY$215,3,FALSE)</f>
        <v>#N/A</v>
      </c>
      <c r="CF94" s="2" t="e">
        <f>VLOOKUP(CC94,$BU$5:BY$215,5,FALSE)</f>
        <v>#N/A</v>
      </c>
      <c r="CL94" s="77">
        <v>1</v>
      </c>
    </row>
    <row r="95" spans="1:90" ht="17.45" customHeight="1">
      <c r="A95" s="58">
        <v>91</v>
      </c>
      <c r="B95" s="59" t="str">
        <f>'A Div'!A95 &amp; " " &amp; 'A Div'!B95</f>
        <v xml:space="preserve"> </v>
      </c>
      <c r="C95" s="59" t="str">
        <f>'A Div'!E95</f>
        <v>-</v>
      </c>
      <c r="D95" s="60"/>
      <c r="E95" s="60"/>
      <c r="F95" s="60"/>
      <c r="G95" s="60"/>
      <c r="H95" s="60"/>
      <c r="I95" s="60"/>
      <c r="J95" s="60"/>
      <c r="K95" s="60"/>
      <c r="L95" s="60"/>
      <c r="M95" s="74" t="str">
        <f t="shared" si="26"/>
        <v>-</v>
      </c>
      <c r="N95" s="60"/>
      <c r="O95" s="60"/>
      <c r="P95" s="60"/>
      <c r="Q95" s="60"/>
      <c r="R95" s="60"/>
      <c r="S95" s="60"/>
      <c r="T95" s="60"/>
      <c r="U95" s="60"/>
      <c r="V95" s="60"/>
      <c r="W95" s="74" t="str">
        <f t="shared" si="27"/>
        <v>-</v>
      </c>
      <c r="X95" s="148" t="str">
        <f t="shared" si="28"/>
        <v>-</v>
      </c>
      <c r="Y95" s="74" t="str">
        <f t="shared" si="29"/>
        <v>-</v>
      </c>
      <c r="AA95" s="60"/>
      <c r="AB95" s="60"/>
      <c r="AC95" s="60"/>
      <c r="AD95" s="60"/>
      <c r="AE95" s="60"/>
      <c r="AF95" s="60"/>
      <c r="AG95" s="60"/>
      <c r="AH95" s="60"/>
      <c r="AI95" s="60"/>
      <c r="AJ95" s="74" t="str">
        <f t="shared" si="30"/>
        <v>-</v>
      </c>
      <c r="AK95" s="60"/>
      <c r="AL95" s="60"/>
      <c r="AM95" s="60"/>
      <c r="AN95" s="60"/>
      <c r="AO95" s="60"/>
      <c r="AP95" s="60"/>
      <c r="AQ95" s="60"/>
      <c r="AR95" s="60"/>
      <c r="AS95" s="60"/>
      <c r="AT95" s="74" t="str">
        <f>IF(COUNTIF(AK95:AS95,"&lt;&gt;"&amp;"")=9,SUM(AK95:AS95),"-")</f>
        <v>-</v>
      </c>
      <c r="AU95" s="148" t="str">
        <f>IF(AND(ISNUMBER(AJ95),ISNUMBER(AT95)),AJ95+AT95,"-")</f>
        <v>-</v>
      </c>
      <c r="AV95" s="74" t="str">
        <f>IF(ISNUMBER(AU95),AU95-C95,"-")</f>
        <v>-</v>
      </c>
      <c r="AX95" s="59" t="str">
        <f t="shared" si="31"/>
        <v>-</v>
      </c>
      <c r="AY95" s="59" t="str">
        <f t="shared" si="32"/>
        <v>-</v>
      </c>
      <c r="AZ95" s="59" t="str">
        <f t="shared" si="33"/>
        <v>-</v>
      </c>
      <c r="BA95" s="59" t="str">
        <f t="shared" si="34"/>
        <v>-</v>
      </c>
      <c r="BB95" s="59" t="str">
        <f t="shared" si="35"/>
        <v>-</v>
      </c>
      <c r="BC95" s="59" t="str">
        <f t="shared" si="36"/>
        <v>-</v>
      </c>
      <c r="BD95" s="59" t="str">
        <f t="shared" si="37"/>
        <v>-</v>
      </c>
      <c r="BE95" s="59" t="str">
        <f t="shared" si="38"/>
        <v>-</v>
      </c>
      <c r="BF95" s="59" t="str">
        <f t="shared" si="39"/>
        <v>-</v>
      </c>
      <c r="BG95" s="59" t="str">
        <f t="shared" si="40"/>
        <v>-</v>
      </c>
      <c r="BH95" s="59" t="str">
        <f t="shared" si="41"/>
        <v>-</v>
      </c>
      <c r="BI95" s="59" t="str">
        <f t="shared" si="42"/>
        <v>-</v>
      </c>
      <c r="BJ95" s="59" t="str">
        <f t="shared" si="43"/>
        <v>-</v>
      </c>
      <c r="BK95" s="59" t="str">
        <f t="shared" si="44"/>
        <v>-</v>
      </c>
      <c r="BL95" s="59" t="str">
        <f>IF(AND(R95&gt;0,AO95&gt;0),MIN(R95,AO95),"-")</f>
        <v>-</v>
      </c>
      <c r="BM95" s="59" t="str">
        <f>IF(AND(S95&gt;0,AP95&gt;0),MIN(S95,AP95),"-")</f>
        <v>-</v>
      </c>
      <c r="BN95" s="59" t="str">
        <f>IF(AND(T95&gt;0,AQ95&gt;0),MIN(T95,AQ95),"-")</f>
        <v>-</v>
      </c>
      <c r="BO95" s="59" t="str">
        <f>IF(AND(U95&gt;0,AR95&gt;0),MIN(U95,AR95),"-")</f>
        <v>-</v>
      </c>
      <c r="BP95" s="59" t="str">
        <f>IF(AND(V95&gt;0,AS95&gt;0),MIN(V95,AS95),"-")</f>
        <v>-</v>
      </c>
      <c r="BQ95" s="59" t="str">
        <f t="shared" si="45"/>
        <v>-</v>
      </c>
      <c r="BR95" s="59" t="str">
        <f t="shared" si="46"/>
        <v>-</v>
      </c>
      <c r="BS95" s="59" t="str">
        <f t="shared" si="47"/>
        <v>-</v>
      </c>
      <c r="BT95" s="98" t="str">
        <f>IF(ISNUMBER(BS95),BS95-(C95*Rules!$P$9/100),"-")</f>
        <v>-</v>
      </c>
      <c r="BU95" s="59" t="e">
        <f>RANK($BT95,$BT$5:$BT$106,1)+COUNTIF(BT$5:BT95,BT95)-1</f>
        <v>#VALUE!</v>
      </c>
      <c r="BV95" s="59" t="e">
        <f t="shared" si="48"/>
        <v>#VALUE!</v>
      </c>
      <c r="BW95" s="59" t="str">
        <f t="shared" si="49"/>
        <v xml:space="preserve"> </v>
      </c>
      <c r="BX95" s="59" t="str">
        <f t="shared" si="50"/>
        <v>-</v>
      </c>
      <c r="BY95" s="98" t="str">
        <f t="shared" si="51"/>
        <v>-</v>
      </c>
      <c r="CC95" s="4">
        <v>91</v>
      </c>
      <c r="CD95" s="2" t="e">
        <f>VLOOKUP(CC95,$BU$5:BY$215,2,FALSE)</f>
        <v>#N/A</v>
      </c>
      <c r="CE95" s="6" t="e">
        <f>VLOOKUP(CC95,$BU$5:BY$215,3,FALSE)</f>
        <v>#N/A</v>
      </c>
      <c r="CF95" s="2" t="e">
        <f>VLOOKUP(CC95,$BU$5:BY$215,5,FALSE)</f>
        <v>#N/A</v>
      </c>
      <c r="CL95" s="77">
        <v>1</v>
      </c>
    </row>
    <row r="96" spans="1:90" ht="17.45" customHeight="1">
      <c r="A96" s="58">
        <v>92</v>
      </c>
      <c r="B96" s="59" t="str">
        <f>'A Div'!A96 &amp; " " &amp; 'A Div'!B96</f>
        <v xml:space="preserve"> </v>
      </c>
      <c r="C96" s="59" t="str">
        <f>'A Div'!E96</f>
        <v>-</v>
      </c>
      <c r="D96" s="60"/>
      <c r="E96" s="60"/>
      <c r="F96" s="60"/>
      <c r="G96" s="60"/>
      <c r="H96" s="60"/>
      <c r="I96" s="60"/>
      <c r="J96" s="60"/>
      <c r="K96" s="60"/>
      <c r="L96" s="60"/>
      <c r="M96" s="74" t="str">
        <f t="shared" si="26"/>
        <v>-</v>
      </c>
      <c r="N96" s="60"/>
      <c r="O96" s="60"/>
      <c r="P96" s="60"/>
      <c r="Q96" s="60"/>
      <c r="R96" s="60"/>
      <c r="S96" s="60"/>
      <c r="T96" s="60"/>
      <c r="U96" s="60"/>
      <c r="V96" s="60"/>
      <c r="W96" s="74" t="str">
        <f t="shared" si="27"/>
        <v>-</v>
      </c>
      <c r="X96" s="148" t="str">
        <f t="shared" si="28"/>
        <v>-</v>
      </c>
      <c r="Y96" s="74" t="str">
        <f t="shared" si="29"/>
        <v>-</v>
      </c>
      <c r="AA96" s="60"/>
      <c r="AB96" s="60"/>
      <c r="AC96" s="60"/>
      <c r="AD96" s="60"/>
      <c r="AE96" s="60"/>
      <c r="AF96" s="60"/>
      <c r="AG96" s="60"/>
      <c r="AH96" s="60"/>
      <c r="AI96" s="60"/>
      <c r="AJ96" s="74" t="str">
        <f t="shared" si="30"/>
        <v>-</v>
      </c>
      <c r="AK96" s="60"/>
      <c r="AL96" s="60"/>
      <c r="AM96" s="60"/>
      <c r="AN96" s="60"/>
      <c r="AO96" s="60"/>
      <c r="AP96" s="60"/>
      <c r="AQ96" s="60"/>
      <c r="AR96" s="60"/>
      <c r="AS96" s="60"/>
      <c r="AT96" s="74" t="str">
        <f>IF(COUNTIF(AK96:AS96,"&lt;&gt;"&amp;"")=9,SUM(AK96:AS96),"-")</f>
        <v>-</v>
      </c>
      <c r="AU96" s="148" t="str">
        <f>IF(AND(ISNUMBER(AJ96),ISNUMBER(AT96)),AJ96+AT96,"-")</f>
        <v>-</v>
      </c>
      <c r="AV96" s="74" t="str">
        <f>IF(ISNUMBER(AU96),AU96-C96,"-")</f>
        <v>-</v>
      </c>
      <c r="AX96" s="59" t="str">
        <f t="shared" si="31"/>
        <v>-</v>
      </c>
      <c r="AY96" s="59" t="str">
        <f t="shared" si="32"/>
        <v>-</v>
      </c>
      <c r="AZ96" s="59" t="str">
        <f t="shared" si="33"/>
        <v>-</v>
      </c>
      <c r="BA96" s="59" t="str">
        <f t="shared" si="34"/>
        <v>-</v>
      </c>
      <c r="BB96" s="59" t="str">
        <f t="shared" si="35"/>
        <v>-</v>
      </c>
      <c r="BC96" s="59" t="str">
        <f t="shared" si="36"/>
        <v>-</v>
      </c>
      <c r="BD96" s="59" t="str">
        <f t="shared" si="37"/>
        <v>-</v>
      </c>
      <c r="BE96" s="59" t="str">
        <f t="shared" si="38"/>
        <v>-</v>
      </c>
      <c r="BF96" s="59" t="str">
        <f t="shared" si="39"/>
        <v>-</v>
      </c>
      <c r="BG96" s="59" t="str">
        <f t="shared" si="40"/>
        <v>-</v>
      </c>
      <c r="BH96" s="59" t="str">
        <f t="shared" si="41"/>
        <v>-</v>
      </c>
      <c r="BI96" s="59" t="str">
        <f t="shared" si="42"/>
        <v>-</v>
      </c>
      <c r="BJ96" s="59" t="str">
        <f t="shared" si="43"/>
        <v>-</v>
      </c>
      <c r="BK96" s="59" t="str">
        <f t="shared" si="44"/>
        <v>-</v>
      </c>
      <c r="BL96" s="59" t="str">
        <f>IF(AND(R96&gt;0,AO96&gt;0),MIN(R96,AO96),"-")</f>
        <v>-</v>
      </c>
      <c r="BM96" s="59" t="str">
        <f>IF(AND(S96&gt;0,AP96&gt;0),MIN(S96,AP96),"-")</f>
        <v>-</v>
      </c>
      <c r="BN96" s="59" t="str">
        <f>IF(AND(T96&gt;0,AQ96&gt;0),MIN(T96,AQ96),"-")</f>
        <v>-</v>
      </c>
      <c r="BO96" s="59" t="str">
        <f>IF(AND(U96&gt;0,AR96&gt;0),MIN(U96,AR96),"-")</f>
        <v>-</v>
      </c>
      <c r="BP96" s="59" t="str">
        <f>IF(AND(V96&gt;0,AS96&gt;0),MIN(V96,AS96),"-")</f>
        <v>-</v>
      </c>
      <c r="BQ96" s="59" t="str">
        <f t="shared" si="45"/>
        <v>-</v>
      </c>
      <c r="BR96" s="59" t="str">
        <f t="shared" si="46"/>
        <v>-</v>
      </c>
      <c r="BS96" s="59" t="str">
        <f t="shared" si="47"/>
        <v>-</v>
      </c>
      <c r="BT96" s="98" t="str">
        <f>IF(ISNUMBER(BS96),BS96-(C96*Rules!$P$9/100),"-")</f>
        <v>-</v>
      </c>
      <c r="BU96" s="59" t="e">
        <f>RANK($BT96,$BT$5:$BT$106,1)+COUNTIF(BT$5:BT96,BT96)-1</f>
        <v>#VALUE!</v>
      </c>
      <c r="BV96" s="59" t="e">
        <f t="shared" si="48"/>
        <v>#VALUE!</v>
      </c>
      <c r="BW96" s="59" t="str">
        <f t="shared" si="49"/>
        <v xml:space="preserve"> </v>
      </c>
      <c r="BX96" s="59" t="str">
        <f t="shared" si="50"/>
        <v>-</v>
      </c>
      <c r="BY96" s="98" t="str">
        <f t="shared" si="51"/>
        <v>-</v>
      </c>
      <c r="CC96" s="4">
        <v>92</v>
      </c>
      <c r="CD96" s="2" t="e">
        <f>VLOOKUP(CC96,$BU$5:BY$215,2,FALSE)</f>
        <v>#N/A</v>
      </c>
      <c r="CE96" s="6" t="e">
        <f>VLOOKUP(CC96,$BU$5:BY$215,3,FALSE)</f>
        <v>#N/A</v>
      </c>
      <c r="CF96" s="2" t="e">
        <f>VLOOKUP(CC96,$BU$5:BY$215,5,FALSE)</f>
        <v>#N/A</v>
      </c>
      <c r="CL96" s="77">
        <v>1</v>
      </c>
    </row>
    <row r="97" spans="1:90" ht="17.45" customHeight="1">
      <c r="A97" s="58">
        <v>93</v>
      </c>
      <c r="B97" s="59" t="str">
        <f>'A Div'!A97 &amp; " " &amp; 'A Div'!B97</f>
        <v xml:space="preserve"> </v>
      </c>
      <c r="C97" s="59" t="str">
        <f>'A Div'!E97</f>
        <v>-</v>
      </c>
      <c r="D97" s="60"/>
      <c r="E97" s="60"/>
      <c r="F97" s="60"/>
      <c r="G97" s="60"/>
      <c r="H97" s="60"/>
      <c r="I97" s="60"/>
      <c r="J97" s="60"/>
      <c r="K97" s="60"/>
      <c r="L97" s="60"/>
      <c r="M97" s="74" t="str">
        <f t="shared" si="26"/>
        <v>-</v>
      </c>
      <c r="N97" s="60"/>
      <c r="O97" s="60"/>
      <c r="P97" s="60"/>
      <c r="Q97" s="60"/>
      <c r="R97" s="60"/>
      <c r="S97" s="60"/>
      <c r="T97" s="60"/>
      <c r="U97" s="60"/>
      <c r="V97" s="60"/>
      <c r="W97" s="74" t="str">
        <f t="shared" si="27"/>
        <v>-</v>
      </c>
      <c r="X97" s="148" t="str">
        <f t="shared" si="28"/>
        <v>-</v>
      </c>
      <c r="Y97" s="74" t="str">
        <f t="shared" si="29"/>
        <v>-</v>
      </c>
      <c r="AA97" s="60"/>
      <c r="AB97" s="60"/>
      <c r="AC97" s="60"/>
      <c r="AD97" s="60"/>
      <c r="AE97" s="60"/>
      <c r="AF97" s="60"/>
      <c r="AG97" s="60"/>
      <c r="AH97" s="60"/>
      <c r="AI97" s="60"/>
      <c r="AJ97" s="74" t="str">
        <f t="shared" si="30"/>
        <v>-</v>
      </c>
      <c r="AK97" s="60"/>
      <c r="AL97" s="60"/>
      <c r="AM97" s="60"/>
      <c r="AN97" s="60"/>
      <c r="AO97" s="60"/>
      <c r="AP97" s="60"/>
      <c r="AQ97" s="60"/>
      <c r="AR97" s="60"/>
      <c r="AS97" s="60"/>
      <c r="AT97" s="74" t="str">
        <f>IF(COUNTIF(AK97:AS97,"&lt;&gt;"&amp;"")=9,SUM(AK97:AS97),"-")</f>
        <v>-</v>
      </c>
      <c r="AU97" s="148" t="str">
        <f>IF(AND(ISNUMBER(AJ97),ISNUMBER(AT97)),AJ97+AT97,"-")</f>
        <v>-</v>
      </c>
      <c r="AV97" s="74" t="str">
        <f>IF(ISNUMBER(AU97),AU97-C97,"-")</f>
        <v>-</v>
      </c>
      <c r="AX97" s="59" t="str">
        <f t="shared" si="31"/>
        <v>-</v>
      </c>
      <c r="AY97" s="59" t="str">
        <f t="shared" si="32"/>
        <v>-</v>
      </c>
      <c r="AZ97" s="59" t="str">
        <f t="shared" si="33"/>
        <v>-</v>
      </c>
      <c r="BA97" s="59" t="str">
        <f t="shared" si="34"/>
        <v>-</v>
      </c>
      <c r="BB97" s="59" t="str">
        <f t="shared" si="35"/>
        <v>-</v>
      </c>
      <c r="BC97" s="59" t="str">
        <f t="shared" si="36"/>
        <v>-</v>
      </c>
      <c r="BD97" s="59" t="str">
        <f t="shared" si="37"/>
        <v>-</v>
      </c>
      <c r="BE97" s="59" t="str">
        <f t="shared" si="38"/>
        <v>-</v>
      </c>
      <c r="BF97" s="59" t="str">
        <f t="shared" si="39"/>
        <v>-</v>
      </c>
      <c r="BG97" s="59" t="str">
        <f t="shared" si="40"/>
        <v>-</v>
      </c>
      <c r="BH97" s="59" t="str">
        <f t="shared" si="41"/>
        <v>-</v>
      </c>
      <c r="BI97" s="59" t="str">
        <f t="shared" si="42"/>
        <v>-</v>
      </c>
      <c r="BJ97" s="59" t="str">
        <f t="shared" si="43"/>
        <v>-</v>
      </c>
      <c r="BK97" s="59" t="str">
        <f t="shared" si="44"/>
        <v>-</v>
      </c>
      <c r="BL97" s="59" t="str">
        <f>IF(AND(R97&gt;0,AO97&gt;0),MIN(R97,AO97),"-")</f>
        <v>-</v>
      </c>
      <c r="BM97" s="59" t="str">
        <f>IF(AND(S97&gt;0,AP97&gt;0),MIN(S97,AP97),"-")</f>
        <v>-</v>
      </c>
      <c r="BN97" s="59" t="str">
        <f>IF(AND(T97&gt;0,AQ97&gt;0),MIN(T97,AQ97),"-")</f>
        <v>-</v>
      </c>
      <c r="BO97" s="59" t="str">
        <f>IF(AND(U97&gt;0,AR97&gt;0),MIN(U97,AR97),"-")</f>
        <v>-</v>
      </c>
      <c r="BP97" s="59" t="str">
        <f>IF(AND(V97&gt;0,AS97&gt;0),MIN(V97,AS97),"-")</f>
        <v>-</v>
      </c>
      <c r="BQ97" s="59" t="str">
        <f t="shared" si="45"/>
        <v>-</v>
      </c>
      <c r="BR97" s="59" t="str">
        <f t="shared" si="46"/>
        <v>-</v>
      </c>
      <c r="BS97" s="59" t="str">
        <f t="shared" si="47"/>
        <v>-</v>
      </c>
      <c r="BT97" s="98" t="str">
        <f>IF(ISNUMBER(BS97),BS97-(C97*Rules!$P$9/100),"-")</f>
        <v>-</v>
      </c>
      <c r="BU97" s="59" t="e">
        <f>RANK($BT97,$BT$5:$BT$106,1)+COUNTIF(BT$5:BT97,BT97)-1</f>
        <v>#VALUE!</v>
      </c>
      <c r="BV97" s="59" t="e">
        <f t="shared" si="48"/>
        <v>#VALUE!</v>
      </c>
      <c r="BW97" s="59" t="str">
        <f t="shared" si="49"/>
        <v xml:space="preserve"> </v>
      </c>
      <c r="BX97" s="59" t="str">
        <f t="shared" si="50"/>
        <v>-</v>
      </c>
      <c r="BY97" s="98" t="str">
        <f t="shared" si="51"/>
        <v>-</v>
      </c>
      <c r="CC97" s="4">
        <v>93</v>
      </c>
      <c r="CD97" s="2" t="e">
        <f>VLOOKUP(CC97,$BU$5:BY$215,2,FALSE)</f>
        <v>#N/A</v>
      </c>
      <c r="CE97" s="6" t="e">
        <f>VLOOKUP(CC97,$BU$5:BY$215,3,FALSE)</f>
        <v>#N/A</v>
      </c>
      <c r="CF97" s="2" t="e">
        <f>VLOOKUP(CC97,$BU$5:BY$215,5,FALSE)</f>
        <v>#N/A</v>
      </c>
      <c r="CL97" s="77">
        <v>1</v>
      </c>
    </row>
    <row r="98" spans="1:90" ht="17.45" customHeight="1">
      <c r="A98" s="58">
        <v>94</v>
      </c>
      <c r="B98" s="59" t="str">
        <f>'A Div'!A98 &amp; " " &amp; 'A Div'!B98</f>
        <v xml:space="preserve"> </v>
      </c>
      <c r="C98" s="59" t="str">
        <f>'A Div'!E98</f>
        <v>-</v>
      </c>
      <c r="D98" s="60"/>
      <c r="E98" s="60"/>
      <c r="F98" s="60"/>
      <c r="G98" s="60"/>
      <c r="H98" s="60"/>
      <c r="I98" s="60"/>
      <c r="J98" s="60"/>
      <c r="K98" s="60"/>
      <c r="L98" s="60"/>
      <c r="M98" s="74" t="str">
        <f t="shared" si="26"/>
        <v>-</v>
      </c>
      <c r="N98" s="60"/>
      <c r="O98" s="60"/>
      <c r="P98" s="60"/>
      <c r="Q98" s="60"/>
      <c r="R98" s="60"/>
      <c r="S98" s="60"/>
      <c r="T98" s="60"/>
      <c r="U98" s="60"/>
      <c r="V98" s="60"/>
      <c r="W98" s="74" t="str">
        <f t="shared" si="27"/>
        <v>-</v>
      </c>
      <c r="X98" s="148" t="str">
        <f t="shared" si="28"/>
        <v>-</v>
      </c>
      <c r="Y98" s="74" t="str">
        <f t="shared" si="29"/>
        <v>-</v>
      </c>
      <c r="AA98" s="60"/>
      <c r="AB98" s="60"/>
      <c r="AC98" s="60"/>
      <c r="AD98" s="60"/>
      <c r="AE98" s="60"/>
      <c r="AF98" s="60"/>
      <c r="AG98" s="60"/>
      <c r="AH98" s="60"/>
      <c r="AI98" s="60"/>
      <c r="AJ98" s="74" t="str">
        <f t="shared" si="30"/>
        <v>-</v>
      </c>
      <c r="AK98" s="60"/>
      <c r="AL98" s="60"/>
      <c r="AM98" s="60"/>
      <c r="AN98" s="60"/>
      <c r="AO98" s="60"/>
      <c r="AP98" s="60"/>
      <c r="AQ98" s="60"/>
      <c r="AR98" s="60"/>
      <c r="AS98" s="60"/>
      <c r="AT98" s="74" t="str">
        <f>IF(COUNTIF(AK98:AS98,"&lt;&gt;"&amp;"")=9,SUM(AK98:AS98),"-")</f>
        <v>-</v>
      </c>
      <c r="AU98" s="148" t="str">
        <f>IF(AND(ISNUMBER(AJ98),ISNUMBER(AT98)),AJ98+AT98,"-")</f>
        <v>-</v>
      </c>
      <c r="AV98" s="74" t="str">
        <f>IF(ISNUMBER(AU98),AU98-C98,"-")</f>
        <v>-</v>
      </c>
      <c r="AX98" s="59" t="str">
        <f t="shared" si="31"/>
        <v>-</v>
      </c>
      <c r="AY98" s="59" t="str">
        <f t="shared" si="32"/>
        <v>-</v>
      </c>
      <c r="AZ98" s="59" t="str">
        <f t="shared" si="33"/>
        <v>-</v>
      </c>
      <c r="BA98" s="59" t="str">
        <f t="shared" si="34"/>
        <v>-</v>
      </c>
      <c r="BB98" s="59" t="str">
        <f t="shared" si="35"/>
        <v>-</v>
      </c>
      <c r="BC98" s="59" t="str">
        <f t="shared" si="36"/>
        <v>-</v>
      </c>
      <c r="BD98" s="59" t="str">
        <f t="shared" si="37"/>
        <v>-</v>
      </c>
      <c r="BE98" s="59" t="str">
        <f t="shared" si="38"/>
        <v>-</v>
      </c>
      <c r="BF98" s="59" t="str">
        <f t="shared" si="39"/>
        <v>-</v>
      </c>
      <c r="BG98" s="59" t="str">
        <f t="shared" si="40"/>
        <v>-</v>
      </c>
      <c r="BH98" s="59" t="str">
        <f t="shared" si="41"/>
        <v>-</v>
      </c>
      <c r="BI98" s="59" t="str">
        <f t="shared" si="42"/>
        <v>-</v>
      </c>
      <c r="BJ98" s="59" t="str">
        <f t="shared" si="43"/>
        <v>-</v>
      </c>
      <c r="BK98" s="59" t="str">
        <f t="shared" si="44"/>
        <v>-</v>
      </c>
      <c r="BL98" s="59" t="str">
        <f>IF(AND(R98&gt;0,AO98&gt;0),MIN(R98,AO98),"-")</f>
        <v>-</v>
      </c>
      <c r="BM98" s="59" t="str">
        <f>IF(AND(S98&gt;0,AP98&gt;0),MIN(S98,AP98),"-")</f>
        <v>-</v>
      </c>
      <c r="BN98" s="59" t="str">
        <f>IF(AND(T98&gt;0,AQ98&gt;0),MIN(T98,AQ98),"-")</f>
        <v>-</v>
      </c>
      <c r="BO98" s="59" t="str">
        <f>IF(AND(U98&gt;0,AR98&gt;0),MIN(U98,AR98),"-")</f>
        <v>-</v>
      </c>
      <c r="BP98" s="59" t="str">
        <f>IF(AND(V98&gt;0,AS98&gt;0),MIN(V98,AS98),"-")</f>
        <v>-</v>
      </c>
      <c r="BQ98" s="59" t="str">
        <f t="shared" si="45"/>
        <v>-</v>
      </c>
      <c r="BR98" s="59" t="str">
        <f t="shared" si="46"/>
        <v>-</v>
      </c>
      <c r="BS98" s="59" t="str">
        <f t="shared" si="47"/>
        <v>-</v>
      </c>
      <c r="BT98" s="98" t="str">
        <f>IF(ISNUMBER(BS98),BS98-(C98*Rules!$P$9/100),"-")</f>
        <v>-</v>
      </c>
      <c r="BU98" s="59" t="e">
        <f>RANK($BT98,$BT$5:$BT$106,1)+COUNTIF(BT$5:BT98,BT98)-1</f>
        <v>#VALUE!</v>
      </c>
      <c r="BV98" s="59" t="e">
        <f t="shared" si="48"/>
        <v>#VALUE!</v>
      </c>
      <c r="BW98" s="59" t="str">
        <f t="shared" si="49"/>
        <v xml:space="preserve"> </v>
      </c>
      <c r="BX98" s="59" t="str">
        <f t="shared" si="50"/>
        <v>-</v>
      </c>
      <c r="BY98" s="98" t="str">
        <f t="shared" si="51"/>
        <v>-</v>
      </c>
      <c r="CC98" s="4">
        <v>94</v>
      </c>
      <c r="CD98" s="2" t="e">
        <f>VLOOKUP(CC98,$BU$5:BY$215,2,FALSE)</f>
        <v>#N/A</v>
      </c>
      <c r="CE98" s="6" t="e">
        <f>VLOOKUP(CC98,$BU$5:BY$215,3,FALSE)</f>
        <v>#N/A</v>
      </c>
      <c r="CF98" s="2" t="e">
        <f>VLOOKUP(CC98,$BU$5:BY$215,5,FALSE)</f>
        <v>#N/A</v>
      </c>
      <c r="CL98" s="77">
        <v>1</v>
      </c>
    </row>
    <row r="99" spans="1:90" ht="17.45" customHeight="1">
      <c r="A99" s="58">
        <v>95</v>
      </c>
      <c r="B99" s="59" t="str">
        <f>'A Div'!A99 &amp; " " &amp; 'A Div'!B99</f>
        <v xml:space="preserve"> </v>
      </c>
      <c r="C99" s="59" t="str">
        <f>'A Div'!E99</f>
        <v>-</v>
      </c>
      <c r="D99" s="60"/>
      <c r="E99" s="60"/>
      <c r="F99" s="60"/>
      <c r="G99" s="60"/>
      <c r="H99" s="60"/>
      <c r="I99" s="60"/>
      <c r="J99" s="60"/>
      <c r="K99" s="60"/>
      <c r="L99" s="60"/>
      <c r="M99" s="74" t="str">
        <f t="shared" si="26"/>
        <v>-</v>
      </c>
      <c r="N99" s="60"/>
      <c r="O99" s="60"/>
      <c r="P99" s="60"/>
      <c r="Q99" s="60"/>
      <c r="R99" s="60"/>
      <c r="S99" s="60"/>
      <c r="T99" s="60"/>
      <c r="U99" s="60"/>
      <c r="V99" s="60"/>
      <c r="W99" s="74" t="str">
        <f t="shared" si="27"/>
        <v>-</v>
      </c>
      <c r="X99" s="148" t="str">
        <f t="shared" si="28"/>
        <v>-</v>
      </c>
      <c r="Y99" s="74" t="str">
        <f t="shared" si="29"/>
        <v>-</v>
      </c>
      <c r="AA99" s="60"/>
      <c r="AB99" s="60"/>
      <c r="AC99" s="60"/>
      <c r="AD99" s="60"/>
      <c r="AE99" s="60"/>
      <c r="AF99" s="60"/>
      <c r="AG99" s="60"/>
      <c r="AH99" s="60"/>
      <c r="AI99" s="60"/>
      <c r="AJ99" s="74" t="str">
        <f t="shared" si="30"/>
        <v>-</v>
      </c>
      <c r="AK99" s="60"/>
      <c r="AL99" s="60"/>
      <c r="AM99" s="60"/>
      <c r="AN99" s="60"/>
      <c r="AO99" s="60"/>
      <c r="AP99" s="60"/>
      <c r="AQ99" s="60"/>
      <c r="AR99" s="60"/>
      <c r="AS99" s="60"/>
      <c r="AT99" s="74" t="str">
        <f>IF(COUNTIF(AK99:AS99,"&lt;&gt;"&amp;"")=9,SUM(AK99:AS99),"-")</f>
        <v>-</v>
      </c>
      <c r="AU99" s="148" t="str">
        <f>IF(AND(ISNUMBER(AJ99),ISNUMBER(AT99)),AJ99+AT99,"-")</f>
        <v>-</v>
      </c>
      <c r="AV99" s="74" t="str">
        <f>IF(ISNUMBER(AU99),AU99-C99,"-")</f>
        <v>-</v>
      </c>
      <c r="AX99" s="59" t="str">
        <f t="shared" si="31"/>
        <v>-</v>
      </c>
      <c r="AY99" s="59" t="str">
        <f t="shared" si="32"/>
        <v>-</v>
      </c>
      <c r="AZ99" s="59" t="str">
        <f t="shared" si="33"/>
        <v>-</v>
      </c>
      <c r="BA99" s="59" t="str">
        <f t="shared" si="34"/>
        <v>-</v>
      </c>
      <c r="BB99" s="59" t="str">
        <f t="shared" si="35"/>
        <v>-</v>
      </c>
      <c r="BC99" s="59" t="str">
        <f t="shared" si="36"/>
        <v>-</v>
      </c>
      <c r="BD99" s="59" t="str">
        <f t="shared" si="37"/>
        <v>-</v>
      </c>
      <c r="BE99" s="59" t="str">
        <f t="shared" si="38"/>
        <v>-</v>
      </c>
      <c r="BF99" s="59" t="str">
        <f t="shared" si="39"/>
        <v>-</v>
      </c>
      <c r="BG99" s="59" t="str">
        <f t="shared" si="40"/>
        <v>-</v>
      </c>
      <c r="BH99" s="59" t="str">
        <f t="shared" si="41"/>
        <v>-</v>
      </c>
      <c r="BI99" s="59" t="str">
        <f t="shared" si="42"/>
        <v>-</v>
      </c>
      <c r="BJ99" s="59" t="str">
        <f t="shared" si="43"/>
        <v>-</v>
      </c>
      <c r="BK99" s="59" t="str">
        <f t="shared" si="44"/>
        <v>-</v>
      </c>
      <c r="BL99" s="59" t="str">
        <f>IF(AND(R99&gt;0,AO99&gt;0),MIN(R99,AO99),"-")</f>
        <v>-</v>
      </c>
      <c r="BM99" s="59" t="str">
        <f>IF(AND(S99&gt;0,AP99&gt;0),MIN(S99,AP99),"-")</f>
        <v>-</v>
      </c>
      <c r="BN99" s="59" t="str">
        <f>IF(AND(T99&gt;0,AQ99&gt;0),MIN(T99,AQ99),"-")</f>
        <v>-</v>
      </c>
      <c r="BO99" s="59" t="str">
        <f>IF(AND(U99&gt;0,AR99&gt;0),MIN(U99,AR99),"-")</f>
        <v>-</v>
      </c>
      <c r="BP99" s="59" t="str">
        <f>IF(AND(V99&gt;0,AS99&gt;0),MIN(V99,AS99),"-")</f>
        <v>-</v>
      </c>
      <c r="BQ99" s="59" t="str">
        <f t="shared" si="45"/>
        <v>-</v>
      </c>
      <c r="BR99" s="59" t="str">
        <f t="shared" si="46"/>
        <v>-</v>
      </c>
      <c r="BS99" s="59" t="str">
        <f t="shared" si="47"/>
        <v>-</v>
      </c>
      <c r="BT99" s="98" t="str">
        <f>IF(ISNUMBER(BS99),BS99-(C99*Rules!$P$9/100),"-")</f>
        <v>-</v>
      </c>
      <c r="BU99" s="59" t="e">
        <f>RANK($BT99,$BT$5:$BT$106,1)+COUNTIF(BT$5:BT99,BT99)-1</f>
        <v>#VALUE!</v>
      </c>
      <c r="BV99" s="59" t="e">
        <f t="shared" si="48"/>
        <v>#VALUE!</v>
      </c>
      <c r="BW99" s="59" t="str">
        <f t="shared" si="49"/>
        <v xml:space="preserve"> </v>
      </c>
      <c r="BX99" s="59" t="str">
        <f t="shared" si="50"/>
        <v>-</v>
      </c>
      <c r="BY99" s="98" t="str">
        <f t="shared" si="51"/>
        <v>-</v>
      </c>
      <c r="CC99" s="4">
        <v>95</v>
      </c>
      <c r="CD99" s="2" t="e">
        <f>VLOOKUP(CC99,$BU$5:BY$215,2,FALSE)</f>
        <v>#N/A</v>
      </c>
      <c r="CE99" s="6" t="e">
        <f>VLOOKUP(CC99,$BU$5:BY$215,3,FALSE)</f>
        <v>#N/A</v>
      </c>
      <c r="CF99" s="2" t="e">
        <f>VLOOKUP(CC99,$BU$5:BY$215,5,FALSE)</f>
        <v>#N/A</v>
      </c>
      <c r="CL99" s="77">
        <v>1</v>
      </c>
    </row>
    <row r="100" spans="1:90" ht="17.45" customHeight="1">
      <c r="A100" s="58">
        <v>96</v>
      </c>
      <c r="B100" s="59" t="str">
        <f>'A Div'!A100 &amp; " " &amp; 'A Div'!B100</f>
        <v xml:space="preserve"> </v>
      </c>
      <c r="C100" s="59" t="str">
        <f>'A Div'!E100</f>
        <v>-</v>
      </c>
      <c r="D100" s="60"/>
      <c r="E100" s="60"/>
      <c r="F100" s="60"/>
      <c r="G100" s="60"/>
      <c r="H100" s="60"/>
      <c r="I100" s="60"/>
      <c r="J100" s="60"/>
      <c r="K100" s="60"/>
      <c r="L100" s="60"/>
      <c r="M100" s="74" t="str">
        <f t="shared" si="26"/>
        <v>-</v>
      </c>
      <c r="N100" s="60"/>
      <c r="O100" s="60"/>
      <c r="P100" s="60"/>
      <c r="Q100" s="60"/>
      <c r="R100" s="60"/>
      <c r="S100" s="60"/>
      <c r="T100" s="60"/>
      <c r="U100" s="60"/>
      <c r="V100" s="60"/>
      <c r="W100" s="74" t="str">
        <f t="shared" si="27"/>
        <v>-</v>
      </c>
      <c r="X100" s="148" t="str">
        <f t="shared" si="28"/>
        <v>-</v>
      </c>
      <c r="Y100" s="74" t="str">
        <f t="shared" si="29"/>
        <v>-</v>
      </c>
      <c r="AA100" s="60"/>
      <c r="AB100" s="60"/>
      <c r="AC100" s="60"/>
      <c r="AD100" s="60"/>
      <c r="AE100" s="60"/>
      <c r="AF100" s="60"/>
      <c r="AG100" s="60"/>
      <c r="AH100" s="60"/>
      <c r="AI100" s="60"/>
      <c r="AJ100" s="74" t="str">
        <f t="shared" si="30"/>
        <v>-</v>
      </c>
      <c r="AK100" s="60"/>
      <c r="AL100" s="60"/>
      <c r="AM100" s="60"/>
      <c r="AN100" s="60"/>
      <c r="AO100" s="60"/>
      <c r="AP100" s="60"/>
      <c r="AQ100" s="60"/>
      <c r="AR100" s="60"/>
      <c r="AS100" s="60"/>
      <c r="AT100" s="74" t="str">
        <f>IF(COUNTIF(AK100:AS100,"&lt;&gt;"&amp;"")=9,SUM(AK100:AS100),"-")</f>
        <v>-</v>
      </c>
      <c r="AU100" s="148" t="str">
        <f>IF(AND(ISNUMBER(AJ100),ISNUMBER(AT100)),AJ100+AT100,"-")</f>
        <v>-</v>
      </c>
      <c r="AV100" s="74" t="str">
        <f>IF(ISNUMBER(AU100),AU100-C100,"-")</f>
        <v>-</v>
      </c>
      <c r="AX100" s="59" t="str">
        <f t="shared" si="31"/>
        <v>-</v>
      </c>
      <c r="AY100" s="59" t="str">
        <f t="shared" si="32"/>
        <v>-</v>
      </c>
      <c r="AZ100" s="59" t="str">
        <f t="shared" si="33"/>
        <v>-</v>
      </c>
      <c r="BA100" s="59" t="str">
        <f t="shared" si="34"/>
        <v>-</v>
      </c>
      <c r="BB100" s="59" t="str">
        <f t="shared" si="35"/>
        <v>-</v>
      </c>
      <c r="BC100" s="59" t="str">
        <f t="shared" si="36"/>
        <v>-</v>
      </c>
      <c r="BD100" s="59" t="str">
        <f t="shared" si="37"/>
        <v>-</v>
      </c>
      <c r="BE100" s="59" t="str">
        <f t="shared" si="38"/>
        <v>-</v>
      </c>
      <c r="BF100" s="59" t="str">
        <f t="shared" si="39"/>
        <v>-</v>
      </c>
      <c r="BG100" s="59" t="str">
        <f t="shared" si="40"/>
        <v>-</v>
      </c>
      <c r="BH100" s="59" t="str">
        <f t="shared" si="41"/>
        <v>-</v>
      </c>
      <c r="BI100" s="59" t="str">
        <f t="shared" si="42"/>
        <v>-</v>
      </c>
      <c r="BJ100" s="59" t="str">
        <f t="shared" si="43"/>
        <v>-</v>
      </c>
      <c r="BK100" s="59" t="str">
        <f t="shared" si="44"/>
        <v>-</v>
      </c>
      <c r="BL100" s="59" t="str">
        <f>IF(AND(R100&gt;0,AO100&gt;0),MIN(R100,AO100),"-")</f>
        <v>-</v>
      </c>
      <c r="BM100" s="59" t="str">
        <f>IF(AND(S100&gt;0,AP100&gt;0),MIN(S100,AP100),"-")</f>
        <v>-</v>
      </c>
      <c r="BN100" s="59" t="str">
        <f>IF(AND(T100&gt;0,AQ100&gt;0),MIN(T100,AQ100),"-")</f>
        <v>-</v>
      </c>
      <c r="BO100" s="59" t="str">
        <f>IF(AND(U100&gt;0,AR100&gt;0),MIN(U100,AR100),"-")</f>
        <v>-</v>
      </c>
      <c r="BP100" s="59" t="str">
        <f>IF(AND(V100&gt;0,AS100&gt;0),MIN(V100,AS100),"-")</f>
        <v>-</v>
      </c>
      <c r="BQ100" s="59" t="str">
        <f t="shared" si="45"/>
        <v>-</v>
      </c>
      <c r="BR100" s="59" t="str">
        <f t="shared" si="46"/>
        <v>-</v>
      </c>
      <c r="BS100" s="59" t="str">
        <f t="shared" si="47"/>
        <v>-</v>
      </c>
      <c r="BT100" s="98" t="str">
        <f>IF(ISNUMBER(BS100),BS100-(C100*Rules!$P$9/100),"-")</f>
        <v>-</v>
      </c>
      <c r="BU100" s="59" t="e">
        <f>RANK($BT100,$BT$5:$BT$106,1)+COUNTIF(BT$5:BT100,BT100)-1</f>
        <v>#VALUE!</v>
      </c>
      <c r="BV100" s="59" t="e">
        <f t="shared" si="48"/>
        <v>#VALUE!</v>
      </c>
      <c r="BW100" s="59" t="str">
        <f t="shared" si="49"/>
        <v xml:space="preserve"> </v>
      </c>
      <c r="BX100" s="59" t="str">
        <f t="shared" si="50"/>
        <v>-</v>
      </c>
      <c r="BY100" s="98" t="str">
        <f t="shared" si="51"/>
        <v>-</v>
      </c>
      <c r="CC100" s="4">
        <v>96</v>
      </c>
      <c r="CD100" s="2" t="e">
        <f>VLOOKUP(CC100,$BU$5:BY$215,2,FALSE)</f>
        <v>#N/A</v>
      </c>
      <c r="CE100" s="6" t="e">
        <f>VLOOKUP(CC100,$BU$5:BY$215,3,FALSE)</f>
        <v>#N/A</v>
      </c>
      <c r="CF100" s="2" t="e">
        <f>VLOOKUP(CC100,$BU$5:BY$215,5,FALSE)</f>
        <v>#N/A</v>
      </c>
      <c r="CL100" s="77">
        <v>1</v>
      </c>
    </row>
    <row r="101" spans="1:90" ht="17.45" customHeight="1">
      <c r="A101" s="58">
        <v>97</v>
      </c>
      <c r="B101" s="59" t="str">
        <f>'A Div'!A101 &amp; " " &amp; 'A Div'!B101</f>
        <v xml:space="preserve"> </v>
      </c>
      <c r="C101" s="59" t="str">
        <f>'A Div'!E101</f>
        <v>-</v>
      </c>
      <c r="D101" s="60"/>
      <c r="E101" s="60"/>
      <c r="F101" s="60"/>
      <c r="G101" s="60"/>
      <c r="H101" s="60"/>
      <c r="I101" s="60"/>
      <c r="J101" s="60"/>
      <c r="K101" s="60"/>
      <c r="L101" s="60"/>
      <c r="M101" s="74" t="str">
        <f t="shared" si="26"/>
        <v>-</v>
      </c>
      <c r="N101" s="60"/>
      <c r="O101" s="60"/>
      <c r="P101" s="60"/>
      <c r="Q101" s="60"/>
      <c r="R101" s="60"/>
      <c r="S101" s="60"/>
      <c r="T101" s="60"/>
      <c r="U101" s="60"/>
      <c r="V101" s="60"/>
      <c r="W101" s="74" t="str">
        <f t="shared" si="27"/>
        <v>-</v>
      </c>
      <c r="X101" s="148" t="str">
        <f t="shared" si="28"/>
        <v>-</v>
      </c>
      <c r="Y101" s="74" t="str">
        <f t="shared" si="29"/>
        <v>-</v>
      </c>
      <c r="AA101" s="60"/>
      <c r="AB101" s="60"/>
      <c r="AC101" s="60"/>
      <c r="AD101" s="60"/>
      <c r="AE101" s="60"/>
      <c r="AF101" s="60"/>
      <c r="AG101" s="60"/>
      <c r="AH101" s="60"/>
      <c r="AI101" s="60"/>
      <c r="AJ101" s="74" t="str">
        <f t="shared" si="30"/>
        <v>-</v>
      </c>
      <c r="AK101" s="60"/>
      <c r="AL101" s="60"/>
      <c r="AM101" s="60"/>
      <c r="AN101" s="60"/>
      <c r="AO101" s="60"/>
      <c r="AP101" s="60"/>
      <c r="AQ101" s="60"/>
      <c r="AR101" s="60"/>
      <c r="AS101" s="60"/>
      <c r="AT101" s="74" t="str">
        <f>IF(COUNTIF(AK101:AS101,"&lt;&gt;"&amp;"")=9,SUM(AK101:AS101),"-")</f>
        <v>-</v>
      </c>
      <c r="AU101" s="148" t="str">
        <f>IF(AND(ISNUMBER(AJ101),ISNUMBER(AT101)),AJ101+AT101,"-")</f>
        <v>-</v>
      </c>
      <c r="AV101" s="74" t="str">
        <f>IF(ISNUMBER(AU101),AU101-C101,"-")</f>
        <v>-</v>
      </c>
      <c r="AX101" s="59" t="str">
        <f t="shared" si="31"/>
        <v>-</v>
      </c>
      <c r="AY101" s="59" t="str">
        <f t="shared" si="32"/>
        <v>-</v>
      </c>
      <c r="AZ101" s="59" t="str">
        <f t="shared" si="33"/>
        <v>-</v>
      </c>
      <c r="BA101" s="59" t="str">
        <f t="shared" si="34"/>
        <v>-</v>
      </c>
      <c r="BB101" s="59" t="str">
        <f t="shared" si="35"/>
        <v>-</v>
      </c>
      <c r="BC101" s="59" t="str">
        <f t="shared" si="36"/>
        <v>-</v>
      </c>
      <c r="BD101" s="59" t="str">
        <f t="shared" si="37"/>
        <v>-</v>
      </c>
      <c r="BE101" s="59" t="str">
        <f t="shared" si="38"/>
        <v>-</v>
      </c>
      <c r="BF101" s="59" t="str">
        <f t="shared" si="39"/>
        <v>-</v>
      </c>
      <c r="BG101" s="59" t="str">
        <f t="shared" si="40"/>
        <v>-</v>
      </c>
      <c r="BH101" s="59" t="str">
        <f t="shared" si="41"/>
        <v>-</v>
      </c>
      <c r="BI101" s="59" t="str">
        <f t="shared" si="42"/>
        <v>-</v>
      </c>
      <c r="BJ101" s="59" t="str">
        <f t="shared" si="43"/>
        <v>-</v>
      </c>
      <c r="BK101" s="59" t="str">
        <f t="shared" si="44"/>
        <v>-</v>
      </c>
      <c r="BL101" s="59" t="str">
        <f>IF(AND(R101&gt;0,AO101&gt;0),MIN(R101,AO101),"-")</f>
        <v>-</v>
      </c>
      <c r="BM101" s="59" t="str">
        <f>IF(AND(S101&gt;0,AP101&gt;0),MIN(S101,AP101),"-")</f>
        <v>-</v>
      </c>
      <c r="BN101" s="59" t="str">
        <f>IF(AND(T101&gt;0,AQ101&gt;0),MIN(T101,AQ101),"-")</f>
        <v>-</v>
      </c>
      <c r="BO101" s="59" t="str">
        <f>IF(AND(U101&gt;0,AR101&gt;0),MIN(U101,AR101),"-")</f>
        <v>-</v>
      </c>
      <c r="BP101" s="59" t="str">
        <f>IF(AND(V101&gt;0,AS101&gt;0),MIN(V101,AS101),"-")</f>
        <v>-</v>
      </c>
      <c r="BQ101" s="59" t="str">
        <f t="shared" si="45"/>
        <v>-</v>
      </c>
      <c r="BR101" s="59" t="str">
        <f t="shared" si="46"/>
        <v>-</v>
      </c>
      <c r="BS101" s="59" t="str">
        <f t="shared" si="47"/>
        <v>-</v>
      </c>
      <c r="BT101" s="98" t="str">
        <f>IF(ISNUMBER(BS101),BS101-(C101*Rules!$P$9/100),"-")</f>
        <v>-</v>
      </c>
      <c r="BU101" s="59" t="e">
        <f>RANK($BT101,$BT$5:$BT$106,1)+COUNTIF(BT$5:BT101,BT101)-1</f>
        <v>#VALUE!</v>
      </c>
      <c r="BV101" s="59" t="e">
        <f t="shared" si="48"/>
        <v>#VALUE!</v>
      </c>
      <c r="BW101" s="59" t="str">
        <f t="shared" si="49"/>
        <v xml:space="preserve"> </v>
      </c>
      <c r="BX101" s="59" t="str">
        <f t="shared" si="50"/>
        <v>-</v>
      </c>
      <c r="BY101" s="98" t="str">
        <f t="shared" si="51"/>
        <v>-</v>
      </c>
      <c r="CC101" s="4">
        <v>97</v>
      </c>
      <c r="CD101" s="2" t="e">
        <f>VLOOKUP(CC101,$BU$5:BY$215,2,FALSE)</f>
        <v>#N/A</v>
      </c>
      <c r="CE101" s="6" t="e">
        <f>VLOOKUP(CC101,$BU$5:BY$215,3,FALSE)</f>
        <v>#N/A</v>
      </c>
      <c r="CF101" s="2" t="e">
        <f>VLOOKUP(CC101,$BU$5:BY$215,5,FALSE)</f>
        <v>#N/A</v>
      </c>
      <c r="CL101" s="77">
        <v>1</v>
      </c>
    </row>
    <row r="102" spans="1:90" ht="17.45" customHeight="1">
      <c r="A102" s="58">
        <v>98</v>
      </c>
      <c r="B102" s="59" t="str">
        <f>'A Div'!A102 &amp; " " &amp; 'A Div'!B102</f>
        <v xml:space="preserve"> </v>
      </c>
      <c r="C102" s="59" t="str">
        <f>'A Div'!E102</f>
        <v>-</v>
      </c>
      <c r="D102" s="60"/>
      <c r="E102" s="60"/>
      <c r="F102" s="60"/>
      <c r="G102" s="60"/>
      <c r="H102" s="60"/>
      <c r="I102" s="60"/>
      <c r="J102" s="60"/>
      <c r="K102" s="60"/>
      <c r="L102" s="60"/>
      <c r="M102" s="74" t="str">
        <f t="shared" si="26"/>
        <v>-</v>
      </c>
      <c r="N102" s="60"/>
      <c r="O102" s="60"/>
      <c r="P102" s="60"/>
      <c r="Q102" s="60"/>
      <c r="R102" s="60"/>
      <c r="S102" s="60"/>
      <c r="T102" s="60"/>
      <c r="U102" s="60"/>
      <c r="V102" s="60"/>
      <c r="W102" s="74" t="str">
        <f t="shared" si="27"/>
        <v>-</v>
      </c>
      <c r="X102" s="148" t="str">
        <f t="shared" si="28"/>
        <v>-</v>
      </c>
      <c r="Y102" s="74" t="str">
        <f t="shared" si="29"/>
        <v>-</v>
      </c>
      <c r="AA102" s="60"/>
      <c r="AB102" s="60"/>
      <c r="AC102" s="60"/>
      <c r="AD102" s="60"/>
      <c r="AE102" s="60"/>
      <c r="AF102" s="60"/>
      <c r="AG102" s="60"/>
      <c r="AH102" s="60"/>
      <c r="AI102" s="60"/>
      <c r="AJ102" s="74" t="str">
        <f t="shared" si="30"/>
        <v>-</v>
      </c>
      <c r="AK102" s="60"/>
      <c r="AL102" s="60"/>
      <c r="AM102" s="60"/>
      <c r="AN102" s="60"/>
      <c r="AO102" s="60"/>
      <c r="AP102" s="60"/>
      <c r="AQ102" s="60"/>
      <c r="AR102" s="60"/>
      <c r="AS102" s="60"/>
      <c r="AT102" s="74" t="str">
        <f>IF(COUNTIF(AK102:AS102,"&lt;&gt;"&amp;"")=9,SUM(AK102:AS102),"-")</f>
        <v>-</v>
      </c>
      <c r="AU102" s="148" t="str">
        <f>IF(AND(ISNUMBER(AJ102),ISNUMBER(AT102)),AJ102+AT102,"-")</f>
        <v>-</v>
      </c>
      <c r="AV102" s="74" t="str">
        <f>IF(ISNUMBER(AU102),AU102-C102,"-")</f>
        <v>-</v>
      </c>
      <c r="AX102" s="59" t="str">
        <f t="shared" si="31"/>
        <v>-</v>
      </c>
      <c r="AY102" s="59" t="str">
        <f t="shared" si="32"/>
        <v>-</v>
      </c>
      <c r="AZ102" s="59" t="str">
        <f t="shared" si="33"/>
        <v>-</v>
      </c>
      <c r="BA102" s="59" t="str">
        <f t="shared" si="34"/>
        <v>-</v>
      </c>
      <c r="BB102" s="59" t="str">
        <f t="shared" si="35"/>
        <v>-</v>
      </c>
      <c r="BC102" s="59" t="str">
        <f t="shared" si="36"/>
        <v>-</v>
      </c>
      <c r="BD102" s="59" t="str">
        <f t="shared" si="37"/>
        <v>-</v>
      </c>
      <c r="BE102" s="59" t="str">
        <f t="shared" si="38"/>
        <v>-</v>
      </c>
      <c r="BF102" s="59" t="str">
        <f t="shared" si="39"/>
        <v>-</v>
      </c>
      <c r="BG102" s="59" t="str">
        <f t="shared" si="40"/>
        <v>-</v>
      </c>
      <c r="BH102" s="59" t="str">
        <f t="shared" si="41"/>
        <v>-</v>
      </c>
      <c r="BI102" s="59" t="str">
        <f t="shared" si="42"/>
        <v>-</v>
      </c>
      <c r="BJ102" s="59" t="str">
        <f t="shared" si="43"/>
        <v>-</v>
      </c>
      <c r="BK102" s="59" t="str">
        <f t="shared" si="44"/>
        <v>-</v>
      </c>
      <c r="BL102" s="59" t="str">
        <f>IF(AND(R102&gt;0,AO102&gt;0),MIN(R102,AO102),"-")</f>
        <v>-</v>
      </c>
      <c r="BM102" s="59" t="str">
        <f>IF(AND(S102&gt;0,AP102&gt;0),MIN(S102,AP102),"-")</f>
        <v>-</v>
      </c>
      <c r="BN102" s="59" t="str">
        <f>IF(AND(T102&gt;0,AQ102&gt;0),MIN(T102,AQ102),"-")</f>
        <v>-</v>
      </c>
      <c r="BO102" s="59" t="str">
        <f>IF(AND(U102&gt;0,AR102&gt;0),MIN(U102,AR102),"-")</f>
        <v>-</v>
      </c>
      <c r="BP102" s="59" t="str">
        <f>IF(AND(V102&gt;0,AS102&gt;0),MIN(V102,AS102),"-")</f>
        <v>-</v>
      </c>
      <c r="BQ102" s="59" t="str">
        <f t="shared" si="45"/>
        <v>-</v>
      </c>
      <c r="BR102" s="59" t="str">
        <f t="shared" si="46"/>
        <v>-</v>
      </c>
      <c r="BS102" s="59" t="str">
        <f t="shared" si="47"/>
        <v>-</v>
      </c>
      <c r="BT102" s="98" t="str">
        <f>IF(ISNUMBER(BS102),BS102-(C102*Rules!$P$9/100),"-")</f>
        <v>-</v>
      </c>
      <c r="BU102" s="59" t="e">
        <f>RANK($BT102,$BT$5:$BT$106,1)+COUNTIF(BT$5:BT102,BT102)-1</f>
        <v>#VALUE!</v>
      </c>
      <c r="BV102" s="59" t="e">
        <f t="shared" si="48"/>
        <v>#VALUE!</v>
      </c>
      <c r="BW102" s="59" t="str">
        <f t="shared" si="49"/>
        <v xml:space="preserve"> </v>
      </c>
      <c r="BX102" s="59" t="str">
        <f t="shared" si="50"/>
        <v>-</v>
      </c>
      <c r="BY102" s="98" t="str">
        <f t="shared" si="51"/>
        <v>-</v>
      </c>
      <c r="CC102" s="4">
        <v>98</v>
      </c>
      <c r="CD102" s="2" t="e">
        <f>VLOOKUP(CC102,$BU$5:BY$215,2,FALSE)</f>
        <v>#N/A</v>
      </c>
      <c r="CE102" s="6" t="e">
        <f>VLOOKUP(CC102,$BU$5:BY$215,3,FALSE)</f>
        <v>#N/A</v>
      </c>
      <c r="CF102" s="2" t="e">
        <f>VLOOKUP(CC102,$BU$5:BY$215,5,FALSE)</f>
        <v>#N/A</v>
      </c>
      <c r="CL102" s="77">
        <v>1</v>
      </c>
    </row>
    <row r="103" spans="1:90" ht="17.45" customHeight="1">
      <c r="A103" s="58">
        <v>99</v>
      </c>
      <c r="B103" s="59" t="str">
        <f>'A Div'!A103 &amp; " " &amp; 'A Div'!B103</f>
        <v xml:space="preserve"> </v>
      </c>
      <c r="C103" s="59" t="str">
        <f>'A Div'!E103</f>
        <v>-</v>
      </c>
      <c r="D103" s="60"/>
      <c r="E103" s="60"/>
      <c r="F103" s="60"/>
      <c r="G103" s="60"/>
      <c r="H103" s="60"/>
      <c r="I103" s="60"/>
      <c r="J103" s="60"/>
      <c r="K103" s="60"/>
      <c r="L103" s="60"/>
      <c r="M103" s="74" t="str">
        <f t="shared" si="26"/>
        <v>-</v>
      </c>
      <c r="N103" s="60"/>
      <c r="O103" s="60"/>
      <c r="P103" s="60"/>
      <c r="Q103" s="60"/>
      <c r="R103" s="60"/>
      <c r="S103" s="60"/>
      <c r="T103" s="60"/>
      <c r="U103" s="60"/>
      <c r="V103" s="60"/>
      <c r="W103" s="74" t="str">
        <f t="shared" si="27"/>
        <v>-</v>
      </c>
      <c r="X103" s="148" t="str">
        <f t="shared" si="28"/>
        <v>-</v>
      </c>
      <c r="Y103" s="74" t="str">
        <f t="shared" si="29"/>
        <v>-</v>
      </c>
      <c r="AA103" s="60"/>
      <c r="AB103" s="60"/>
      <c r="AC103" s="60"/>
      <c r="AD103" s="60"/>
      <c r="AE103" s="60"/>
      <c r="AF103" s="60"/>
      <c r="AG103" s="60"/>
      <c r="AH103" s="60"/>
      <c r="AI103" s="60"/>
      <c r="AJ103" s="74" t="str">
        <f t="shared" si="30"/>
        <v>-</v>
      </c>
      <c r="AK103" s="60"/>
      <c r="AL103" s="60"/>
      <c r="AM103" s="60"/>
      <c r="AN103" s="60"/>
      <c r="AO103" s="60"/>
      <c r="AP103" s="60"/>
      <c r="AQ103" s="60"/>
      <c r="AR103" s="60"/>
      <c r="AS103" s="60"/>
      <c r="AT103" s="74" t="str">
        <f>IF(COUNTIF(AK103:AS103,"&lt;&gt;"&amp;"")=9,SUM(AK103:AS103),"-")</f>
        <v>-</v>
      </c>
      <c r="AU103" s="148" t="str">
        <f>IF(AND(ISNUMBER(AJ103),ISNUMBER(AT103)),AJ103+AT103,"-")</f>
        <v>-</v>
      </c>
      <c r="AV103" s="74" t="str">
        <f>IF(ISNUMBER(AU103),AU103-C103,"-")</f>
        <v>-</v>
      </c>
      <c r="AX103" s="59" t="str">
        <f t="shared" si="31"/>
        <v>-</v>
      </c>
      <c r="AY103" s="59" t="str">
        <f t="shared" si="32"/>
        <v>-</v>
      </c>
      <c r="AZ103" s="59" t="str">
        <f t="shared" si="33"/>
        <v>-</v>
      </c>
      <c r="BA103" s="59" t="str">
        <f t="shared" si="34"/>
        <v>-</v>
      </c>
      <c r="BB103" s="59" t="str">
        <f t="shared" si="35"/>
        <v>-</v>
      </c>
      <c r="BC103" s="59" t="str">
        <f t="shared" si="36"/>
        <v>-</v>
      </c>
      <c r="BD103" s="59" t="str">
        <f t="shared" si="37"/>
        <v>-</v>
      </c>
      <c r="BE103" s="59" t="str">
        <f t="shared" si="38"/>
        <v>-</v>
      </c>
      <c r="BF103" s="59" t="str">
        <f t="shared" si="39"/>
        <v>-</v>
      </c>
      <c r="BG103" s="59" t="str">
        <f t="shared" si="40"/>
        <v>-</v>
      </c>
      <c r="BH103" s="59" t="str">
        <f t="shared" si="41"/>
        <v>-</v>
      </c>
      <c r="BI103" s="59" t="str">
        <f t="shared" si="42"/>
        <v>-</v>
      </c>
      <c r="BJ103" s="59" t="str">
        <f t="shared" si="43"/>
        <v>-</v>
      </c>
      <c r="BK103" s="59" t="str">
        <f t="shared" si="44"/>
        <v>-</v>
      </c>
      <c r="BL103" s="59" t="str">
        <f>IF(AND(R103&gt;0,AO103&gt;0),MIN(R103,AO103),"-")</f>
        <v>-</v>
      </c>
      <c r="BM103" s="59" t="str">
        <f>IF(AND(S103&gt;0,AP103&gt;0),MIN(S103,AP103),"-")</f>
        <v>-</v>
      </c>
      <c r="BN103" s="59" t="str">
        <f>IF(AND(T103&gt;0,AQ103&gt;0),MIN(T103,AQ103),"-")</f>
        <v>-</v>
      </c>
      <c r="BO103" s="59" t="str">
        <f>IF(AND(U103&gt;0,AR103&gt;0),MIN(U103,AR103),"-")</f>
        <v>-</v>
      </c>
      <c r="BP103" s="59" t="str">
        <f>IF(AND(V103&gt;0,AS103&gt;0),MIN(V103,AS103),"-")</f>
        <v>-</v>
      </c>
      <c r="BQ103" s="59" t="str">
        <f t="shared" si="45"/>
        <v>-</v>
      </c>
      <c r="BR103" s="59" t="str">
        <f t="shared" si="46"/>
        <v>-</v>
      </c>
      <c r="BS103" s="59" t="str">
        <f t="shared" si="47"/>
        <v>-</v>
      </c>
      <c r="BT103" s="98" t="str">
        <f>IF(ISNUMBER(BS103),BS103-(C103*Rules!$P$9/100),"-")</f>
        <v>-</v>
      </c>
      <c r="BU103" s="59" t="e">
        <f>RANK($BT103,$BT$5:$BT$106,1)+COUNTIF(BT$5:BT103,BT103)-1</f>
        <v>#VALUE!</v>
      </c>
      <c r="BV103" s="59" t="e">
        <f t="shared" si="48"/>
        <v>#VALUE!</v>
      </c>
      <c r="BW103" s="59" t="str">
        <f t="shared" si="49"/>
        <v xml:space="preserve"> </v>
      </c>
      <c r="BX103" s="59" t="str">
        <f t="shared" si="50"/>
        <v>-</v>
      </c>
      <c r="BY103" s="98" t="str">
        <f t="shared" si="51"/>
        <v>-</v>
      </c>
      <c r="CC103" s="4">
        <v>99</v>
      </c>
      <c r="CD103" s="2" t="e">
        <f>VLOOKUP(CC103,$BU$5:BY$215,2,FALSE)</f>
        <v>#N/A</v>
      </c>
      <c r="CE103" s="6" t="e">
        <f>VLOOKUP(CC103,$BU$5:BY$215,3,FALSE)</f>
        <v>#N/A</v>
      </c>
      <c r="CF103" s="2" t="e">
        <f>VLOOKUP(CC103,$BU$5:BY$215,5,FALSE)</f>
        <v>#N/A</v>
      </c>
      <c r="CL103" s="77">
        <v>1</v>
      </c>
    </row>
    <row r="104" spans="1:90" ht="17.45" customHeight="1">
      <c r="A104" s="58">
        <v>100</v>
      </c>
      <c r="B104" s="59" t="str">
        <f>'A Div'!A104 &amp; " " &amp; 'A Div'!B104</f>
        <v xml:space="preserve"> </v>
      </c>
      <c r="C104" s="59" t="str">
        <f>'A Div'!E104</f>
        <v>-</v>
      </c>
      <c r="D104" s="60"/>
      <c r="E104" s="60"/>
      <c r="F104" s="60"/>
      <c r="G104" s="60"/>
      <c r="H104" s="60"/>
      <c r="I104" s="60"/>
      <c r="J104" s="60"/>
      <c r="K104" s="60"/>
      <c r="L104" s="60"/>
      <c r="M104" s="74" t="str">
        <f t="shared" si="26"/>
        <v>-</v>
      </c>
      <c r="N104" s="60"/>
      <c r="O104" s="60"/>
      <c r="P104" s="60"/>
      <c r="Q104" s="60"/>
      <c r="R104" s="60"/>
      <c r="S104" s="60"/>
      <c r="T104" s="60"/>
      <c r="U104" s="60"/>
      <c r="V104" s="60"/>
      <c r="W104" s="74" t="str">
        <f t="shared" si="27"/>
        <v>-</v>
      </c>
      <c r="X104" s="148" t="str">
        <f t="shared" si="28"/>
        <v>-</v>
      </c>
      <c r="Y104" s="74" t="str">
        <f t="shared" si="29"/>
        <v>-</v>
      </c>
      <c r="AA104" s="60"/>
      <c r="AB104" s="60"/>
      <c r="AC104" s="60"/>
      <c r="AD104" s="60"/>
      <c r="AE104" s="60"/>
      <c r="AF104" s="60"/>
      <c r="AG104" s="60"/>
      <c r="AH104" s="60"/>
      <c r="AI104" s="60"/>
      <c r="AJ104" s="74" t="str">
        <f t="shared" si="30"/>
        <v>-</v>
      </c>
      <c r="AK104" s="60"/>
      <c r="AL104" s="60"/>
      <c r="AM104" s="60"/>
      <c r="AN104" s="60"/>
      <c r="AO104" s="60"/>
      <c r="AP104" s="60"/>
      <c r="AQ104" s="60"/>
      <c r="AR104" s="60"/>
      <c r="AS104" s="60"/>
      <c r="AT104" s="74" t="str">
        <f>IF(COUNTIF(AK104:AS104,"&lt;&gt;"&amp;"")=9,SUM(AK104:AS104),"-")</f>
        <v>-</v>
      </c>
      <c r="AU104" s="148" t="str">
        <f>IF(AND(ISNUMBER(AJ104),ISNUMBER(AT104)),AJ104+AT104,"-")</f>
        <v>-</v>
      </c>
      <c r="AV104" s="74" t="str">
        <f>IF(ISNUMBER(AU104),AU104-C104,"-")</f>
        <v>-</v>
      </c>
      <c r="AX104" s="59" t="str">
        <f t="shared" si="31"/>
        <v>-</v>
      </c>
      <c r="AY104" s="59" t="str">
        <f t="shared" si="32"/>
        <v>-</v>
      </c>
      <c r="AZ104" s="59" t="str">
        <f t="shared" si="33"/>
        <v>-</v>
      </c>
      <c r="BA104" s="59" t="str">
        <f t="shared" si="34"/>
        <v>-</v>
      </c>
      <c r="BB104" s="59" t="str">
        <f t="shared" si="35"/>
        <v>-</v>
      </c>
      <c r="BC104" s="59" t="str">
        <f t="shared" si="36"/>
        <v>-</v>
      </c>
      <c r="BD104" s="59" t="str">
        <f t="shared" si="37"/>
        <v>-</v>
      </c>
      <c r="BE104" s="59" t="str">
        <f t="shared" si="38"/>
        <v>-</v>
      </c>
      <c r="BF104" s="59" t="str">
        <f t="shared" si="39"/>
        <v>-</v>
      </c>
      <c r="BG104" s="59" t="str">
        <f t="shared" si="40"/>
        <v>-</v>
      </c>
      <c r="BH104" s="59" t="str">
        <f t="shared" si="41"/>
        <v>-</v>
      </c>
      <c r="BI104" s="59" t="str">
        <f t="shared" si="42"/>
        <v>-</v>
      </c>
      <c r="BJ104" s="59" t="str">
        <f t="shared" si="43"/>
        <v>-</v>
      </c>
      <c r="BK104" s="59" t="str">
        <f t="shared" si="44"/>
        <v>-</v>
      </c>
      <c r="BL104" s="59" t="str">
        <f>IF(AND(R104&gt;0,AO104&gt;0),MIN(R104,AO104),"-")</f>
        <v>-</v>
      </c>
      <c r="BM104" s="59" t="str">
        <f>IF(AND(S104&gt;0,AP104&gt;0),MIN(S104,AP104),"-")</f>
        <v>-</v>
      </c>
      <c r="BN104" s="59" t="str">
        <f>IF(AND(T104&gt;0,AQ104&gt;0),MIN(T104,AQ104),"-")</f>
        <v>-</v>
      </c>
      <c r="BO104" s="59" t="str">
        <f>IF(AND(U104&gt;0,AR104&gt;0),MIN(U104,AR104),"-")</f>
        <v>-</v>
      </c>
      <c r="BP104" s="59" t="str">
        <f>IF(AND(V104&gt;0,AS104&gt;0),MIN(V104,AS104),"-")</f>
        <v>-</v>
      </c>
      <c r="BQ104" s="59" t="str">
        <f t="shared" si="45"/>
        <v>-</v>
      </c>
      <c r="BR104" s="59" t="str">
        <f t="shared" si="46"/>
        <v>-</v>
      </c>
      <c r="BS104" s="59" t="str">
        <f t="shared" si="47"/>
        <v>-</v>
      </c>
      <c r="BT104" s="98" t="str">
        <f>IF(ISNUMBER(BS104),BS104-(C104*Rules!$P$9/100),"-")</f>
        <v>-</v>
      </c>
      <c r="BU104" s="59" t="e">
        <f>RANK($BT104,$BT$5:$BT$106,1)+COUNTIF(BT$5:BT104,BT104)-1</f>
        <v>#VALUE!</v>
      </c>
      <c r="BV104" s="59" t="e">
        <f t="shared" si="48"/>
        <v>#VALUE!</v>
      </c>
      <c r="BW104" s="59" t="str">
        <f t="shared" si="49"/>
        <v xml:space="preserve"> </v>
      </c>
      <c r="BX104" s="59" t="str">
        <f t="shared" si="50"/>
        <v>-</v>
      </c>
      <c r="BY104" s="98" t="str">
        <f t="shared" si="51"/>
        <v>-</v>
      </c>
      <c r="CC104" s="78">
        <v>100</v>
      </c>
      <c r="CD104" s="2" t="e">
        <f>VLOOKUP(CC104,$BU$5:BY$215,2,FALSE)</f>
        <v>#N/A</v>
      </c>
      <c r="CE104" s="6" t="e">
        <f>VLOOKUP(CC104,$BU$5:BY$215,3,FALSE)</f>
        <v>#N/A</v>
      </c>
      <c r="CF104" s="2" t="e">
        <f>VLOOKUP(CC104,$BU$5:BY$215,5,FALSE)</f>
        <v>#N/A</v>
      </c>
      <c r="CL104" s="77">
        <v>1</v>
      </c>
    </row>
    <row r="105" spans="1:90" ht="17.45" customHeight="1">
      <c r="A105" s="58">
        <v>101</v>
      </c>
      <c r="B105" s="59" t="str">
        <f>'A Div'!A105 &amp; " " &amp; 'A Div'!B105</f>
        <v xml:space="preserve"> </v>
      </c>
      <c r="C105" s="59">
        <f>'A Div'!E105</f>
        <v>0</v>
      </c>
      <c r="D105" s="60"/>
      <c r="E105" s="60"/>
      <c r="F105" s="60"/>
      <c r="G105" s="60"/>
      <c r="H105" s="60"/>
      <c r="I105" s="60"/>
      <c r="J105" s="60"/>
      <c r="K105" s="60"/>
      <c r="L105" s="60"/>
      <c r="M105" s="74" t="str">
        <f t="shared" si="26"/>
        <v>-</v>
      </c>
      <c r="N105" s="60"/>
      <c r="O105" s="60"/>
      <c r="P105" s="60"/>
      <c r="Q105" s="60"/>
      <c r="R105" s="60"/>
      <c r="S105" s="60"/>
      <c r="T105" s="60"/>
      <c r="U105" s="60"/>
      <c r="V105" s="60"/>
      <c r="W105" s="74" t="str">
        <f t="shared" si="27"/>
        <v>-</v>
      </c>
      <c r="X105" s="148" t="str">
        <f t="shared" si="28"/>
        <v>-</v>
      </c>
      <c r="Y105" s="74" t="str">
        <f t="shared" si="29"/>
        <v>-</v>
      </c>
      <c r="AA105" s="60"/>
      <c r="AB105" s="60"/>
      <c r="AC105" s="60"/>
      <c r="AD105" s="60"/>
      <c r="AE105" s="60"/>
      <c r="AF105" s="60"/>
      <c r="AG105" s="60"/>
      <c r="AH105" s="60"/>
      <c r="AI105" s="60"/>
      <c r="AJ105" s="74" t="str">
        <f t="shared" si="30"/>
        <v>-</v>
      </c>
      <c r="AK105" s="60"/>
      <c r="AL105" s="60"/>
      <c r="AM105" s="60"/>
      <c r="AN105" s="60"/>
      <c r="AO105" s="60"/>
      <c r="AP105" s="60"/>
      <c r="AQ105" s="60"/>
      <c r="AR105" s="60"/>
      <c r="AS105" s="60"/>
      <c r="AT105" s="74" t="str">
        <f>IF(COUNTIF(AK105:AS105,"&lt;&gt;"&amp;"")=9,SUM(AK105:AS105),"-")</f>
        <v>-</v>
      </c>
      <c r="AU105" s="148" t="str">
        <f>IF(AND(ISNUMBER(AJ105),ISNUMBER(AT105)),AJ105+AT105,"-")</f>
        <v>-</v>
      </c>
      <c r="AV105" s="74" t="str">
        <f>IF(ISNUMBER(AU105),AU105-C105,"-")</f>
        <v>-</v>
      </c>
      <c r="AX105" s="59" t="str">
        <f t="shared" si="31"/>
        <v>-</v>
      </c>
      <c r="AY105" s="59" t="str">
        <f t="shared" si="32"/>
        <v>-</v>
      </c>
      <c r="AZ105" s="59" t="str">
        <f t="shared" si="33"/>
        <v>-</v>
      </c>
      <c r="BA105" s="59" t="str">
        <f t="shared" si="34"/>
        <v>-</v>
      </c>
      <c r="BB105" s="59" t="str">
        <f t="shared" si="35"/>
        <v>-</v>
      </c>
      <c r="BC105" s="59" t="str">
        <f t="shared" si="36"/>
        <v>-</v>
      </c>
      <c r="BD105" s="59" t="str">
        <f t="shared" si="37"/>
        <v>-</v>
      </c>
      <c r="BE105" s="59" t="str">
        <f t="shared" si="38"/>
        <v>-</v>
      </c>
      <c r="BF105" s="59" t="str">
        <f t="shared" si="39"/>
        <v>-</v>
      </c>
      <c r="BG105" s="59" t="str">
        <f t="shared" si="40"/>
        <v>-</v>
      </c>
      <c r="BH105" s="59" t="str">
        <f t="shared" si="41"/>
        <v>-</v>
      </c>
      <c r="BI105" s="59" t="str">
        <f t="shared" si="42"/>
        <v>-</v>
      </c>
      <c r="BJ105" s="59" t="str">
        <f t="shared" si="43"/>
        <v>-</v>
      </c>
      <c r="BK105" s="59" t="str">
        <f t="shared" si="44"/>
        <v>-</v>
      </c>
      <c r="BL105" s="59" t="str">
        <f>IF(AND(R105&gt;0,AO105&gt;0),MIN(R105,AO105),"-")</f>
        <v>-</v>
      </c>
      <c r="BM105" s="59" t="str">
        <f>IF(AND(S105&gt;0,AP105&gt;0),MIN(S105,AP105),"-")</f>
        <v>-</v>
      </c>
      <c r="BN105" s="59" t="str">
        <f>IF(AND(T105&gt;0,AQ105&gt;0),MIN(T105,AQ105),"-")</f>
        <v>-</v>
      </c>
      <c r="BO105" s="59" t="str">
        <f>IF(AND(U105&gt;0,AR105&gt;0),MIN(U105,AR105),"-")</f>
        <v>-</v>
      </c>
      <c r="BP105" s="59" t="str">
        <f>IF(AND(V105&gt;0,AS105&gt;0),MIN(V105,AS105),"-")</f>
        <v>-</v>
      </c>
      <c r="BQ105" s="59" t="str">
        <f t="shared" si="45"/>
        <v>-</v>
      </c>
      <c r="BR105" s="59" t="str">
        <f t="shared" si="46"/>
        <v>-</v>
      </c>
      <c r="BS105" s="59" t="str">
        <f t="shared" si="47"/>
        <v>-</v>
      </c>
      <c r="BT105" s="98" t="str">
        <f>IF(ISNUMBER(BS105),BS105-(C105*Rules!$P$9/100),"-")</f>
        <v>-</v>
      </c>
      <c r="BU105" s="59" t="e">
        <f>RANK($BT105,$BT$5:$BT$106,1)+COUNTIF(BT$5:BT105,BT105)-1</f>
        <v>#VALUE!</v>
      </c>
      <c r="BV105" s="59" t="e">
        <f t="shared" si="48"/>
        <v>#VALUE!</v>
      </c>
      <c r="BW105" s="59" t="str">
        <f t="shared" si="49"/>
        <v xml:space="preserve"> </v>
      </c>
      <c r="BX105" s="59">
        <f t="shared" si="50"/>
        <v>0</v>
      </c>
      <c r="BY105" s="98" t="str">
        <f t="shared" si="51"/>
        <v>-</v>
      </c>
      <c r="CD105" s="79"/>
      <c r="CE105" s="80"/>
      <c r="CF105" s="81"/>
      <c r="CL105" s="77">
        <v>1</v>
      </c>
    </row>
    <row r="106" spans="1:90" ht="17.45" customHeight="1">
      <c r="A106" s="58">
        <v>102</v>
      </c>
      <c r="B106" s="59" t="str">
        <f>'A Div'!A106 &amp; " " &amp; 'A Div'!B106</f>
        <v xml:space="preserve"> </v>
      </c>
      <c r="C106" s="59">
        <f>'A Div'!E106</f>
        <v>0</v>
      </c>
      <c r="D106" s="60"/>
      <c r="E106" s="60"/>
      <c r="F106" s="60"/>
      <c r="G106" s="60"/>
      <c r="H106" s="60"/>
      <c r="I106" s="60"/>
      <c r="J106" s="60"/>
      <c r="K106" s="60"/>
      <c r="L106" s="60"/>
      <c r="M106" s="74" t="str">
        <f t="shared" si="26"/>
        <v>-</v>
      </c>
      <c r="N106" s="60"/>
      <c r="O106" s="60"/>
      <c r="P106" s="60"/>
      <c r="Q106" s="60"/>
      <c r="R106" s="60"/>
      <c r="S106" s="60"/>
      <c r="T106" s="60"/>
      <c r="U106" s="60"/>
      <c r="V106" s="60"/>
      <c r="W106" s="74" t="str">
        <f t="shared" si="27"/>
        <v>-</v>
      </c>
      <c r="X106" s="148" t="str">
        <f t="shared" si="28"/>
        <v>-</v>
      </c>
      <c r="Y106" s="74" t="str">
        <f t="shared" si="29"/>
        <v>-</v>
      </c>
      <c r="AA106" s="60"/>
      <c r="AB106" s="60"/>
      <c r="AC106" s="60"/>
      <c r="AD106" s="60"/>
      <c r="AE106" s="60"/>
      <c r="AF106" s="60"/>
      <c r="AG106" s="60"/>
      <c r="AH106" s="60"/>
      <c r="AI106" s="60"/>
      <c r="AJ106" s="74" t="str">
        <f t="shared" si="30"/>
        <v>-</v>
      </c>
      <c r="AK106" s="60"/>
      <c r="AL106" s="60"/>
      <c r="AM106" s="60"/>
      <c r="AN106" s="60"/>
      <c r="AO106" s="60"/>
      <c r="AP106" s="60"/>
      <c r="AQ106" s="60"/>
      <c r="AR106" s="60"/>
      <c r="AS106" s="60"/>
      <c r="AT106" s="74" t="str">
        <f>IF(COUNTIF(AK106:AS106,"&lt;&gt;"&amp;"")=9,SUM(AK106:AS106),"-")</f>
        <v>-</v>
      </c>
      <c r="AU106" s="148" t="str">
        <f>IF(AND(ISNUMBER(AJ106),ISNUMBER(AT106)),AJ106+AT106,"-")</f>
        <v>-</v>
      </c>
      <c r="AV106" s="74" t="str">
        <f>IF(ISNUMBER(AU106),AU106-C106,"-")</f>
        <v>-</v>
      </c>
      <c r="AX106" s="59" t="str">
        <f t="shared" si="31"/>
        <v>-</v>
      </c>
      <c r="AY106" s="59" t="str">
        <f t="shared" si="32"/>
        <v>-</v>
      </c>
      <c r="AZ106" s="59" t="str">
        <f t="shared" si="33"/>
        <v>-</v>
      </c>
      <c r="BA106" s="59" t="str">
        <f t="shared" si="34"/>
        <v>-</v>
      </c>
      <c r="BB106" s="59" t="str">
        <f t="shared" si="35"/>
        <v>-</v>
      </c>
      <c r="BC106" s="59" t="str">
        <f t="shared" si="36"/>
        <v>-</v>
      </c>
      <c r="BD106" s="59" t="str">
        <f t="shared" si="37"/>
        <v>-</v>
      </c>
      <c r="BE106" s="59" t="str">
        <f t="shared" si="38"/>
        <v>-</v>
      </c>
      <c r="BF106" s="59" t="str">
        <f t="shared" si="39"/>
        <v>-</v>
      </c>
      <c r="BG106" s="59" t="str">
        <f t="shared" si="40"/>
        <v>-</v>
      </c>
      <c r="BH106" s="59" t="str">
        <f t="shared" si="41"/>
        <v>-</v>
      </c>
      <c r="BI106" s="59" t="str">
        <f t="shared" si="42"/>
        <v>-</v>
      </c>
      <c r="BJ106" s="59" t="str">
        <f t="shared" si="43"/>
        <v>-</v>
      </c>
      <c r="BK106" s="59" t="str">
        <f t="shared" si="44"/>
        <v>-</v>
      </c>
      <c r="BL106" s="59" t="str">
        <f>IF(AND(R106&gt;0,AO106&gt;0),MIN(R106,AO106),"-")</f>
        <v>-</v>
      </c>
      <c r="BM106" s="59" t="str">
        <f>IF(AND(S106&gt;0,AP106&gt;0),MIN(S106,AP106),"-")</f>
        <v>-</v>
      </c>
      <c r="BN106" s="59" t="str">
        <f>IF(AND(T106&gt;0,AQ106&gt;0),MIN(T106,AQ106),"-")</f>
        <v>-</v>
      </c>
      <c r="BO106" s="59" t="str">
        <f>IF(AND(U106&gt;0,AR106&gt;0),MIN(U106,AR106),"-")</f>
        <v>-</v>
      </c>
      <c r="BP106" s="59" t="str">
        <f>IF(AND(V106&gt;0,AS106&gt;0),MIN(V106,AS106),"-")</f>
        <v>-</v>
      </c>
      <c r="BQ106" s="59" t="str">
        <f t="shared" si="45"/>
        <v>-</v>
      </c>
      <c r="BR106" s="59" t="str">
        <f t="shared" si="46"/>
        <v>-</v>
      </c>
      <c r="BS106" s="59" t="str">
        <f t="shared" si="47"/>
        <v>-</v>
      </c>
      <c r="BT106" s="98" t="str">
        <f>IF(ISNUMBER(BS106),BS106-(C106*Rules!$P$9/100),"-")</f>
        <v>-</v>
      </c>
      <c r="BU106" s="59" t="e">
        <f>RANK($BT106,$BT$5:$BT$106,1)+COUNTIF(BT$5:BT106,BT106)-1</f>
        <v>#VALUE!</v>
      </c>
      <c r="BV106" s="59" t="e">
        <f t="shared" si="48"/>
        <v>#VALUE!</v>
      </c>
      <c r="BW106" s="59" t="str">
        <f t="shared" si="49"/>
        <v xml:space="preserve"> </v>
      </c>
      <c r="BX106" s="59">
        <f t="shared" si="50"/>
        <v>0</v>
      </c>
      <c r="BY106" s="98" t="str">
        <f t="shared" si="51"/>
        <v>-</v>
      </c>
      <c r="CD106" s="79"/>
      <c r="CE106" s="80"/>
      <c r="CF106" s="81"/>
      <c r="CL106" s="77">
        <v>1</v>
      </c>
    </row>
    <row r="107" spans="1:90" ht="17.45" customHeight="1">
      <c r="A107" s="58">
        <v>103</v>
      </c>
      <c r="B107" s="59" t="str">
        <f>'A Div'!A107 &amp; " " &amp; 'A Div'!B107</f>
        <v xml:space="preserve"> </v>
      </c>
      <c r="C107" s="59">
        <f>'A Div'!E107</f>
        <v>0</v>
      </c>
      <c r="D107" s="60"/>
      <c r="E107" s="60"/>
      <c r="F107" s="60"/>
      <c r="G107" s="60"/>
      <c r="H107" s="60"/>
      <c r="I107" s="60"/>
      <c r="J107" s="60"/>
      <c r="K107" s="60"/>
      <c r="L107" s="60"/>
      <c r="M107" s="74" t="str">
        <f t="shared" si="26"/>
        <v>-</v>
      </c>
      <c r="N107" s="60"/>
      <c r="O107" s="60"/>
      <c r="P107" s="60"/>
      <c r="Q107" s="60"/>
      <c r="R107" s="60"/>
      <c r="S107" s="60"/>
      <c r="T107" s="60"/>
      <c r="U107" s="60"/>
      <c r="V107" s="60"/>
      <c r="W107" s="74" t="str">
        <f t="shared" si="27"/>
        <v>-</v>
      </c>
      <c r="X107" s="148" t="str">
        <f t="shared" si="28"/>
        <v>-</v>
      </c>
      <c r="Y107" s="74" t="str">
        <f t="shared" si="29"/>
        <v>-</v>
      </c>
      <c r="AA107" s="60"/>
      <c r="AB107" s="60"/>
      <c r="AC107" s="60"/>
      <c r="AD107" s="60"/>
      <c r="AE107" s="60"/>
      <c r="AF107" s="60"/>
      <c r="AG107" s="60"/>
      <c r="AH107" s="60"/>
      <c r="AI107" s="60"/>
      <c r="AJ107" s="74" t="str">
        <f t="shared" si="30"/>
        <v>-</v>
      </c>
      <c r="AK107" s="60"/>
      <c r="AL107" s="60"/>
      <c r="AM107" s="60"/>
      <c r="AN107" s="60"/>
      <c r="AO107" s="60"/>
      <c r="AP107" s="60"/>
      <c r="AQ107" s="60"/>
      <c r="AR107" s="60"/>
      <c r="AS107" s="60"/>
      <c r="AT107" s="74" t="str">
        <f>IF(COUNTIF(AK107:AS107,"&lt;&gt;"&amp;"")=9,SUM(AK107:AS107),"-")</f>
        <v>-</v>
      </c>
      <c r="AU107" s="148" t="str">
        <f>IF(AND(ISNUMBER(AJ107),ISNUMBER(AT107)),AJ107+AT107,"-")</f>
        <v>-</v>
      </c>
      <c r="AV107" s="74" t="str">
        <f>IF(ISNUMBER(AU107),AU107-C107,"-")</f>
        <v>-</v>
      </c>
      <c r="AX107" s="59" t="str">
        <f t="shared" si="31"/>
        <v>-</v>
      </c>
      <c r="AY107" s="59" t="str">
        <f t="shared" si="32"/>
        <v>-</v>
      </c>
      <c r="AZ107" s="59" t="str">
        <f t="shared" si="33"/>
        <v>-</v>
      </c>
      <c r="BA107" s="59" t="str">
        <f t="shared" si="34"/>
        <v>-</v>
      </c>
      <c r="BB107" s="59" t="str">
        <f t="shared" si="35"/>
        <v>-</v>
      </c>
      <c r="BC107" s="59" t="str">
        <f t="shared" si="36"/>
        <v>-</v>
      </c>
      <c r="BD107" s="59" t="str">
        <f t="shared" si="37"/>
        <v>-</v>
      </c>
      <c r="BE107" s="59" t="str">
        <f t="shared" si="38"/>
        <v>-</v>
      </c>
      <c r="BF107" s="59" t="str">
        <f t="shared" si="39"/>
        <v>-</v>
      </c>
      <c r="BG107" s="59" t="str">
        <f t="shared" si="40"/>
        <v>-</v>
      </c>
      <c r="BH107" s="59" t="str">
        <f t="shared" si="41"/>
        <v>-</v>
      </c>
      <c r="BI107" s="59" t="str">
        <f t="shared" si="42"/>
        <v>-</v>
      </c>
      <c r="BJ107" s="59" t="str">
        <f t="shared" si="43"/>
        <v>-</v>
      </c>
      <c r="BK107" s="59" t="str">
        <f t="shared" si="44"/>
        <v>-</v>
      </c>
      <c r="BL107" s="59" t="str">
        <f>IF(AND(R107&gt;0,AO107&gt;0),MIN(R107,AO107),"-")</f>
        <v>-</v>
      </c>
      <c r="BM107" s="59" t="str">
        <f>IF(AND(S107&gt;0,AP107&gt;0),MIN(S107,AP107),"-")</f>
        <v>-</v>
      </c>
      <c r="BN107" s="59" t="str">
        <f>IF(AND(T107&gt;0,AQ107&gt;0),MIN(T107,AQ107),"-")</f>
        <v>-</v>
      </c>
      <c r="BO107" s="59" t="str">
        <f>IF(AND(U107&gt;0,AR107&gt;0),MIN(U107,AR107),"-")</f>
        <v>-</v>
      </c>
      <c r="BP107" s="59" t="str">
        <f>IF(AND(V107&gt;0,AS107&gt;0),MIN(V107,AS107),"-")</f>
        <v>-</v>
      </c>
      <c r="BQ107" s="59" t="str">
        <f t="shared" si="45"/>
        <v>-</v>
      </c>
      <c r="BR107" s="59" t="str">
        <f t="shared" si="46"/>
        <v>-</v>
      </c>
      <c r="BS107" s="59" t="str">
        <f t="shared" si="47"/>
        <v>-</v>
      </c>
      <c r="BT107" s="98" t="str">
        <f>IF(ISNUMBER(BS107),BS107-(C107*Rules!$P$9/100),"-")</f>
        <v>-</v>
      </c>
      <c r="BU107" s="59" t="e">
        <f>RANK($BT107,$BT$5:$BT$106,1)+COUNTIF(BT$5:BT107,BT107)-1</f>
        <v>#VALUE!</v>
      </c>
      <c r="BV107" s="59" t="e">
        <f t="shared" si="48"/>
        <v>#VALUE!</v>
      </c>
      <c r="BW107" s="59" t="str">
        <f t="shared" si="49"/>
        <v xml:space="preserve"> </v>
      </c>
      <c r="BX107" s="59">
        <f t="shared" si="50"/>
        <v>0</v>
      </c>
      <c r="BY107" s="98" t="str">
        <f t="shared" si="51"/>
        <v>-</v>
      </c>
      <c r="CD107" s="79"/>
      <c r="CE107" s="80"/>
      <c r="CF107" s="81"/>
      <c r="CL107" s="77">
        <v>1</v>
      </c>
    </row>
    <row r="108" spans="1:90" ht="17.45" customHeight="1">
      <c r="A108" s="58">
        <v>104</v>
      </c>
      <c r="B108" s="59" t="str">
        <f>'A Div'!A108 &amp; " " &amp; 'A Div'!B108</f>
        <v xml:space="preserve"> </v>
      </c>
      <c r="C108" s="59">
        <f>'A Div'!E108</f>
        <v>0</v>
      </c>
      <c r="D108" s="60"/>
      <c r="E108" s="60"/>
      <c r="F108" s="60"/>
      <c r="G108" s="60"/>
      <c r="H108" s="60"/>
      <c r="I108" s="60"/>
      <c r="J108" s="60"/>
      <c r="K108" s="60"/>
      <c r="L108" s="60"/>
      <c r="M108" s="74" t="str">
        <f t="shared" si="26"/>
        <v>-</v>
      </c>
      <c r="N108" s="60"/>
      <c r="O108" s="60"/>
      <c r="P108" s="60"/>
      <c r="Q108" s="60"/>
      <c r="R108" s="60"/>
      <c r="S108" s="60"/>
      <c r="T108" s="60"/>
      <c r="U108" s="60"/>
      <c r="V108" s="60"/>
      <c r="W108" s="74" t="str">
        <f t="shared" si="27"/>
        <v>-</v>
      </c>
      <c r="X108" s="148" t="str">
        <f t="shared" si="28"/>
        <v>-</v>
      </c>
      <c r="Y108" s="74" t="str">
        <f t="shared" si="29"/>
        <v>-</v>
      </c>
      <c r="AA108" s="60"/>
      <c r="AB108" s="60"/>
      <c r="AC108" s="60"/>
      <c r="AD108" s="60"/>
      <c r="AE108" s="60"/>
      <c r="AF108" s="60"/>
      <c r="AG108" s="60"/>
      <c r="AH108" s="60"/>
      <c r="AI108" s="60"/>
      <c r="AJ108" s="74" t="str">
        <f t="shared" si="30"/>
        <v>-</v>
      </c>
      <c r="AK108" s="60"/>
      <c r="AL108" s="60"/>
      <c r="AM108" s="60"/>
      <c r="AN108" s="60"/>
      <c r="AO108" s="60"/>
      <c r="AP108" s="60"/>
      <c r="AQ108" s="60"/>
      <c r="AR108" s="60"/>
      <c r="AS108" s="60"/>
      <c r="AT108" s="74" t="str">
        <f>IF(COUNTIF(AK108:AS108,"&lt;&gt;"&amp;"")=9,SUM(AK108:AS108),"-")</f>
        <v>-</v>
      </c>
      <c r="AU108" s="148" t="str">
        <f>IF(AND(ISNUMBER(AJ108),ISNUMBER(AT108)),AJ108+AT108,"-")</f>
        <v>-</v>
      </c>
      <c r="AV108" s="74" t="str">
        <f>IF(ISNUMBER(AU108),AU108-C108,"-")</f>
        <v>-</v>
      </c>
      <c r="AX108" s="59" t="str">
        <f t="shared" si="31"/>
        <v>-</v>
      </c>
      <c r="AY108" s="59" t="str">
        <f t="shared" si="32"/>
        <v>-</v>
      </c>
      <c r="AZ108" s="59" t="str">
        <f t="shared" si="33"/>
        <v>-</v>
      </c>
      <c r="BA108" s="59" t="str">
        <f t="shared" si="34"/>
        <v>-</v>
      </c>
      <c r="BB108" s="59" t="str">
        <f t="shared" si="35"/>
        <v>-</v>
      </c>
      <c r="BC108" s="59" t="str">
        <f t="shared" si="36"/>
        <v>-</v>
      </c>
      <c r="BD108" s="59" t="str">
        <f t="shared" si="37"/>
        <v>-</v>
      </c>
      <c r="BE108" s="59" t="str">
        <f t="shared" si="38"/>
        <v>-</v>
      </c>
      <c r="BF108" s="59" t="str">
        <f t="shared" si="39"/>
        <v>-</v>
      </c>
      <c r="BG108" s="59" t="str">
        <f t="shared" si="40"/>
        <v>-</v>
      </c>
      <c r="BH108" s="59" t="str">
        <f t="shared" si="41"/>
        <v>-</v>
      </c>
      <c r="BI108" s="59" t="str">
        <f t="shared" si="42"/>
        <v>-</v>
      </c>
      <c r="BJ108" s="59" t="str">
        <f t="shared" si="43"/>
        <v>-</v>
      </c>
      <c r="BK108" s="59" t="str">
        <f t="shared" si="44"/>
        <v>-</v>
      </c>
      <c r="BL108" s="59" t="str">
        <f>IF(AND(R108&gt;0,AO108&gt;0),MIN(R108,AO108),"-")</f>
        <v>-</v>
      </c>
      <c r="BM108" s="59" t="str">
        <f>IF(AND(S108&gt;0,AP108&gt;0),MIN(S108,AP108),"-")</f>
        <v>-</v>
      </c>
      <c r="BN108" s="59" t="str">
        <f>IF(AND(T108&gt;0,AQ108&gt;0),MIN(T108,AQ108),"-")</f>
        <v>-</v>
      </c>
      <c r="BO108" s="59" t="str">
        <f>IF(AND(U108&gt;0,AR108&gt;0),MIN(U108,AR108),"-")</f>
        <v>-</v>
      </c>
      <c r="BP108" s="59" t="str">
        <f>IF(AND(V108&gt;0,AS108&gt;0),MIN(V108,AS108),"-")</f>
        <v>-</v>
      </c>
      <c r="BQ108" s="59" t="str">
        <f t="shared" si="45"/>
        <v>-</v>
      </c>
      <c r="BR108" s="59" t="str">
        <f t="shared" si="46"/>
        <v>-</v>
      </c>
      <c r="BS108" s="59" t="str">
        <f t="shared" si="47"/>
        <v>-</v>
      </c>
      <c r="BT108" s="98" t="str">
        <f>IF(ISNUMBER(BS108),BS108-(C108*Rules!$P$9/100),"-")</f>
        <v>-</v>
      </c>
      <c r="BU108" s="59" t="e">
        <f>RANK($BT108,$BT$5:$BT$106,1)+COUNTIF(BT$5:BT108,BT108)-1</f>
        <v>#VALUE!</v>
      </c>
      <c r="BV108" s="59" t="e">
        <f t="shared" si="48"/>
        <v>#VALUE!</v>
      </c>
      <c r="BW108" s="59" t="str">
        <f t="shared" si="49"/>
        <v xml:space="preserve"> </v>
      </c>
      <c r="BX108" s="59">
        <f t="shared" si="50"/>
        <v>0</v>
      </c>
      <c r="BY108" s="98" t="str">
        <f t="shared" si="51"/>
        <v>-</v>
      </c>
      <c r="CD108" s="79"/>
      <c r="CE108" s="80"/>
      <c r="CF108" s="81"/>
      <c r="CL108" s="77">
        <v>1</v>
      </c>
    </row>
    <row r="109" spans="1:90" ht="17.45" customHeight="1">
      <c r="A109" s="58">
        <v>105</v>
      </c>
      <c r="B109" s="59" t="str">
        <f>'A Div'!A109 &amp; " " &amp; 'A Div'!B109</f>
        <v xml:space="preserve"> </v>
      </c>
      <c r="C109" s="59">
        <f>'A Div'!E109</f>
        <v>0</v>
      </c>
      <c r="D109" s="60"/>
      <c r="E109" s="60"/>
      <c r="F109" s="60"/>
      <c r="G109" s="60"/>
      <c r="H109" s="60"/>
      <c r="I109" s="60"/>
      <c r="J109" s="60"/>
      <c r="K109" s="60"/>
      <c r="L109" s="60"/>
      <c r="M109" s="74" t="str">
        <f t="shared" si="26"/>
        <v>-</v>
      </c>
      <c r="N109" s="60"/>
      <c r="O109" s="60"/>
      <c r="P109" s="60"/>
      <c r="Q109" s="60"/>
      <c r="R109" s="60"/>
      <c r="S109" s="60"/>
      <c r="T109" s="60"/>
      <c r="U109" s="60"/>
      <c r="V109" s="60"/>
      <c r="W109" s="74" t="str">
        <f t="shared" si="27"/>
        <v>-</v>
      </c>
      <c r="X109" s="148" t="str">
        <f t="shared" si="28"/>
        <v>-</v>
      </c>
      <c r="Y109" s="74" t="str">
        <f t="shared" si="29"/>
        <v>-</v>
      </c>
      <c r="AA109" s="60"/>
      <c r="AB109" s="60"/>
      <c r="AC109" s="60"/>
      <c r="AD109" s="60"/>
      <c r="AE109" s="60"/>
      <c r="AF109" s="60"/>
      <c r="AG109" s="60"/>
      <c r="AH109" s="60"/>
      <c r="AI109" s="60"/>
      <c r="AJ109" s="74" t="str">
        <f t="shared" si="30"/>
        <v>-</v>
      </c>
      <c r="AK109" s="60"/>
      <c r="AL109" s="60"/>
      <c r="AM109" s="60"/>
      <c r="AN109" s="60"/>
      <c r="AO109" s="60"/>
      <c r="AP109" s="60"/>
      <c r="AQ109" s="60"/>
      <c r="AR109" s="60"/>
      <c r="AS109" s="60"/>
      <c r="AT109" s="74" t="str">
        <f>IF(COUNTIF(AK109:AS109,"&lt;&gt;"&amp;"")=9,SUM(AK109:AS109),"-")</f>
        <v>-</v>
      </c>
      <c r="AU109" s="148" t="str">
        <f>IF(AND(ISNUMBER(AJ109),ISNUMBER(AT109)),AJ109+AT109,"-")</f>
        <v>-</v>
      </c>
      <c r="AV109" s="74" t="str">
        <f>IF(ISNUMBER(AU109),AU109-C109,"-")</f>
        <v>-</v>
      </c>
      <c r="AX109" s="59" t="str">
        <f t="shared" si="31"/>
        <v>-</v>
      </c>
      <c r="AY109" s="59" t="str">
        <f t="shared" si="32"/>
        <v>-</v>
      </c>
      <c r="AZ109" s="59" t="str">
        <f t="shared" si="33"/>
        <v>-</v>
      </c>
      <c r="BA109" s="59" t="str">
        <f t="shared" si="34"/>
        <v>-</v>
      </c>
      <c r="BB109" s="59" t="str">
        <f t="shared" si="35"/>
        <v>-</v>
      </c>
      <c r="BC109" s="59" t="str">
        <f t="shared" si="36"/>
        <v>-</v>
      </c>
      <c r="BD109" s="59" t="str">
        <f t="shared" si="37"/>
        <v>-</v>
      </c>
      <c r="BE109" s="59" t="str">
        <f t="shared" si="38"/>
        <v>-</v>
      </c>
      <c r="BF109" s="59" t="str">
        <f t="shared" si="39"/>
        <v>-</v>
      </c>
      <c r="BG109" s="59" t="str">
        <f t="shared" si="40"/>
        <v>-</v>
      </c>
      <c r="BH109" s="59" t="str">
        <f t="shared" si="41"/>
        <v>-</v>
      </c>
      <c r="BI109" s="59" t="str">
        <f t="shared" si="42"/>
        <v>-</v>
      </c>
      <c r="BJ109" s="59" t="str">
        <f t="shared" si="43"/>
        <v>-</v>
      </c>
      <c r="BK109" s="59" t="str">
        <f t="shared" si="44"/>
        <v>-</v>
      </c>
      <c r="BL109" s="59" t="str">
        <f>IF(AND(R109&gt;0,AO109&gt;0),MIN(R109,AO109),"-")</f>
        <v>-</v>
      </c>
      <c r="BM109" s="59" t="str">
        <f>IF(AND(S109&gt;0,AP109&gt;0),MIN(S109,AP109),"-")</f>
        <v>-</v>
      </c>
      <c r="BN109" s="59" t="str">
        <f>IF(AND(T109&gt;0,AQ109&gt;0),MIN(T109,AQ109),"-")</f>
        <v>-</v>
      </c>
      <c r="BO109" s="59" t="str">
        <f>IF(AND(U109&gt;0,AR109&gt;0),MIN(U109,AR109),"-")</f>
        <v>-</v>
      </c>
      <c r="BP109" s="59" t="str">
        <f>IF(AND(V109&gt;0,AS109&gt;0),MIN(V109,AS109),"-")</f>
        <v>-</v>
      </c>
      <c r="BQ109" s="59" t="str">
        <f t="shared" si="45"/>
        <v>-</v>
      </c>
      <c r="BR109" s="59" t="str">
        <f t="shared" si="46"/>
        <v>-</v>
      </c>
      <c r="BS109" s="59" t="str">
        <f t="shared" si="47"/>
        <v>-</v>
      </c>
      <c r="BT109" s="98" t="str">
        <f>IF(ISNUMBER(BS109),BS109-(C109*Rules!$P$9/100),"-")</f>
        <v>-</v>
      </c>
      <c r="BU109" s="59" t="e">
        <f>RANK($BT109,$BT$5:$BT$106,1)+COUNTIF(BT$5:BT109,BT109)-1</f>
        <v>#VALUE!</v>
      </c>
      <c r="BV109" s="59" t="e">
        <f t="shared" si="48"/>
        <v>#VALUE!</v>
      </c>
      <c r="BW109" s="59" t="str">
        <f t="shared" si="49"/>
        <v xml:space="preserve"> </v>
      </c>
      <c r="BX109" s="59">
        <f t="shared" si="50"/>
        <v>0</v>
      </c>
      <c r="BY109" s="98" t="str">
        <f t="shared" si="51"/>
        <v>-</v>
      </c>
      <c r="CD109" s="79"/>
      <c r="CE109" s="80"/>
      <c r="CF109" s="81"/>
      <c r="CL109" s="77">
        <v>1</v>
      </c>
    </row>
    <row r="110" spans="1:90" ht="17.45" customHeight="1">
      <c r="A110" s="58">
        <v>106</v>
      </c>
      <c r="B110" s="59" t="str">
        <f>'A Div'!A110 &amp; " " &amp; 'A Div'!B110</f>
        <v xml:space="preserve"> </v>
      </c>
      <c r="C110" s="59">
        <f>'A Div'!E110</f>
        <v>0</v>
      </c>
      <c r="D110" s="60"/>
      <c r="E110" s="60"/>
      <c r="F110" s="60"/>
      <c r="G110" s="60"/>
      <c r="H110" s="60"/>
      <c r="I110" s="60"/>
      <c r="J110" s="60"/>
      <c r="K110" s="60"/>
      <c r="L110" s="60"/>
      <c r="M110" s="74" t="str">
        <f t="shared" si="26"/>
        <v>-</v>
      </c>
      <c r="N110" s="60"/>
      <c r="O110" s="60"/>
      <c r="P110" s="60"/>
      <c r="Q110" s="60"/>
      <c r="R110" s="60"/>
      <c r="S110" s="60"/>
      <c r="T110" s="60"/>
      <c r="U110" s="60"/>
      <c r="V110" s="60"/>
      <c r="W110" s="74" t="str">
        <f t="shared" si="27"/>
        <v>-</v>
      </c>
      <c r="X110" s="148" t="str">
        <f t="shared" si="28"/>
        <v>-</v>
      </c>
      <c r="Y110" s="74" t="str">
        <f t="shared" si="29"/>
        <v>-</v>
      </c>
      <c r="AA110" s="60"/>
      <c r="AB110" s="60"/>
      <c r="AC110" s="60"/>
      <c r="AD110" s="60"/>
      <c r="AE110" s="60"/>
      <c r="AF110" s="60"/>
      <c r="AG110" s="60"/>
      <c r="AH110" s="60"/>
      <c r="AI110" s="60"/>
      <c r="AJ110" s="74" t="str">
        <f t="shared" si="30"/>
        <v>-</v>
      </c>
      <c r="AK110" s="60"/>
      <c r="AL110" s="60"/>
      <c r="AM110" s="60"/>
      <c r="AN110" s="60"/>
      <c r="AO110" s="60"/>
      <c r="AP110" s="60"/>
      <c r="AQ110" s="60"/>
      <c r="AR110" s="60"/>
      <c r="AS110" s="60"/>
      <c r="AT110" s="74" t="str">
        <f>IF(COUNTIF(AK110:AS110,"&lt;&gt;"&amp;"")=9,SUM(AK110:AS110),"-")</f>
        <v>-</v>
      </c>
      <c r="AU110" s="148" t="str">
        <f>IF(AND(ISNUMBER(AJ110),ISNUMBER(AT110)),AJ110+AT110,"-")</f>
        <v>-</v>
      </c>
      <c r="AV110" s="74" t="str">
        <f>IF(ISNUMBER(AU110),AU110-C110,"-")</f>
        <v>-</v>
      </c>
      <c r="AX110" s="59" t="str">
        <f t="shared" si="31"/>
        <v>-</v>
      </c>
      <c r="AY110" s="59" t="str">
        <f t="shared" si="32"/>
        <v>-</v>
      </c>
      <c r="AZ110" s="59" t="str">
        <f t="shared" si="33"/>
        <v>-</v>
      </c>
      <c r="BA110" s="59" t="str">
        <f t="shared" si="34"/>
        <v>-</v>
      </c>
      <c r="BB110" s="59" t="str">
        <f t="shared" si="35"/>
        <v>-</v>
      </c>
      <c r="BC110" s="59" t="str">
        <f t="shared" si="36"/>
        <v>-</v>
      </c>
      <c r="BD110" s="59" t="str">
        <f t="shared" si="37"/>
        <v>-</v>
      </c>
      <c r="BE110" s="59" t="str">
        <f t="shared" si="38"/>
        <v>-</v>
      </c>
      <c r="BF110" s="59" t="str">
        <f t="shared" si="39"/>
        <v>-</v>
      </c>
      <c r="BG110" s="59" t="str">
        <f t="shared" si="40"/>
        <v>-</v>
      </c>
      <c r="BH110" s="59" t="str">
        <f t="shared" si="41"/>
        <v>-</v>
      </c>
      <c r="BI110" s="59" t="str">
        <f t="shared" si="42"/>
        <v>-</v>
      </c>
      <c r="BJ110" s="59" t="str">
        <f t="shared" si="43"/>
        <v>-</v>
      </c>
      <c r="BK110" s="59" t="str">
        <f t="shared" si="44"/>
        <v>-</v>
      </c>
      <c r="BL110" s="59" t="str">
        <f>IF(AND(R110&gt;0,AO110&gt;0),MIN(R110,AO110),"-")</f>
        <v>-</v>
      </c>
      <c r="BM110" s="59" t="str">
        <f>IF(AND(S110&gt;0,AP110&gt;0),MIN(S110,AP110),"-")</f>
        <v>-</v>
      </c>
      <c r="BN110" s="59" t="str">
        <f>IF(AND(T110&gt;0,AQ110&gt;0),MIN(T110,AQ110),"-")</f>
        <v>-</v>
      </c>
      <c r="BO110" s="59" t="str">
        <f>IF(AND(U110&gt;0,AR110&gt;0),MIN(U110,AR110),"-")</f>
        <v>-</v>
      </c>
      <c r="BP110" s="59" t="str">
        <f>IF(AND(V110&gt;0,AS110&gt;0),MIN(V110,AS110),"-")</f>
        <v>-</v>
      </c>
      <c r="BQ110" s="59" t="str">
        <f t="shared" si="45"/>
        <v>-</v>
      </c>
      <c r="BR110" s="59" t="str">
        <f t="shared" si="46"/>
        <v>-</v>
      </c>
      <c r="BS110" s="59" t="str">
        <f t="shared" si="47"/>
        <v>-</v>
      </c>
      <c r="BT110" s="98" t="str">
        <f>IF(ISNUMBER(BS110),BS110-(C110*Rules!$P$9/100),"-")</f>
        <v>-</v>
      </c>
      <c r="BU110" s="59" t="e">
        <f>RANK($BT110,$BT$5:$BT$106,1)+COUNTIF(BT$5:BT110,BT110)-1</f>
        <v>#VALUE!</v>
      </c>
      <c r="BV110" s="59" t="e">
        <f t="shared" si="48"/>
        <v>#VALUE!</v>
      </c>
      <c r="BW110" s="59" t="str">
        <f t="shared" si="49"/>
        <v xml:space="preserve"> </v>
      </c>
      <c r="BX110" s="59">
        <f t="shared" si="50"/>
        <v>0</v>
      </c>
      <c r="BY110" s="98" t="str">
        <f t="shared" si="51"/>
        <v>-</v>
      </c>
      <c r="CD110" s="79"/>
      <c r="CE110" s="80"/>
      <c r="CF110" s="81"/>
      <c r="CL110" s="77">
        <v>1</v>
      </c>
    </row>
    <row r="111" spans="1:90" ht="17.45" customHeight="1">
      <c r="A111" s="58">
        <v>107</v>
      </c>
      <c r="B111" s="59" t="str">
        <f>'A Div'!A111 &amp; " " &amp; 'A Div'!B111</f>
        <v xml:space="preserve"> </v>
      </c>
      <c r="C111" s="59">
        <f>'A Div'!E111</f>
        <v>0</v>
      </c>
      <c r="D111" s="60"/>
      <c r="E111" s="60"/>
      <c r="F111" s="60"/>
      <c r="G111" s="60"/>
      <c r="H111" s="60"/>
      <c r="I111" s="60"/>
      <c r="J111" s="60"/>
      <c r="K111" s="60"/>
      <c r="L111" s="60"/>
      <c r="M111" s="74" t="str">
        <f t="shared" si="26"/>
        <v>-</v>
      </c>
      <c r="N111" s="60"/>
      <c r="O111" s="60"/>
      <c r="P111" s="60"/>
      <c r="Q111" s="60"/>
      <c r="R111" s="60"/>
      <c r="S111" s="60"/>
      <c r="T111" s="60"/>
      <c r="U111" s="60"/>
      <c r="V111" s="60"/>
      <c r="W111" s="74" t="str">
        <f t="shared" si="27"/>
        <v>-</v>
      </c>
      <c r="X111" s="148" t="str">
        <f t="shared" si="28"/>
        <v>-</v>
      </c>
      <c r="Y111" s="74" t="str">
        <f t="shared" si="29"/>
        <v>-</v>
      </c>
      <c r="AA111" s="60"/>
      <c r="AB111" s="60"/>
      <c r="AC111" s="60"/>
      <c r="AD111" s="60"/>
      <c r="AE111" s="60"/>
      <c r="AF111" s="60"/>
      <c r="AG111" s="60"/>
      <c r="AH111" s="60"/>
      <c r="AI111" s="60"/>
      <c r="AJ111" s="74" t="str">
        <f t="shared" si="30"/>
        <v>-</v>
      </c>
      <c r="AK111" s="60"/>
      <c r="AL111" s="60"/>
      <c r="AM111" s="60"/>
      <c r="AN111" s="60"/>
      <c r="AO111" s="60"/>
      <c r="AP111" s="60"/>
      <c r="AQ111" s="60"/>
      <c r="AR111" s="60"/>
      <c r="AS111" s="60"/>
      <c r="AT111" s="74" t="str">
        <f>IF(COUNTIF(AK111:AS111,"&lt;&gt;"&amp;"")=9,SUM(AK111:AS111),"-")</f>
        <v>-</v>
      </c>
      <c r="AU111" s="148" t="str">
        <f>IF(AND(ISNUMBER(AJ111),ISNUMBER(AT111)),AJ111+AT111,"-")</f>
        <v>-</v>
      </c>
      <c r="AV111" s="74" t="str">
        <f>IF(ISNUMBER(AU111),AU111-C111,"-")</f>
        <v>-</v>
      </c>
      <c r="AX111" s="59" t="str">
        <f t="shared" si="31"/>
        <v>-</v>
      </c>
      <c r="AY111" s="59" t="str">
        <f t="shared" si="32"/>
        <v>-</v>
      </c>
      <c r="AZ111" s="59" t="str">
        <f t="shared" si="33"/>
        <v>-</v>
      </c>
      <c r="BA111" s="59" t="str">
        <f t="shared" si="34"/>
        <v>-</v>
      </c>
      <c r="BB111" s="59" t="str">
        <f t="shared" si="35"/>
        <v>-</v>
      </c>
      <c r="BC111" s="59" t="str">
        <f t="shared" si="36"/>
        <v>-</v>
      </c>
      <c r="BD111" s="59" t="str">
        <f t="shared" si="37"/>
        <v>-</v>
      </c>
      <c r="BE111" s="59" t="str">
        <f t="shared" si="38"/>
        <v>-</v>
      </c>
      <c r="BF111" s="59" t="str">
        <f t="shared" si="39"/>
        <v>-</v>
      </c>
      <c r="BG111" s="59" t="str">
        <f t="shared" si="40"/>
        <v>-</v>
      </c>
      <c r="BH111" s="59" t="str">
        <f t="shared" si="41"/>
        <v>-</v>
      </c>
      <c r="BI111" s="59" t="str">
        <f t="shared" si="42"/>
        <v>-</v>
      </c>
      <c r="BJ111" s="59" t="str">
        <f t="shared" si="43"/>
        <v>-</v>
      </c>
      <c r="BK111" s="59" t="str">
        <f t="shared" si="44"/>
        <v>-</v>
      </c>
      <c r="BL111" s="59" t="str">
        <f>IF(AND(R111&gt;0,AO111&gt;0),MIN(R111,AO111),"-")</f>
        <v>-</v>
      </c>
      <c r="BM111" s="59" t="str">
        <f>IF(AND(S111&gt;0,AP111&gt;0),MIN(S111,AP111),"-")</f>
        <v>-</v>
      </c>
      <c r="BN111" s="59" t="str">
        <f>IF(AND(T111&gt;0,AQ111&gt;0),MIN(T111,AQ111),"-")</f>
        <v>-</v>
      </c>
      <c r="BO111" s="59" t="str">
        <f>IF(AND(U111&gt;0,AR111&gt;0),MIN(U111,AR111),"-")</f>
        <v>-</v>
      </c>
      <c r="BP111" s="59" t="str">
        <f>IF(AND(V111&gt;0,AS111&gt;0),MIN(V111,AS111),"-")</f>
        <v>-</v>
      </c>
      <c r="BQ111" s="59" t="str">
        <f t="shared" si="45"/>
        <v>-</v>
      </c>
      <c r="BR111" s="59" t="str">
        <f t="shared" si="46"/>
        <v>-</v>
      </c>
      <c r="BS111" s="59" t="str">
        <f t="shared" si="47"/>
        <v>-</v>
      </c>
      <c r="BT111" s="98" t="str">
        <f>IF(ISNUMBER(BS111),BS111-(C111*Rules!$P$9/100),"-")</f>
        <v>-</v>
      </c>
      <c r="BU111" s="59" t="e">
        <f>RANK($BT111,$BT$5:$BT$106,1)+COUNTIF(BT$5:BT111,BT111)-1</f>
        <v>#VALUE!</v>
      </c>
      <c r="BV111" s="59" t="e">
        <f t="shared" si="48"/>
        <v>#VALUE!</v>
      </c>
      <c r="BW111" s="59" t="str">
        <f t="shared" si="49"/>
        <v xml:space="preserve"> </v>
      </c>
      <c r="BX111" s="59">
        <f t="shared" si="50"/>
        <v>0</v>
      </c>
      <c r="BY111" s="98" t="str">
        <f t="shared" si="51"/>
        <v>-</v>
      </c>
      <c r="CD111" s="79"/>
      <c r="CE111" s="80"/>
      <c r="CF111" s="81"/>
      <c r="CL111" s="77">
        <v>1</v>
      </c>
    </row>
    <row r="112" spans="1:90" ht="17.45" customHeight="1">
      <c r="A112" s="58">
        <v>108</v>
      </c>
      <c r="B112" s="59" t="str">
        <f>'A Div'!A112 &amp; " " &amp; 'A Div'!B112</f>
        <v xml:space="preserve"> </v>
      </c>
      <c r="C112" s="59">
        <f>'A Div'!E112</f>
        <v>0</v>
      </c>
      <c r="D112" s="60"/>
      <c r="E112" s="60"/>
      <c r="F112" s="60"/>
      <c r="G112" s="60"/>
      <c r="H112" s="60"/>
      <c r="I112" s="60"/>
      <c r="J112" s="60"/>
      <c r="K112" s="60"/>
      <c r="L112" s="60"/>
      <c r="M112" s="74" t="str">
        <f t="shared" si="26"/>
        <v>-</v>
      </c>
      <c r="N112" s="60"/>
      <c r="O112" s="60"/>
      <c r="P112" s="60"/>
      <c r="Q112" s="60"/>
      <c r="R112" s="60"/>
      <c r="S112" s="60"/>
      <c r="T112" s="60"/>
      <c r="U112" s="60"/>
      <c r="V112" s="60"/>
      <c r="W112" s="74" t="str">
        <f t="shared" si="27"/>
        <v>-</v>
      </c>
      <c r="X112" s="148" t="str">
        <f t="shared" si="28"/>
        <v>-</v>
      </c>
      <c r="Y112" s="74" t="str">
        <f t="shared" si="29"/>
        <v>-</v>
      </c>
      <c r="AA112" s="60"/>
      <c r="AB112" s="60"/>
      <c r="AC112" s="60"/>
      <c r="AD112" s="60"/>
      <c r="AE112" s="60"/>
      <c r="AF112" s="60"/>
      <c r="AG112" s="60"/>
      <c r="AH112" s="60"/>
      <c r="AI112" s="60"/>
      <c r="AJ112" s="74" t="str">
        <f t="shared" si="30"/>
        <v>-</v>
      </c>
      <c r="AK112" s="60"/>
      <c r="AL112" s="60"/>
      <c r="AM112" s="60"/>
      <c r="AN112" s="60"/>
      <c r="AO112" s="60"/>
      <c r="AP112" s="60"/>
      <c r="AQ112" s="60"/>
      <c r="AR112" s="60"/>
      <c r="AS112" s="60"/>
      <c r="AT112" s="74" t="str">
        <f>IF(COUNTIF(AK112:AS112,"&lt;&gt;"&amp;"")=9,SUM(AK112:AS112),"-")</f>
        <v>-</v>
      </c>
      <c r="AU112" s="148" t="str">
        <f>IF(AND(ISNUMBER(AJ112),ISNUMBER(AT112)),AJ112+AT112,"-")</f>
        <v>-</v>
      </c>
      <c r="AV112" s="74" t="str">
        <f>IF(ISNUMBER(AU112),AU112-C112,"-")</f>
        <v>-</v>
      </c>
      <c r="AX112" s="59" t="str">
        <f t="shared" si="31"/>
        <v>-</v>
      </c>
      <c r="AY112" s="59" t="str">
        <f t="shared" si="32"/>
        <v>-</v>
      </c>
      <c r="AZ112" s="59" t="str">
        <f t="shared" si="33"/>
        <v>-</v>
      </c>
      <c r="BA112" s="59" t="str">
        <f t="shared" si="34"/>
        <v>-</v>
      </c>
      <c r="BB112" s="59" t="str">
        <f t="shared" si="35"/>
        <v>-</v>
      </c>
      <c r="BC112" s="59" t="str">
        <f t="shared" si="36"/>
        <v>-</v>
      </c>
      <c r="BD112" s="59" t="str">
        <f t="shared" si="37"/>
        <v>-</v>
      </c>
      <c r="BE112" s="59" t="str">
        <f t="shared" si="38"/>
        <v>-</v>
      </c>
      <c r="BF112" s="59" t="str">
        <f t="shared" si="39"/>
        <v>-</v>
      </c>
      <c r="BG112" s="59" t="str">
        <f t="shared" si="40"/>
        <v>-</v>
      </c>
      <c r="BH112" s="59" t="str">
        <f t="shared" si="41"/>
        <v>-</v>
      </c>
      <c r="BI112" s="59" t="str">
        <f t="shared" si="42"/>
        <v>-</v>
      </c>
      <c r="BJ112" s="59" t="str">
        <f t="shared" si="43"/>
        <v>-</v>
      </c>
      <c r="BK112" s="59" t="str">
        <f t="shared" si="44"/>
        <v>-</v>
      </c>
      <c r="BL112" s="59" t="str">
        <f>IF(AND(R112&gt;0,AO112&gt;0),MIN(R112,AO112),"-")</f>
        <v>-</v>
      </c>
      <c r="BM112" s="59" t="str">
        <f>IF(AND(S112&gt;0,AP112&gt;0),MIN(S112,AP112),"-")</f>
        <v>-</v>
      </c>
      <c r="BN112" s="59" t="str">
        <f>IF(AND(T112&gt;0,AQ112&gt;0),MIN(T112,AQ112),"-")</f>
        <v>-</v>
      </c>
      <c r="BO112" s="59" t="str">
        <f>IF(AND(U112&gt;0,AR112&gt;0),MIN(U112,AR112),"-")</f>
        <v>-</v>
      </c>
      <c r="BP112" s="59" t="str">
        <f>IF(AND(V112&gt;0,AS112&gt;0),MIN(V112,AS112),"-")</f>
        <v>-</v>
      </c>
      <c r="BQ112" s="59" t="str">
        <f t="shared" si="45"/>
        <v>-</v>
      </c>
      <c r="BR112" s="59" t="str">
        <f t="shared" si="46"/>
        <v>-</v>
      </c>
      <c r="BS112" s="59" t="str">
        <f t="shared" si="47"/>
        <v>-</v>
      </c>
      <c r="BT112" s="98" t="str">
        <f>IF(ISNUMBER(BS112),BS112-(C112*Rules!$P$9/100),"-")</f>
        <v>-</v>
      </c>
      <c r="BU112" s="59" t="e">
        <f>RANK($BT112,$BT$5:$BT$106,1)+COUNTIF(BT$5:BT112,BT112)-1</f>
        <v>#VALUE!</v>
      </c>
      <c r="BV112" s="59" t="e">
        <f t="shared" si="48"/>
        <v>#VALUE!</v>
      </c>
      <c r="BW112" s="59" t="str">
        <f t="shared" si="49"/>
        <v xml:space="preserve"> </v>
      </c>
      <c r="BX112" s="59">
        <f t="shared" si="50"/>
        <v>0</v>
      </c>
      <c r="BY112" s="98" t="str">
        <f t="shared" si="51"/>
        <v>-</v>
      </c>
      <c r="CD112" s="79"/>
      <c r="CE112" s="80"/>
      <c r="CF112" s="81"/>
      <c r="CL112" s="77">
        <v>1</v>
      </c>
    </row>
    <row r="113" spans="1:90" ht="17.45" customHeight="1">
      <c r="A113" s="58">
        <v>109</v>
      </c>
      <c r="B113" s="59" t="str">
        <f>'A Div'!A113 &amp; " " &amp; 'A Div'!B113</f>
        <v xml:space="preserve"> </v>
      </c>
      <c r="C113" s="59">
        <f>'A Div'!E113</f>
        <v>0</v>
      </c>
      <c r="D113" s="60"/>
      <c r="E113" s="60"/>
      <c r="F113" s="60"/>
      <c r="G113" s="60"/>
      <c r="H113" s="60"/>
      <c r="I113" s="60"/>
      <c r="J113" s="60"/>
      <c r="K113" s="60"/>
      <c r="L113" s="60"/>
      <c r="M113" s="74" t="str">
        <f t="shared" si="26"/>
        <v>-</v>
      </c>
      <c r="N113" s="60"/>
      <c r="O113" s="60"/>
      <c r="P113" s="60"/>
      <c r="Q113" s="60"/>
      <c r="R113" s="60"/>
      <c r="S113" s="60"/>
      <c r="T113" s="60"/>
      <c r="U113" s="60"/>
      <c r="V113" s="60"/>
      <c r="W113" s="74" t="str">
        <f t="shared" si="27"/>
        <v>-</v>
      </c>
      <c r="X113" s="148" t="str">
        <f t="shared" si="28"/>
        <v>-</v>
      </c>
      <c r="Y113" s="74" t="str">
        <f t="shared" si="29"/>
        <v>-</v>
      </c>
      <c r="AA113" s="60"/>
      <c r="AB113" s="60"/>
      <c r="AC113" s="60"/>
      <c r="AD113" s="60"/>
      <c r="AE113" s="60"/>
      <c r="AF113" s="60"/>
      <c r="AG113" s="60"/>
      <c r="AH113" s="60"/>
      <c r="AI113" s="60"/>
      <c r="AJ113" s="74" t="str">
        <f t="shared" si="30"/>
        <v>-</v>
      </c>
      <c r="AK113" s="60"/>
      <c r="AL113" s="60"/>
      <c r="AM113" s="60"/>
      <c r="AN113" s="60"/>
      <c r="AO113" s="60"/>
      <c r="AP113" s="60"/>
      <c r="AQ113" s="60"/>
      <c r="AR113" s="60"/>
      <c r="AS113" s="60"/>
      <c r="AT113" s="74" t="str">
        <f>IF(COUNTIF(AK113:AS113,"&lt;&gt;"&amp;"")=9,SUM(AK113:AS113),"-")</f>
        <v>-</v>
      </c>
      <c r="AU113" s="148" t="str">
        <f>IF(AND(ISNUMBER(AJ113),ISNUMBER(AT113)),AJ113+AT113,"-")</f>
        <v>-</v>
      </c>
      <c r="AV113" s="74" t="str">
        <f>IF(ISNUMBER(AU113),AU113-C113,"-")</f>
        <v>-</v>
      </c>
      <c r="AX113" s="59" t="str">
        <f t="shared" si="31"/>
        <v>-</v>
      </c>
      <c r="AY113" s="59" t="str">
        <f t="shared" si="32"/>
        <v>-</v>
      </c>
      <c r="AZ113" s="59" t="str">
        <f t="shared" si="33"/>
        <v>-</v>
      </c>
      <c r="BA113" s="59" t="str">
        <f t="shared" si="34"/>
        <v>-</v>
      </c>
      <c r="BB113" s="59" t="str">
        <f t="shared" si="35"/>
        <v>-</v>
      </c>
      <c r="BC113" s="59" t="str">
        <f t="shared" si="36"/>
        <v>-</v>
      </c>
      <c r="BD113" s="59" t="str">
        <f t="shared" si="37"/>
        <v>-</v>
      </c>
      <c r="BE113" s="59" t="str">
        <f t="shared" si="38"/>
        <v>-</v>
      </c>
      <c r="BF113" s="59" t="str">
        <f t="shared" si="39"/>
        <v>-</v>
      </c>
      <c r="BG113" s="59" t="str">
        <f t="shared" si="40"/>
        <v>-</v>
      </c>
      <c r="BH113" s="59" t="str">
        <f t="shared" si="41"/>
        <v>-</v>
      </c>
      <c r="BI113" s="59" t="str">
        <f t="shared" si="42"/>
        <v>-</v>
      </c>
      <c r="BJ113" s="59" t="str">
        <f t="shared" si="43"/>
        <v>-</v>
      </c>
      <c r="BK113" s="59" t="str">
        <f t="shared" si="44"/>
        <v>-</v>
      </c>
      <c r="BL113" s="59" t="str">
        <f>IF(AND(R113&gt;0,AO113&gt;0),MIN(R113,AO113),"-")</f>
        <v>-</v>
      </c>
      <c r="BM113" s="59" t="str">
        <f>IF(AND(S113&gt;0,AP113&gt;0),MIN(S113,AP113),"-")</f>
        <v>-</v>
      </c>
      <c r="BN113" s="59" t="str">
        <f>IF(AND(T113&gt;0,AQ113&gt;0),MIN(T113,AQ113),"-")</f>
        <v>-</v>
      </c>
      <c r="BO113" s="59" t="str">
        <f>IF(AND(U113&gt;0,AR113&gt;0),MIN(U113,AR113),"-")</f>
        <v>-</v>
      </c>
      <c r="BP113" s="59" t="str">
        <f>IF(AND(V113&gt;0,AS113&gt;0),MIN(V113,AS113),"-")</f>
        <v>-</v>
      </c>
      <c r="BQ113" s="59" t="str">
        <f t="shared" si="45"/>
        <v>-</v>
      </c>
      <c r="BR113" s="59" t="str">
        <f t="shared" si="46"/>
        <v>-</v>
      </c>
      <c r="BS113" s="59" t="str">
        <f t="shared" si="47"/>
        <v>-</v>
      </c>
      <c r="BT113" s="98" t="str">
        <f>IF(ISNUMBER(BS113),BS113-(C113*Rules!$P$9/100),"-")</f>
        <v>-</v>
      </c>
      <c r="BU113" s="59" t="e">
        <f>RANK($BT113,$BT$5:$BT$106,1)+COUNTIF(BT$5:BT113,BT113)-1</f>
        <v>#VALUE!</v>
      </c>
      <c r="BV113" s="59" t="e">
        <f t="shared" si="48"/>
        <v>#VALUE!</v>
      </c>
      <c r="BW113" s="59" t="str">
        <f t="shared" si="49"/>
        <v xml:space="preserve"> </v>
      </c>
      <c r="BX113" s="59">
        <f t="shared" si="50"/>
        <v>0</v>
      </c>
      <c r="BY113" s="98" t="str">
        <f t="shared" si="51"/>
        <v>-</v>
      </c>
      <c r="CD113" s="79"/>
      <c r="CE113" s="80"/>
      <c r="CF113" s="81"/>
      <c r="CL113" s="77">
        <v>1</v>
      </c>
    </row>
    <row r="114" spans="1:90" ht="17.45" customHeight="1">
      <c r="A114" s="58">
        <v>110</v>
      </c>
      <c r="B114" s="59" t="str">
        <f>'A Div'!A114 &amp; " " &amp; 'A Div'!B114</f>
        <v xml:space="preserve"> </v>
      </c>
      <c r="C114" s="59">
        <f>'A Div'!E114</f>
        <v>0</v>
      </c>
      <c r="D114" s="60"/>
      <c r="E114" s="60"/>
      <c r="F114" s="60"/>
      <c r="G114" s="60"/>
      <c r="H114" s="60"/>
      <c r="I114" s="60"/>
      <c r="J114" s="60"/>
      <c r="K114" s="60"/>
      <c r="L114" s="60"/>
      <c r="M114" s="74" t="str">
        <f t="shared" si="26"/>
        <v>-</v>
      </c>
      <c r="N114" s="60"/>
      <c r="O114" s="60"/>
      <c r="P114" s="60"/>
      <c r="Q114" s="60"/>
      <c r="R114" s="60"/>
      <c r="S114" s="60"/>
      <c r="T114" s="60"/>
      <c r="U114" s="60"/>
      <c r="V114" s="60"/>
      <c r="W114" s="74" t="str">
        <f t="shared" si="27"/>
        <v>-</v>
      </c>
      <c r="X114" s="148" t="str">
        <f t="shared" si="28"/>
        <v>-</v>
      </c>
      <c r="Y114" s="74" t="str">
        <f t="shared" si="29"/>
        <v>-</v>
      </c>
      <c r="AA114" s="60"/>
      <c r="AB114" s="60"/>
      <c r="AC114" s="60"/>
      <c r="AD114" s="60"/>
      <c r="AE114" s="60"/>
      <c r="AF114" s="60"/>
      <c r="AG114" s="60"/>
      <c r="AH114" s="60"/>
      <c r="AI114" s="60"/>
      <c r="AJ114" s="74" t="str">
        <f t="shared" si="30"/>
        <v>-</v>
      </c>
      <c r="AK114" s="60"/>
      <c r="AL114" s="60"/>
      <c r="AM114" s="60"/>
      <c r="AN114" s="60"/>
      <c r="AO114" s="60"/>
      <c r="AP114" s="60"/>
      <c r="AQ114" s="60"/>
      <c r="AR114" s="60"/>
      <c r="AS114" s="60"/>
      <c r="AT114" s="74" t="str">
        <f>IF(COUNTIF(AK114:AS114,"&lt;&gt;"&amp;"")=9,SUM(AK114:AS114),"-")</f>
        <v>-</v>
      </c>
      <c r="AU114" s="148" t="str">
        <f>IF(AND(ISNUMBER(AJ114),ISNUMBER(AT114)),AJ114+AT114,"-")</f>
        <v>-</v>
      </c>
      <c r="AV114" s="74" t="str">
        <f>IF(ISNUMBER(AU114),AU114-C114,"-")</f>
        <v>-</v>
      </c>
      <c r="AX114" s="59" t="str">
        <f t="shared" si="31"/>
        <v>-</v>
      </c>
      <c r="AY114" s="59" t="str">
        <f t="shared" si="32"/>
        <v>-</v>
      </c>
      <c r="AZ114" s="59" t="str">
        <f t="shared" si="33"/>
        <v>-</v>
      </c>
      <c r="BA114" s="59" t="str">
        <f t="shared" si="34"/>
        <v>-</v>
      </c>
      <c r="BB114" s="59" t="str">
        <f t="shared" si="35"/>
        <v>-</v>
      </c>
      <c r="BC114" s="59" t="str">
        <f t="shared" si="36"/>
        <v>-</v>
      </c>
      <c r="BD114" s="59" t="str">
        <f t="shared" si="37"/>
        <v>-</v>
      </c>
      <c r="BE114" s="59" t="str">
        <f t="shared" si="38"/>
        <v>-</v>
      </c>
      <c r="BF114" s="59" t="str">
        <f t="shared" si="39"/>
        <v>-</v>
      </c>
      <c r="BG114" s="59" t="str">
        <f t="shared" si="40"/>
        <v>-</v>
      </c>
      <c r="BH114" s="59" t="str">
        <f t="shared" si="41"/>
        <v>-</v>
      </c>
      <c r="BI114" s="59" t="str">
        <f t="shared" si="42"/>
        <v>-</v>
      </c>
      <c r="BJ114" s="59" t="str">
        <f t="shared" si="43"/>
        <v>-</v>
      </c>
      <c r="BK114" s="59" t="str">
        <f t="shared" si="44"/>
        <v>-</v>
      </c>
      <c r="BL114" s="59" t="str">
        <f>IF(AND(R114&gt;0,AO114&gt;0),MIN(R114,AO114),"-")</f>
        <v>-</v>
      </c>
      <c r="BM114" s="59" t="str">
        <f>IF(AND(S114&gt;0,AP114&gt;0),MIN(S114,AP114),"-")</f>
        <v>-</v>
      </c>
      <c r="BN114" s="59" t="str">
        <f>IF(AND(T114&gt;0,AQ114&gt;0),MIN(T114,AQ114),"-")</f>
        <v>-</v>
      </c>
      <c r="BO114" s="59" t="str">
        <f>IF(AND(U114&gt;0,AR114&gt;0),MIN(U114,AR114),"-")</f>
        <v>-</v>
      </c>
      <c r="BP114" s="59" t="str">
        <f>IF(AND(V114&gt;0,AS114&gt;0),MIN(V114,AS114),"-")</f>
        <v>-</v>
      </c>
      <c r="BQ114" s="59" t="str">
        <f t="shared" si="45"/>
        <v>-</v>
      </c>
      <c r="BR114" s="59" t="str">
        <f t="shared" si="46"/>
        <v>-</v>
      </c>
      <c r="BS114" s="59" t="str">
        <f t="shared" si="47"/>
        <v>-</v>
      </c>
      <c r="BT114" s="98" t="str">
        <f>IF(ISNUMBER(BS114),BS114-(C114*Rules!$P$9/100),"-")</f>
        <v>-</v>
      </c>
      <c r="BU114" s="59" t="e">
        <f>RANK($BT114,$BT$5:$BT$106,1)+COUNTIF(BT$5:BT114,BT114)-1</f>
        <v>#VALUE!</v>
      </c>
      <c r="BV114" s="59" t="e">
        <f t="shared" si="48"/>
        <v>#VALUE!</v>
      </c>
      <c r="BW114" s="59" t="str">
        <f t="shared" si="49"/>
        <v xml:space="preserve"> </v>
      </c>
      <c r="BX114" s="59">
        <f t="shared" si="50"/>
        <v>0</v>
      </c>
      <c r="BY114" s="98" t="str">
        <f t="shared" si="51"/>
        <v>-</v>
      </c>
      <c r="CD114" s="79"/>
      <c r="CE114" s="80"/>
      <c r="CF114" s="81"/>
      <c r="CL114" s="77">
        <v>1</v>
      </c>
    </row>
    <row r="115" spans="1:90" ht="17.45" customHeight="1">
      <c r="A115" s="58">
        <v>111</v>
      </c>
      <c r="B115" s="59" t="str">
        <f>'A Div'!A115 &amp; " " &amp; 'A Div'!B115</f>
        <v xml:space="preserve"> </v>
      </c>
      <c r="C115" s="59">
        <f>'A Div'!E115</f>
        <v>0</v>
      </c>
      <c r="D115" s="60"/>
      <c r="E115" s="60"/>
      <c r="F115" s="60"/>
      <c r="G115" s="60"/>
      <c r="H115" s="60"/>
      <c r="I115" s="60"/>
      <c r="J115" s="60"/>
      <c r="K115" s="60"/>
      <c r="L115" s="60"/>
      <c r="M115" s="74" t="str">
        <f t="shared" si="26"/>
        <v>-</v>
      </c>
      <c r="N115" s="60"/>
      <c r="O115" s="60"/>
      <c r="P115" s="60"/>
      <c r="Q115" s="60"/>
      <c r="R115" s="60"/>
      <c r="S115" s="60"/>
      <c r="T115" s="60"/>
      <c r="U115" s="60"/>
      <c r="V115" s="60"/>
      <c r="W115" s="74" t="str">
        <f t="shared" si="27"/>
        <v>-</v>
      </c>
      <c r="X115" s="148" t="str">
        <f t="shared" si="28"/>
        <v>-</v>
      </c>
      <c r="Y115" s="74" t="str">
        <f t="shared" si="29"/>
        <v>-</v>
      </c>
      <c r="AA115" s="60"/>
      <c r="AB115" s="60"/>
      <c r="AC115" s="60"/>
      <c r="AD115" s="60"/>
      <c r="AE115" s="60"/>
      <c r="AF115" s="60"/>
      <c r="AG115" s="60"/>
      <c r="AH115" s="60"/>
      <c r="AI115" s="60"/>
      <c r="AJ115" s="74" t="str">
        <f t="shared" si="30"/>
        <v>-</v>
      </c>
      <c r="AK115" s="60"/>
      <c r="AL115" s="60"/>
      <c r="AM115" s="60"/>
      <c r="AN115" s="60"/>
      <c r="AO115" s="60"/>
      <c r="AP115" s="60"/>
      <c r="AQ115" s="60"/>
      <c r="AR115" s="60"/>
      <c r="AS115" s="60"/>
      <c r="AT115" s="74" t="str">
        <f>IF(COUNTIF(AK115:AS115,"&lt;&gt;"&amp;"")=9,SUM(AK115:AS115),"-")</f>
        <v>-</v>
      </c>
      <c r="AU115" s="148" t="str">
        <f>IF(AND(ISNUMBER(AJ115),ISNUMBER(AT115)),AJ115+AT115,"-")</f>
        <v>-</v>
      </c>
      <c r="AV115" s="74" t="str">
        <f>IF(ISNUMBER(AU115),AU115-C115,"-")</f>
        <v>-</v>
      </c>
      <c r="AX115" s="59" t="str">
        <f t="shared" si="31"/>
        <v>-</v>
      </c>
      <c r="AY115" s="59" t="str">
        <f t="shared" si="32"/>
        <v>-</v>
      </c>
      <c r="AZ115" s="59" t="str">
        <f t="shared" si="33"/>
        <v>-</v>
      </c>
      <c r="BA115" s="59" t="str">
        <f t="shared" si="34"/>
        <v>-</v>
      </c>
      <c r="BB115" s="59" t="str">
        <f t="shared" si="35"/>
        <v>-</v>
      </c>
      <c r="BC115" s="59" t="str">
        <f t="shared" si="36"/>
        <v>-</v>
      </c>
      <c r="BD115" s="59" t="str">
        <f t="shared" si="37"/>
        <v>-</v>
      </c>
      <c r="BE115" s="59" t="str">
        <f t="shared" si="38"/>
        <v>-</v>
      </c>
      <c r="BF115" s="59" t="str">
        <f t="shared" si="39"/>
        <v>-</v>
      </c>
      <c r="BG115" s="59" t="str">
        <f t="shared" si="40"/>
        <v>-</v>
      </c>
      <c r="BH115" s="59" t="str">
        <f t="shared" si="41"/>
        <v>-</v>
      </c>
      <c r="BI115" s="59" t="str">
        <f t="shared" si="42"/>
        <v>-</v>
      </c>
      <c r="BJ115" s="59" t="str">
        <f t="shared" si="43"/>
        <v>-</v>
      </c>
      <c r="BK115" s="59" t="str">
        <f t="shared" si="44"/>
        <v>-</v>
      </c>
      <c r="BL115" s="59" t="str">
        <f>IF(AND(R115&gt;0,AO115&gt;0),MIN(R115,AO115),"-")</f>
        <v>-</v>
      </c>
      <c r="BM115" s="59" t="str">
        <f>IF(AND(S115&gt;0,AP115&gt;0),MIN(S115,AP115),"-")</f>
        <v>-</v>
      </c>
      <c r="BN115" s="59" t="str">
        <f>IF(AND(T115&gt;0,AQ115&gt;0),MIN(T115,AQ115),"-")</f>
        <v>-</v>
      </c>
      <c r="BO115" s="59" t="str">
        <f>IF(AND(U115&gt;0,AR115&gt;0),MIN(U115,AR115),"-")</f>
        <v>-</v>
      </c>
      <c r="BP115" s="59" t="str">
        <f>IF(AND(V115&gt;0,AS115&gt;0),MIN(V115,AS115),"-")</f>
        <v>-</v>
      </c>
      <c r="BQ115" s="59" t="str">
        <f t="shared" si="45"/>
        <v>-</v>
      </c>
      <c r="BR115" s="59" t="str">
        <f t="shared" si="46"/>
        <v>-</v>
      </c>
      <c r="BS115" s="59" t="str">
        <f t="shared" si="47"/>
        <v>-</v>
      </c>
      <c r="BT115" s="98" t="str">
        <f>IF(ISNUMBER(BS115),BS115-(C115*Rules!$P$9/100),"-")</f>
        <v>-</v>
      </c>
      <c r="BU115" s="59" t="e">
        <f>RANK($BT115,$BT$5:$BT$106,1)+COUNTIF(BT$5:BT115,BT115)-1</f>
        <v>#VALUE!</v>
      </c>
      <c r="BV115" s="59" t="e">
        <f t="shared" si="48"/>
        <v>#VALUE!</v>
      </c>
      <c r="BW115" s="59" t="str">
        <f t="shared" si="49"/>
        <v xml:space="preserve"> </v>
      </c>
      <c r="BX115" s="59">
        <f t="shared" si="50"/>
        <v>0</v>
      </c>
      <c r="BY115" s="98" t="str">
        <f t="shared" si="51"/>
        <v>-</v>
      </c>
      <c r="CD115" s="79"/>
      <c r="CE115" s="80"/>
      <c r="CF115" s="81"/>
      <c r="CL115" s="77">
        <v>1</v>
      </c>
    </row>
    <row r="116" spans="1:90" ht="17.45" customHeight="1">
      <c r="A116" s="58">
        <v>112</v>
      </c>
      <c r="B116" s="59" t="str">
        <f>'A Div'!A116 &amp; " " &amp; 'A Div'!B116</f>
        <v xml:space="preserve"> </v>
      </c>
      <c r="C116" s="59">
        <f>'A Div'!E116</f>
        <v>0</v>
      </c>
      <c r="D116" s="60"/>
      <c r="E116" s="60"/>
      <c r="F116" s="60"/>
      <c r="G116" s="60"/>
      <c r="H116" s="60"/>
      <c r="I116" s="60"/>
      <c r="J116" s="60"/>
      <c r="K116" s="60"/>
      <c r="L116" s="60"/>
      <c r="M116" s="74" t="str">
        <f t="shared" si="26"/>
        <v>-</v>
      </c>
      <c r="N116" s="60"/>
      <c r="O116" s="60"/>
      <c r="P116" s="60"/>
      <c r="Q116" s="60"/>
      <c r="R116" s="60"/>
      <c r="S116" s="60"/>
      <c r="T116" s="60"/>
      <c r="U116" s="60"/>
      <c r="V116" s="60"/>
      <c r="W116" s="74" t="str">
        <f t="shared" si="27"/>
        <v>-</v>
      </c>
      <c r="X116" s="148" t="str">
        <f t="shared" si="28"/>
        <v>-</v>
      </c>
      <c r="Y116" s="74" t="str">
        <f t="shared" si="29"/>
        <v>-</v>
      </c>
      <c r="AA116" s="60"/>
      <c r="AB116" s="60"/>
      <c r="AC116" s="60"/>
      <c r="AD116" s="60"/>
      <c r="AE116" s="60"/>
      <c r="AF116" s="60"/>
      <c r="AG116" s="60"/>
      <c r="AH116" s="60"/>
      <c r="AI116" s="60"/>
      <c r="AJ116" s="74" t="str">
        <f t="shared" si="30"/>
        <v>-</v>
      </c>
      <c r="AK116" s="60"/>
      <c r="AL116" s="60"/>
      <c r="AM116" s="60"/>
      <c r="AN116" s="60"/>
      <c r="AO116" s="60"/>
      <c r="AP116" s="60"/>
      <c r="AQ116" s="60"/>
      <c r="AR116" s="60"/>
      <c r="AS116" s="60"/>
      <c r="AT116" s="74" t="str">
        <f>IF(COUNTIF(AK116:AS116,"&lt;&gt;"&amp;"")=9,SUM(AK116:AS116),"-")</f>
        <v>-</v>
      </c>
      <c r="AU116" s="148" t="str">
        <f>IF(AND(ISNUMBER(AJ116),ISNUMBER(AT116)),AJ116+AT116,"-")</f>
        <v>-</v>
      </c>
      <c r="AV116" s="74" t="str">
        <f>IF(ISNUMBER(AU116),AU116-C116,"-")</f>
        <v>-</v>
      </c>
      <c r="AX116" s="59" t="str">
        <f t="shared" si="31"/>
        <v>-</v>
      </c>
      <c r="AY116" s="59" t="str">
        <f t="shared" si="32"/>
        <v>-</v>
      </c>
      <c r="AZ116" s="59" t="str">
        <f t="shared" si="33"/>
        <v>-</v>
      </c>
      <c r="BA116" s="59" t="str">
        <f t="shared" si="34"/>
        <v>-</v>
      </c>
      <c r="BB116" s="59" t="str">
        <f t="shared" si="35"/>
        <v>-</v>
      </c>
      <c r="BC116" s="59" t="str">
        <f t="shared" si="36"/>
        <v>-</v>
      </c>
      <c r="BD116" s="59" t="str">
        <f t="shared" si="37"/>
        <v>-</v>
      </c>
      <c r="BE116" s="59" t="str">
        <f t="shared" si="38"/>
        <v>-</v>
      </c>
      <c r="BF116" s="59" t="str">
        <f t="shared" si="39"/>
        <v>-</v>
      </c>
      <c r="BG116" s="59" t="str">
        <f t="shared" si="40"/>
        <v>-</v>
      </c>
      <c r="BH116" s="59" t="str">
        <f t="shared" si="41"/>
        <v>-</v>
      </c>
      <c r="BI116" s="59" t="str">
        <f t="shared" si="42"/>
        <v>-</v>
      </c>
      <c r="BJ116" s="59" t="str">
        <f t="shared" si="43"/>
        <v>-</v>
      </c>
      <c r="BK116" s="59" t="str">
        <f t="shared" si="44"/>
        <v>-</v>
      </c>
      <c r="BL116" s="59" t="str">
        <f>IF(AND(R116&gt;0,AO116&gt;0),MIN(R116,AO116),"-")</f>
        <v>-</v>
      </c>
      <c r="BM116" s="59" t="str">
        <f>IF(AND(S116&gt;0,AP116&gt;0),MIN(S116,AP116),"-")</f>
        <v>-</v>
      </c>
      <c r="BN116" s="59" t="str">
        <f>IF(AND(T116&gt;0,AQ116&gt;0),MIN(T116,AQ116),"-")</f>
        <v>-</v>
      </c>
      <c r="BO116" s="59" t="str">
        <f>IF(AND(U116&gt;0,AR116&gt;0),MIN(U116,AR116),"-")</f>
        <v>-</v>
      </c>
      <c r="BP116" s="59" t="str">
        <f>IF(AND(V116&gt;0,AS116&gt;0),MIN(V116,AS116),"-")</f>
        <v>-</v>
      </c>
      <c r="BQ116" s="59" t="str">
        <f t="shared" si="45"/>
        <v>-</v>
      </c>
      <c r="BR116" s="59" t="str">
        <f t="shared" si="46"/>
        <v>-</v>
      </c>
      <c r="BS116" s="59" t="str">
        <f t="shared" si="47"/>
        <v>-</v>
      </c>
      <c r="BT116" s="98" t="str">
        <f>IF(ISNUMBER(BS116),BS116-(C116*Rules!$P$9/100),"-")</f>
        <v>-</v>
      </c>
      <c r="BU116" s="59" t="e">
        <f>RANK($BT116,$BT$5:$BT$106,1)+COUNTIF(BT$5:BT116,BT116)-1</f>
        <v>#VALUE!</v>
      </c>
      <c r="BV116" s="59" t="e">
        <f t="shared" si="48"/>
        <v>#VALUE!</v>
      </c>
      <c r="BW116" s="59" t="str">
        <f t="shared" si="49"/>
        <v xml:space="preserve"> </v>
      </c>
      <c r="BX116" s="59">
        <f t="shared" si="50"/>
        <v>0</v>
      </c>
      <c r="BY116" s="98" t="str">
        <f t="shared" si="51"/>
        <v>-</v>
      </c>
      <c r="CD116" s="79"/>
      <c r="CE116" s="80"/>
      <c r="CF116" s="81"/>
      <c r="CL116" s="77">
        <v>1</v>
      </c>
    </row>
    <row r="117" spans="1:90" ht="17.45" customHeight="1">
      <c r="A117" s="58">
        <v>113</v>
      </c>
      <c r="B117" s="59" t="str">
        <f>'A Div'!A117 &amp; " " &amp; 'A Div'!B117</f>
        <v xml:space="preserve"> </v>
      </c>
      <c r="C117" s="59">
        <f>'A Div'!E117</f>
        <v>0</v>
      </c>
      <c r="D117" s="60"/>
      <c r="E117" s="60"/>
      <c r="F117" s="60"/>
      <c r="G117" s="60"/>
      <c r="H117" s="60"/>
      <c r="I117" s="60"/>
      <c r="J117" s="60"/>
      <c r="K117" s="60"/>
      <c r="L117" s="60"/>
      <c r="M117" s="74" t="str">
        <f t="shared" si="26"/>
        <v>-</v>
      </c>
      <c r="N117" s="60"/>
      <c r="O117" s="60"/>
      <c r="P117" s="60"/>
      <c r="Q117" s="60"/>
      <c r="R117" s="60"/>
      <c r="S117" s="60"/>
      <c r="T117" s="60"/>
      <c r="U117" s="60"/>
      <c r="V117" s="60"/>
      <c r="W117" s="74" t="str">
        <f t="shared" si="27"/>
        <v>-</v>
      </c>
      <c r="X117" s="148" t="str">
        <f t="shared" si="28"/>
        <v>-</v>
      </c>
      <c r="Y117" s="74" t="str">
        <f t="shared" si="29"/>
        <v>-</v>
      </c>
      <c r="AA117" s="60"/>
      <c r="AB117" s="60"/>
      <c r="AC117" s="60"/>
      <c r="AD117" s="60"/>
      <c r="AE117" s="60"/>
      <c r="AF117" s="60"/>
      <c r="AG117" s="60"/>
      <c r="AH117" s="60"/>
      <c r="AI117" s="60"/>
      <c r="AJ117" s="74" t="str">
        <f t="shared" si="30"/>
        <v>-</v>
      </c>
      <c r="AK117" s="60"/>
      <c r="AL117" s="60"/>
      <c r="AM117" s="60"/>
      <c r="AN117" s="60"/>
      <c r="AO117" s="60"/>
      <c r="AP117" s="60"/>
      <c r="AQ117" s="60"/>
      <c r="AR117" s="60"/>
      <c r="AS117" s="60"/>
      <c r="AT117" s="74" t="str">
        <f>IF(COUNTIF(AK117:AS117,"&lt;&gt;"&amp;"")=9,SUM(AK117:AS117),"-")</f>
        <v>-</v>
      </c>
      <c r="AU117" s="148" t="str">
        <f>IF(AND(ISNUMBER(AJ117),ISNUMBER(AT117)),AJ117+AT117,"-")</f>
        <v>-</v>
      </c>
      <c r="AV117" s="74" t="str">
        <f>IF(ISNUMBER(AU117),AU117-C117,"-")</f>
        <v>-</v>
      </c>
      <c r="AX117" s="59" t="str">
        <f t="shared" si="31"/>
        <v>-</v>
      </c>
      <c r="AY117" s="59" t="str">
        <f t="shared" si="32"/>
        <v>-</v>
      </c>
      <c r="AZ117" s="59" t="str">
        <f t="shared" si="33"/>
        <v>-</v>
      </c>
      <c r="BA117" s="59" t="str">
        <f t="shared" si="34"/>
        <v>-</v>
      </c>
      <c r="BB117" s="59" t="str">
        <f t="shared" si="35"/>
        <v>-</v>
      </c>
      <c r="BC117" s="59" t="str">
        <f t="shared" si="36"/>
        <v>-</v>
      </c>
      <c r="BD117" s="59" t="str">
        <f t="shared" si="37"/>
        <v>-</v>
      </c>
      <c r="BE117" s="59" t="str">
        <f t="shared" si="38"/>
        <v>-</v>
      </c>
      <c r="BF117" s="59" t="str">
        <f t="shared" si="39"/>
        <v>-</v>
      </c>
      <c r="BG117" s="59" t="str">
        <f t="shared" si="40"/>
        <v>-</v>
      </c>
      <c r="BH117" s="59" t="str">
        <f t="shared" si="41"/>
        <v>-</v>
      </c>
      <c r="BI117" s="59" t="str">
        <f t="shared" si="42"/>
        <v>-</v>
      </c>
      <c r="BJ117" s="59" t="str">
        <f t="shared" si="43"/>
        <v>-</v>
      </c>
      <c r="BK117" s="59" t="str">
        <f t="shared" si="44"/>
        <v>-</v>
      </c>
      <c r="BL117" s="59" t="str">
        <f>IF(AND(R117&gt;0,AO117&gt;0),MIN(R117,AO117),"-")</f>
        <v>-</v>
      </c>
      <c r="BM117" s="59" t="str">
        <f>IF(AND(S117&gt;0,AP117&gt;0),MIN(S117,AP117),"-")</f>
        <v>-</v>
      </c>
      <c r="BN117" s="59" t="str">
        <f>IF(AND(T117&gt;0,AQ117&gt;0),MIN(T117,AQ117),"-")</f>
        <v>-</v>
      </c>
      <c r="BO117" s="59" t="str">
        <f>IF(AND(U117&gt;0,AR117&gt;0),MIN(U117,AR117),"-")</f>
        <v>-</v>
      </c>
      <c r="BP117" s="59" t="str">
        <f>IF(AND(V117&gt;0,AS117&gt;0),MIN(V117,AS117),"-")</f>
        <v>-</v>
      </c>
      <c r="BQ117" s="59" t="str">
        <f t="shared" si="45"/>
        <v>-</v>
      </c>
      <c r="BR117" s="59" t="str">
        <f t="shared" si="46"/>
        <v>-</v>
      </c>
      <c r="BS117" s="59" t="str">
        <f t="shared" si="47"/>
        <v>-</v>
      </c>
      <c r="BT117" s="98" t="str">
        <f>IF(ISNUMBER(BS117),BS117-(C117*Rules!$P$9/100),"-")</f>
        <v>-</v>
      </c>
      <c r="BU117" s="59" t="e">
        <f>RANK($BT117,$BT$5:$BT$106,1)+COUNTIF(BT$5:BT117,BT117)-1</f>
        <v>#VALUE!</v>
      </c>
      <c r="BV117" s="59" t="e">
        <f t="shared" si="48"/>
        <v>#VALUE!</v>
      </c>
      <c r="BW117" s="59" t="str">
        <f t="shared" si="49"/>
        <v xml:space="preserve"> </v>
      </c>
      <c r="BX117" s="59">
        <f t="shared" si="50"/>
        <v>0</v>
      </c>
      <c r="BY117" s="98" t="str">
        <f t="shared" si="51"/>
        <v>-</v>
      </c>
      <c r="CD117" s="79"/>
      <c r="CE117" s="80"/>
      <c r="CF117" s="81"/>
      <c r="CL117" s="77">
        <v>1</v>
      </c>
    </row>
    <row r="118" spans="1:90" ht="17.45" customHeight="1">
      <c r="A118" s="58">
        <v>114</v>
      </c>
      <c r="B118" s="59" t="str">
        <f>'A Div'!A118 &amp; " " &amp; 'A Div'!B118</f>
        <v xml:space="preserve"> </v>
      </c>
      <c r="C118" s="59">
        <f>'A Div'!E118</f>
        <v>0</v>
      </c>
      <c r="D118" s="60"/>
      <c r="E118" s="60"/>
      <c r="F118" s="60"/>
      <c r="G118" s="60"/>
      <c r="H118" s="60"/>
      <c r="I118" s="60"/>
      <c r="J118" s="60"/>
      <c r="K118" s="60"/>
      <c r="L118" s="60"/>
      <c r="M118" s="74" t="str">
        <f t="shared" si="26"/>
        <v>-</v>
      </c>
      <c r="N118" s="60"/>
      <c r="O118" s="60"/>
      <c r="P118" s="60"/>
      <c r="Q118" s="60"/>
      <c r="R118" s="60"/>
      <c r="S118" s="60"/>
      <c r="T118" s="60"/>
      <c r="U118" s="60"/>
      <c r="V118" s="60"/>
      <c r="W118" s="74" t="str">
        <f t="shared" si="27"/>
        <v>-</v>
      </c>
      <c r="X118" s="148" t="str">
        <f t="shared" si="28"/>
        <v>-</v>
      </c>
      <c r="Y118" s="74" t="str">
        <f t="shared" si="29"/>
        <v>-</v>
      </c>
      <c r="AA118" s="60"/>
      <c r="AB118" s="60"/>
      <c r="AC118" s="60"/>
      <c r="AD118" s="60"/>
      <c r="AE118" s="60"/>
      <c r="AF118" s="60"/>
      <c r="AG118" s="60"/>
      <c r="AH118" s="60"/>
      <c r="AI118" s="60"/>
      <c r="AJ118" s="74" t="str">
        <f t="shared" si="30"/>
        <v>-</v>
      </c>
      <c r="AK118" s="60"/>
      <c r="AL118" s="60"/>
      <c r="AM118" s="60"/>
      <c r="AN118" s="60"/>
      <c r="AO118" s="60"/>
      <c r="AP118" s="60"/>
      <c r="AQ118" s="60"/>
      <c r="AR118" s="60"/>
      <c r="AS118" s="60"/>
      <c r="AT118" s="74" t="str">
        <f>IF(COUNTIF(AK118:AS118,"&lt;&gt;"&amp;"")=9,SUM(AK118:AS118),"-")</f>
        <v>-</v>
      </c>
      <c r="AU118" s="148" t="str">
        <f>IF(AND(ISNUMBER(AJ118),ISNUMBER(AT118)),AJ118+AT118,"-")</f>
        <v>-</v>
      </c>
      <c r="AV118" s="74" t="str">
        <f>IF(ISNUMBER(AU118),AU118-C118,"-")</f>
        <v>-</v>
      </c>
      <c r="AX118" s="59" t="str">
        <f t="shared" si="31"/>
        <v>-</v>
      </c>
      <c r="AY118" s="59" t="str">
        <f t="shared" si="32"/>
        <v>-</v>
      </c>
      <c r="AZ118" s="59" t="str">
        <f t="shared" si="33"/>
        <v>-</v>
      </c>
      <c r="BA118" s="59" t="str">
        <f t="shared" si="34"/>
        <v>-</v>
      </c>
      <c r="BB118" s="59" t="str">
        <f t="shared" si="35"/>
        <v>-</v>
      </c>
      <c r="BC118" s="59" t="str">
        <f t="shared" si="36"/>
        <v>-</v>
      </c>
      <c r="BD118" s="59" t="str">
        <f t="shared" si="37"/>
        <v>-</v>
      </c>
      <c r="BE118" s="59" t="str">
        <f t="shared" si="38"/>
        <v>-</v>
      </c>
      <c r="BF118" s="59" t="str">
        <f t="shared" si="39"/>
        <v>-</v>
      </c>
      <c r="BG118" s="59" t="str">
        <f t="shared" si="40"/>
        <v>-</v>
      </c>
      <c r="BH118" s="59" t="str">
        <f t="shared" si="41"/>
        <v>-</v>
      </c>
      <c r="BI118" s="59" t="str">
        <f t="shared" si="42"/>
        <v>-</v>
      </c>
      <c r="BJ118" s="59" t="str">
        <f t="shared" si="43"/>
        <v>-</v>
      </c>
      <c r="BK118" s="59" t="str">
        <f t="shared" si="44"/>
        <v>-</v>
      </c>
      <c r="BL118" s="59" t="str">
        <f>IF(AND(R118&gt;0,AO118&gt;0),MIN(R118,AO118),"-")</f>
        <v>-</v>
      </c>
      <c r="BM118" s="59" t="str">
        <f>IF(AND(S118&gt;0,AP118&gt;0),MIN(S118,AP118),"-")</f>
        <v>-</v>
      </c>
      <c r="BN118" s="59" t="str">
        <f>IF(AND(T118&gt;0,AQ118&gt;0),MIN(T118,AQ118),"-")</f>
        <v>-</v>
      </c>
      <c r="BO118" s="59" t="str">
        <f>IF(AND(U118&gt;0,AR118&gt;0),MIN(U118,AR118),"-")</f>
        <v>-</v>
      </c>
      <c r="BP118" s="59" t="str">
        <f>IF(AND(V118&gt;0,AS118&gt;0),MIN(V118,AS118),"-")</f>
        <v>-</v>
      </c>
      <c r="BQ118" s="59" t="str">
        <f t="shared" si="45"/>
        <v>-</v>
      </c>
      <c r="BR118" s="59" t="str">
        <f t="shared" si="46"/>
        <v>-</v>
      </c>
      <c r="BS118" s="59" t="str">
        <f t="shared" si="47"/>
        <v>-</v>
      </c>
      <c r="BT118" s="98" t="str">
        <f>IF(ISNUMBER(BS118),BS118-(C118*Rules!$P$9/100),"-")</f>
        <v>-</v>
      </c>
      <c r="BU118" s="59" t="e">
        <f>RANK($BT118,$BT$5:$BT$106,1)+COUNTIF(BT$5:BT118,BT118)-1</f>
        <v>#VALUE!</v>
      </c>
      <c r="BV118" s="59" t="e">
        <f t="shared" si="48"/>
        <v>#VALUE!</v>
      </c>
      <c r="BW118" s="59" t="str">
        <f t="shared" si="49"/>
        <v xml:space="preserve"> </v>
      </c>
      <c r="BX118" s="59">
        <f t="shared" si="50"/>
        <v>0</v>
      </c>
      <c r="BY118" s="98" t="str">
        <f t="shared" si="51"/>
        <v>-</v>
      </c>
      <c r="CD118" s="79"/>
      <c r="CE118" s="80"/>
      <c r="CF118" s="81"/>
      <c r="CL118" s="77">
        <v>1</v>
      </c>
    </row>
    <row r="119" spans="1:90" ht="17.45" customHeight="1">
      <c r="A119" s="58">
        <v>115</v>
      </c>
      <c r="B119" s="59" t="str">
        <f>'A Div'!A119 &amp; " " &amp; 'A Div'!B119</f>
        <v xml:space="preserve"> </v>
      </c>
      <c r="C119" s="59">
        <f>'A Div'!E119</f>
        <v>0</v>
      </c>
      <c r="D119" s="60"/>
      <c r="E119" s="60"/>
      <c r="F119" s="60"/>
      <c r="G119" s="60"/>
      <c r="H119" s="60"/>
      <c r="I119" s="60"/>
      <c r="J119" s="60"/>
      <c r="K119" s="60"/>
      <c r="L119" s="60"/>
      <c r="M119" s="74" t="str">
        <f t="shared" si="26"/>
        <v>-</v>
      </c>
      <c r="N119" s="60"/>
      <c r="O119" s="60"/>
      <c r="P119" s="60"/>
      <c r="Q119" s="60"/>
      <c r="R119" s="60"/>
      <c r="S119" s="60"/>
      <c r="T119" s="60"/>
      <c r="U119" s="60"/>
      <c r="V119" s="60"/>
      <c r="W119" s="74" t="str">
        <f t="shared" si="27"/>
        <v>-</v>
      </c>
      <c r="X119" s="148" t="str">
        <f t="shared" si="28"/>
        <v>-</v>
      </c>
      <c r="Y119" s="74" t="str">
        <f t="shared" si="29"/>
        <v>-</v>
      </c>
      <c r="AA119" s="60"/>
      <c r="AB119" s="60"/>
      <c r="AC119" s="60"/>
      <c r="AD119" s="60"/>
      <c r="AE119" s="60"/>
      <c r="AF119" s="60"/>
      <c r="AG119" s="60"/>
      <c r="AH119" s="60"/>
      <c r="AI119" s="60"/>
      <c r="AJ119" s="74" t="str">
        <f t="shared" si="30"/>
        <v>-</v>
      </c>
      <c r="AK119" s="60"/>
      <c r="AL119" s="60"/>
      <c r="AM119" s="60"/>
      <c r="AN119" s="60"/>
      <c r="AO119" s="60"/>
      <c r="AP119" s="60"/>
      <c r="AQ119" s="60"/>
      <c r="AR119" s="60"/>
      <c r="AS119" s="60"/>
      <c r="AT119" s="74" t="str">
        <f>IF(COUNTIF(AK119:AS119,"&lt;&gt;"&amp;"")=9,SUM(AK119:AS119),"-")</f>
        <v>-</v>
      </c>
      <c r="AU119" s="148" t="str">
        <f>IF(AND(ISNUMBER(AJ119),ISNUMBER(AT119)),AJ119+AT119,"-")</f>
        <v>-</v>
      </c>
      <c r="AV119" s="74" t="str">
        <f>IF(ISNUMBER(AU119),AU119-C119,"-")</f>
        <v>-</v>
      </c>
      <c r="AX119" s="59" t="str">
        <f t="shared" si="31"/>
        <v>-</v>
      </c>
      <c r="AY119" s="59" t="str">
        <f t="shared" si="32"/>
        <v>-</v>
      </c>
      <c r="AZ119" s="59" t="str">
        <f t="shared" si="33"/>
        <v>-</v>
      </c>
      <c r="BA119" s="59" t="str">
        <f t="shared" si="34"/>
        <v>-</v>
      </c>
      <c r="BB119" s="59" t="str">
        <f t="shared" si="35"/>
        <v>-</v>
      </c>
      <c r="BC119" s="59" t="str">
        <f t="shared" si="36"/>
        <v>-</v>
      </c>
      <c r="BD119" s="59" t="str">
        <f t="shared" si="37"/>
        <v>-</v>
      </c>
      <c r="BE119" s="59" t="str">
        <f t="shared" si="38"/>
        <v>-</v>
      </c>
      <c r="BF119" s="59" t="str">
        <f t="shared" si="39"/>
        <v>-</v>
      </c>
      <c r="BG119" s="59" t="str">
        <f t="shared" si="40"/>
        <v>-</v>
      </c>
      <c r="BH119" s="59" t="str">
        <f t="shared" si="41"/>
        <v>-</v>
      </c>
      <c r="BI119" s="59" t="str">
        <f t="shared" si="42"/>
        <v>-</v>
      </c>
      <c r="BJ119" s="59" t="str">
        <f t="shared" si="43"/>
        <v>-</v>
      </c>
      <c r="BK119" s="59" t="str">
        <f t="shared" si="44"/>
        <v>-</v>
      </c>
      <c r="BL119" s="59" t="str">
        <f>IF(AND(R119&gt;0,AO119&gt;0),MIN(R119,AO119),"-")</f>
        <v>-</v>
      </c>
      <c r="BM119" s="59" t="str">
        <f>IF(AND(S119&gt;0,AP119&gt;0),MIN(S119,AP119),"-")</f>
        <v>-</v>
      </c>
      <c r="BN119" s="59" t="str">
        <f>IF(AND(T119&gt;0,AQ119&gt;0),MIN(T119,AQ119),"-")</f>
        <v>-</v>
      </c>
      <c r="BO119" s="59" t="str">
        <f>IF(AND(U119&gt;0,AR119&gt;0),MIN(U119,AR119),"-")</f>
        <v>-</v>
      </c>
      <c r="BP119" s="59" t="str">
        <f>IF(AND(V119&gt;0,AS119&gt;0),MIN(V119,AS119),"-")</f>
        <v>-</v>
      </c>
      <c r="BQ119" s="59" t="str">
        <f t="shared" si="45"/>
        <v>-</v>
      </c>
      <c r="BR119" s="59" t="str">
        <f t="shared" si="46"/>
        <v>-</v>
      </c>
      <c r="BS119" s="59" t="str">
        <f t="shared" si="47"/>
        <v>-</v>
      </c>
      <c r="BT119" s="98" t="str">
        <f>IF(ISNUMBER(BS119),BS119-(C119*Rules!$P$9/100),"-")</f>
        <v>-</v>
      </c>
      <c r="BU119" s="59" t="e">
        <f>RANK($BT119,$BT$5:$BT$106,1)+COUNTIF(BT$5:BT119,BT119)-1</f>
        <v>#VALUE!</v>
      </c>
      <c r="BV119" s="59" t="e">
        <f t="shared" si="48"/>
        <v>#VALUE!</v>
      </c>
      <c r="BW119" s="59" t="str">
        <f t="shared" si="49"/>
        <v xml:space="preserve"> </v>
      </c>
      <c r="BX119" s="59">
        <f t="shared" si="50"/>
        <v>0</v>
      </c>
      <c r="BY119" s="98" t="str">
        <f t="shared" si="51"/>
        <v>-</v>
      </c>
      <c r="CD119" s="79"/>
      <c r="CE119" s="80"/>
      <c r="CF119" s="81"/>
      <c r="CL119" s="77">
        <v>1</v>
      </c>
    </row>
    <row r="120" spans="1:90" ht="17.45" customHeight="1">
      <c r="A120" s="58">
        <v>116</v>
      </c>
      <c r="B120" s="59" t="str">
        <f>'A Div'!A120 &amp; " " &amp; 'A Div'!B120</f>
        <v xml:space="preserve"> </v>
      </c>
      <c r="C120" s="59">
        <f>'A Div'!E120</f>
        <v>0</v>
      </c>
      <c r="D120" s="60"/>
      <c r="E120" s="60"/>
      <c r="F120" s="60"/>
      <c r="G120" s="60"/>
      <c r="H120" s="60"/>
      <c r="I120" s="60"/>
      <c r="J120" s="60"/>
      <c r="K120" s="60"/>
      <c r="L120" s="60"/>
      <c r="M120" s="74" t="str">
        <f t="shared" si="26"/>
        <v>-</v>
      </c>
      <c r="N120" s="60"/>
      <c r="O120" s="60"/>
      <c r="P120" s="60"/>
      <c r="Q120" s="60"/>
      <c r="R120" s="60"/>
      <c r="S120" s="60"/>
      <c r="T120" s="60"/>
      <c r="U120" s="60"/>
      <c r="V120" s="60"/>
      <c r="W120" s="74" t="str">
        <f t="shared" si="27"/>
        <v>-</v>
      </c>
      <c r="X120" s="148" t="str">
        <f t="shared" si="28"/>
        <v>-</v>
      </c>
      <c r="Y120" s="74" t="str">
        <f t="shared" si="29"/>
        <v>-</v>
      </c>
      <c r="AA120" s="60"/>
      <c r="AB120" s="60"/>
      <c r="AC120" s="60"/>
      <c r="AD120" s="60"/>
      <c r="AE120" s="60"/>
      <c r="AF120" s="60"/>
      <c r="AG120" s="60"/>
      <c r="AH120" s="60"/>
      <c r="AI120" s="60"/>
      <c r="AJ120" s="74" t="str">
        <f t="shared" si="30"/>
        <v>-</v>
      </c>
      <c r="AK120" s="60"/>
      <c r="AL120" s="60"/>
      <c r="AM120" s="60"/>
      <c r="AN120" s="60"/>
      <c r="AO120" s="60"/>
      <c r="AP120" s="60"/>
      <c r="AQ120" s="60"/>
      <c r="AR120" s="60"/>
      <c r="AS120" s="60"/>
      <c r="AT120" s="74" t="str">
        <f>IF(COUNTIF(AK120:AS120,"&lt;&gt;"&amp;"")=9,SUM(AK120:AS120),"-")</f>
        <v>-</v>
      </c>
      <c r="AU120" s="148" t="str">
        <f>IF(AND(ISNUMBER(AJ120),ISNUMBER(AT120)),AJ120+AT120,"-")</f>
        <v>-</v>
      </c>
      <c r="AV120" s="74" t="str">
        <f>IF(ISNUMBER(AU120),AU120-C120,"-")</f>
        <v>-</v>
      </c>
      <c r="AX120" s="59" t="str">
        <f t="shared" si="31"/>
        <v>-</v>
      </c>
      <c r="AY120" s="59" t="str">
        <f t="shared" si="32"/>
        <v>-</v>
      </c>
      <c r="AZ120" s="59" t="str">
        <f t="shared" si="33"/>
        <v>-</v>
      </c>
      <c r="BA120" s="59" t="str">
        <f t="shared" si="34"/>
        <v>-</v>
      </c>
      <c r="BB120" s="59" t="str">
        <f t="shared" si="35"/>
        <v>-</v>
      </c>
      <c r="BC120" s="59" t="str">
        <f t="shared" si="36"/>
        <v>-</v>
      </c>
      <c r="BD120" s="59" t="str">
        <f t="shared" si="37"/>
        <v>-</v>
      </c>
      <c r="BE120" s="59" t="str">
        <f t="shared" si="38"/>
        <v>-</v>
      </c>
      <c r="BF120" s="59" t="str">
        <f t="shared" si="39"/>
        <v>-</v>
      </c>
      <c r="BG120" s="59" t="str">
        <f t="shared" si="40"/>
        <v>-</v>
      </c>
      <c r="BH120" s="59" t="str">
        <f t="shared" si="41"/>
        <v>-</v>
      </c>
      <c r="BI120" s="59" t="str">
        <f t="shared" si="42"/>
        <v>-</v>
      </c>
      <c r="BJ120" s="59" t="str">
        <f t="shared" si="43"/>
        <v>-</v>
      </c>
      <c r="BK120" s="59" t="str">
        <f t="shared" si="44"/>
        <v>-</v>
      </c>
      <c r="BL120" s="59" t="str">
        <f>IF(AND(R120&gt;0,AO120&gt;0),MIN(R120,AO120),"-")</f>
        <v>-</v>
      </c>
      <c r="BM120" s="59" t="str">
        <f>IF(AND(S120&gt;0,AP120&gt;0),MIN(S120,AP120),"-")</f>
        <v>-</v>
      </c>
      <c r="BN120" s="59" t="str">
        <f>IF(AND(T120&gt;0,AQ120&gt;0),MIN(T120,AQ120),"-")</f>
        <v>-</v>
      </c>
      <c r="BO120" s="59" t="str">
        <f>IF(AND(U120&gt;0,AR120&gt;0),MIN(U120,AR120),"-")</f>
        <v>-</v>
      </c>
      <c r="BP120" s="59" t="str">
        <f>IF(AND(V120&gt;0,AS120&gt;0),MIN(V120,AS120),"-")</f>
        <v>-</v>
      </c>
      <c r="BQ120" s="59" t="str">
        <f t="shared" si="45"/>
        <v>-</v>
      </c>
      <c r="BR120" s="59" t="str">
        <f t="shared" si="46"/>
        <v>-</v>
      </c>
      <c r="BS120" s="59" t="str">
        <f t="shared" si="47"/>
        <v>-</v>
      </c>
      <c r="BT120" s="98" t="str">
        <f>IF(ISNUMBER(BS120),BS120-(C120*Rules!$P$9/100),"-")</f>
        <v>-</v>
      </c>
      <c r="BU120" s="59" t="e">
        <f>RANK($BT120,$BT$5:$BT$106,1)+COUNTIF(BT$5:BT120,BT120)-1</f>
        <v>#VALUE!</v>
      </c>
      <c r="BV120" s="59" t="e">
        <f t="shared" si="48"/>
        <v>#VALUE!</v>
      </c>
      <c r="BW120" s="59" t="str">
        <f t="shared" si="49"/>
        <v xml:space="preserve"> </v>
      </c>
      <c r="BX120" s="59">
        <f t="shared" si="50"/>
        <v>0</v>
      </c>
      <c r="BY120" s="98" t="str">
        <f t="shared" si="51"/>
        <v>-</v>
      </c>
      <c r="CD120" s="79"/>
      <c r="CE120" s="80"/>
      <c r="CF120" s="81"/>
      <c r="CL120" s="77">
        <v>1</v>
      </c>
    </row>
    <row r="121" spans="1:90" ht="17.45" customHeight="1">
      <c r="A121" s="58">
        <v>117</v>
      </c>
      <c r="B121" s="59" t="str">
        <f>'A Div'!A121 &amp; " " &amp; 'A Div'!B121</f>
        <v xml:space="preserve"> </v>
      </c>
      <c r="C121" s="59">
        <f>'A Div'!E121</f>
        <v>0</v>
      </c>
      <c r="D121" s="60"/>
      <c r="E121" s="60"/>
      <c r="F121" s="60"/>
      <c r="G121" s="60"/>
      <c r="H121" s="60"/>
      <c r="I121" s="60"/>
      <c r="J121" s="60"/>
      <c r="K121" s="60"/>
      <c r="L121" s="60"/>
      <c r="M121" s="74" t="str">
        <f t="shared" si="26"/>
        <v>-</v>
      </c>
      <c r="N121" s="60"/>
      <c r="O121" s="60"/>
      <c r="P121" s="60"/>
      <c r="Q121" s="60"/>
      <c r="R121" s="60"/>
      <c r="S121" s="60"/>
      <c r="T121" s="60"/>
      <c r="U121" s="60"/>
      <c r="V121" s="60"/>
      <c r="W121" s="74" t="str">
        <f t="shared" si="27"/>
        <v>-</v>
      </c>
      <c r="X121" s="148" t="str">
        <f t="shared" si="28"/>
        <v>-</v>
      </c>
      <c r="Y121" s="74" t="str">
        <f t="shared" si="29"/>
        <v>-</v>
      </c>
      <c r="AA121" s="60"/>
      <c r="AB121" s="60"/>
      <c r="AC121" s="60"/>
      <c r="AD121" s="60"/>
      <c r="AE121" s="60"/>
      <c r="AF121" s="60"/>
      <c r="AG121" s="60"/>
      <c r="AH121" s="60"/>
      <c r="AI121" s="60"/>
      <c r="AJ121" s="74" t="str">
        <f t="shared" si="30"/>
        <v>-</v>
      </c>
      <c r="AK121" s="60"/>
      <c r="AL121" s="60"/>
      <c r="AM121" s="60"/>
      <c r="AN121" s="60"/>
      <c r="AO121" s="60"/>
      <c r="AP121" s="60"/>
      <c r="AQ121" s="60"/>
      <c r="AR121" s="60"/>
      <c r="AS121" s="60"/>
      <c r="AT121" s="74" t="str">
        <f>IF(COUNTIF(AK121:AS121,"&lt;&gt;"&amp;"")=9,SUM(AK121:AS121),"-")</f>
        <v>-</v>
      </c>
      <c r="AU121" s="148" t="str">
        <f>IF(AND(ISNUMBER(AJ121),ISNUMBER(AT121)),AJ121+AT121,"-")</f>
        <v>-</v>
      </c>
      <c r="AV121" s="74" t="str">
        <f>IF(ISNUMBER(AU121),AU121-C121,"-")</f>
        <v>-</v>
      </c>
      <c r="AX121" s="59" t="str">
        <f t="shared" si="31"/>
        <v>-</v>
      </c>
      <c r="AY121" s="59" t="str">
        <f t="shared" si="32"/>
        <v>-</v>
      </c>
      <c r="AZ121" s="59" t="str">
        <f t="shared" si="33"/>
        <v>-</v>
      </c>
      <c r="BA121" s="59" t="str">
        <f t="shared" si="34"/>
        <v>-</v>
      </c>
      <c r="BB121" s="59" t="str">
        <f t="shared" si="35"/>
        <v>-</v>
      </c>
      <c r="BC121" s="59" t="str">
        <f t="shared" si="36"/>
        <v>-</v>
      </c>
      <c r="BD121" s="59" t="str">
        <f t="shared" si="37"/>
        <v>-</v>
      </c>
      <c r="BE121" s="59" t="str">
        <f t="shared" si="38"/>
        <v>-</v>
      </c>
      <c r="BF121" s="59" t="str">
        <f t="shared" si="39"/>
        <v>-</v>
      </c>
      <c r="BG121" s="59" t="str">
        <f t="shared" si="40"/>
        <v>-</v>
      </c>
      <c r="BH121" s="59" t="str">
        <f t="shared" si="41"/>
        <v>-</v>
      </c>
      <c r="BI121" s="59" t="str">
        <f t="shared" si="42"/>
        <v>-</v>
      </c>
      <c r="BJ121" s="59" t="str">
        <f t="shared" si="43"/>
        <v>-</v>
      </c>
      <c r="BK121" s="59" t="str">
        <f t="shared" si="44"/>
        <v>-</v>
      </c>
      <c r="BL121" s="59" t="str">
        <f>IF(AND(R121&gt;0,AO121&gt;0),MIN(R121,AO121),"-")</f>
        <v>-</v>
      </c>
      <c r="BM121" s="59" t="str">
        <f>IF(AND(S121&gt;0,AP121&gt;0),MIN(S121,AP121),"-")</f>
        <v>-</v>
      </c>
      <c r="BN121" s="59" t="str">
        <f>IF(AND(T121&gt;0,AQ121&gt;0),MIN(T121,AQ121),"-")</f>
        <v>-</v>
      </c>
      <c r="BO121" s="59" t="str">
        <f>IF(AND(U121&gt;0,AR121&gt;0),MIN(U121,AR121),"-")</f>
        <v>-</v>
      </c>
      <c r="BP121" s="59" t="str">
        <f>IF(AND(V121&gt;0,AS121&gt;0),MIN(V121,AS121),"-")</f>
        <v>-</v>
      </c>
      <c r="BQ121" s="59" t="str">
        <f t="shared" si="45"/>
        <v>-</v>
      </c>
      <c r="BR121" s="59" t="str">
        <f t="shared" si="46"/>
        <v>-</v>
      </c>
      <c r="BS121" s="59" t="str">
        <f t="shared" si="47"/>
        <v>-</v>
      </c>
      <c r="BT121" s="98" t="str">
        <f>IF(ISNUMBER(BS121),BS121-(C121*Rules!$P$9/100),"-")</f>
        <v>-</v>
      </c>
      <c r="BU121" s="59" t="e">
        <f>RANK($BT121,$BT$5:$BT$106,1)+COUNTIF(BT$5:BT121,BT121)-1</f>
        <v>#VALUE!</v>
      </c>
      <c r="BV121" s="59" t="e">
        <f t="shared" si="48"/>
        <v>#VALUE!</v>
      </c>
      <c r="BW121" s="59" t="str">
        <f t="shared" si="49"/>
        <v xml:space="preserve"> </v>
      </c>
      <c r="BX121" s="59">
        <f t="shared" si="50"/>
        <v>0</v>
      </c>
      <c r="BY121" s="98" t="str">
        <f t="shared" si="51"/>
        <v>-</v>
      </c>
      <c r="CD121" s="79"/>
      <c r="CE121" s="80"/>
      <c r="CF121" s="81"/>
      <c r="CL121" s="77">
        <v>1</v>
      </c>
    </row>
    <row r="122" spans="1:90" ht="17.45" customHeight="1">
      <c r="A122" s="58">
        <v>118</v>
      </c>
      <c r="B122" s="59" t="str">
        <f>'A Div'!A122 &amp; " " &amp; 'A Div'!B122</f>
        <v xml:space="preserve"> </v>
      </c>
      <c r="C122" s="59">
        <f>'A Div'!E122</f>
        <v>0</v>
      </c>
      <c r="D122" s="60"/>
      <c r="E122" s="60"/>
      <c r="F122" s="60"/>
      <c r="G122" s="60"/>
      <c r="H122" s="60"/>
      <c r="I122" s="60"/>
      <c r="J122" s="60"/>
      <c r="K122" s="60"/>
      <c r="L122" s="60"/>
      <c r="M122" s="74" t="str">
        <f t="shared" si="26"/>
        <v>-</v>
      </c>
      <c r="N122" s="60"/>
      <c r="O122" s="60"/>
      <c r="P122" s="60"/>
      <c r="Q122" s="60"/>
      <c r="R122" s="60"/>
      <c r="S122" s="60"/>
      <c r="T122" s="60"/>
      <c r="U122" s="60"/>
      <c r="V122" s="60"/>
      <c r="W122" s="74" t="str">
        <f t="shared" si="27"/>
        <v>-</v>
      </c>
      <c r="X122" s="148" t="str">
        <f t="shared" si="28"/>
        <v>-</v>
      </c>
      <c r="Y122" s="74" t="str">
        <f t="shared" si="29"/>
        <v>-</v>
      </c>
      <c r="AA122" s="60"/>
      <c r="AB122" s="60"/>
      <c r="AC122" s="60"/>
      <c r="AD122" s="60"/>
      <c r="AE122" s="60"/>
      <c r="AF122" s="60"/>
      <c r="AG122" s="60"/>
      <c r="AH122" s="60"/>
      <c r="AI122" s="60"/>
      <c r="AJ122" s="74" t="str">
        <f t="shared" si="30"/>
        <v>-</v>
      </c>
      <c r="AK122" s="60"/>
      <c r="AL122" s="60"/>
      <c r="AM122" s="60"/>
      <c r="AN122" s="60"/>
      <c r="AO122" s="60"/>
      <c r="AP122" s="60"/>
      <c r="AQ122" s="60"/>
      <c r="AR122" s="60"/>
      <c r="AS122" s="60"/>
      <c r="AT122" s="74" t="str">
        <f>IF(COUNTIF(AK122:AS122,"&lt;&gt;"&amp;"")=9,SUM(AK122:AS122),"-")</f>
        <v>-</v>
      </c>
      <c r="AU122" s="148" t="str">
        <f>IF(AND(ISNUMBER(AJ122),ISNUMBER(AT122)),AJ122+AT122,"-")</f>
        <v>-</v>
      </c>
      <c r="AV122" s="74" t="str">
        <f>IF(ISNUMBER(AU122),AU122-C122,"-")</f>
        <v>-</v>
      </c>
      <c r="AX122" s="59" t="str">
        <f t="shared" si="31"/>
        <v>-</v>
      </c>
      <c r="AY122" s="59" t="str">
        <f t="shared" si="32"/>
        <v>-</v>
      </c>
      <c r="AZ122" s="59" t="str">
        <f t="shared" si="33"/>
        <v>-</v>
      </c>
      <c r="BA122" s="59" t="str">
        <f t="shared" si="34"/>
        <v>-</v>
      </c>
      <c r="BB122" s="59" t="str">
        <f t="shared" si="35"/>
        <v>-</v>
      </c>
      <c r="BC122" s="59" t="str">
        <f t="shared" si="36"/>
        <v>-</v>
      </c>
      <c r="BD122" s="59" t="str">
        <f t="shared" si="37"/>
        <v>-</v>
      </c>
      <c r="BE122" s="59" t="str">
        <f t="shared" si="38"/>
        <v>-</v>
      </c>
      <c r="BF122" s="59" t="str">
        <f t="shared" si="39"/>
        <v>-</v>
      </c>
      <c r="BG122" s="59" t="str">
        <f t="shared" si="40"/>
        <v>-</v>
      </c>
      <c r="BH122" s="59" t="str">
        <f t="shared" si="41"/>
        <v>-</v>
      </c>
      <c r="BI122" s="59" t="str">
        <f t="shared" si="42"/>
        <v>-</v>
      </c>
      <c r="BJ122" s="59" t="str">
        <f t="shared" si="43"/>
        <v>-</v>
      </c>
      <c r="BK122" s="59" t="str">
        <f t="shared" si="44"/>
        <v>-</v>
      </c>
      <c r="BL122" s="59" t="str">
        <f>IF(AND(R122&gt;0,AO122&gt;0),MIN(R122,AO122),"-")</f>
        <v>-</v>
      </c>
      <c r="BM122" s="59" t="str">
        <f>IF(AND(S122&gt;0,AP122&gt;0),MIN(S122,AP122),"-")</f>
        <v>-</v>
      </c>
      <c r="BN122" s="59" t="str">
        <f>IF(AND(T122&gt;0,AQ122&gt;0),MIN(T122,AQ122),"-")</f>
        <v>-</v>
      </c>
      <c r="BO122" s="59" t="str">
        <f>IF(AND(U122&gt;0,AR122&gt;0),MIN(U122,AR122),"-")</f>
        <v>-</v>
      </c>
      <c r="BP122" s="59" t="str">
        <f>IF(AND(V122&gt;0,AS122&gt;0),MIN(V122,AS122),"-")</f>
        <v>-</v>
      </c>
      <c r="BQ122" s="59" t="str">
        <f t="shared" si="45"/>
        <v>-</v>
      </c>
      <c r="BR122" s="59" t="str">
        <f t="shared" si="46"/>
        <v>-</v>
      </c>
      <c r="BS122" s="59" t="str">
        <f t="shared" si="47"/>
        <v>-</v>
      </c>
      <c r="BT122" s="98" t="str">
        <f>IF(ISNUMBER(BS122),BS122-(C122*Rules!$P$9/100),"-")</f>
        <v>-</v>
      </c>
      <c r="BU122" s="59" t="e">
        <f>RANK($BT122,$BT$5:$BT$106,1)+COUNTIF(BT$5:BT122,BT122)-1</f>
        <v>#VALUE!</v>
      </c>
      <c r="BV122" s="59" t="e">
        <f t="shared" si="48"/>
        <v>#VALUE!</v>
      </c>
      <c r="BW122" s="59" t="str">
        <f t="shared" si="49"/>
        <v xml:space="preserve"> </v>
      </c>
      <c r="BX122" s="59">
        <f t="shared" si="50"/>
        <v>0</v>
      </c>
      <c r="BY122" s="98" t="str">
        <f t="shared" si="51"/>
        <v>-</v>
      </c>
      <c r="CD122" s="79"/>
      <c r="CE122" s="80"/>
      <c r="CF122" s="81"/>
      <c r="CL122" s="77">
        <v>1</v>
      </c>
    </row>
    <row r="123" spans="1:90" ht="17.45" customHeight="1">
      <c r="A123" s="58">
        <v>119</v>
      </c>
      <c r="B123" s="59" t="str">
        <f>'A Div'!A123 &amp; " " &amp; 'A Div'!B123</f>
        <v xml:space="preserve"> </v>
      </c>
      <c r="C123" s="59">
        <f>'A Div'!E123</f>
        <v>0</v>
      </c>
      <c r="D123" s="60"/>
      <c r="E123" s="60"/>
      <c r="F123" s="60"/>
      <c r="G123" s="60"/>
      <c r="H123" s="60"/>
      <c r="I123" s="60"/>
      <c r="J123" s="60"/>
      <c r="K123" s="60"/>
      <c r="L123" s="60"/>
      <c r="M123" s="74" t="str">
        <f t="shared" si="26"/>
        <v>-</v>
      </c>
      <c r="N123" s="60"/>
      <c r="O123" s="60"/>
      <c r="P123" s="60"/>
      <c r="Q123" s="60"/>
      <c r="R123" s="60"/>
      <c r="S123" s="60"/>
      <c r="T123" s="60"/>
      <c r="U123" s="60"/>
      <c r="V123" s="60"/>
      <c r="W123" s="74" t="str">
        <f t="shared" si="27"/>
        <v>-</v>
      </c>
      <c r="X123" s="148" t="str">
        <f t="shared" si="28"/>
        <v>-</v>
      </c>
      <c r="Y123" s="74" t="str">
        <f t="shared" si="29"/>
        <v>-</v>
      </c>
      <c r="AA123" s="60"/>
      <c r="AB123" s="60"/>
      <c r="AC123" s="60"/>
      <c r="AD123" s="60"/>
      <c r="AE123" s="60"/>
      <c r="AF123" s="60"/>
      <c r="AG123" s="60"/>
      <c r="AH123" s="60"/>
      <c r="AI123" s="60"/>
      <c r="AJ123" s="74" t="str">
        <f t="shared" si="30"/>
        <v>-</v>
      </c>
      <c r="AK123" s="60"/>
      <c r="AL123" s="60"/>
      <c r="AM123" s="60"/>
      <c r="AN123" s="60"/>
      <c r="AO123" s="60"/>
      <c r="AP123" s="60"/>
      <c r="AQ123" s="60"/>
      <c r="AR123" s="60"/>
      <c r="AS123" s="60"/>
      <c r="AT123" s="74" t="str">
        <f>IF(COUNTIF(AK123:AS123,"&lt;&gt;"&amp;"")=9,SUM(AK123:AS123),"-")</f>
        <v>-</v>
      </c>
      <c r="AU123" s="148" t="str">
        <f>IF(AND(ISNUMBER(AJ123),ISNUMBER(AT123)),AJ123+AT123,"-")</f>
        <v>-</v>
      </c>
      <c r="AV123" s="74" t="str">
        <f>IF(ISNUMBER(AU123),AU123-C123,"-")</f>
        <v>-</v>
      </c>
      <c r="AX123" s="59" t="str">
        <f t="shared" si="31"/>
        <v>-</v>
      </c>
      <c r="AY123" s="59" t="str">
        <f t="shared" si="32"/>
        <v>-</v>
      </c>
      <c r="AZ123" s="59" t="str">
        <f t="shared" si="33"/>
        <v>-</v>
      </c>
      <c r="BA123" s="59" t="str">
        <f t="shared" si="34"/>
        <v>-</v>
      </c>
      <c r="BB123" s="59" t="str">
        <f t="shared" si="35"/>
        <v>-</v>
      </c>
      <c r="BC123" s="59" t="str">
        <f t="shared" si="36"/>
        <v>-</v>
      </c>
      <c r="BD123" s="59" t="str">
        <f t="shared" si="37"/>
        <v>-</v>
      </c>
      <c r="BE123" s="59" t="str">
        <f t="shared" si="38"/>
        <v>-</v>
      </c>
      <c r="BF123" s="59" t="str">
        <f t="shared" si="39"/>
        <v>-</v>
      </c>
      <c r="BG123" s="59" t="str">
        <f t="shared" si="40"/>
        <v>-</v>
      </c>
      <c r="BH123" s="59" t="str">
        <f t="shared" si="41"/>
        <v>-</v>
      </c>
      <c r="BI123" s="59" t="str">
        <f t="shared" si="42"/>
        <v>-</v>
      </c>
      <c r="BJ123" s="59" t="str">
        <f t="shared" si="43"/>
        <v>-</v>
      </c>
      <c r="BK123" s="59" t="str">
        <f t="shared" si="44"/>
        <v>-</v>
      </c>
      <c r="BL123" s="59" t="str">
        <f>IF(AND(R123&gt;0,AO123&gt;0),MIN(R123,AO123),"-")</f>
        <v>-</v>
      </c>
      <c r="BM123" s="59" t="str">
        <f>IF(AND(S123&gt;0,AP123&gt;0),MIN(S123,AP123),"-")</f>
        <v>-</v>
      </c>
      <c r="BN123" s="59" t="str">
        <f>IF(AND(T123&gt;0,AQ123&gt;0),MIN(T123,AQ123),"-")</f>
        <v>-</v>
      </c>
      <c r="BO123" s="59" t="str">
        <f>IF(AND(U123&gt;0,AR123&gt;0),MIN(U123,AR123),"-")</f>
        <v>-</v>
      </c>
      <c r="BP123" s="59" t="str">
        <f>IF(AND(V123&gt;0,AS123&gt;0),MIN(V123,AS123),"-")</f>
        <v>-</v>
      </c>
      <c r="BQ123" s="59" t="str">
        <f t="shared" si="45"/>
        <v>-</v>
      </c>
      <c r="BR123" s="59" t="str">
        <f t="shared" si="46"/>
        <v>-</v>
      </c>
      <c r="BS123" s="59" t="str">
        <f t="shared" si="47"/>
        <v>-</v>
      </c>
      <c r="BT123" s="98" t="str">
        <f>IF(ISNUMBER(BS123),BS123-(C123*Rules!$P$9/100),"-")</f>
        <v>-</v>
      </c>
      <c r="BU123" s="59" t="e">
        <f>RANK($BT123,$BT$5:$BT$106,1)+COUNTIF(BT$5:BT123,BT123)-1</f>
        <v>#VALUE!</v>
      </c>
      <c r="BV123" s="59" t="e">
        <f t="shared" si="48"/>
        <v>#VALUE!</v>
      </c>
      <c r="BW123" s="59" t="str">
        <f t="shared" si="49"/>
        <v xml:space="preserve"> </v>
      </c>
      <c r="BX123" s="59">
        <f t="shared" si="50"/>
        <v>0</v>
      </c>
      <c r="BY123" s="98" t="str">
        <f t="shared" si="51"/>
        <v>-</v>
      </c>
      <c r="CD123" s="79"/>
      <c r="CE123" s="80"/>
      <c r="CF123" s="81"/>
      <c r="CL123" s="77">
        <v>1</v>
      </c>
    </row>
    <row r="124" spans="1:90" ht="17.45" customHeight="1">
      <c r="A124" s="58">
        <v>120</v>
      </c>
      <c r="B124" s="59" t="str">
        <f>'A Div'!A124 &amp; " " &amp; 'A Div'!B124</f>
        <v xml:space="preserve"> </v>
      </c>
      <c r="C124" s="59">
        <f>'A Div'!E124</f>
        <v>0</v>
      </c>
      <c r="D124" s="60"/>
      <c r="E124" s="60"/>
      <c r="F124" s="60"/>
      <c r="G124" s="60"/>
      <c r="H124" s="60"/>
      <c r="I124" s="60"/>
      <c r="J124" s="60"/>
      <c r="K124" s="60"/>
      <c r="L124" s="60"/>
      <c r="M124" s="74" t="str">
        <f t="shared" si="26"/>
        <v>-</v>
      </c>
      <c r="N124" s="60"/>
      <c r="O124" s="60"/>
      <c r="P124" s="60"/>
      <c r="Q124" s="60"/>
      <c r="R124" s="60"/>
      <c r="S124" s="60"/>
      <c r="T124" s="60"/>
      <c r="U124" s="60"/>
      <c r="V124" s="60"/>
      <c r="W124" s="74" t="str">
        <f t="shared" si="27"/>
        <v>-</v>
      </c>
      <c r="X124" s="148" t="str">
        <f t="shared" si="28"/>
        <v>-</v>
      </c>
      <c r="Y124" s="74" t="str">
        <f t="shared" si="29"/>
        <v>-</v>
      </c>
      <c r="AA124" s="60"/>
      <c r="AB124" s="60"/>
      <c r="AC124" s="60"/>
      <c r="AD124" s="60"/>
      <c r="AE124" s="60"/>
      <c r="AF124" s="60"/>
      <c r="AG124" s="60"/>
      <c r="AH124" s="60"/>
      <c r="AI124" s="60"/>
      <c r="AJ124" s="74" t="str">
        <f t="shared" si="30"/>
        <v>-</v>
      </c>
      <c r="AK124" s="60"/>
      <c r="AL124" s="60"/>
      <c r="AM124" s="60"/>
      <c r="AN124" s="60"/>
      <c r="AO124" s="60"/>
      <c r="AP124" s="60"/>
      <c r="AQ124" s="60"/>
      <c r="AR124" s="60"/>
      <c r="AS124" s="60"/>
      <c r="AT124" s="74" t="str">
        <f>IF(COUNTIF(AK124:AS124,"&lt;&gt;"&amp;"")=9,SUM(AK124:AS124),"-")</f>
        <v>-</v>
      </c>
      <c r="AU124" s="148" t="str">
        <f>IF(AND(ISNUMBER(AJ124),ISNUMBER(AT124)),AJ124+AT124,"-")</f>
        <v>-</v>
      </c>
      <c r="AV124" s="74" t="str">
        <f>IF(ISNUMBER(AU124),AU124-C124,"-")</f>
        <v>-</v>
      </c>
      <c r="AX124" s="59" t="str">
        <f t="shared" si="31"/>
        <v>-</v>
      </c>
      <c r="AY124" s="59" t="str">
        <f t="shared" si="32"/>
        <v>-</v>
      </c>
      <c r="AZ124" s="59" t="str">
        <f t="shared" si="33"/>
        <v>-</v>
      </c>
      <c r="BA124" s="59" t="str">
        <f t="shared" si="34"/>
        <v>-</v>
      </c>
      <c r="BB124" s="59" t="str">
        <f t="shared" si="35"/>
        <v>-</v>
      </c>
      <c r="BC124" s="59" t="str">
        <f t="shared" si="36"/>
        <v>-</v>
      </c>
      <c r="BD124" s="59" t="str">
        <f t="shared" si="37"/>
        <v>-</v>
      </c>
      <c r="BE124" s="59" t="str">
        <f t="shared" si="38"/>
        <v>-</v>
      </c>
      <c r="BF124" s="59" t="str">
        <f t="shared" si="39"/>
        <v>-</v>
      </c>
      <c r="BG124" s="59" t="str">
        <f t="shared" si="40"/>
        <v>-</v>
      </c>
      <c r="BH124" s="59" t="str">
        <f t="shared" si="41"/>
        <v>-</v>
      </c>
      <c r="BI124" s="59" t="str">
        <f t="shared" si="42"/>
        <v>-</v>
      </c>
      <c r="BJ124" s="59" t="str">
        <f t="shared" si="43"/>
        <v>-</v>
      </c>
      <c r="BK124" s="59" t="str">
        <f t="shared" si="44"/>
        <v>-</v>
      </c>
      <c r="BL124" s="59" t="str">
        <f>IF(AND(R124&gt;0,AO124&gt;0),MIN(R124,AO124),"-")</f>
        <v>-</v>
      </c>
      <c r="BM124" s="59" t="str">
        <f>IF(AND(S124&gt;0,AP124&gt;0),MIN(S124,AP124),"-")</f>
        <v>-</v>
      </c>
      <c r="BN124" s="59" t="str">
        <f>IF(AND(T124&gt;0,AQ124&gt;0),MIN(T124,AQ124),"-")</f>
        <v>-</v>
      </c>
      <c r="BO124" s="59" t="str">
        <f>IF(AND(U124&gt;0,AR124&gt;0),MIN(U124,AR124),"-")</f>
        <v>-</v>
      </c>
      <c r="BP124" s="59" t="str">
        <f>IF(AND(V124&gt;0,AS124&gt;0),MIN(V124,AS124),"-")</f>
        <v>-</v>
      </c>
      <c r="BQ124" s="59" t="str">
        <f t="shared" si="45"/>
        <v>-</v>
      </c>
      <c r="BR124" s="59" t="str">
        <f t="shared" si="46"/>
        <v>-</v>
      </c>
      <c r="BS124" s="59" t="str">
        <f t="shared" si="47"/>
        <v>-</v>
      </c>
      <c r="BT124" s="98" t="str">
        <f>IF(ISNUMBER(BS124),BS124-(C124*Rules!$P$9/100),"-")</f>
        <v>-</v>
      </c>
      <c r="BU124" s="59" t="e">
        <f>RANK($BT124,$BT$5:$BT$106,1)+COUNTIF(BT$5:BT124,BT124)-1</f>
        <v>#VALUE!</v>
      </c>
      <c r="BV124" s="59" t="e">
        <f t="shared" si="48"/>
        <v>#VALUE!</v>
      </c>
      <c r="BW124" s="59" t="str">
        <f t="shared" si="49"/>
        <v xml:space="preserve"> </v>
      </c>
      <c r="BX124" s="59">
        <f t="shared" si="50"/>
        <v>0</v>
      </c>
      <c r="BY124" s="98" t="str">
        <f t="shared" si="51"/>
        <v>-</v>
      </c>
      <c r="CD124" s="79"/>
      <c r="CE124" s="80"/>
      <c r="CF124" s="81"/>
      <c r="CL124" s="77">
        <v>1</v>
      </c>
    </row>
    <row r="125" spans="1:90" ht="17.45" customHeight="1">
      <c r="A125" s="58">
        <v>121</v>
      </c>
      <c r="B125" s="59" t="str">
        <f>'A Div'!A125 &amp; " " &amp; 'A Div'!B125</f>
        <v xml:space="preserve"> </v>
      </c>
      <c r="C125" s="59">
        <f>'A Div'!E125</f>
        <v>0</v>
      </c>
      <c r="D125" s="60"/>
      <c r="E125" s="60"/>
      <c r="F125" s="60"/>
      <c r="G125" s="60"/>
      <c r="H125" s="60"/>
      <c r="I125" s="60"/>
      <c r="J125" s="60"/>
      <c r="K125" s="60"/>
      <c r="L125" s="60"/>
      <c r="M125" s="74" t="str">
        <f t="shared" si="26"/>
        <v>-</v>
      </c>
      <c r="N125" s="60"/>
      <c r="O125" s="60"/>
      <c r="P125" s="60"/>
      <c r="Q125" s="60"/>
      <c r="R125" s="60"/>
      <c r="S125" s="60"/>
      <c r="T125" s="60"/>
      <c r="U125" s="60"/>
      <c r="V125" s="60"/>
      <c r="W125" s="74" t="str">
        <f t="shared" si="27"/>
        <v>-</v>
      </c>
      <c r="X125" s="148" t="str">
        <f t="shared" si="28"/>
        <v>-</v>
      </c>
      <c r="Y125" s="74" t="str">
        <f t="shared" si="29"/>
        <v>-</v>
      </c>
      <c r="AA125" s="60"/>
      <c r="AB125" s="60"/>
      <c r="AC125" s="60"/>
      <c r="AD125" s="60"/>
      <c r="AE125" s="60"/>
      <c r="AF125" s="60"/>
      <c r="AG125" s="60"/>
      <c r="AH125" s="60"/>
      <c r="AI125" s="60"/>
      <c r="AJ125" s="74" t="str">
        <f t="shared" si="30"/>
        <v>-</v>
      </c>
      <c r="AK125" s="60"/>
      <c r="AL125" s="60"/>
      <c r="AM125" s="60"/>
      <c r="AN125" s="60"/>
      <c r="AO125" s="60"/>
      <c r="AP125" s="60"/>
      <c r="AQ125" s="60"/>
      <c r="AR125" s="60"/>
      <c r="AS125" s="60"/>
      <c r="AT125" s="74" t="str">
        <f>IF(COUNTIF(AK125:AS125,"&lt;&gt;"&amp;"")=9,SUM(AK125:AS125),"-")</f>
        <v>-</v>
      </c>
      <c r="AU125" s="148" t="str">
        <f>IF(AND(ISNUMBER(AJ125),ISNUMBER(AT125)),AJ125+AT125,"-")</f>
        <v>-</v>
      </c>
      <c r="AV125" s="74" t="str">
        <f>IF(ISNUMBER(AU125),AU125-C125,"-")</f>
        <v>-</v>
      </c>
      <c r="AX125" s="59" t="str">
        <f t="shared" si="31"/>
        <v>-</v>
      </c>
      <c r="AY125" s="59" t="str">
        <f t="shared" si="32"/>
        <v>-</v>
      </c>
      <c r="AZ125" s="59" t="str">
        <f t="shared" si="33"/>
        <v>-</v>
      </c>
      <c r="BA125" s="59" t="str">
        <f t="shared" si="34"/>
        <v>-</v>
      </c>
      <c r="BB125" s="59" t="str">
        <f t="shared" si="35"/>
        <v>-</v>
      </c>
      <c r="BC125" s="59" t="str">
        <f t="shared" si="36"/>
        <v>-</v>
      </c>
      <c r="BD125" s="59" t="str">
        <f t="shared" si="37"/>
        <v>-</v>
      </c>
      <c r="BE125" s="59" t="str">
        <f t="shared" si="38"/>
        <v>-</v>
      </c>
      <c r="BF125" s="59" t="str">
        <f t="shared" si="39"/>
        <v>-</v>
      </c>
      <c r="BG125" s="59" t="str">
        <f t="shared" si="40"/>
        <v>-</v>
      </c>
      <c r="BH125" s="59" t="str">
        <f t="shared" si="41"/>
        <v>-</v>
      </c>
      <c r="BI125" s="59" t="str">
        <f t="shared" si="42"/>
        <v>-</v>
      </c>
      <c r="BJ125" s="59" t="str">
        <f t="shared" si="43"/>
        <v>-</v>
      </c>
      <c r="BK125" s="59" t="str">
        <f t="shared" si="44"/>
        <v>-</v>
      </c>
      <c r="BL125" s="59" t="str">
        <f>IF(AND(R125&gt;0,AO125&gt;0),MIN(R125,AO125),"-")</f>
        <v>-</v>
      </c>
      <c r="BM125" s="59" t="str">
        <f>IF(AND(S125&gt;0,AP125&gt;0),MIN(S125,AP125),"-")</f>
        <v>-</v>
      </c>
      <c r="BN125" s="59" t="str">
        <f>IF(AND(T125&gt;0,AQ125&gt;0),MIN(T125,AQ125),"-")</f>
        <v>-</v>
      </c>
      <c r="BO125" s="59" t="str">
        <f>IF(AND(U125&gt;0,AR125&gt;0),MIN(U125,AR125),"-")</f>
        <v>-</v>
      </c>
      <c r="BP125" s="59" t="str">
        <f>IF(AND(V125&gt;0,AS125&gt;0),MIN(V125,AS125),"-")</f>
        <v>-</v>
      </c>
      <c r="BQ125" s="59" t="str">
        <f t="shared" si="45"/>
        <v>-</v>
      </c>
      <c r="BR125" s="59" t="str">
        <f t="shared" si="46"/>
        <v>-</v>
      </c>
      <c r="BS125" s="59" t="str">
        <f t="shared" si="47"/>
        <v>-</v>
      </c>
      <c r="BT125" s="98" t="str">
        <f>IF(ISNUMBER(BS125),BS125-(C125*Rules!$P$9/100),"-")</f>
        <v>-</v>
      </c>
      <c r="BU125" s="59" t="e">
        <f>RANK($BT125,$BT$5:$BT$106,1)+COUNTIF(BT$5:BT125,BT125)-1</f>
        <v>#VALUE!</v>
      </c>
      <c r="BV125" s="59" t="e">
        <f t="shared" si="48"/>
        <v>#VALUE!</v>
      </c>
      <c r="BW125" s="59" t="str">
        <f t="shared" si="49"/>
        <v xml:space="preserve"> </v>
      </c>
      <c r="BX125" s="59">
        <f t="shared" si="50"/>
        <v>0</v>
      </c>
      <c r="BY125" s="98" t="str">
        <f t="shared" si="51"/>
        <v>-</v>
      </c>
      <c r="CD125" s="79"/>
      <c r="CE125" s="80"/>
      <c r="CF125" s="81"/>
      <c r="CL125" s="77">
        <v>1</v>
      </c>
    </row>
    <row r="126" spans="1:90" ht="17.45" customHeight="1">
      <c r="A126" s="58">
        <v>122</v>
      </c>
      <c r="B126" s="59" t="str">
        <f>'A Div'!A126 &amp; " " &amp; 'A Div'!B126</f>
        <v xml:space="preserve"> </v>
      </c>
      <c r="C126" s="59">
        <f>'A Div'!E126</f>
        <v>0</v>
      </c>
      <c r="D126" s="60"/>
      <c r="E126" s="60"/>
      <c r="F126" s="60"/>
      <c r="G126" s="60"/>
      <c r="H126" s="60"/>
      <c r="I126" s="60"/>
      <c r="J126" s="60"/>
      <c r="K126" s="60"/>
      <c r="L126" s="60"/>
      <c r="M126" s="74" t="str">
        <f t="shared" si="26"/>
        <v>-</v>
      </c>
      <c r="N126" s="60"/>
      <c r="O126" s="60"/>
      <c r="P126" s="60"/>
      <c r="Q126" s="60"/>
      <c r="R126" s="60"/>
      <c r="S126" s="60"/>
      <c r="T126" s="60"/>
      <c r="U126" s="60"/>
      <c r="V126" s="60"/>
      <c r="W126" s="74" t="str">
        <f t="shared" si="27"/>
        <v>-</v>
      </c>
      <c r="X126" s="148" t="str">
        <f t="shared" si="28"/>
        <v>-</v>
      </c>
      <c r="Y126" s="74" t="str">
        <f t="shared" si="29"/>
        <v>-</v>
      </c>
      <c r="AA126" s="60"/>
      <c r="AB126" s="60"/>
      <c r="AC126" s="60"/>
      <c r="AD126" s="60"/>
      <c r="AE126" s="60"/>
      <c r="AF126" s="60"/>
      <c r="AG126" s="60"/>
      <c r="AH126" s="60"/>
      <c r="AI126" s="60"/>
      <c r="AJ126" s="74" t="str">
        <f t="shared" si="30"/>
        <v>-</v>
      </c>
      <c r="AK126" s="60"/>
      <c r="AL126" s="60"/>
      <c r="AM126" s="60"/>
      <c r="AN126" s="60"/>
      <c r="AO126" s="60"/>
      <c r="AP126" s="60"/>
      <c r="AQ126" s="60"/>
      <c r="AR126" s="60"/>
      <c r="AS126" s="60"/>
      <c r="AT126" s="74" t="str">
        <f>IF(COUNTIF(AK126:AS126,"&lt;&gt;"&amp;"")=9,SUM(AK126:AS126),"-")</f>
        <v>-</v>
      </c>
      <c r="AU126" s="148" t="str">
        <f>IF(AND(ISNUMBER(AJ126),ISNUMBER(AT126)),AJ126+AT126,"-")</f>
        <v>-</v>
      </c>
      <c r="AV126" s="74" t="str">
        <f>IF(ISNUMBER(AU126),AU126-C126,"-")</f>
        <v>-</v>
      </c>
      <c r="AX126" s="59" t="str">
        <f t="shared" si="31"/>
        <v>-</v>
      </c>
      <c r="AY126" s="59" t="str">
        <f t="shared" si="32"/>
        <v>-</v>
      </c>
      <c r="AZ126" s="59" t="str">
        <f t="shared" si="33"/>
        <v>-</v>
      </c>
      <c r="BA126" s="59" t="str">
        <f t="shared" si="34"/>
        <v>-</v>
      </c>
      <c r="BB126" s="59" t="str">
        <f t="shared" si="35"/>
        <v>-</v>
      </c>
      <c r="BC126" s="59" t="str">
        <f t="shared" si="36"/>
        <v>-</v>
      </c>
      <c r="BD126" s="59" t="str">
        <f t="shared" si="37"/>
        <v>-</v>
      </c>
      <c r="BE126" s="59" t="str">
        <f t="shared" si="38"/>
        <v>-</v>
      </c>
      <c r="BF126" s="59" t="str">
        <f t="shared" si="39"/>
        <v>-</v>
      </c>
      <c r="BG126" s="59" t="str">
        <f t="shared" si="40"/>
        <v>-</v>
      </c>
      <c r="BH126" s="59" t="str">
        <f t="shared" si="41"/>
        <v>-</v>
      </c>
      <c r="BI126" s="59" t="str">
        <f t="shared" si="42"/>
        <v>-</v>
      </c>
      <c r="BJ126" s="59" t="str">
        <f t="shared" si="43"/>
        <v>-</v>
      </c>
      <c r="BK126" s="59" t="str">
        <f t="shared" si="44"/>
        <v>-</v>
      </c>
      <c r="BL126" s="59" t="str">
        <f>IF(AND(R126&gt;0,AO126&gt;0),MIN(R126,AO126),"-")</f>
        <v>-</v>
      </c>
      <c r="BM126" s="59" t="str">
        <f>IF(AND(S126&gt;0,AP126&gt;0),MIN(S126,AP126),"-")</f>
        <v>-</v>
      </c>
      <c r="BN126" s="59" t="str">
        <f>IF(AND(T126&gt;0,AQ126&gt;0),MIN(T126,AQ126),"-")</f>
        <v>-</v>
      </c>
      <c r="BO126" s="59" t="str">
        <f>IF(AND(U126&gt;0,AR126&gt;0),MIN(U126,AR126),"-")</f>
        <v>-</v>
      </c>
      <c r="BP126" s="59" t="str">
        <f>IF(AND(V126&gt;0,AS126&gt;0),MIN(V126,AS126),"-")</f>
        <v>-</v>
      </c>
      <c r="BQ126" s="59" t="str">
        <f t="shared" si="45"/>
        <v>-</v>
      </c>
      <c r="BR126" s="59" t="str">
        <f t="shared" si="46"/>
        <v>-</v>
      </c>
      <c r="BS126" s="59" t="str">
        <f t="shared" si="47"/>
        <v>-</v>
      </c>
      <c r="BT126" s="98" t="str">
        <f>IF(ISNUMBER(BS126),BS126-(C126*Rules!$P$9/100),"-")</f>
        <v>-</v>
      </c>
      <c r="BU126" s="59" t="e">
        <f>RANK($BT126,$BT$5:$BT$106,1)+COUNTIF(BT$5:BT126,BT126)-1</f>
        <v>#VALUE!</v>
      </c>
      <c r="BV126" s="59" t="e">
        <f t="shared" si="48"/>
        <v>#VALUE!</v>
      </c>
      <c r="BW126" s="59" t="str">
        <f t="shared" si="49"/>
        <v xml:space="preserve"> </v>
      </c>
      <c r="BX126" s="59">
        <f t="shared" si="50"/>
        <v>0</v>
      </c>
      <c r="BY126" s="98" t="str">
        <f t="shared" si="51"/>
        <v>-</v>
      </c>
      <c r="CD126" s="79"/>
      <c r="CE126" s="80"/>
      <c r="CF126" s="81"/>
      <c r="CL126" s="77">
        <v>1</v>
      </c>
    </row>
    <row r="127" spans="1:90" ht="17.45" customHeight="1">
      <c r="A127" s="58">
        <v>123</v>
      </c>
      <c r="B127" s="59" t="str">
        <f>'A Div'!A127 &amp; " " &amp; 'A Div'!B127</f>
        <v xml:space="preserve"> </v>
      </c>
      <c r="C127" s="59">
        <f>'A Div'!E127</f>
        <v>0</v>
      </c>
      <c r="D127" s="60"/>
      <c r="E127" s="60"/>
      <c r="F127" s="60"/>
      <c r="G127" s="60"/>
      <c r="H127" s="60"/>
      <c r="I127" s="60"/>
      <c r="J127" s="60"/>
      <c r="K127" s="60"/>
      <c r="L127" s="60"/>
      <c r="M127" s="74" t="str">
        <f t="shared" si="26"/>
        <v>-</v>
      </c>
      <c r="N127" s="60"/>
      <c r="O127" s="60"/>
      <c r="P127" s="60"/>
      <c r="Q127" s="60"/>
      <c r="R127" s="60"/>
      <c r="S127" s="60"/>
      <c r="T127" s="60"/>
      <c r="U127" s="60"/>
      <c r="V127" s="60"/>
      <c r="W127" s="74" t="str">
        <f t="shared" si="27"/>
        <v>-</v>
      </c>
      <c r="X127" s="148" t="str">
        <f t="shared" si="28"/>
        <v>-</v>
      </c>
      <c r="Y127" s="74" t="str">
        <f t="shared" si="29"/>
        <v>-</v>
      </c>
      <c r="AA127" s="60"/>
      <c r="AB127" s="60"/>
      <c r="AC127" s="60"/>
      <c r="AD127" s="60"/>
      <c r="AE127" s="60"/>
      <c r="AF127" s="60"/>
      <c r="AG127" s="60"/>
      <c r="AH127" s="60"/>
      <c r="AI127" s="60"/>
      <c r="AJ127" s="74" t="str">
        <f t="shared" si="30"/>
        <v>-</v>
      </c>
      <c r="AK127" s="60"/>
      <c r="AL127" s="60"/>
      <c r="AM127" s="60"/>
      <c r="AN127" s="60"/>
      <c r="AO127" s="60"/>
      <c r="AP127" s="60"/>
      <c r="AQ127" s="60"/>
      <c r="AR127" s="60"/>
      <c r="AS127" s="60"/>
      <c r="AT127" s="74" t="str">
        <f>IF(COUNTIF(AK127:AS127,"&lt;&gt;"&amp;"")=9,SUM(AK127:AS127),"-")</f>
        <v>-</v>
      </c>
      <c r="AU127" s="148" t="str">
        <f>IF(AND(ISNUMBER(AJ127),ISNUMBER(AT127)),AJ127+AT127,"-")</f>
        <v>-</v>
      </c>
      <c r="AV127" s="74" t="str">
        <f>IF(ISNUMBER(AU127),AU127-C127,"-")</f>
        <v>-</v>
      </c>
      <c r="AX127" s="59" t="str">
        <f t="shared" si="31"/>
        <v>-</v>
      </c>
      <c r="AY127" s="59" t="str">
        <f t="shared" si="32"/>
        <v>-</v>
      </c>
      <c r="AZ127" s="59" t="str">
        <f t="shared" si="33"/>
        <v>-</v>
      </c>
      <c r="BA127" s="59" t="str">
        <f t="shared" si="34"/>
        <v>-</v>
      </c>
      <c r="BB127" s="59" t="str">
        <f t="shared" si="35"/>
        <v>-</v>
      </c>
      <c r="BC127" s="59" t="str">
        <f t="shared" si="36"/>
        <v>-</v>
      </c>
      <c r="BD127" s="59" t="str">
        <f t="shared" si="37"/>
        <v>-</v>
      </c>
      <c r="BE127" s="59" t="str">
        <f t="shared" si="38"/>
        <v>-</v>
      </c>
      <c r="BF127" s="59" t="str">
        <f t="shared" si="39"/>
        <v>-</v>
      </c>
      <c r="BG127" s="59" t="str">
        <f t="shared" si="40"/>
        <v>-</v>
      </c>
      <c r="BH127" s="59" t="str">
        <f t="shared" si="41"/>
        <v>-</v>
      </c>
      <c r="BI127" s="59" t="str">
        <f t="shared" si="42"/>
        <v>-</v>
      </c>
      <c r="BJ127" s="59" t="str">
        <f t="shared" si="43"/>
        <v>-</v>
      </c>
      <c r="BK127" s="59" t="str">
        <f t="shared" si="44"/>
        <v>-</v>
      </c>
      <c r="BL127" s="59" t="str">
        <f>IF(AND(R127&gt;0,AO127&gt;0),MIN(R127,AO127),"-")</f>
        <v>-</v>
      </c>
      <c r="BM127" s="59" t="str">
        <f>IF(AND(S127&gt;0,AP127&gt;0),MIN(S127,AP127),"-")</f>
        <v>-</v>
      </c>
      <c r="BN127" s="59" t="str">
        <f>IF(AND(T127&gt;0,AQ127&gt;0),MIN(T127,AQ127),"-")</f>
        <v>-</v>
      </c>
      <c r="BO127" s="59" t="str">
        <f>IF(AND(U127&gt;0,AR127&gt;0),MIN(U127,AR127),"-")</f>
        <v>-</v>
      </c>
      <c r="BP127" s="59" t="str">
        <f>IF(AND(V127&gt;0,AS127&gt;0),MIN(V127,AS127),"-")</f>
        <v>-</v>
      </c>
      <c r="BQ127" s="59" t="str">
        <f t="shared" si="45"/>
        <v>-</v>
      </c>
      <c r="BR127" s="59" t="str">
        <f t="shared" si="46"/>
        <v>-</v>
      </c>
      <c r="BS127" s="59" t="str">
        <f t="shared" si="47"/>
        <v>-</v>
      </c>
      <c r="BT127" s="98" t="str">
        <f>IF(ISNUMBER(BS127),BS127-(C127*Rules!$P$9/100),"-")</f>
        <v>-</v>
      </c>
      <c r="BU127" s="59" t="e">
        <f>RANK($BT127,$BT$5:$BT$106,1)+COUNTIF(BT$5:BT127,BT127)-1</f>
        <v>#VALUE!</v>
      </c>
      <c r="BV127" s="59" t="e">
        <f t="shared" si="48"/>
        <v>#VALUE!</v>
      </c>
      <c r="BW127" s="59" t="str">
        <f t="shared" si="49"/>
        <v xml:space="preserve"> </v>
      </c>
      <c r="BX127" s="59">
        <f t="shared" si="50"/>
        <v>0</v>
      </c>
      <c r="BY127" s="98" t="str">
        <f t="shared" si="51"/>
        <v>-</v>
      </c>
      <c r="CD127" s="79"/>
      <c r="CE127" s="80"/>
      <c r="CF127" s="81"/>
      <c r="CL127" s="77">
        <v>1</v>
      </c>
    </row>
    <row r="128" spans="1:90" ht="17.45" customHeight="1">
      <c r="A128" s="58">
        <v>124</v>
      </c>
      <c r="B128" s="59" t="str">
        <f>'A Div'!A128 &amp; " " &amp; 'A Div'!B128</f>
        <v xml:space="preserve"> </v>
      </c>
      <c r="C128" s="59">
        <f>'A Div'!E128</f>
        <v>0</v>
      </c>
      <c r="D128" s="60"/>
      <c r="E128" s="60"/>
      <c r="F128" s="60"/>
      <c r="G128" s="60"/>
      <c r="H128" s="60"/>
      <c r="I128" s="60"/>
      <c r="J128" s="60"/>
      <c r="K128" s="60"/>
      <c r="L128" s="60"/>
      <c r="M128" s="74" t="str">
        <f t="shared" si="26"/>
        <v>-</v>
      </c>
      <c r="N128" s="60"/>
      <c r="O128" s="60"/>
      <c r="P128" s="60"/>
      <c r="Q128" s="60"/>
      <c r="R128" s="60"/>
      <c r="S128" s="60"/>
      <c r="T128" s="60"/>
      <c r="U128" s="60"/>
      <c r="V128" s="60"/>
      <c r="W128" s="74" t="str">
        <f t="shared" si="27"/>
        <v>-</v>
      </c>
      <c r="X128" s="148" t="str">
        <f t="shared" si="28"/>
        <v>-</v>
      </c>
      <c r="Y128" s="74" t="str">
        <f t="shared" si="29"/>
        <v>-</v>
      </c>
      <c r="AA128" s="60"/>
      <c r="AB128" s="60"/>
      <c r="AC128" s="60"/>
      <c r="AD128" s="60"/>
      <c r="AE128" s="60"/>
      <c r="AF128" s="60"/>
      <c r="AG128" s="60"/>
      <c r="AH128" s="60"/>
      <c r="AI128" s="60"/>
      <c r="AJ128" s="74" t="str">
        <f t="shared" si="30"/>
        <v>-</v>
      </c>
      <c r="AK128" s="60"/>
      <c r="AL128" s="60"/>
      <c r="AM128" s="60"/>
      <c r="AN128" s="60"/>
      <c r="AO128" s="60"/>
      <c r="AP128" s="60"/>
      <c r="AQ128" s="60"/>
      <c r="AR128" s="60"/>
      <c r="AS128" s="60"/>
      <c r="AT128" s="74" t="str">
        <f>IF(COUNTIF(AK128:AS128,"&lt;&gt;"&amp;"")=9,SUM(AK128:AS128),"-")</f>
        <v>-</v>
      </c>
      <c r="AU128" s="148" t="str">
        <f>IF(AND(ISNUMBER(AJ128),ISNUMBER(AT128)),AJ128+AT128,"-")</f>
        <v>-</v>
      </c>
      <c r="AV128" s="74" t="str">
        <f>IF(ISNUMBER(AU128),AU128-C128,"-")</f>
        <v>-</v>
      </c>
      <c r="AX128" s="59" t="str">
        <f t="shared" si="31"/>
        <v>-</v>
      </c>
      <c r="AY128" s="59" t="str">
        <f t="shared" si="32"/>
        <v>-</v>
      </c>
      <c r="AZ128" s="59" t="str">
        <f t="shared" si="33"/>
        <v>-</v>
      </c>
      <c r="BA128" s="59" t="str">
        <f t="shared" si="34"/>
        <v>-</v>
      </c>
      <c r="BB128" s="59" t="str">
        <f t="shared" si="35"/>
        <v>-</v>
      </c>
      <c r="BC128" s="59" t="str">
        <f t="shared" si="36"/>
        <v>-</v>
      </c>
      <c r="BD128" s="59" t="str">
        <f t="shared" si="37"/>
        <v>-</v>
      </c>
      <c r="BE128" s="59" t="str">
        <f t="shared" si="38"/>
        <v>-</v>
      </c>
      <c r="BF128" s="59" t="str">
        <f t="shared" si="39"/>
        <v>-</v>
      </c>
      <c r="BG128" s="59" t="str">
        <f t="shared" si="40"/>
        <v>-</v>
      </c>
      <c r="BH128" s="59" t="str">
        <f t="shared" si="41"/>
        <v>-</v>
      </c>
      <c r="BI128" s="59" t="str">
        <f t="shared" si="42"/>
        <v>-</v>
      </c>
      <c r="BJ128" s="59" t="str">
        <f t="shared" si="43"/>
        <v>-</v>
      </c>
      <c r="BK128" s="59" t="str">
        <f t="shared" si="44"/>
        <v>-</v>
      </c>
      <c r="BL128" s="59" t="str">
        <f>IF(AND(R128&gt;0,AO128&gt;0),MIN(R128,AO128),"-")</f>
        <v>-</v>
      </c>
      <c r="BM128" s="59" t="str">
        <f>IF(AND(S128&gt;0,AP128&gt;0),MIN(S128,AP128),"-")</f>
        <v>-</v>
      </c>
      <c r="BN128" s="59" t="str">
        <f>IF(AND(T128&gt;0,AQ128&gt;0),MIN(T128,AQ128),"-")</f>
        <v>-</v>
      </c>
      <c r="BO128" s="59" t="str">
        <f>IF(AND(U128&gt;0,AR128&gt;0),MIN(U128,AR128),"-")</f>
        <v>-</v>
      </c>
      <c r="BP128" s="59" t="str">
        <f>IF(AND(V128&gt;0,AS128&gt;0),MIN(V128,AS128),"-")</f>
        <v>-</v>
      </c>
      <c r="BQ128" s="59" t="str">
        <f t="shared" si="45"/>
        <v>-</v>
      </c>
      <c r="BR128" s="59" t="str">
        <f t="shared" si="46"/>
        <v>-</v>
      </c>
      <c r="BS128" s="59" t="str">
        <f t="shared" si="47"/>
        <v>-</v>
      </c>
      <c r="BT128" s="98" t="str">
        <f>IF(ISNUMBER(BS128),BS128-(C128*Rules!$P$9/100),"-")</f>
        <v>-</v>
      </c>
      <c r="BU128" s="59" t="e">
        <f>RANK($BT128,$BT$5:$BT$106,1)+COUNTIF(BT$5:BT128,BT128)-1</f>
        <v>#VALUE!</v>
      </c>
      <c r="BV128" s="59" t="e">
        <f t="shared" si="48"/>
        <v>#VALUE!</v>
      </c>
      <c r="BW128" s="59" t="str">
        <f t="shared" si="49"/>
        <v xml:space="preserve"> </v>
      </c>
      <c r="BX128" s="59">
        <f t="shared" si="50"/>
        <v>0</v>
      </c>
      <c r="BY128" s="98" t="str">
        <f t="shared" si="51"/>
        <v>-</v>
      </c>
      <c r="CD128" s="79"/>
      <c r="CE128" s="80"/>
      <c r="CF128" s="81"/>
      <c r="CL128" s="77">
        <v>1</v>
      </c>
    </row>
    <row r="129" spans="1:90" ht="17.45" customHeight="1">
      <c r="A129" s="58">
        <v>125</v>
      </c>
      <c r="B129" s="59" t="str">
        <f>'A Div'!A129 &amp; " " &amp; 'A Div'!B129</f>
        <v xml:space="preserve"> </v>
      </c>
      <c r="C129" s="59">
        <f>'A Div'!E129</f>
        <v>0</v>
      </c>
      <c r="D129" s="60"/>
      <c r="E129" s="60"/>
      <c r="F129" s="60"/>
      <c r="G129" s="60"/>
      <c r="H129" s="60"/>
      <c r="I129" s="60"/>
      <c r="J129" s="60"/>
      <c r="K129" s="60"/>
      <c r="L129" s="60"/>
      <c r="M129" s="74" t="str">
        <f t="shared" si="26"/>
        <v>-</v>
      </c>
      <c r="N129" s="60"/>
      <c r="O129" s="60"/>
      <c r="P129" s="60"/>
      <c r="Q129" s="60"/>
      <c r="R129" s="60"/>
      <c r="S129" s="60"/>
      <c r="T129" s="60"/>
      <c r="U129" s="60"/>
      <c r="V129" s="60"/>
      <c r="W129" s="74" t="str">
        <f t="shared" si="27"/>
        <v>-</v>
      </c>
      <c r="X129" s="148" t="str">
        <f t="shared" si="28"/>
        <v>-</v>
      </c>
      <c r="Y129" s="74" t="str">
        <f t="shared" si="29"/>
        <v>-</v>
      </c>
      <c r="AA129" s="60"/>
      <c r="AB129" s="60"/>
      <c r="AC129" s="60"/>
      <c r="AD129" s="60"/>
      <c r="AE129" s="60"/>
      <c r="AF129" s="60"/>
      <c r="AG129" s="60"/>
      <c r="AH129" s="60"/>
      <c r="AI129" s="60"/>
      <c r="AJ129" s="74" t="str">
        <f t="shared" si="30"/>
        <v>-</v>
      </c>
      <c r="AK129" s="60"/>
      <c r="AL129" s="60"/>
      <c r="AM129" s="60"/>
      <c r="AN129" s="60"/>
      <c r="AO129" s="60"/>
      <c r="AP129" s="60"/>
      <c r="AQ129" s="60"/>
      <c r="AR129" s="60"/>
      <c r="AS129" s="60"/>
      <c r="AT129" s="74" t="str">
        <f>IF(COUNTIF(AK129:AS129,"&lt;&gt;"&amp;"")=9,SUM(AK129:AS129),"-")</f>
        <v>-</v>
      </c>
      <c r="AU129" s="148" t="str">
        <f>IF(AND(ISNUMBER(AJ129),ISNUMBER(AT129)),AJ129+AT129,"-")</f>
        <v>-</v>
      </c>
      <c r="AV129" s="74" t="str">
        <f>IF(ISNUMBER(AU129),AU129-C129,"-")</f>
        <v>-</v>
      </c>
      <c r="AX129" s="59" t="str">
        <f t="shared" si="31"/>
        <v>-</v>
      </c>
      <c r="AY129" s="59" t="str">
        <f t="shared" si="32"/>
        <v>-</v>
      </c>
      <c r="AZ129" s="59" t="str">
        <f t="shared" si="33"/>
        <v>-</v>
      </c>
      <c r="BA129" s="59" t="str">
        <f t="shared" si="34"/>
        <v>-</v>
      </c>
      <c r="BB129" s="59" t="str">
        <f t="shared" si="35"/>
        <v>-</v>
      </c>
      <c r="BC129" s="59" t="str">
        <f t="shared" si="36"/>
        <v>-</v>
      </c>
      <c r="BD129" s="59" t="str">
        <f t="shared" si="37"/>
        <v>-</v>
      </c>
      <c r="BE129" s="59" t="str">
        <f t="shared" si="38"/>
        <v>-</v>
      </c>
      <c r="BF129" s="59" t="str">
        <f t="shared" si="39"/>
        <v>-</v>
      </c>
      <c r="BG129" s="59" t="str">
        <f t="shared" si="40"/>
        <v>-</v>
      </c>
      <c r="BH129" s="59" t="str">
        <f t="shared" si="41"/>
        <v>-</v>
      </c>
      <c r="BI129" s="59" t="str">
        <f t="shared" si="42"/>
        <v>-</v>
      </c>
      <c r="BJ129" s="59" t="str">
        <f t="shared" si="43"/>
        <v>-</v>
      </c>
      <c r="BK129" s="59" t="str">
        <f t="shared" si="44"/>
        <v>-</v>
      </c>
      <c r="BL129" s="59" t="str">
        <f>IF(AND(R129&gt;0,AO129&gt;0),MIN(R129,AO129),"-")</f>
        <v>-</v>
      </c>
      <c r="BM129" s="59" t="str">
        <f>IF(AND(S129&gt;0,AP129&gt;0),MIN(S129,AP129),"-")</f>
        <v>-</v>
      </c>
      <c r="BN129" s="59" t="str">
        <f>IF(AND(T129&gt;0,AQ129&gt;0),MIN(T129,AQ129),"-")</f>
        <v>-</v>
      </c>
      <c r="BO129" s="59" t="str">
        <f>IF(AND(U129&gt;0,AR129&gt;0),MIN(U129,AR129),"-")</f>
        <v>-</v>
      </c>
      <c r="BP129" s="59" t="str">
        <f>IF(AND(V129&gt;0,AS129&gt;0),MIN(V129,AS129),"-")</f>
        <v>-</v>
      </c>
      <c r="BQ129" s="59" t="str">
        <f t="shared" si="45"/>
        <v>-</v>
      </c>
      <c r="BR129" s="59" t="str">
        <f t="shared" si="46"/>
        <v>-</v>
      </c>
      <c r="BS129" s="59" t="str">
        <f t="shared" si="47"/>
        <v>-</v>
      </c>
      <c r="BT129" s="98" t="str">
        <f>IF(ISNUMBER(BS129),BS129-(C129*Rules!$P$9/100),"-")</f>
        <v>-</v>
      </c>
      <c r="BU129" s="59" t="e">
        <f>RANK($BT129,$BT$5:$BT$106,1)+COUNTIF(BT$5:BT129,BT129)-1</f>
        <v>#VALUE!</v>
      </c>
      <c r="BV129" s="59" t="e">
        <f t="shared" si="48"/>
        <v>#VALUE!</v>
      </c>
      <c r="BW129" s="59" t="str">
        <f t="shared" si="49"/>
        <v xml:space="preserve"> </v>
      </c>
      <c r="BX129" s="59">
        <f t="shared" si="50"/>
        <v>0</v>
      </c>
      <c r="BY129" s="98" t="str">
        <f t="shared" si="51"/>
        <v>-</v>
      </c>
      <c r="CD129" s="79"/>
      <c r="CE129" s="80"/>
      <c r="CF129" s="81"/>
      <c r="CL129" s="77">
        <v>1</v>
      </c>
    </row>
    <row r="130" spans="1:90" ht="17.45" customHeight="1">
      <c r="A130" s="58">
        <v>126</v>
      </c>
      <c r="B130" s="59" t="str">
        <f>'A Div'!A130 &amp; " " &amp; 'A Div'!B130</f>
        <v xml:space="preserve"> </v>
      </c>
      <c r="C130" s="59">
        <f>'A Div'!E130</f>
        <v>0</v>
      </c>
      <c r="D130" s="60"/>
      <c r="E130" s="60"/>
      <c r="F130" s="60"/>
      <c r="G130" s="60"/>
      <c r="H130" s="60"/>
      <c r="I130" s="60"/>
      <c r="J130" s="60"/>
      <c r="K130" s="60"/>
      <c r="L130" s="60"/>
      <c r="M130" s="74" t="str">
        <f t="shared" si="26"/>
        <v>-</v>
      </c>
      <c r="N130" s="60"/>
      <c r="O130" s="60"/>
      <c r="P130" s="60"/>
      <c r="Q130" s="60"/>
      <c r="R130" s="60"/>
      <c r="S130" s="60"/>
      <c r="T130" s="60"/>
      <c r="U130" s="60"/>
      <c r="V130" s="60"/>
      <c r="W130" s="74" t="str">
        <f t="shared" si="27"/>
        <v>-</v>
      </c>
      <c r="X130" s="148" t="str">
        <f t="shared" si="28"/>
        <v>-</v>
      </c>
      <c r="Y130" s="74" t="str">
        <f t="shared" si="29"/>
        <v>-</v>
      </c>
      <c r="AA130" s="60"/>
      <c r="AB130" s="60"/>
      <c r="AC130" s="60"/>
      <c r="AD130" s="60"/>
      <c r="AE130" s="60"/>
      <c r="AF130" s="60"/>
      <c r="AG130" s="60"/>
      <c r="AH130" s="60"/>
      <c r="AI130" s="60"/>
      <c r="AJ130" s="74" t="str">
        <f t="shared" si="30"/>
        <v>-</v>
      </c>
      <c r="AK130" s="60"/>
      <c r="AL130" s="60"/>
      <c r="AM130" s="60"/>
      <c r="AN130" s="60"/>
      <c r="AO130" s="60"/>
      <c r="AP130" s="60"/>
      <c r="AQ130" s="60"/>
      <c r="AR130" s="60"/>
      <c r="AS130" s="60"/>
      <c r="AT130" s="74" t="str">
        <f>IF(COUNTIF(AK130:AS130,"&lt;&gt;"&amp;"")=9,SUM(AK130:AS130),"-")</f>
        <v>-</v>
      </c>
      <c r="AU130" s="148" t="str">
        <f>IF(AND(ISNUMBER(AJ130),ISNUMBER(AT130)),AJ130+AT130,"-")</f>
        <v>-</v>
      </c>
      <c r="AV130" s="74" t="str">
        <f>IF(ISNUMBER(AU130),AU130-C130,"-")</f>
        <v>-</v>
      </c>
      <c r="AX130" s="59" t="str">
        <f t="shared" si="31"/>
        <v>-</v>
      </c>
      <c r="AY130" s="59" t="str">
        <f t="shared" si="32"/>
        <v>-</v>
      </c>
      <c r="AZ130" s="59" t="str">
        <f t="shared" si="33"/>
        <v>-</v>
      </c>
      <c r="BA130" s="59" t="str">
        <f t="shared" si="34"/>
        <v>-</v>
      </c>
      <c r="BB130" s="59" t="str">
        <f t="shared" si="35"/>
        <v>-</v>
      </c>
      <c r="BC130" s="59" t="str">
        <f t="shared" si="36"/>
        <v>-</v>
      </c>
      <c r="BD130" s="59" t="str">
        <f t="shared" si="37"/>
        <v>-</v>
      </c>
      <c r="BE130" s="59" t="str">
        <f t="shared" si="38"/>
        <v>-</v>
      </c>
      <c r="BF130" s="59" t="str">
        <f t="shared" si="39"/>
        <v>-</v>
      </c>
      <c r="BG130" s="59" t="str">
        <f t="shared" si="40"/>
        <v>-</v>
      </c>
      <c r="BH130" s="59" t="str">
        <f t="shared" si="41"/>
        <v>-</v>
      </c>
      <c r="BI130" s="59" t="str">
        <f t="shared" si="42"/>
        <v>-</v>
      </c>
      <c r="BJ130" s="59" t="str">
        <f t="shared" si="43"/>
        <v>-</v>
      </c>
      <c r="BK130" s="59" t="str">
        <f t="shared" si="44"/>
        <v>-</v>
      </c>
      <c r="BL130" s="59" t="str">
        <f>IF(AND(R130&gt;0,AO130&gt;0),MIN(R130,AO130),"-")</f>
        <v>-</v>
      </c>
      <c r="BM130" s="59" t="str">
        <f>IF(AND(S130&gt;0,AP130&gt;0),MIN(S130,AP130),"-")</f>
        <v>-</v>
      </c>
      <c r="BN130" s="59" t="str">
        <f>IF(AND(T130&gt;0,AQ130&gt;0),MIN(T130,AQ130),"-")</f>
        <v>-</v>
      </c>
      <c r="BO130" s="59" t="str">
        <f>IF(AND(U130&gt;0,AR130&gt;0),MIN(U130,AR130),"-")</f>
        <v>-</v>
      </c>
      <c r="BP130" s="59" t="str">
        <f>IF(AND(V130&gt;0,AS130&gt;0),MIN(V130,AS130),"-")</f>
        <v>-</v>
      </c>
      <c r="BQ130" s="59" t="str">
        <f t="shared" si="45"/>
        <v>-</v>
      </c>
      <c r="BR130" s="59" t="str">
        <f t="shared" si="46"/>
        <v>-</v>
      </c>
      <c r="BS130" s="59" t="str">
        <f t="shared" si="47"/>
        <v>-</v>
      </c>
      <c r="BT130" s="98" t="str">
        <f>IF(ISNUMBER(BS130),BS130-(C130*Rules!$P$9/100),"-")</f>
        <v>-</v>
      </c>
      <c r="BU130" s="59" t="e">
        <f>RANK($BT130,$BT$5:$BT$106,1)+COUNTIF(BT$5:BT130,BT130)-1</f>
        <v>#VALUE!</v>
      </c>
      <c r="BV130" s="59" t="e">
        <f t="shared" si="48"/>
        <v>#VALUE!</v>
      </c>
      <c r="BW130" s="59" t="str">
        <f t="shared" si="49"/>
        <v xml:space="preserve"> </v>
      </c>
      <c r="BX130" s="59">
        <f t="shared" si="50"/>
        <v>0</v>
      </c>
      <c r="BY130" s="98" t="str">
        <f t="shared" si="51"/>
        <v>-</v>
      </c>
      <c r="CD130" s="79"/>
      <c r="CE130" s="80"/>
      <c r="CF130" s="81"/>
      <c r="CL130" s="77">
        <v>1</v>
      </c>
    </row>
    <row r="131" spans="1:90" ht="17.45" customHeight="1">
      <c r="A131" s="58">
        <v>127</v>
      </c>
      <c r="B131" s="59" t="str">
        <f>'A Div'!A131 &amp; " " &amp; 'A Div'!B131</f>
        <v xml:space="preserve"> </v>
      </c>
      <c r="C131" s="59">
        <f>'A Div'!E131</f>
        <v>0</v>
      </c>
      <c r="D131" s="60"/>
      <c r="E131" s="60"/>
      <c r="F131" s="60"/>
      <c r="G131" s="60"/>
      <c r="H131" s="60"/>
      <c r="I131" s="60"/>
      <c r="J131" s="60"/>
      <c r="K131" s="60"/>
      <c r="L131" s="60"/>
      <c r="M131" s="74" t="str">
        <f t="shared" si="26"/>
        <v>-</v>
      </c>
      <c r="N131" s="60"/>
      <c r="O131" s="60"/>
      <c r="P131" s="60"/>
      <c r="Q131" s="60"/>
      <c r="R131" s="60"/>
      <c r="S131" s="60"/>
      <c r="T131" s="60"/>
      <c r="U131" s="60"/>
      <c r="V131" s="60"/>
      <c r="W131" s="74" t="str">
        <f t="shared" si="27"/>
        <v>-</v>
      </c>
      <c r="X131" s="148" t="str">
        <f t="shared" si="28"/>
        <v>-</v>
      </c>
      <c r="Y131" s="74" t="str">
        <f t="shared" si="29"/>
        <v>-</v>
      </c>
      <c r="AA131" s="60"/>
      <c r="AB131" s="60"/>
      <c r="AC131" s="60"/>
      <c r="AD131" s="60"/>
      <c r="AE131" s="60"/>
      <c r="AF131" s="60"/>
      <c r="AG131" s="60"/>
      <c r="AH131" s="60"/>
      <c r="AI131" s="60"/>
      <c r="AJ131" s="74" t="str">
        <f t="shared" si="30"/>
        <v>-</v>
      </c>
      <c r="AK131" s="60"/>
      <c r="AL131" s="60"/>
      <c r="AM131" s="60"/>
      <c r="AN131" s="60"/>
      <c r="AO131" s="60"/>
      <c r="AP131" s="60"/>
      <c r="AQ131" s="60"/>
      <c r="AR131" s="60"/>
      <c r="AS131" s="60"/>
      <c r="AT131" s="74" t="str">
        <f>IF(COUNTIF(AK131:AS131,"&lt;&gt;"&amp;"")=9,SUM(AK131:AS131),"-")</f>
        <v>-</v>
      </c>
      <c r="AU131" s="148" t="str">
        <f>IF(AND(ISNUMBER(AJ131),ISNUMBER(AT131)),AJ131+AT131,"-")</f>
        <v>-</v>
      </c>
      <c r="AV131" s="74" t="str">
        <f>IF(ISNUMBER(AU131),AU131-C131,"-")</f>
        <v>-</v>
      </c>
      <c r="AX131" s="59" t="str">
        <f t="shared" si="31"/>
        <v>-</v>
      </c>
      <c r="AY131" s="59" t="str">
        <f t="shared" si="32"/>
        <v>-</v>
      </c>
      <c r="AZ131" s="59" t="str">
        <f t="shared" si="33"/>
        <v>-</v>
      </c>
      <c r="BA131" s="59" t="str">
        <f t="shared" si="34"/>
        <v>-</v>
      </c>
      <c r="BB131" s="59" t="str">
        <f t="shared" si="35"/>
        <v>-</v>
      </c>
      <c r="BC131" s="59" t="str">
        <f t="shared" si="36"/>
        <v>-</v>
      </c>
      <c r="BD131" s="59" t="str">
        <f t="shared" si="37"/>
        <v>-</v>
      </c>
      <c r="BE131" s="59" t="str">
        <f t="shared" si="38"/>
        <v>-</v>
      </c>
      <c r="BF131" s="59" t="str">
        <f t="shared" si="39"/>
        <v>-</v>
      </c>
      <c r="BG131" s="59" t="str">
        <f t="shared" si="40"/>
        <v>-</v>
      </c>
      <c r="BH131" s="59" t="str">
        <f t="shared" si="41"/>
        <v>-</v>
      </c>
      <c r="BI131" s="59" t="str">
        <f t="shared" si="42"/>
        <v>-</v>
      </c>
      <c r="BJ131" s="59" t="str">
        <f t="shared" si="43"/>
        <v>-</v>
      </c>
      <c r="BK131" s="59" t="str">
        <f t="shared" si="44"/>
        <v>-</v>
      </c>
      <c r="BL131" s="59" t="str">
        <f>IF(AND(R131&gt;0,AO131&gt;0),MIN(R131,AO131),"-")</f>
        <v>-</v>
      </c>
      <c r="BM131" s="59" t="str">
        <f>IF(AND(S131&gt;0,AP131&gt;0),MIN(S131,AP131),"-")</f>
        <v>-</v>
      </c>
      <c r="BN131" s="59" t="str">
        <f>IF(AND(T131&gt;0,AQ131&gt;0),MIN(T131,AQ131),"-")</f>
        <v>-</v>
      </c>
      <c r="BO131" s="59" t="str">
        <f>IF(AND(U131&gt;0,AR131&gt;0),MIN(U131,AR131),"-")</f>
        <v>-</v>
      </c>
      <c r="BP131" s="59" t="str">
        <f>IF(AND(V131&gt;0,AS131&gt;0),MIN(V131,AS131),"-")</f>
        <v>-</v>
      </c>
      <c r="BQ131" s="59" t="str">
        <f t="shared" si="45"/>
        <v>-</v>
      </c>
      <c r="BR131" s="59" t="str">
        <f t="shared" si="46"/>
        <v>-</v>
      </c>
      <c r="BS131" s="59" t="str">
        <f t="shared" si="47"/>
        <v>-</v>
      </c>
      <c r="BT131" s="98" t="str">
        <f>IF(ISNUMBER(BS131),BS131-(C131*Rules!$P$9/100),"-")</f>
        <v>-</v>
      </c>
      <c r="BU131" s="59" t="e">
        <f>RANK($BT131,$BT$5:$BT$106,1)+COUNTIF(BT$5:BT131,BT131)-1</f>
        <v>#VALUE!</v>
      </c>
      <c r="BV131" s="59" t="e">
        <f t="shared" si="48"/>
        <v>#VALUE!</v>
      </c>
      <c r="BW131" s="59" t="str">
        <f t="shared" si="49"/>
        <v xml:space="preserve"> </v>
      </c>
      <c r="BX131" s="59">
        <f t="shared" si="50"/>
        <v>0</v>
      </c>
      <c r="BY131" s="98" t="str">
        <f t="shared" si="51"/>
        <v>-</v>
      </c>
      <c r="CD131" s="79"/>
      <c r="CE131" s="80"/>
      <c r="CF131" s="81"/>
      <c r="CL131" s="77">
        <v>1</v>
      </c>
    </row>
    <row r="132" spans="1:90" ht="17.45" customHeight="1">
      <c r="A132" s="58">
        <v>128</v>
      </c>
      <c r="B132" s="59" t="str">
        <f>'A Div'!A132 &amp; " " &amp; 'A Div'!B132</f>
        <v xml:space="preserve"> </v>
      </c>
      <c r="C132" s="59">
        <f>'A Div'!E132</f>
        <v>0</v>
      </c>
      <c r="D132" s="60"/>
      <c r="E132" s="60"/>
      <c r="F132" s="60"/>
      <c r="G132" s="60"/>
      <c r="H132" s="60"/>
      <c r="I132" s="60"/>
      <c r="J132" s="60"/>
      <c r="K132" s="60"/>
      <c r="L132" s="60"/>
      <c r="M132" s="74" t="str">
        <f t="shared" si="26"/>
        <v>-</v>
      </c>
      <c r="N132" s="60"/>
      <c r="O132" s="60"/>
      <c r="P132" s="60"/>
      <c r="Q132" s="60"/>
      <c r="R132" s="60"/>
      <c r="S132" s="60"/>
      <c r="T132" s="60"/>
      <c r="U132" s="60"/>
      <c r="V132" s="60"/>
      <c r="W132" s="74" t="str">
        <f t="shared" si="27"/>
        <v>-</v>
      </c>
      <c r="X132" s="148" t="str">
        <f t="shared" si="28"/>
        <v>-</v>
      </c>
      <c r="Y132" s="74" t="str">
        <f t="shared" si="29"/>
        <v>-</v>
      </c>
      <c r="AA132" s="60"/>
      <c r="AB132" s="60"/>
      <c r="AC132" s="60"/>
      <c r="AD132" s="60"/>
      <c r="AE132" s="60"/>
      <c r="AF132" s="60"/>
      <c r="AG132" s="60"/>
      <c r="AH132" s="60"/>
      <c r="AI132" s="60"/>
      <c r="AJ132" s="74" t="str">
        <f t="shared" si="30"/>
        <v>-</v>
      </c>
      <c r="AK132" s="60"/>
      <c r="AL132" s="60"/>
      <c r="AM132" s="60"/>
      <c r="AN132" s="60"/>
      <c r="AO132" s="60"/>
      <c r="AP132" s="60"/>
      <c r="AQ132" s="60"/>
      <c r="AR132" s="60"/>
      <c r="AS132" s="60"/>
      <c r="AT132" s="74" t="str">
        <f>IF(COUNTIF(AK132:AS132,"&lt;&gt;"&amp;"")=9,SUM(AK132:AS132),"-")</f>
        <v>-</v>
      </c>
      <c r="AU132" s="148" t="str">
        <f>IF(AND(ISNUMBER(AJ132),ISNUMBER(AT132)),AJ132+AT132,"-")</f>
        <v>-</v>
      </c>
      <c r="AV132" s="74" t="str">
        <f>IF(ISNUMBER(AU132),AU132-C132,"-")</f>
        <v>-</v>
      </c>
      <c r="AX132" s="59" t="str">
        <f t="shared" si="31"/>
        <v>-</v>
      </c>
      <c r="AY132" s="59" t="str">
        <f t="shared" si="32"/>
        <v>-</v>
      </c>
      <c r="AZ132" s="59" t="str">
        <f t="shared" si="33"/>
        <v>-</v>
      </c>
      <c r="BA132" s="59" t="str">
        <f t="shared" si="34"/>
        <v>-</v>
      </c>
      <c r="BB132" s="59" t="str">
        <f t="shared" si="35"/>
        <v>-</v>
      </c>
      <c r="BC132" s="59" t="str">
        <f t="shared" si="36"/>
        <v>-</v>
      </c>
      <c r="BD132" s="59" t="str">
        <f t="shared" si="37"/>
        <v>-</v>
      </c>
      <c r="BE132" s="59" t="str">
        <f t="shared" si="38"/>
        <v>-</v>
      </c>
      <c r="BF132" s="59" t="str">
        <f t="shared" si="39"/>
        <v>-</v>
      </c>
      <c r="BG132" s="59" t="str">
        <f t="shared" si="40"/>
        <v>-</v>
      </c>
      <c r="BH132" s="59" t="str">
        <f t="shared" si="41"/>
        <v>-</v>
      </c>
      <c r="BI132" s="59" t="str">
        <f t="shared" si="42"/>
        <v>-</v>
      </c>
      <c r="BJ132" s="59" t="str">
        <f t="shared" si="43"/>
        <v>-</v>
      </c>
      <c r="BK132" s="59" t="str">
        <f t="shared" si="44"/>
        <v>-</v>
      </c>
      <c r="BL132" s="59" t="str">
        <f>IF(AND(R132&gt;0,AO132&gt;0),MIN(R132,AO132),"-")</f>
        <v>-</v>
      </c>
      <c r="BM132" s="59" t="str">
        <f>IF(AND(S132&gt;0,AP132&gt;0),MIN(S132,AP132),"-")</f>
        <v>-</v>
      </c>
      <c r="BN132" s="59" t="str">
        <f>IF(AND(T132&gt;0,AQ132&gt;0),MIN(T132,AQ132),"-")</f>
        <v>-</v>
      </c>
      <c r="BO132" s="59" t="str">
        <f>IF(AND(U132&gt;0,AR132&gt;0),MIN(U132,AR132),"-")</f>
        <v>-</v>
      </c>
      <c r="BP132" s="59" t="str">
        <f>IF(AND(V132&gt;0,AS132&gt;0),MIN(V132,AS132),"-")</f>
        <v>-</v>
      </c>
      <c r="BQ132" s="59" t="str">
        <f t="shared" si="45"/>
        <v>-</v>
      </c>
      <c r="BR132" s="59" t="str">
        <f t="shared" si="46"/>
        <v>-</v>
      </c>
      <c r="BS132" s="59" t="str">
        <f t="shared" si="47"/>
        <v>-</v>
      </c>
      <c r="BT132" s="98" t="str">
        <f>IF(ISNUMBER(BS132),BS132-(C132*Rules!$P$9/100),"-")</f>
        <v>-</v>
      </c>
      <c r="BU132" s="59" t="e">
        <f>RANK($BT132,$BT$5:$BT$106,1)+COUNTIF(BT$5:BT132,BT132)-1</f>
        <v>#VALUE!</v>
      </c>
      <c r="BV132" s="59" t="e">
        <f t="shared" si="48"/>
        <v>#VALUE!</v>
      </c>
      <c r="BW132" s="59" t="str">
        <f t="shared" si="49"/>
        <v xml:space="preserve"> </v>
      </c>
      <c r="BX132" s="59">
        <f t="shared" si="50"/>
        <v>0</v>
      </c>
      <c r="BY132" s="98" t="str">
        <f t="shared" si="51"/>
        <v>-</v>
      </c>
      <c r="CD132" s="79"/>
      <c r="CE132" s="80"/>
      <c r="CF132" s="81"/>
      <c r="CL132" s="77">
        <v>1</v>
      </c>
    </row>
    <row r="133" spans="1:90" ht="17.45" customHeight="1">
      <c r="A133" s="58">
        <v>129</v>
      </c>
      <c r="B133" s="59" t="str">
        <f>'A Div'!A133 &amp; " " &amp; 'A Div'!B133</f>
        <v xml:space="preserve"> </v>
      </c>
      <c r="C133" s="59">
        <f>'A Div'!E133</f>
        <v>0</v>
      </c>
      <c r="D133" s="60"/>
      <c r="E133" s="60"/>
      <c r="F133" s="60"/>
      <c r="G133" s="60"/>
      <c r="H133" s="60"/>
      <c r="I133" s="60"/>
      <c r="J133" s="60"/>
      <c r="K133" s="60"/>
      <c r="L133" s="60"/>
      <c r="M133" s="74" t="str">
        <f t="shared" si="26"/>
        <v>-</v>
      </c>
      <c r="N133" s="60"/>
      <c r="O133" s="60"/>
      <c r="P133" s="60"/>
      <c r="Q133" s="60"/>
      <c r="R133" s="60"/>
      <c r="S133" s="60"/>
      <c r="T133" s="60"/>
      <c r="U133" s="60"/>
      <c r="V133" s="60"/>
      <c r="W133" s="74" t="str">
        <f t="shared" si="27"/>
        <v>-</v>
      </c>
      <c r="X133" s="148" t="str">
        <f t="shared" si="28"/>
        <v>-</v>
      </c>
      <c r="Y133" s="74" t="str">
        <f t="shared" si="29"/>
        <v>-</v>
      </c>
      <c r="AA133" s="60"/>
      <c r="AB133" s="60"/>
      <c r="AC133" s="60"/>
      <c r="AD133" s="60"/>
      <c r="AE133" s="60"/>
      <c r="AF133" s="60"/>
      <c r="AG133" s="60"/>
      <c r="AH133" s="60"/>
      <c r="AI133" s="60"/>
      <c r="AJ133" s="74" t="str">
        <f t="shared" si="30"/>
        <v>-</v>
      </c>
      <c r="AK133" s="60"/>
      <c r="AL133" s="60"/>
      <c r="AM133" s="60"/>
      <c r="AN133" s="60"/>
      <c r="AO133" s="60"/>
      <c r="AP133" s="60"/>
      <c r="AQ133" s="60"/>
      <c r="AR133" s="60"/>
      <c r="AS133" s="60"/>
      <c r="AT133" s="74" t="str">
        <f>IF(COUNTIF(AK133:AS133,"&lt;&gt;"&amp;"")=9,SUM(AK133:AS133),"-")</f>
        <v>-</v>
      </c>
      <c r="AU133" s="148" t="str">
        <f>IF(AND(ISNUMBER(AJ133),ISNUMBER(AT133)),AJ133+AT133,"-")</f>
        <v>-</v>
      </c>
      <c r="AV133" s="74" t="str">
        <f>IF(ISNUMBER(AU133),AU133-C133,"-")</f>
        <v>-</v>
      </c>
      <c r="AX133" s="59" t="str">
        <f t="shared" si="31"/>
        <v>-</v>
      </c>
      <c r="AY133" s="59" t="str">
        <f t="shared" si="32"/>
        <v>-</v>
      </c>
      <c r="AZ133" s="59" t="str">
        <f t="shared" si="33"/>
        <v>-</v>
      </c>
      <c r="BA133" s="59" t="str">
        <f t="shared" si="34"/>
        <v>-</v>
      </c>
      <c r="BB133" s="59" t="str">
        <f t="shared" si="35"/>
        <v>-</v>
      </c>
      <c r="BC133" s="59" t="str">
        <f t="shared" si="36"/>
        <v>-</v>
      </c>
      <c r="BD133" s="59" t="str">
        <f t="shared" si="37"/>
        <v>-</v>
      </c>
      <c r="BE133" s="59" t="str">
        <f t="shared" si="38"/>
        <v>-</v>
      </c>
      <c r="BF133" s="59" t="str">
        <f t="shared" si="39"/>
        <v>-</v>
      </c>
      <c r="BG133" s="59" t="str">
        <f t="shared" si="40"/>
        <v>-</v>
      </c>
      <c r="BH133" s="59" t="str">
        <f t="shared" si="41"/>
        <v>-</v>
      </c>
      <c r="BI133" s="59" t="str">
        <f t="shared" si="42"/>
        <v>-</v>
      </c>
      <c r="BJ133" s="59" t="str">
        <f t="shared" si="43"/>
        <v>-</v>
      </c>
      <c r="BK133" s="59" t="str">
        <f t="shared" si="44"/>
        <v>-</v>
      </c>
      <c r="BL133" s="59" t="str">
        <f>IF(AND(R133&gt;0,AO133&gt;0),MIN(R133,AO133),"-")</f>
        <v>-</v>
      </c>
      <c r="BM133" s="59" t="str">
        <f>IF(AND(S133&gt;0,AP133&gt;0),MIN(S133,AP133),"-")</f>
        <v>-</v>
      </c>
      <c r="BN133" s="59" t="str">
        <f>IF(AND(T133&gt;0,AQ133&gt;0),MIN(T133,AQ133),"-")</f>
        <v>-</v>
      </c>
      <c r="BO133" s="59" t="str">
        <f>IF(AND(U133&gt;0,AR133&gt;0),MIN(U133,AR133),"-")</f>
        <v>-</v>
      </c>
      <c r="BP133" s="59" t="str">
        <f>IF(AND(V133&gt;0,AS133&gt;0),MIN(V133,AS133),"-")</f>
        <v>-</v>
      </c>
      <c r="BQ133" s="59" t="str">
        <f t="shared" si="45"/>
        <v>-</v>
      </c>
      <c r="BR133" s="59" t="str">
        <f t="shared" si="46"/>
        <v>-</v>
      </c>
      <c r="BS133" s="59" t="str">
        <f t="shared" si="47"/>
        <v>-</v>
      </c>
      <c r="BT133" s="98" t="str">
        <f>IF(ISNUMBER(BS133),BS133-(C133*Rules!$P$9/100),"-")</f>
        <v>-</v>
      </c>
      <c r="BU133" s="59" t="e">
        <f>RANK($BT133,$BT$5:$BT$106,1)+COUNTIF(BT$5:BT133,BT133)-1</f>
        <v>#VALUE!</v>
      </c>
      <c r="BV133" s="59" t="e">
        <f t="shared" si="48"/>
        <v>#VALUE!</v>
      </c>
      <c r="BW133" s="59" t="str">
        <f t="shared" si="49"/>
        <v xml:space="preserve"> </v>
      </c>
      <c r="BX133" s="59">
        <f t="shared" si="50"/>
        <v>0</v>
      </c>
      <c r="BY133" s="98" t="str">
        <f t="shared" si="51"/>
        <v>-</v>
      </c>
      <c r="CD133" s="79"/>
      <c r="CE133" s="80"/>
      <c r="CF133" s="81"/>
      <c r="CL133" s="77">
        <v>1</v>
      </c>
    </row>
    <row r="134" spans="1:90" ht="17.45" customHeight="1">
      <c r="A134" s="58">
        <v>130</v>
      </c>
      <c r="B134" s="59" t="str">
        <f>'A Div'!A134 &amp; " " &amp; 'A Div'!B134</f>
        <v xml:space="preserve"> </v>
      </c>
      <c r="C134" s="59">
        <f>'A Div'!E134</f>
        <v>0</v>
      </c>
      <c r="D134" s="60"/>
      <c r="E134" s="60"/>
      <c r="F134" s="60"/>
      <c r="G134" s="60"/>
      <c r="H134" s="60"/>
      <c r="I134" s="60"/>
      <c r="J134" s="60"/>
      <c r="K134" s="60"/>
      <c r="L134" s="60"/>
      <c r="M134" s="74" t="str">
        <f t="shared" ref="M134:M197" si="52">IF(COUNTIF(D134:L134,"&lt;&gt;"&amp;"")=9,SUM(D134:L134),"-")</f>
        <v>-</v>
      </c>
      <c r="N134" s="60"/>
      <c r="O134" s="60"/>
      <c r="P134" s="60"/>
      <c r="Q134" s="60"/>
      <c r="R134" s="60"/>
      <c r="S134" s="60"/>
      <c r="T134" s="60"/>
      <c r="U134" s="60"/>
      <c r="V134" s="60"/>
      <c r="W134" s="74" t="str">
        <f t="shared" ref="W134:W197" si="53">IF(COUNTIF(N134:V134,"&lt;&gt;"&amp;"")=9,SUM(N134:V134),"-")</f>
        <v>-</v>
      </c>
      <c r="X134" s="148" t="str">
        <f t="shared" ref="X134:X197" si="54">IF(AND(ISNUMBER(M134),ISNUMBER(W134)),M134+W134,"-")</f>
        <v>-</v>
      </c>
      <c r="Y134" s="74" t="str">
        <f t="shared" ref="Y134:Y197" si="55">IF(ISNUMBER(X134),X134-C134,"-")</f>
        <v>-</v>
      </c>
      <c r="AA134" s="60"/>
      <c r="AB134" s="60"/>
      <c r="AC134" s="60"/>
      <c r="AD134" s="60"/>
      <c r="AE134" s="60"/>
      <c r="AF134" s="60"/>
      <c r="AG134" s="60"/>
      <c r="AH134" s="60"/>
      <c r="AI134" s="60"/>
      <c r="AJ134" s="74" t="str">
        <f t="shared" ref="AJ134:AJ197" si="56">IF(COUNTIF(AA134:AI134,"&lt;&gt;"&amp;"")=9,SUM(AA134:AI134),"-")</f>
        <v>-</v>
      </c>
      <c r="AK134" s="60"/>
      <c r="AL134" s="60"/>
      <c r="AM134" s="60"/>
      <c r="AN134" s="60"/>
      <c r="AO134" s="60"/>
      <c r="AP134" s="60"/>
      <c r="AQ134" s="60"/>
      <c r="AR134" s="60"/>
      <c r="AS134" s="60"/>
      <c r="AT134" s="74" t="str">
        <f>IF(COUNTIF(AK134:AS134,"&lt;&gt;"&amp;"")=9,SUM(AK134:AS134),"-")</f>
        <v>-</v>
      </c>
      <c r="AU134" s="148" t="str">
        <f>IF(AND(ISNUMBER(AJ134),ISNUMBER(AT134)),AJ134+AT134,"-")</f>
        <v>-</v>
      </c>
      <c r="AV134" s="74" t="str">
        <f>IF(ISNUMBER(AU134),AU134-C134,"-")</f>
        <v>-</v>
      </c>
      <c r="AX134" s="59" t="str">
        <f t="shared" ref="AX134:AX197" si="57">IF(AND(D134&gt;0,AA134&gt;0),MIN(D134,AA134),"-")</f>
        <v>-</v>
      </c>
      <c r="AY134" s="59" t="str">
        <f t="shared" ref="AY134:AY197" si="58">IF(AND(E134&gt;0,AB134&gt;0),MIN(E134,AB134),"-")</f>
        <v>-</v>
      </c>
      <c r="AZ134" s="59" t="str">
        <f t="shared" ref="AZ134:AZ197" si="59">IF(AND(F134&gt;0,AC134&gt;0),MIN(F134,AC134),"-")</f>
        <v>-</v>
      </c>
      <c r="BA134" s="59" t="str">
        <f t="shared" ref="BA134:BA197" si="60">IF(AND(G134&gt;0,AD134&gt;0),MIN(G134,AD134),"-")</f>
        <v>-</v>
      </c>
      <c r="BB134" s="59" t="str">
        <f t="shared" ref="BB134:BB197" si="61">IF(AND(H134&gt;0,AE134&gt;0),MIN(H134,AE134),"-")</f>
        <v>-</v>
      </c>
      <c r="BC134" s="59" t="str">
        <f t="shared" ref="BC134:BC197" si="62">IF(AND(I134&gt;0,AF134&gt;0),MIN(I134,AF134),"-")</f>
        <v>-</v>
      </c>
      <c r="BD134" s="59" t="str">
        <f t="shared" ref="BD134:BD197" si="63">IF(AND(J134&gt;0,AG134&gt;0),MIN(J134,AG134),"-")</f>
        <v>-</v>
      </c>
      <c r="BE134" s="59" t="str">
        <f t="shared" ref="BE134:BE197" si="64">IF(AND(K134&gt;0,AH134&gt;0),MIN(K134,AH134),"-")</f>
        <v>-</v>
      </c>
      <c r="BF134" s="59" t="str">
        <f t="shared" ref="BF134:BF197" si="65">IF(AND(L134&gt;0,AI134&gt;0),MIN(L134,AI134),"-")</f>
        <v>-</v>
      </c>
      <c r="BG134" s="59" t="str">
        <f t="shared" ref="BG134:BG197" si="66">IF(COUNTIF(AX134:BF134,"&lt;&gt;-")=9,SUM(AX134:BF134),"-")</f>
        <v>-</v>
      </c>
      <c r="BH134" s="59" t="str">
        <f t="shared" ref="BH134:BH197" si="67">IF(AND(N134&gt;0,AK134&gt;0),MIN(N134,AK134),"-")</f>
        <v>-</v>
      </c>
      <c r="BI134" s="59" t="str">
        <f t="shared" ref="BI134:BI197" si="68">IF(AND(O134&gt;0,AL134&gt;0),MIN(O134,AL134),"-")</f>
        <v>-</v>
      </c>
      <c r="BJ134" s="59" t="str">
        <f t="shared" ref="BJ134:BJ197" si="69">IF(AND(P134&gt;0,AM134&gt;0),MIN(P134,AM134),"-")</f>
        <v>-</v>
      </c>
      <c r="BK134" s="59" t="str">
        <f t="shared" ref="BK134:BK197" si="70">IF(AND(Q134&gt;0,AN134&gt;0),MIN(Q134,AN134),"-")</f>
        <v>-</v>
      </c>
      <c r="BL134" s="59" t="str">
        <f>IF(AND(R134&gt;0,AO134&gt;0),MIN(R134,AO134),"-")</f>
        <v>-</v>
      </c>
      <c r="BM134" s="59" t="str">
        <f>IF(AND(S134&gt;0,AP134&gt;0),MIN(S134,AP134),"-")</f>
        <v>-</v>
      </c>
      <c r="BN134" s="59" t="str">
        <f>IF(AND(T134&gt;0,AQ134&gt;0),MIN(T134,AQ134),"-")</f>
        <v>-</v>
      </c>
      <c r="BO134" s="59" t="str">
        <f>IF(AND(U134&gt;0,AR134&gt;0),MIN(U134,AR134),"-")</f>
        <v>-</v>
      </c>
      <c r="BP134" s="59" t="str">
        <f>IF(AND(V134&gt;0,AS134&gt;0),MIN(V134,AS134),"-")</f>
        <v>-</v>
      </c>
      <c r="BQ134" s="59" t="str">
        <f t="shared" ref="BQ134:BQ197" si="71">IF(COUNTIF(BH134:BP134,"&lt;&gt;-")=9,SUM(BH134:BP134),"-")</f>
        <v>-</v>
      </c>
      <c r="BR134" s="59" t="str">
        <f t="shared" ref="BR134:BR197" si="72">BG134</f>
        <v>-</v>
      </c>
      <c r="BS134" s="59" t="str">
        <f t="shared" ref="BS134:BS197" si="73">IF(COUNTIF(BQ134:BR134,"&lt;&gt;-")=2,SUM(BQ134:BR134),"-")</f>
        <v>-</v>
      </c>
      <c r="BT134" s="98" t="str">
        <f>IF(ISNUMBER(BS134),BS134-(C134*Rules!$P$9/100),"-")</f>
        <v>-</v>
      </c>
      <c r="BU134" s="59" t="e">
        <f>RANK($BT134,$BT$5:$BT$106,1)+COUNTIF(BT$5:BT134,BT134)-1</f>
        <v>#VALUE!</v>
      </c>
      <c r="BV134" s="59" t="e">
        <f t="shared" ref="BV134:BV197" si="74">RANK(BT134,$BT$5:$BT$215,1)</f>
        <v>#VALUE!</v>
      </c>
      <c r="BW134" s="59" t="str">
        <f t="shared" ref="BW134:BW197" si="75">B134</f>
        <v xml:space="preserve"> </v>
      </c>
      <c r="BX134" s="59">
        <f t="shared" ref="BX134:BX197" si="76">C134</f>
        <v>0</v>
      </c>
      <c r="BY134" s="98" t="str">
        <f t="shared" ref="BY134:BY197" si="77">BT134</f>
        <v>-</v>
      </c>
      <c r="CD134" s="79"/>
      <c r="CE134" s="80"/>
      <c r="CF134" s="81"/>
      <c r="CL134" s="77">
        <v>1</v>
      </c>
    </row>
    <row r="135" spans="1:90" ht="17.45" customHeight="1">
      <c r="A135" s="58">
        <v>131</v>
      </c>
      <c r="B135" s="59" t="str">
        <f>'A Div'!A135 &amp; " " &amp; 'A Div'!B135</f>
        <v xml:space="preserve"> </v>
      </c>
      <c r="C135" s="59">
        <f>'A Div'!E135</f>
        <v>0</v>
      </c>
      <c r="D135" s="60"/>
      <c r="E135" s="60"/>
      <c r="F135" s="60"/>
      <c r="G135" s="60"/>
      <c r="H135" s="60"/>
      <c r="I135" s="60"/>
      <c r="J135" s="60"/>
      <c r="K135" s="60"/>
      <c r="L135" s="60"/>
      <c r="M135" s="74" t="str">
        <f t="shared" si="52"/>
        <v>-</v>
      </c>
      <c r="N135" s="60"/>
      <c r="O135" s="60"/>
      <c r="P135" s="60"/>
      <c r="Q135" s="60"/>
      <c r="R135" s="60"/>
      <c r="S135" s="60"/>
      <c r="T135" s="60"/>
      <c r="U135" s="60"/>
      <c r="V135" s="60"/>
      <c r="W135" s="74" t="str">
        <f t="shared" si="53"/>
        <v>-</v>
      </c>
      <c r="X135" s="148" t="str">
        <f t="shared" si="54"/>
        <v>-</v>
      </c>
      <c r="Y135" s="74" t="str">
        <f t="shared" si="55"/>
        <v>-</v>
      </c>
      <c r="AA135" s="60"/>
      <c r="AB135" s="60"/>
      <c r="AC135" s="60"/>
      <c r="AD135" s="60"/>
      <c r="AE135" s="60"/>
      <c r="AF135" s="60"/>
      <c r="AG135" s="60"/>
      <c r="AH135" s="60"/>
      <c r="AI135" s="60"/>
      <c r="AJ135" s="74" t="str">
        <f t="shared" si="56"/>
        <v>-</v>
      </c>
      <c r="AK135" s="60"/>
      <c r="AL135" s="60"/>
      <c r="AM135" s="60"/>
      <c r="AN135" s="60"/>
      <c r="AO135" s="60"/>
      <c r="AP135" s="60"/>
      <c r="AQ135" s="60"/>
      <c r="AR135" s="60"/>
      <c r="AS135" s="60"/>
      <c r="AT135" s="74" t="str">
        <f>IF(COUNTIF(AK135:AS135,"&lt;&gt;"&amp;"")=9,SUM(AK135:AS135),"-")</f>
        <v>-</v>
      </c>
      <c r="AU135" s="148" t="str">
        <f>IF(AND(ISNUMBER(AJ135),ISNUMBER(AT135)),AJ135+AT135,"-")</f>
        <v>-</v>
      </c>
      <c r="AV135" s="74" t="str">
        <f>IF(ISNUMBER(AU135),AU135-C135,"-")</f>
        <v>-</v>
      </c>
      <c r="AX135" s="59" t="str">
        <f t="shared" si="57"/>
        <v>-</v>
      </c>
      <c r="AY135" s="59" t="str">
        <f t="shared" si="58"/>
        <v>-</v>
      </c>
      <c r="AZ135" s="59" t="str">
        <f t="shared" si="59"/>
        <v>-</v>
      </c>
      <c r="BA135" s="59" t="str">
        <f t="shared" si="60"/>
        <v>-</v>
      </c>
      <c r="BB135" s="59" t="str">
        <f t="shared" si="61"/>
        <v>-</v>
      </c>
      <c r="BC135" s="59" t="str">
        <f t="shared" si="62"/>
        <v>-</v>
      </c>
      <c r="BD135" s="59" t="str">
        <f t="shared" si="63"/>
        <v>-</v>
      </c>
      <c r="BE135" s="59" t="str">
        <f t="shared" si="64"/>
        <v>-</v>
      </c>
      <c r="BF135" s="59" t="str">
        <f t="shared" si="65"/>
        <v>-</v>
      </c>
      <c r="BG135" s="59" t="str">
        <f t="shared" si="66"/>
        <v>-</v>
      </c>
      <c r="BH135" s="59" t="str">
        <f t="shared" si="67"/>
        <v>-</v>
      </c>
      <c r="BI135" s="59" t="str">
        <f t="shared" si="68"/>
        <v>-</v>
      </c>
      <c r="BJ135" s="59" t="str">
        <f t="shared" si="69"/>
        <v>-</v>
      </c>
      <c r="BK135" s="59" t="str">
        <f t="shared" si="70"/>
        <v>-</v>
      </c>
      <c r="BL135" s="59" t="str">
        <f>IF(AND(R135&gt;0,AO135&gt;0),MIN(R135,AO135),"-")</f>
        <v>-</v>
      </c>
      <c r="BM135" s="59" t="str">
        <f>IF(AND(S135&gt;0,AP135&gt;0),MIN(S135,AP135),"-")</f>
        <v>-</v>
      </c>
      <c r="BN135" s="59" t="str">
        <f>IF(AND(T135&gt;0,AQ135&gt;0),MIN(T135,AQ135),"-")</f>
        <v>-</v>
      </c>
      <c r="BO135" s="59" t="str">
        <f>IF(AND(U135&gt;0,AR135&gt;0),MIN(U135,AR135),"-")</f>
        <v>-</v>
      </c>
      <c r="BP135" s="59" t="str">
        <f>IF(AND(V135&gt;0,AS135&gt;0),MIN(V135,AS135),"-")</f>
        <v>-</v>
      </c>
      <c r="BQ135" s="59" t="str">
        <f t="shared" si="71"/>
        <v>-</v>
      </c>
      <c r="BR135" s="59" t="str">
        <f t="shared" si="72"/>
        <v>-</v>
      </c>
      <c r="BS135" s="59" t="str">
        <f t="shared" si="73"/>
        <v>-</v>
      </c>
      <c r="BT135" s="98" t="str">
        <f>IF(ISNUMBER(BS135),BS135-(C135*Rules!$P$9/100),"-")</f>
        <v>-</v>
      </c>
      <c r="BU135" s="59" t="e">
        <f>RANK($BT135,$BT$5:$BT$106,1)+COUNTIF(BT$5:BT135,BT135)-1</f>
        <v>#VALUE!</v>
      </c>
      <c r="BV135" s="59" t="e">
        <f t="shared" si="74"/>
        <v>#VALUE!</v>
      </c>
      <c r="BW135" s="59" t="str">
        <f t="shared" si="75"/>
        <v xml:space="preserve"> </v>
      </c>
      <c r="BX135" s="59">
        <f t="shared" si="76"/>
        <v>0</v>
      </c>
      <c r="BY135" s="98" t="str">
        <f t="shared" si="77"/>
        <v>-</v>
      </c>
      <c r="CD135" s="79"/>
      <c r="CE135" s="80"/>
      <c r="CF135" s="81"/>
      <c r="CL135" s="77">
        <v>1</v>
      </c>
    </row>
    <row r="136" spans="1:90" ht="17.45" customHeight="1">
      <c r="A136" s="58">
        <v>132</v>
      </c>
      <c r="B136" s="59" t="str">
        <f>'A Div'!A136 &amp; " " &amp; 'A Div'!B136</f>
        <v xml:space="preserve"> </v>
      </c>
      <c r="C136" s="59">
        <f>'A Div'!E136</f>
        <v>0</v>
      </c>
      <c r="D136" s="60"/>
      <c r="E136" s="60"/>
      <c r="F136" s="60"/>
      <c r="G136" s="60"/>
      <c r="H136" s="60"/>
      <c r="I136" s="60"/>
      <c r="J136" s="60"/>
      <c r="K136" s="60"/>
      <c r="L136" s="60"/>
      <c r="M136" s="74" t="str">
        <f t="shared" si="52"/>
        <v>-</v>
      </c>
      <c r="N136" s="60"/>
      <c r="O136" s="60"/>
      <c r="P136" s="60"/>
      <c r="Q136" s="60"/>
      <c r="R136" s="60"/>
      <c r="S136" s="60"/>
      <c r="T136" s="60"/>
      <c r="U136" s="60"/>
      <c r="V136" s="60"/>
      <c r="W136" s="74" t="str">
        <f t="shared" si="53"/>
        <v>-</v>
      </c>
      <c r="X136" s="148" t="str">
        <f t="shared" si="54"/>
        <v>-</v>
      </c>
      <c r="Y136" s="74" t="str">
        <f t="shared" si="55"/>
        <v>-</v>
      </c>
      <c r="AA136" s="60"/>
      <c r="AB136" s="60"/>
      <c r="AC136" s="60"/>
      <c r="AD136" s="60"/>
      <c r="AE136" s="60"/>
      <c r="AF136" s="60"/>
      <c r="AG136" s="60"/>
      <c r="AH136" s="60"/>
      <c r="AI136" s="60"/>
      <c r="AJ136" s="74" t="str">
        <f t="shared" si="56"/>
        <v>-</v>
      </c>
      <c r="AK136" s="60"/>
      <c r="AL136" s="60"/>
      <c r="AM136" s="60"/>
      <c r="AN136" s="60"/>
      <c r="AO136" s="60"/>
      <c r="AP136" s="60"/>
      <c r="AQ136" s="60"/>
      <c r="AR136" s="60"/>
      <c r="AS136" s="60"/>
      <c r="AT136" s="74" t="str">
        <f>IF(COUNTIF(AK136:AS136,"&lt;&gt;"&amp;"")=9,SUM(AK136:AS136),"-")</f>
        <v>-</v>
      </c>
      <c r="AU136" s="148" t="str">
        <f>IF(AND(ISNUMBER(AJ136),ISNUMBER(AT136)),AJ136+AT136,"-")</f>
        <v>-</v>
      </c>
      <c r="AV136" s="74" t="str">
        <f>IF(ISNUMBER(AU136),AU136-C136,"-")</f>
        <v>-</v>
      </c>
      <c r="AX136" s="59" t="str">
        <f t="shared" si="57"/>
        <v>-</v>
      </c>
      <c r="AY136" s="59" t="str">
        <f t="shared" si="58"/>
        <v>-</v>
      </c>
      <c r="AZ136" s="59" t="str">
        <f t="shared" si="59"/>
        <v>-</v>
      </c>
      <c r="BA136" s="59" t="str">
        <f t="shared" si="60"/>
        <v>-</v>
      </c>
      <c r="BB136" s="59" t="str">
        <f t="shared" si="61"/>
        <v>-</v>
      </c>
      <c r="BC136" s="59" t="str">
        <f t="shared" si="62"/>
        <v>-</v>
      </c>
      <c r="BD136" s="59" t="str">
        <f t="shared" si="63"/>
        <v>-</v>
      </c>
      <c r="BE136" s="59" t="str">
        <f t="shared" si="64"/>
        <v>-</v>
      </c>
      <c r="BF136" s="59" t="str">
        <f t="shared" si="65"/>
        <v>-</v>
      </c>
      <c r="BG136" s="59" t="str">
        <f t="shared" si="66"/>
        <v>-</v>
      </c>
      <c r="BH136" s="59" t="str">
        <f t="shared" si="67"/>
        <v>-</v>
      </c>
      <c r="BI136" s="59" t="str">
        <f t="shared" si="68"/>
        <v>-</v>
      </c>
      <c r="BJ136" s="59" t="str">
        <f t="shared" si="69"/>
        <v>-</v>
      </c>
      <c r="BK136" s="59" t="str">
        <f t="shared" si="70"/>
        <v>-</v>
      </c>
      <c r="BL136" s="59" t="str">
        <f>IF(AND(R136&gt;0,AO136&gt;0),MIN(R136,AO136),"-")</f>
        <v>-</v>
      </c>
      <c r="BM136" s="59" t="str">
        <f>IF(AND(S136&gt;0,AP136&gt;0),MIN(S136,AP136),"-")</f>
        <v>-</v>
      </c>
      <c r="BN136" s="59" t="str">
        <f>IF(AND(T136&gt;0,AQ136&gt;0),MIN(T136,AQ136),"-")</f>
        <v>-</v>
      </c>
      <c r="BO136" s="59" t="str">
        <f>IF(AND(U136&gt;0,AR136&gt;0),MIN(U136,AR136),"-")</f>
        <v>-</v>
      </c>
      <c r="BP136" s="59" t="str">
        <f>IF(AND(V136&gt;0,AS136&gt;0),MIN(V136,AS136),"-")</f>
        <v>-</v>
      </c>
      <c r="BQ136" s="59" t="str">
        <f t="shared" si="71"/>
        <v>-</v>
      </c>
      <c r="BR136" s="59" t="str">
        <f t="shared" si="72"/>
        <v>-</v>
      </c>
      <c r="BS136" s="59" t="str">
        <f t="shared" si="73"/>
        <v>-</v>
      </c>
      <c r="BT136" s="98" t="str">
        <f>IF(ISNUMBER(BS136),BS136-(C136*Rules!$P$9/100),"-")</f>
        <v>-</v>
      </c>
      <c r="BU136" s="59" t="e">
        <f>RANK($BT136,$BT$5:$BT$106,1)+COUNTIF(BT$5:BT136,BT136)-1</f>
        <v>#VALUE!</v>
      </c>
      <c r="BV136" s="59" t="e">
        <f t="shared" si="74"/>
        <v>#VALUE!</v>
      </c>
      <c r="BW136" s="59" t="str">
        <f t="shared" si="75"/>
        <v xml:space="preserve"> </v>
      </c>
      <c r="BX136" s="59">
        <f t="shared" si="76"/>
        <v>0</v>
      </c>
      <c r="BY136" s="98" t="str">
        <f t="shared" si="77"/>
        <v>-</v>
      </c>
      <c r="CD136" s="79"/>
      <c r="CE136" s="80"/>
      <c r="CF136" s="81"/>
      <c r="CL136" s="77">
        <v>1</v>
      </c>
    </row>
    <row r="137" spans="1:90" ht="17.45" customHeight="1">
      <c r="A137" s="58">
        <v>133</v>
      </c>
      <c r="B137" s="59" t="str">
        <f>'A Div'!A137 &amp; " " &amp; 'A Div'!B137</f>
        <v xml:space="preserve"> </v>
      </c>
      <c r="C137" s="59">
        <f>'A Div'!E137</f>
        <v>0</v>
      </c>
      <c r="D137" s="60"/>
      <c r="E137" s="60"/>
      <c r="F137" s="60"/>
      <c r="G137" s="60"/>
      <c r="H137" s="60"/>
      <c r="I137" s="60"/>
      <c r="J137" s="60"/>
      <c r="K137" s="60"/>
      <c r="L137" s="60"/>
      <c r="M137" s="74" t="str">
        <f t="shared" si="52"/>
        <v>-</v>
      </c>
      <c r="N137" s="60"/>
      <c r="O137" s="60"/>
      <c r="P137" s="60"/>
      <c r="Q137" s="60"/>
      <c r="R137" s="60"/>
      <c r="S137" s="60"/>
      <c r="T137" s="60"/>
      <c r="U137" s="60"/>
      <c r="V137" s="60"/>
      <c r="W137" s="74" t="str">
        <f t="shared" si="53"/>
        <v>-</v>
      </c>
      <c r="X137" s="148" t="str">
        <f t="shared" si="54"/>
        <v>-</v>
      </c>
      <c r="Y137" s="74" t="str">
        <f t="shared" si="55"/>
        <v>-</v>
      </c>
      <c r="AA137" s="60"/>
      <c r="AB137" s="60"/>
      <c r="AC137" s="60"/>
      <c r="AD137" s="60"/>
      <c r="AE137" s="60"/>
      <c r="AF137" s="60"/>
      <c r="AG137" s="60"/>
      <c r="AH137" s="60"/>
      <c r="AI137" s="60"/>
      <c r="AJ137" s="74" t="str">
        <f t="shared" si="56"/>
        <v>-</v>
      </c>
      <c r="AK137" s="60"/>
      <c r="AL137" s="60"/>
      <c r="AM137" s="60"/>
      <c r="AN137" s="60"/>
      <c r="AO137" s="60"/>
      <c r="AP137" s="60"/>
      <c r="AQ137" s="60"/>
      <c r="AR137" s="60"/>
      <c r="AS137" s="60"/>
      <c r="AT137" s="74" t="str">
        <f>IF(COUNTIF(AK137:AS137,"&lt;&gt;"&amp;"")=9,SUM(AK137:AS137),"-")</f>
        <v>-</v>
      </c>
      <c r="AU137" s="148" t="str">
        <f>IF(AND(ISNUMBER(AJ137),ISNUMBER(AT137)),AJ137+AT137,"-")</f>
        <v>-</v>
      </c>
      <c r="AV137" s="74" t="str">
        <f>IF(ISNUMBER(AU137),AU137-C137,"-")</f>
        <v>-</v>
      </c>
      <c r="AX137" s="59" t="str">
        <f t="shared" si="57"/>
        <v>-</v>
      </c>
      <c r="AY137" s="59" t="str">
        <f t="shared" si="58"/>
        <v>-</v>
      </c>
      <c r="AZ137" s="59" t="str">
        <f t="shared" si="59"/>
        <v>-</v>
      </c>
      <c r="BA137" s="59" t="str">
        <f t="shared" si="60"/>
        <v>-</v>
      </c>
      <c r="BB137" s="59" t="str">
        <f t="shared" si="61"/>
        <v>-</v>
      </c>
      <c r="BC137" s="59" t="str">
        <f t="shared" si="62"/>
        <v>-</v>
      </c>
      <c r="BD137" s="59" t="str">
        <f t="shared" si="63"/>
        <v>-</v>
      </c>
      <c r="BE137" s="59" t="str">
        <f t="shared" si="64"/>
        <v>-</v>
      </c>
      <c r="BF137" s="59" t="str">
        <f t="shared" si="65"/>
        <v>-</v>
      </c>
      <c r="BG137" s="59" t="str">
        <f t="shared" si="66"/>
        <v>-</v>
      </c>
      <c r="BH137" s="59" t="str">
        <f t="shared" si="67"/>
        <v>-</v>
      </c>
      <c r="BI137" s="59" t="str">
        <f t="shared" si="68"/>
        <v>-</v>
      </c>
      <c r="BJ137" s="59" t="str">
        <f t="shared" si="69"/>
        <v>-</v>
      </c>
      <c r="BK137" s="59" t="str">
        <f t="shared" si="70"/>
        <v>-</v>
      </c>
      <c r="BL137" s="59" t="str">
        <f>IF(AND(R137&gt;0,AO137&gt;0),MIN(R137,AO137),"-")</f>
        <v>-</v>
      </c>
      <c r="BM137" s="59" t="str">
        <f>IF(AND(S137&gt;0,AP137&gt;0),MIN(S137,AP137),"-")</f>
        <v>-</v>
      </c>
      <c r="BN137" s="59" t="str">
        <f>IF(AND(T137&gt;0,AQ137&gt;0),MIN(T137,AQ137),"-")</f>
        <v>-</v>
      </c>
      <c r="BO137" s="59" t="str">
        <f>IF(AND(U137&gt;0,AR137&gt;0),MIN(U137,AR137),"-")</f>
        <v>-</v>
      </c>
      <c r="BP137" s="59" t="str">
        <f>IF(AND(V137&gt;0,AS137&gt;0),MIN(V137,AS137),"-")</f>
        <v>-</v>
      </c>
      <c r="BQ137" s="59" t="str">
        <f t="shared" si="71"/>
        <v>-</v>
      </c>
      <c r="BR137" s="59" t="str">
        <f t="shared" si="72"/>
        <v>-</v>
      </c>
      <c r="BS137" s="59" t="str">
        <f t="shared" si="73"/>
        <v>-</v>
      </c>
      <c r="BT137" s="98" t="str">
        <f>IF(ISNUMBER(BS137),BS137-(C137*Rules!$P$9/100),"-")</f>
        <v>-</v>
      </c>
      <c r="BU137" s="59" t="e">
        <f>RANK($BT137,$BT$5:$BT$106,1)+COUNTIF(BT$5:BT137,BT137)-1</f>
        <v>#VALUE!</v>
      </c>
      <c r="BV137" s="59" t="e">
        <f t="shared" si="74"/>
        <v>#VALUE!</v>
      </c>
      <c r="BW137" s="59" t="str">
        <f t="shared" si="75"/>
        <v xml:space="preserve"> </v>
      </c>
      <c r="BX137" s="59">
        <f t="shared" si="76"/>
        <v>0</v>
      </c>
      <c r="BY137" s="98" t="str">
        <f t="shared" si="77"/>
        <v>-</v>
      </c>
      <c r="CD137" s="79"/>
      <c r="CE137" s="80"/>
      <c r="CF137" s="81"/>
      <c r="CL137" s="77">
        <v>1</v>
      </c>
    </row>
    <row r="138" spans="1:90" ht="17.45" customHeight="1">
      <c r="A138" s="58">
        <v>134</v>
      </c>
      <c r="B138" s="59" t="str">
        <f>'A Div'!A138 &amp; " " &amp; 'A Div'!B138</f>
        <v xml:space="preserve"> </v>
      </c>
      <c r="C138" s="59">
        <f>'A Div'!E138</f>
        <v>0</v>
      </c>
      <c r="D138" s="60"/>
      <c r="E138" s="60"/>
      <c r="F138" s="60"/>
      <c r="G138" s="60"/>
      <c r="H138" s="60"/>
      <c r="I138" s="60"/>
      <c r="J138" s="60"/>
      <c r="K138" s="60"/>
      <c r="L138" s="60"/>
      <c r="M138" s="74" t="str">
        <f t="shared" si="52"/>
        <v>-</v>
      </c>
      <c r="N138" s="60"/>
      <c r="O138" s="60"/>
      <c r="P138" s="60"/>
      <c r="Q138" s="60"/>
      <c r="R138" s="60"/>
      <c r="S138" s="60"/>
      <c r="T138" s="60"/>
      <c r="U138" s="60"/>
      <c r="V138" s="60"/>
      <c r="W138" s="74" t="str">
        <f t="shared" si="53"/>
        <v>-</v>
      </c>
      <c r="X138" s="148" t="str">
        <f t="shared" si="54"/>
        <v>-</v>
      </c>
      <c r="Y138" s="74" t="str">
        <f t="shared" si="55"/>
        <v>-</v>
      </c>
      <c r="AA138" s="60"/>
      <c r="AB138" s="60"/>
      <c r="AC138" s="60"/>
      <c r="AD138" s="60"/>
      <c r="AE138" s="60"/>
      <c r="AF138" s="60"/>
      <c r="AG138" s="60"/>
      <c r="AH138" s="60"/>
      <c r="AI138" s="60"/>
      <c r="AJ138" s="74" t="str">
        <f t="shared" si="56"/>
        <v>-</v>
      </c>
      <c r="AK138" s="60"/>
      <c r="AL138" s="60"/>
      <c r="AM138" s="60"/>
      <c r="AN138" s="60"/>
      <c r="AO138" s="60"/>
      <c r="AP138" s="60"/>
      <c r="AQ138" s="60"/>
      <c r="AR138" s="60"/>
      <c r="AS138" s="60"/>
      <c r="AT138" s="74" t="str">
        <f>IF(COUNTIF(AK138:AS138,"&lt;&gt;"&amp;"")=9,SUM(AK138:AS138),"-")</f>
        <v>-</v>
      </c>
      <c r="AU138" s="148" t="str">
        <f>IF(AND(ISNUMBER(AJ138),ISNUMBER(AT138)),AJ138+AT138,"-")</f>
        <v>-</v>
      </c>
      <c r="AV138" s="74" t="str">
        <f>IF(ISNUMBER(AU138),AU138-C138,"-")</f>
        <v>-</v>
      </c>
      <c r="AX138" s="59" t="str">
        <f t="shared" si="57"/>
        <v>-</v>
      </c>
      <c r="AY138" s="59" t="str">
        <f t="shared" si="58"/>
        <v>-</v>
      </c>
      <c r="AZ138" s="59" t="str">
        <f t="shared" si="59"/>
        <v>-</v>
      </c>
      <c r="BA138" s="59" t="str">
        <f t="shared" si="60"/>
        <v>-</v>
      </c>
      <c r="BB138" s="59" t="str">
        <f t="shared" si="61"/>
        <v>-</v>
      </c>
      <c r="BC138" s="59" t="str">
        <f t="shared" si="62"/>
        <v>-</v>
      </c>
      <c r="BD138" s="59" t="str">
        <f t="shared" si="63"/>
        <v>-</v>
      </c>
      <c r="BE138" s="59" t="str">
        <f t="shared" si="64"/>
        <v>-</v>
      </c>
      <c r="BF138" s="59" t="str">
        <f t="shared" si="65"/>
        <v>-</v>
      </c>
      <c r="BG138" s="59" t="str">
        <f t="shared" si="66"/>
        <v>-</v>
      </c>
      <c r="BH138" s="59" t="str">
        <f t="shared" si="67"/>
        <v>-</v>
      </c>
      <c r="BI138" s="59" t="str">
        <f t="shared" si="68"/>
        <v>-</v>
      </c>
      <c r="BJ138" s="59" t="str">
        <f t="shared" si="69"/>
        <v>-</v>
      </c>
      <c r="BK138" s="59" t="str">
        <f t="shared" si="70"/>
        <v>-</v>
      </c>
      <c r="BL138" s="59" t="str">
        <f>IF(AND(R138&gt;0,AO138&gt;0),MIN(R138,AO138),"-")</f>
        <v>-</v>
      </c>
      <c r="BM138" s="59" t="str">
        <f>IF(AND(S138&gt;0,AP138&gt;0),MIN(S138,AP138),"-")</f>
        <v>-</v>
      </c>
      <c r="BN138" s="59" t="str">
        <f>IF(AND(T138&gt;0,AQ138&gt;0),MIN(T138,AQ138),"-")</f>
        <v>-</v>
      </c>
      <c r="BO138" s="59" t="str">
        <f>IF(AND(U138&gt;0,AR138&gt;0),MIN(U138,AR138),"-")</f>
        <v>-</v>
      </c>
      <c r="BP138" s="59" t="str">
        <f>IF(AND(V138&gt;0,AS138&gt;0),MIN(V138,AS138),"-")</f>
        <v>-</v>
      </c>
      <c r="BQ138" s="59" t="str">
        <f t="shared" si="71"/>
        <v>-</v>
      </c>
      <c r="BR138" s="59" t="str">
        <f t="shared" si="72"/>
        <v>-</v>
      </c>
      <c r="BS138" s="59" t="str">
        <f t="shared" si="73"/>
        <v>-</v>
      </c>
      <c r="BT138" s="98" t="str">
        <f>IF(ISNUMBER(BS138),BS138-(C138*Rules!$P$9/100),"-")</f>
        <v>-</v>
      </c>
      <c r="BU138" s="59" t="e">
        <f>RANK($BT138,$BT$5:$BT$106,1)+COUNTIF(BT$5:BT138,BT138)-1</f>
        <v>#VALUE!</v>
      </c>
      <c r="BV138" s="59" t="e">
        <f t="shared" si="74"/>
        <v>#VALUE!</v>
      </c>
      <c r="BW138" s="59" t="str">
        <f t="shared" si="75"/>
        <v xml:space="preserve"> </v>
      </c>
      <c r="BX138" s="59">
        <f t="shared" si="76"/>
        <v>0</v>
      </c>
      <c r="BY138" s="98" t="str">
        <f t="shared" si="77"/>
        <v>-</v>
      </c>
      <c r="CD138" s="79"/>
      <c r="CE138" s="80"/>
      <c r="CF138" s="81"/>
      <c r="CL138" s="77">
        <v>1</v>
      </c>
    </row>
    <row r="139" spans="1:90" ht="17.45" customHeight="1">
      <c r="A139" s="58">
        <v>135</v>
      </c>
      <c r="B139" s="59" t="str">
        <f>'A Div'!A139 &amp; " " &amp; 'A Div'!B139</f>
        <v xml:space="preserve"> </v>
      </c>
      <c r="C139" s="59">
        <f>'A Div'!E139</f>
        <v>0</v>
      </c>
      <c r="D139" s="60"/>
      <c r="E139" s="60"/>
      <c r="F139" s="60"/>
      <c r="G139" s="60"/>
      <c r="H139" s="60"/>
      <c r="I139" s="60"/>
      <c r="J139" s="60"/>
      <c r="K139" s="60"/>
      <c r="L139" s="60"/>
      <c r="M139" s="74" t="str">
        <f t="shared" si="52"/>
        <v>-</v>
      </c>
      <c r="N139" s="60"/>
      <c r="O139" s="60"/>
      <c r="P139" s="60"/>
      <c r="Q139" s="60"/>
      <c r="R139" s="60"/>
      <c r="S139" s="60"/>
      <c r="T139" s="60"/>
      <c r="U139" s="60"/>
      <c r="V139" s="60"/>
      <c r="W139" s="74" t="str">
        <f t="shared" si="53"/>
        <v>-</v>
      </c>
      <c r="X139" s="148" t="str">
        <f t="shared" si="54"/>
        <v>-</v>
      </c>
      <c r="Y139" s="74" t="str">
        <f t="shared" si="55"/>
        <v>-</v>
      </c>
      <c r="AA139" s="60"/>
      <c r="AB139" s="60"/>
      <c r="AC139" s="60"/>
      <c r="AD139" s="60"/>
      <c r="AE139" s="60"/>
      <c r="AF139" s="60"/>
      <c r="AG139" s="60"/>
      <c r="AH139" s="60"/>
      <c r="AI139" s="60"/>
      <c r="AJ139" s="74" t="str">
        <f t="shared" si="56"/>
        <v>-</v>
      </c>
      <c r="AK139" s="60"/>
      <c r="AL139" s="60"/>
      <c r="AM139" s="60"/>
      <c r="AN139" s="60"/>
      <c r="AO139" s="60"/>
      <c r="AP139" s="60"/>
      <c r="AQ139" s="60"/>
      <c r="AR139" s="60"/>
      <c r="AS139" s="60"/>
      <c r="AT139" s="74" t="str">
        <f>IF(COUNTIF(AK139:AS139,"&lt;&gt;"&amp;"")=9,SUM(AK139:AS139),"-")</f>
        <v>-</v>
      </c>
      <c r="AU139" s="148" t="str">
        <f>IF(AND(ISNUMBER(AJ139),ISNUMBER(AT139)),AJ139+AT139,"-")</f>
        <v>-</v>
      </c>
      <c r="AV139" s="74" t="str">
        <f>IF(ISNUMBER(AU139),AU139-C139,"-")</f>
        <v>-</v>
      </c>
      <c r="AX139" s="59" t="str">
        <f t="shared" si="57"/>
        <v>-</v>
      </c>
      <c r="AY139" s="59" t="str">
        <f t="shared" si="58"/>
        <v>-</v>
      </c>
      <c r="AZ139" s="59" t="str">
        <f t="shared" si="59"/>
        <v>-</v>
      </c>
      <c r="BA139" s="59" t="str">
        <f t="shared" si="60"/>
        <v>-</v>
      </c>
      <c r="BB139" s="59" t="str">
        <f t="shared" si="61"/>
        <v>-</v>
      </c>
      <c r="BC139" s="59" t="str">
        <f t="shared" si="62"/>
        <v>-</v>
      </c>
      <c r="BD139" s="59" t="str">
        <f t="shared" si="63"/>
        <v>-</v>
      </c>
      <c r="BE139" s="59" t="str">
        <f t="shared" si="64"/>
        <v>-</v>
      </c>
      <c r="BF139" s="59" t="str">
        <f t="shared" si="65"/>
        <v>-</v>
      </c>
      <c r="BG139" s="59" t="str">
        <f t="shared" si="66"/>
        <v>-</v>
      </c>
      <c r="BH139" s="59" t="str">
        <f t="shared" si="67"/>
        <v>-</v>
      </c>
      <c r="BI139" s="59" t="str">
        <f t="shared" si="68"/>
        <v>-</v>
      </c>
      <c r="BJ139" s="59" t="str">
        <f t="shared" si="69"/>
        <v>-</v>
      </c>
      <c r="BK139" s="59" t="str">
        <f t="shared" si="70"/>
        <v>-</v>
      </c>
      <c r="BL139" s="59" t="str">
        <f>IF(AND(R139&gt;0,AO139&gt;0),MIN(R139,AO139),"-")</f>
        <v>-</v>
      </c>
      <c r="BM139" s="59" t="str">
        <f>IF(AND(S139&gt;0,AP139&gt;0),MIN(S139,AP139),"-")</f>
        <v>-</v>
      </c>
      <c r="BN139" s="59" t="str">
        <f>IF(AND(T139&gt;0,AQ139&gt;0),MIN(T139,AQ139),"-")</f>
        <v>-</v>
      </c>
      <c r="BO139" s="59" t="str">
        <f>IF(AND(U139&gt;0,AR139&gt;0),MIN(U139,AR139),"-")</f>
        <v>-</v>
      </c>
      <c r="BP139" s="59" t="str">
        <f>IF(AND(V139&gt;0,AS139&gt;0),MIN(V139,AS139),"-")</f>
        <v>-</v>
      </c>
      <c r="BQ139" s="59" t="str">
        <f t="shared" si="71"/>
        <v>-</v>
      </c>
      <c r="BR139" s="59" t="str">
        <f t="shared" si="72"/>
        <v>-</v>
      </c>
      <c r="BS139" s="59" t="str">
        <f t="shared" si="73"/>
        <v>-</v>
      </c>
      <c r="BT139" s="98" t="str">
        <f>IF(ISNUMBER(BS139),BS139-(C139*Rules!$P$9/100),"-")</f>
        <v>-</v>
      </c>
      <c r="BU139" s="59" t="e">
        <f>RANK($BT139,$BT$5:$BT$106,1)+COUNTIF(BT$5:BT139,BT139)-1</f>
        <v>#VALUE!</v>
      </c>
      <c r="BV139" s="59" t="e">
        <f t="shared" si="74"/>
        <v>#VALUE!</v>
      </c>
      <c r="BW139" s="59" t="str">
        <f t="shared" si="75"/>
        <v xml:space="preserve"> </v>
      </c>
      <c r="BX139" s="59">
        <f t="shared" si="76"/>
        <v>0</v>
      </c>
      <c r="BY139" s="98" t="str">
        <f t="shared" si="77"/>
        <v>-</v>
      </c>
      <c r="CD139" s="79"/>
      <c r="CE139" s="80"/>
      <c r="CF139" s="81"/>
      <c r="CL139" s="77">
        <v>1</v>
      </c>
    </row>
    <row r="140" spans="1:90" ht="17.45" customHeight="1">
      <c r="A140" s="58">
        <v>136</v>
      </c>
      <c r="B140" s="59" t="str">
        <f>'A Div'!A140 &amp; " " &amp; 'A Div'!B140</f>
        <v xml:space="preserve"> </v>
      </c>
      <c r="C140" s="59">
        <f>'A Div'!E140</f>
        <v>0</v>
      </c>
      <c r="D140" s="60"/>
      <c r="E140" s="60"/>
      <c r="F140" s="60"/>
      <c r="G140" s="60"/>
      <c r="H140" s="60"/>
      <c r="I140" s="60"/>
      <c r="J140" s="60"/>
      <c r="K140" s="60"/>
      <c r="L140" s="60"/>
      <c r="M140" s="74" t="str">
        <f t="shared" si="52"/>
        <v>-</v>
      </c>
      <c r="N140" s="60"/>
      <c r="O140" s="60"/>
      <c r="P140" s="60"/>
      <c r="Q140" s="60"/>
      <c r="R140" s="60"/>
      <c r="S140" s="60"/>
      <c r="T140" s="60"/>
      <c r="U140" s="60"/>
      <c r="V140" s="60"/>
      <c r="W140" s="74" t="str">
        <f t="shared" si="53"/>
        <v>-</v>
      </c>
      <c r="X140" s="148" t="str">
        <f t="shared" si="54"/>
        <v>-</v>
      </c>
      <c r="Y140" s="74" t="str">
        <f t="shared" si="55"/>
        <v>-</v>
      </c>
      <c r="AA140" s="60"/>
      <c r="AB140" s="60"/>
      <c r="AC140" s="60"/>
      <c r="AD140" s="60"/>
      <c r="AE140" s="60"/>
      <c r="AF140" s="60"/>
      <c r="AG140" s="60"/>
      <c r="AH140" s="60"/>
      <c r="AI140" s="60"/>
      <c r="AJ140" s="74" t="str">
        <f t="shared" si="56"/>
        <v>-</v>
      </c>
      <c r="AK140" s="60"/>
      <c r="AL140" s="60"/>
      <c r="AM140" s="60"/>
      <c r="AN140" s="60"/>
      <c r="AO140" s="60"/>
      <c r="AP140" s="60"/>
      <c r="AQ140" s="60"/>
      <c r="AR140" s="60"/>
      <c r="AS140" s="60"/>
      <c r="AT140" s="74" t="str">
        <f>IF(COUNTIF(AK140:AS140,"&lt;&gt;"&amp;"")=9,SUM(AK140:AS140),"-")</f>
        <v>-</v>
      </c>
      <c r="AU140" s="148" t="str">
        <f>IF(AND(ISNUMBER(AJ140),ISNUMBER(AT140)),AJ140+AT140,"-")</f>
        <v>-</v>
      </c>
      <c r="AV140" s="74" t="str">
        <f>IF(ISNUMBER(AU140),AU140-C140,"-")</f>
        <v>-</v>
      </c>
      <c r="AX140" s="59" t="str">
        <f t="shared" si="57"/>
        <v>-</v>
      </c>
      <c r="AY140" s="59" t="str">
        <f t="shared" si="58"/>
        <v>-</v>
      </c>
      <c r="AZ140" s="59" t="str">
        <f t="shared" si="59"/>
        <v>-</v>
      </c>
      <c r="BA140" s="59" t="str">
        <f t="shared" si="60"/>
        <v>-</v>
      </c>
      <c r="BB140" s="59" t="str">
        <f t="shared" si="61"/>
        <v>-</v>
      </c>
      <c r="BC140" s="59" t="str">
        <f t="shared" si="62"/>
        <v>-</v>
      </c>
      <c r="BD140" s="59" t="str">
        <f t="shared" si="63"/>
        <v>-</v>
      </c>
      <c r="BE140" s="59" t="str">
        <f t="shared" si="64"/>
        <v>-</v>
      </c>
      <c r="BF140" s="59" t="str">
        <f t="shared" si="65"/>
        <v>-</v>
      </c>
      <c r="BG140" s="59" t="str">
        <f t="shared" si="66"/>
        <v>-</v>
      </c>
      <c r="BH140" s="59" t="str">
        <f t="shared" si="67"/>
        <v>-</v>
      </c>
      <c r="BI140" s="59" t="str">
        <f t="shared" si="68"/>
        <v>-</v>
      </c>
      <c r="BJ140" s="59" t="str">
        <f t="shared" si="69"/>
        <v>-</v>
      </c>
      <c r="BK140" s="59" t="str">
        <f t="shared" si="70"/>
        <v>-</v>
      </c>
      <c r="BL140" s="59" t="str">
        <f>IF(AND(R140&gt;0,AO140&gt;0),MIN(R140,AO140),"-")</f>
        <v>-</v>
      </c>
      <c r="BM140" s="59" t="str">
        <f>IF(AND(S140&gt;0,AP140&gt;0),MIN(S140,AP140),"-")</f>
        <v>-</v>
      </c>
      <c r="BN140" s="59" t="str">
        <f>IF(AND(T140&gt;0,AQ140&gt;0),MIN(T140,AQ140),"-")</f>
        <v>-</v>
      </c>
      <c r="BO140" s="59" t="str">
        <f>IF(AND(U140&gt;0,AR140&gt;0),MIN(U140,AR140),"-")</f>
        <v>-</v>
      </c>
      <c r="BP140" s="59" t="str">
        <f>IF(AND(V140&gt;0,AS140&gt;0),MIN(V140,AS140),"-")</f>
        <v>-</v>
      </c>
      <c r="BQ140" s="59" t="str">
        <f t="shared" si="71"/>
        <v>-</v>
      </c>
      <c r="BR140" s="59" t="str">
        <f t="shared" si="72"/>
        <v>-</v>
      </c>
      <c r="BS140" s="59" t="str">
        <f t="shared" si="73"/>
        <v>-</v>
      </c>
      <c r="BT140" s="98" t="str">
        <f>IF(ISNUMBER(BS140),BS140-(C140*Rules!$P$9/100),"-")</f>
        <v>-</v>
      </c>
      <c r="BU140" s="59" t="e">
        <f>RANK($BT140,$BT$5:$BT$106,1)+COUNTIF(BT$5:BT140,BT140)-1</f>
        <v>#VALUE!</v>
      </c>
      <c r="BV140" s="59" t="e">
        <f t="shared" si="74"/>
        <v>#VALUE!</v>
      </c>
      <c r="BW140" s="59" t="str">
        <f t="shared" si="75"/>
        <v xml:space="preserve"> </v>
      </c>
      <c r="BX140" s="59">
        <f t="shared" si="76"/>
        <v>0</v>
      </c>
      <c r="BY140" s="98" t="str">
        <f t="shared" si="77"/>
        <v>-</v>
      </c>
      <c r="CD140" s="79"/>
      <c r="CE140" s="80"/>
      <c r="CF140" s="81"/>
      <c r="CL140" s="77">
        <v>1</v>
      </c>
    </row>
    <row r="141" spans="1:90" ht="17.45" customHeight="1">
      <c r="A141" s="58">
        <v>137</v>
      </c>
      <c r="B141" s="59" t="str">
        <f>'A Div'!A141 &amp; " " &amp; 'A Div'!B141</f>
        <v xml:space="preserve"> </v>
      </c>
      <c r="C141" s="59">
        <f>'A Div'!E141</f>
        <v>0</v>
      </c>
      <c r="D141" s="60"/>
      <c r="E141" s="60"/>
      <c r="F141" s="60"/>
      <c r="G141" s="60"/>
      <c r="H141" s="60"/>
      <c r="I141" s="60"/>
      <c r="J141" s="60"/>
      <c r="K141" s="60"/>
      <c r="L141" s="60"/>
      <c r="M141" s="74" t="str">
        <f t="shared" si="52"/>
        <v>-</v>
      </c>
      <c r="N141" s="60"/>
      <c r="O141" s="60"/>
      <c r="P141" s="60"/>
      <c r="Q141" s="60"/>
      <c r="R141" s="60"/>
      <c r="S141" s="60"/>
      <c r="T141" s="60"/>
      <c r="U141" s="60"/>
      <c r="V141" s="60"/>
      <c r="W141" s="74" t="str">
        <f t="shared" si="53"/>
        <v>-</v>
      </c>
      <c r="X141" s="148" t="str">
        <f t="shared" si="54"/>
        <v>-</v>
      </c>
      <c r="Y141" s="74" t="str">
        <f t="shared" si="55"/>
        <v>-</v>
      </c>
      <c r="AA141" s="60"/>
      <c r="AB141" s="60"/>
      <c r="AC141" s="60"/>
      <c r="AD141" s="60"/>
      <c r="AE141" s="60"/>
      <c r="AF141" s="60"/>
      <c r="AG141" s="60"/>
      <c r="AH141" s="60"/>
      <c r="AI141" s="60"/>
      <c r="AJ141" s="74" t="str">
        <f t="shared" si="56"/>
        <v>-</v>
      </c>
      <c r="AK141" s="60"/>
      <c r="AL141" s="60"/>
      <c r="AM141" s="60"/>
      <c r="AN141" s="60"/>
      <c r="AO141" s="60"/>
      <c r="AP141" s="60"/>
      <c r="AQ141" s="60"/>
      <c r="AR141" s="60"/>
      <c r="AS141" s="60"/>
      <c r="AT141" s="74" t="str">
        <f>IF(COUNTIF(AK141:AS141,"&lt;&gt;"&amp;"")=9,SUM(AK141:AS141),"-")</f>
        <v>-</v>
      </c>
      <c r="AU141" s="148" t="str">
        <f>IF(AND(ISNUMBER(AJ141),ISNUMBER(AT141)),AJ141+AT141,"-")</f>
        <v>-</v>
      </c>
      <c r="AV141" s="74" t="str">
        <f>IF(ISNUMBER(AU141),AU141-C141,"-")</f>
        <v>-</v>
      </c>
      <c r="AX141" s="59" t="str">
        <f t="shared" si="57"/>
        <v>-</v>
      </c>
      <c r="AY141" s="59" t="str">
        <f t="shared" si="58"/>
        <v>-</v>
      </c>
      <c r="AZ141" s="59" t="str">
        <f t="shared" si="59"/>
        <v>-</v>
      </c>
      <c r="BA141" s="59" t="str">
        <f t="shared" si="60"/>
        <v>-</v>
      </c>
      <c r="BB141" s="59" t="str">
        <f t="shared" si="61"/>
        <v>-</v>
      </c>
      <c r="BC141" s="59" t="str">
        <f t="shared" si="62"/>
        <v>-</v>
      </c>
      <c r="BD141" s="59" t="str">
        <f t="shared" si="63"/>
        <v>-</v>
      </c>
      <c r="BE141" s="59" t="str">
        <f t="shared" si="64"/>
        <v>-</v>
      </c>
      <c r="BF141" s="59" t="str">
        <f t="shared" si="65"/>
        <v>-</v>
      </c>
      <c r="BG141" s="59" t="str">
        <f t="shared" si="66"/>
        <v>-</v>
      </c>
      <c r="BH141" s="59" t="str">
        <f t="shared" si="67"/>
        <v>-</v>
      </c>
      <c r="BI141" s="59" t="str">
        <f t="shared" si="68"/>
        <v>-</v>
      </c>
      <c r="BJ141" s="59" t="str">
        <f t="shared" si="69"/>
        <v>-</v>
      </c>
      <c r="BK141" s="59" t="str">
        <f t="shared" si="70"/>
        <v>-</v>
      </c>
      <c r="BL141" s="59" t="str">
        <f>IF(AND(R141&gt;0,AO141&gt;0),MIN(R141,AO141),"-")</f>
        <v>-</v>
      </c>
      <c r="BM141" s="59" t="str">
        <f>IF(AND(S141&gt;0,AP141&gt;0),MIN(S141,AP141),"-")</f>
        <v>-</v>
      </c>
      <c r="BN141" s="59" t="str">
        <f>IF(AND(T141&gt;0,AQ141&gt;0),MIN(T141,AQ141),"-")</f>
        <v>-</v>
      </c>
      <c r="BO141" s="59" t="str">
        <f>IF(AND(U141&gt;0,AR141&gt;0),MIN(U141,AR141),"-")</f>
        <v>-</v>
      </c>
      <c r="BP141" s="59" t="str">
        <f>IF(AND(V141&gt;0,AS141&gt;0),MIN(V141,AS141),"-")</f>
        <v>-</v>
      </c>
      <c r="BQ141" s="59" t="str">
        <f t="shared" si="71"/>
        <v>-</v>
      </c>
      <c r="BR141" s="59" t="str">
        <f t="shared" si="72"/>
        <v>-</v>
      </c>
      <c r="BS141" s="59" t="str">
        <f t="shared" si="73"/>
        <v>-</v>
      </c>
      <c r="BT141" s="98" t="str">
        <f>IF(ISNUMBER(BS141),BS141-(C141*Rules!$P$9/100),"-")</f>
        <v>-</v>
      </c>
      <c r="BU141" s="59" t="e">
        <f>RANK($BT141,$BT$5:$BT$106,1)+COUNTIF(BT$5:BT141,BT141)-1</f>
        <v>#VALUE!</v>
      </c>
      <c r="BV141" s="59" t="e">
        <f t="shared" si="74"/>
        <v>#VALUE!</v>
      </c>
      <c r="BW141" s="59" t="str">
        <f t="shared" si="75"/>
        <v xml:space="preserve"> </v>
      </c>
      <c r="BX141" s="59">
        <f t="shared" si="76"/>
        <v>0</v>
      </c>
      <c r="BY141" s="98" t="str">
        <f t="shared" si="77"/>
        <v>-</v>
      </c>
      <c r="CD141" s="79"/>
      <c r="CE141" s="80"/>
      <c r="CF141" s="81"/>
      <c r="CL141" s="77">
        <v>1</v>
      </c>
    </row>
    <row r="142" spans="1:90" ht="17.45" customHeight="1">
      <c r="A142" s="58">
        <v>138</v>
      </c>
      <c r="B142" s="59" t="str">
        <f>'A Div'!A142 &amp; " " &amp; 'A Div'!B142</f>
        <v xml:space="preserve"> </v>
      </c>
      <c r="C142" s="59">
        <f>'A Div'!E142</f>
        <v>0</v>
      </c>
      <c r="D142" s="60"/>
      <c r="E142" s="60"/>
      <c r="F142" s="60"/>
      <c r="G142" s="60"/>
      <c r="H142" s="60"/>
      <c r="I142" s="60"/>
      <c r="J142" s="60"/>
      <c r="K142" s="60"/>
      <c r="L142" s="60"/>
      <c r="M142" s="74" t="str">
        <f t="shared" si="52"/>
        <v>-</v>
      </c>
      <c r="N142" s="60"/>
      <c r="O142" s="60"/>
      <c r="P142" s="60"/>
      <c r="Q142" s="60"/>
      <c r="R142" s="60"/>
      <c r="S142" s="60"/>
      <c r="T142" s="60"/>
      <c r="U142" s="60"/>
      <c r="V142" s="60"/>
      <c r="W142" s="74" t="str">
        <f t="shared" si="53"/>
        <v>-</v>
      </c>
      <c r="X142" s="148" t="str">
        <f t="shared" si="54"/>
        <v>-</v>
      </c>
      <c r="Y142" s="74" t="str">
        <f t="shared" si="55"/>
        <v>-</v>
      </c>
      <c r="AA142" s="60"/>
      <c r="AB142" s="60"/>
      <c r="AC142" s="60"/>
      <c r="AD142" s="60"/>
      <c r="AE142" s="60"/>
      <c r="AF142" s="60"/>
      <c r="AG142" s="60"/>
      <c r="AH142" s="60"/>
      <c r="AI142" s="60"/>
      <c r="AJ142" s="74" t="str">
        <f t="shared" si="56"/>
        <v>-</v>
      </c>
      <c r="AK142" s="60"/>
      <c r="AL142" s="60"/>
      <c r="AM142" s="60"/>
      <c r="AN142" s="60"/>
      <c r="AO142" s="60"/>
      <c r="AP142" s="60"/>
      <c r="AQ142" s="60"/>
      <c r="AR142" s="60"/>
      <c r="AS142" s="60"/>
      <c r="AT142" s="74" t="str">
        <f>IF(COUNTIF(AK142:AS142,"&lt;&gt;"&amp;"")=9,SUM(AK142:AS142),"-")</f>
        <v>-</v>
      </c>
      <c r="AU142" s="148" t="str">
        <f>IF(AND(ISNUMBER(AJ142),ISNUMBER(AT142)),AJ142+AT142,"-")</f>
        <v>-</v>
      </c>
      <c r="AV142" s="74" t="str">
        <f>IF(ISNUMBER(AU142),AU142-C142,"-")</f>
        <v>-</v>
      </c>
      <c r="AX142" s="59" t="str">
        <f t="shared" si="57"/>
        <v>-</v>
      </c>
      <c r="AY142" s="59" t="str">
        <f t="shared" si="58"/>
        <v>-</v>
      </c>
      <c r="AZ142" s="59" t="str">
        <f t="shared" si="59"/>
        <v>-</v>
      </c>
      <c r="BA142" s="59" t="str">
        <f t="shared" si="60"/>
        <v>-</v>
      </c>
      <c r="BB142" s="59" t="str">
        <f t="shared" si="61"/>
        <v>-</v>
      </c>
      <c r="BC142" s="59" t="str">
        <f t="shared" si="62"/>
        <v>-</v>
      </c>
      <c r="BD142" s="59" t="str">
        <f t="shared" si="63"/>
        <v>-</v>
      </c>
      <c r="BE142" s="59" t="str">
        <f t="shared" si="64"/>
        <v>-</v>
      </c>
      <c r="BF142" s="59" t="str">
        <f t="shared" si="65"/>
        <v>-</v>
      </c>
      <c r="BG142" s="59" t="str">
        <f t="shared" si="66"/>
        <v>-</v>
      </c>
      <c r="BH142" s="59" t="str">
        <f t="shared" si="67"/>
        <v>-</v>
      </c>
      <c r="BI142" s="59" t="str">
        <f t="shared" si="68"/>
        <v>-</v>
      </c>
      <c r="BJ142" s="59" t="str">
        <f t="shared" si="69"/>
        <v>-</v>
      </c>
      <c r="BK142" s="59" t="str">
        <f t="shared" si="70"/>
        <v>-</v>
      </c>
      <c r="BL142" s="59" t="str">
        <f>IF(AND(R142&gt;0,AO142&gt;0),MIN(R142,AO142),"-")</f>
        <v>-</v>
      </c>
      <c r="BM142" s="59" t="str">
        <f>IF(AND(S142&gt;0,AP142&gt;0),MIN(S142,AP142),"-")</f>
        <v>-</v>
      </c>
      <c r="BN142" s="59" t="str">
        <f>IF(AND(T142&gt;0,AQ142&gt;0),MIN(T142,AQ142),"-")</f>
        <v>-</v>
      </c>
      <c r="BO142" s="59" t="str">
        <f>IF(AND(U142&gt;0,AR142&gt;0),MIN(U142,AR142),"-")</f>
        <v>-</v>
      </c>
      <c r="BP142" s="59" t="str">
        <f>IF(AND(V142&gt;0,AS142&gt;0),MIN(V142,AS142),"-")</f>
        <v>-</v>
      </c>
      <c r="BQ142" s="59" t="str">
        <f t="shared" si="71"/>
        <v>-</v>
      </c>
      <c r="BR142" s="59" t="str">
        <f t="shared" si="72"/>
        <v>-</v>
      </c>
      <c r="BS142" s="59" t="str">
        <f t="shared" si="73"/>
        <v>-</v>
      </c>
      <c r="BT142" s="98" t="str">
        <f>IF(ISNUMBER(BS142),BS142-(C142*Rules!$P$9/100),"-")</f>
        <v>-</v>
      </c>
      <c r="BU142" s="59" t="e">
        <f>RANK($BT142,$BT$5:$BT$106,1)+COUNTIF(BT$5:BT142,BT142)-1</f>
        <v>#VALUE!</v>
      </c>
      <c r="BV142" s="59" t="e">
        <f t="shared" si="74"/>
        <v>#VALUE!</v>
      </c>
      <c r="BW142" s="59" t="str">
        <f t="shared" si="75"/>
        <v xml:space="preserve"> </v>
      </c>
      <c r="BX142" s="59">
        <f t="shared" si="76"/>
        <v>0</v>
      </c>
      <c r="BY142" s="98" t="str">
        <f t="shared" si="77"/>
        <v>-</v>
      </c>
      <c r="CD142" s="79"/>
      <c r="CE142" s="80"/>
      <c r="CF142" s="81"/>
      <c r="CL142" s="77">
        <v>1</v>
      </c>
    </row>
    <row r="143" spans="1:90" ht="17.45" customHeight="1">
      <c r="A143" s="58">
        <v>139</v>
      </c>
      <c r="B143" s="59" t="str">
        <f>'A Div'!A143 &amp; " " &amp; 'A Div'!B143</f>
        <v xml:space="preserve"> </v>
      </c>
      <c r="C143" s="59">
        <f>'A Div'!E143</f>
        <v>0</v>
      </c>
      <c r="D143" s="60"/>
      <c r="E143" s="60"/>
      <c r="F143" s="60"/>
      <c r="G143" s="60"/>
      <c r="H143" s="60"/>
      <c r="I143" s="60"/>
      <c r="J143" s="60"/>
      <c r="K143" s="60"/>
      <c r="L143" s="60"/>
      <c r="M143" s="74" t="str">
        <f t="shared" si="52"/>
        <v>-</v>
      </c>
      <c r="N143" s="60"/>
      <c r="O143" s="60"/>
      <c r="P143" s="60"/>
      <c r="Q143" s="60"/>
      <c r="R143" s="60"/>
      <c r="S143" s="60"/>
      <c r="T143" s="60"/>
      <c r="U143" s="60"/>
      <c r="V143" s="60"/>
      <c r="W143" s="74" t="str">
        <f t="shared" si="53"/>
        <v>-</v>
      </c>
      <c r="X143" s="148" t="str">
        <f t="shared" si="54"/>
        <v>-</v>
      </c>
      <c r="Y143" s="74" t="str">
        <f t="shared" si="55"/>
        <v>-</v>
      </c>
      <c r="AA143" s="60"/>
      <c r="AB143" s="60"/>
      <c r="AC143" s="60"/>
      <c r="AD143" s="60"/>
      <c r="AE143" s="60"/>
      <c r="AF143" s="60"/>
      <c r="AG143" s="60"/>
      <c r="AH143" s="60"/>
      <c r="AI143" s="60"/>
      <c r="AJ143" s="74" t="str">
        <f t="shared" si="56"/>
        <v>-</v>
      </c>
      <c r="AK143" s="60"/>
      <c r="AL143" s="60"/>
      <c r="AM143" s="60"/>
      <c r="AN143" s="60"/>
      <c r="AO143" s="60"/>
      <c r="AP143" s="60"/>
      <c r="AQ143" s="60"/>
      <c r="AR143" s="60"/>
      <c r="AS143" s="60"/>
      <c r="AT143" s="74" t="str">
        <f>IF(COUNTIF(AK143:AS143,"&lt;&gt;"&amp;"")=9,SUM(AK143:AS143),"-")</f>
        <v>-</v>
      </c>
      <c r="AU143" s="148" t="str">
        <f>IF(AND(ISNUMBER(AJ143),ISNUMBER(AT143)),AJ143+AT143,"-")</f>
        <v>-</v>
      </c>
      <c r="AV143" s="74" t="str">
        <f>IF(ISNUMBER(AU143),AU143-C143,"-")</f>
        <v>-</v>
      </c>
      <c r="AX143" s="59" t="str">
        <f t="shared" si="57"/>
        <v>-</v>
      </c>
      <c r="AY143" s="59" t="str">
        <f t="shared" si="58"/>
        <v>-</v>
      </c>
      <c r="AZ143" s="59" t="str">
        <f t="shared" si="59"/>
        <v>-</v>
      </c>
      <c r="BA143" s="59" t="str">
        <f t="shared" si="60"/>
        <v>-</v>
      </c>
      <c r="BB143" s="59" t="str">
        <f t="shared" si="61"/>
        <v>-</v>
      </c>
      <c r="BC143" s="59" t="str">
        <f t="shared" si="62"/>
        <v>-</v>
      </c>
      <c r="BD143" s="59" t="str">
        <f t="shared" si="63"/>
        <v>-</v>
      </c>
      <c r="BE143" s="59" t="str">
        <f t="shared" si="64"/>
        <v>-</v>
      </c>
      <c r="BF143" s="59" t="str">
        <f t="shared" si="65"/>
        <v>-</v>
      </c>
      <c r="BG143" s="59" t="str">
        <f t="shared" si="66"/>
        <v>-</v>
      </c>
      <c r="BH143" s="59" t="str">
        <f t="shared" si="67"/>
        <v>-</v>
      </c>
      <c r="BI143" s="59" t="str">
        <f t="shared" si="68"/>
        <v>-</v>
      </c>
      <c r="BJ143" s="59" t="str">
        <f t="shared" si="69"/>
        <v>-</v>
      </c>
      <c r="BK143" s="59" t="str">
        <f t="shared" si="70"/>
        <v>-</v>
      </c>
      <c r="BL143" s="59" t="str">
        <f>IF(AND(R143&gt;0,AO143&gt;0),MIN(R143,AO143),"-")</f>
        <v>-</v>
      </c>
      <c r="BM143" s="59" t="str">
        <f>IF(AND(S143&gt;0,AP143&gt;0),MIN(S143,AP143),"-")</f>
        <v>-</v>
      </c>
      <c r="BN143" s="59" t="str">
        <f>IF(AND(T143&gt;0,AQ143&gt;0),MIN(T143,AQ143),"-")</f>
        <v>-</v>
      </c>
      <c r="BO143" s="59" t="str">
        <f>IF(AND(U143&gt;0,AR143&gt;0),MIN(U143,AR143),"-")</f>
        <v>-</v>
      </c>
      <c r="BP143" s="59" t="str">
        <f>IF(AND(V143&gt;0,AS143&gt;0),MIN(V143,AS143),"-")</f>
        <v>-</v>
      </c>
      <c r="BQ143" s="59" t="str">
        <f t="shared" si="71"/>
        <v>-</v>
      </c>
      <c r="BR143" s="59" t="str">
        <f t="shared" si="72"/>
        <v>-</v>
      </c>
      <c r="BS143" s="59" t="str">
        <f t="shared" si="73"/>
        <v>-</v>
      </c>
      <c r="BT143" s="98" t="str">
        <f>IF(ISNUMBER(BS143),BS143-(C143*Rules!$P$9/100),"-")</f>
        <v>-</v>
      </c>
      <c r="BU143" s="59" t="e">
        <f>RANK($BT143,$BT$5:$BT$106,1)+COUNTIF(BT$5:BT143,BT143)-1</f>
        <v>#VALUE!</v>
      </c>
      <c r="BV143" s="59" t="e">
        <f t="shared" si="74"/>
        <v>#VALUE!</v>
      </c>
      <c r="BW143" s="59" t="str">
        <f t="shared" si="75"/>
        <v xml:space="preserve"> </v>
      </c>
      <c r="BX143" s="59">
        <f t="shared" si="76"/>
        <v>0</v>
      </c>
      <c r="BY143" s="98" t="str">
        <f t="shared" si="77"/>
        <v>-</v>
      </c>
      <c r="CD143" s="79"/>
      <c r="CE143" s="80"/>
      <c r="CF143" s="81"/>
      <c r="CL143" s="77">
        <v>1</v>
      </c>
    </row>
    <row r="144" spans="1:90" ht="17.45" customHeight="1">
      <c r="A144" s="58">
        <v>140</v>
      </c>
      <c r="B144" s="59" t="str">
        <f>'A Div'!A144 &amp; " " &amp; 'A Div'!B144</f>
        <v xml:space="preserve"> </v>
      </c>
      <c r="C144" s="59">
        <f>'A Div'!E144</f>
        <v>0</v>
      </c>
      <c r="D144" s="60"/>
      <c r="E144" s="60"/>
      <c r="F144" s="60"/>
      <c r="G144" s="60"/>
      <c r="H144" s="60"/>
      <c r="I144" s="60"/>
      <c r="J144" s="60"/>
      <c r="K144" s="60"/>
      <c r="L144" s="60"/>
      <c r="M144" s="74" t="str">
        <f t="shared" si="52"/>
        <v>-</v>
      </c>
      <c r="N144" s="60"/>
      <c r="O144" s="60"/>
      <c r="P144" s="60"/>
      <c r="Q144" s="60"/>
      <c r="R144" s="60"/>
      <c r="S144" s="60"/>
      <c r="T144" s="60"/>
      <c r="U144" s="60"/>
      <c r="V144" s="60"/>
      <c r="W144" s="74" t="str">
        <f t="shared" si="53"/>
        <v>-</v>
      </c>
      <c r="X144" s="148" t="str">
        <f t="shared" si="54"/>
        <v>-</v>
      </c>
      <c r="Y144" s="74" t="str">
        <f t="shared" si="55"/>
        <v>-</v>
      </c>
      <c r="AA144" s="60"/>
      <c r="AB144" s="60"/>
      <c r="AC144" s="60"/>
      <c r="AD144" s="60"/>
      <c r="AE144" s="60"/>
      <c r="AF144" s="60"/>
      <c r="AG144" s="60"/>
      <c r="AH144" s="60"/>
      <c r="AI144" s="60"/>
      <c r="AJ144" s="74" t="str">
        <f t="shared" si="56"/>
        <v>-</v>
      </c>
      <c r="AK144" s="60"/>
      <c r="AL144" s="60"/>
      <c r="AM144" s="60"/>
      <c r="AN144" s="60"/>
      <c r="AO144" s="60"/>
      <c r="AP144" s="60"/>
      <c r="AQ144" s="60"/>
      <c r="AR144" s="60"/>
      <c r="AS144" s="60"/>
      <c r="AT144" s="74" t="str">
        <f>IF(COUNTIF(AK144:AS144,"&lt;&gt;"&amp;"")=9,SUM(AK144:AS144),"-")</f>
        <v>-</v>
      </c>
      <c r="AU144" s="148" t="str">
        <f>IF(AND(ISNUMBER(AJ144),ISNUMBER(AT144)),AJ144+AT144,"-")</f>
        <v>-</v>
      </c>
      <c r="AV144" s="74" t="str">
        <f>IF(ISNUMBER(AU144),AU144-C144,"-")</f>
        <v>-</v>
      </c>
      <c r="AX144" s="59" t="str">
        <f t="shared" si="57"/>
        <v>-</v>
      </c>
      <c r="AY144" s="59" t="str">
        <f t="shared" si="58"/>
        <v>-</v>
      </c>
      <c r="AZ144" s="59" t="str">
        <f t="shared" si="59"/>
        <v>-</v>
      </c>
      <c r="BA144" s="59" t="str">
        <f t="shared" si="60"/>
        <v>-</v>
      </c>
      <c r="BB144" s="59" t="str">
        <f t="shared" si="61"/>
        <v>-</v>
      </c>
      <c r="BC144" s="59" t="str">
        <f t="shared" si="62"/>
        <v>-</v>
      </c>
      <c r="BD144" s="59" t="str">
        <f t="shared" si="63"/>
        <v>-</v>
      </c>
      <c r="BE144" s="59" t="str">
        <f t="shared" si="64"/>
        <v>-</v>
      </c>
      <c r="BF144" s="59" t="str">
        <f t="shared" si="65"/>
        <v>-</v>
      </c>
      <c r="BG144" s="59" t="str">
        <f t="shared" si="66"/>
        <v>-</v>
      </c>
      <c r="BH144" s="59" t="str">
        <f t="shared" si="67"/>
        <v>-</v>
      </c>
      <c r="BI144" s="59" t="str">
        <f t="shared" si="68"/>
        <v>-</v>
      </c>
      <c r="BJ144" s="59" t="str">
        <f t="shared" si="69"/>
        <v>-</v>
      </c>
      <c r="BK144" s="59" t="str">
        <f t="shared" si="70"/>
        <v>-</v>
      </c>
      <c r="BL144" s="59" t="str">
        <f>IF(AND(R144&gt;0,AO144&gt;0),MIN(R144,AO144),"-")</f>
        <v>-</v>
      </c>
      <c r="BM144" s="59" t="str">
        <f>IF(AND(S144&gt;0,AP144&gt;0),MIN(S144,AP144),"-")</f>
        <v>-</v>
      </c>
      <c r="BN144" s="59" t="str">
        <f>IF(AND(T144&gt;0,AQ144&gt;0),MIN(T144,AQ144),"-")</f>
        <v>-</v>
      </c>
      <c r="BO144" s="59" t="str">
        <f>IF(AND(U144&gt;0,AR144&gt;0),MIN(U144,AR144),"-")</f>
        <v>-</v>
      </c>
      <c r="BP144" s="59" t="str">
        <f>IF(AND(V144&gt;0,AS144&gt;0),MIN(V144,AS144),"-")</f>
        <v>-</v>
      </c>
      <c r="BQ144" s="59" t="str">
        <f t="shared" si="71"/>
        <v>-</v>
      </c>
      <c r="BR144" s="59" t="str">
        <f t="shared" si="72"/>
        <v>-</v>
      </c>
      <c r="BS144" s="59" t="str">
        <f t="shared" si="73"/>
        <v>-</v>
      </c>
      <c r="BT144" s="98" t="str">
        <f>IF(ISNUMBER(BS144),BS144-(C144*Rules!$P$9/100),"-")</f>
        <v>-</v>
      </c>
      <c r="BU144" s="59" t="e">
        <f>RANK($BT144,$BT$5:$BT$106,1)+COUNTIF(BT$5:BT144,BT144)-1</f>
        <v>#VALUE!</v>
      </c>
      <c r="BV144" s="59" t="e">
        <f t="shared" si="74"/>
        <v>#VALUE!</v>
      </c>
      <c r="BW144" s="59" t="str">
        <f t="shared" si="75"/>
        <v xml:space="preserve"> </v>
      </c>
      <c r="BX144" s="59">
        <f t="shared" si="76"/>
        <v>0</v>
      </c>
      <c r="BY144" s="98" t="str">
        <f t="shared" si="77"/>
        <v>-</v>
      </c>
      <c r="CD144" s="79"/>
      <c r="CE144" s="80"/>
      <c r="CF144" s="81"/>
      <c r="CL144" s="77">
        <v>1</v>
      </c>
    </row>
    <row r="145" spans="1:90" ht="17.45" customHeight="1">
      <c r="A145" s="58">
        <v>141</v>
      </c>
      <c r="B145" s="59" t="str">
        <f>'A Div'!A145 &amp; " " &amp; 'A Div'!B145</f>
        <v xml:space="preserve"> </v>
      </c>
      <c r="C145" s="59">
        <f>'A Div'!E145</f>
        <v>0</v>
      </c>
      <c r="D145" s="60"/>
      <c r="E145" s="60"/>
      <c r="F145" s="60"/>
      <c r="G145" s="60"/>
      <c r="H145" s="60"/>
      <c r="I145" s="60"/>
      <c r="J145" s="60"/>
      <c r="K145" s="60"/>
      <c r="L145" s="60"/>
      <c r="M145" s="74" t="str">
        <f t="shared" si="52"/>
        <v>-</v>
      </c>
      <c r="N145" s="60"/>
      <c r="O145" s="60"/>
      <c r="P145" s="60"/>
      <c r="Q145" s="60"/>
      <c r="R145" s="60"/>
      <c r="S145" s="60"/>
      <c r="T145" s="60"/>
      <c r="U145" s="60"/>
      <c r="V145" s="60"/>
      <c r="W145" s="74" t="str">
        <f t="shared" si="53"/>
        <v>-</v>
      </c>
      <c r="X145" s="148" t="str">
        <f t="shared" si="54"/>
        <v>-</v>
      </c>
      <c r="Y145" s="74" t="str">
        <f t="shared" si="55"/>
        <v>-</v>
      </c>
      <c r="AA145" s="60"/>
      <c r="AB145" s="60"/>
      <c r="AC145" s="60"/>
      <c r="AD145" s="60"/>
      <c r="AE145" s="60"/>
      <c r="AF145" s="60"/>
      <c r="AG145" s="60"/>
      <c r="AH145" s="60"/>
      <c r="AI145" s="60"/>
      <c r="AJ145" s="74" t="str">
        <f t="shared" si="56"/>
        <v>-</v>
      </c>
      <c r="AK145" s="60"/>
      <c r="AL145" s="60"/>
      <c r="AM145" s="60"/>
      <c r="AN145" s="60"/>
      <c r="AO145" s="60"/>
      <c r="AP145" s="60"/>
      <c r="AQ145" s="60"/>
      <c r="AR145" s="60"/>
      <c r="AS145" s="60"/>
      <c r="AT145" s="74" t="str">
        <f>IF(COUNTIF(AK145:AS145,"&lt;&gt;"&amp;"")=9,SUM(AK145:AS145),"-")</f>
        <v>-</v>
      </c>
      <c r="AU145" s="148" t="str">
        <f>IF(AND(ISNUMBER(AJ145),ISNUMBER(AT145)),AJ145+AT145,"-")</f>
        <v>-</v>
      </c>
      <c r="AV145" s="74" t="str">
        <f>IF(ISNUMBER(AU145),AU145-C145,"-")</f>
        <v>-</v>
      </c>
      <c r="AX145" s="59" t="str">
        <f t="shared" si="57"/>
        <v>-</v>
      </c>
      <c r="AY145" s="59" t="str">
        <f t="shared" si="58"/>
        <v>-</v>
      </c>
      <c r="AZ145" s="59" t="str">
        <f t="shared" si="59"/>
        <v>-</v>
      </c>
      <c r="BA145" s="59" t="str">
        <f t="shared" si="60"/>
        <v>-</v>
      </c>
      <c r="BB145" s="59" t="str">
        <f t="shared" si="61"/>
        <v>-</v>
      </c>
      <c r="BC145" s="59" t="str">
        <f t="shared" si="62"/>
        <v>-</v>
      </c>
      <c r="BD145" s="59" t="str">
        <f t="shared" si="63"/>
        <v>-</v>
      </c>
      <c r="BE145" s="59" t="str">
        <f t="shared" si="64"/>
        <v>-</v>
      </c>
      <c r="BF145" s="59" t="str">
        <f t="shared" si="65"/>
        <v>-</v>
      </c>
      <c r="BG145" s="59" t="str">
        <f t="shared" si="66"/>
        <v>-</v>
      </c>
      <c r="BH145" s="59" t="str">
        <f t="shared" si="67"/>
        <v>-</v>
      </c>
      <c r="BI145" s="59" t="str">
        <f t="shared" si="68"/>
        <v>-</v>
      </c>
      <c r="BJ145" s="59" t="str">
        <f t="shared" si="69"/>
        <v>-</v>
      </c>
      <c r="BK145" s="59" t="str">
        <f t="shared" si="70"/>
        <v>-</v>
      </c>
      <c r="BL145" s="59" t="str">
        <f>IF(AND(R145&gt;0,AO145&gt;0),MIN(R145,AO145),"-")</f>
        <v>-</v>
      </c>
      <c r="BM145" s="59" t="str">
        <f>IF(AND(S145&gt;0,AP145&gt;0),MIN(S145,AP145),"-")</f>
        <v>-</v>
      </c>
      <c r="BN145" s="59" t="str">
        <f>IF(AND(T145&gt;0,AQ145&gt;0),MIN(T145,AQ145),"-")</f>
        <v>-</v>
      </c>
      <c r="BO145" s="59" t="str">
        <f>IF(AND(U145&gt;0,AR145&gt;0),MIN(U145,AR145),"-")</f>
        <v>-</v>
      </c>
      <c r="BP145" s="59" t="str">
        <f>IF(AND(V145&gt;0,AS145&gt;0),MIN(V145,AS145),"-")</f>
        <v>-</v>
      </c>
      <c r="BQ145" s="59" t="str">
        <f t="shared" si="71"/>
        <v>-</v>
      </c>
      <c r="BR145" s="59" t="str">
        <f t="shared" si="72"/>
        <v>-</v>
      </c>
      <c r="BS145" s="59" t="str">
        <f t="shared" si="73"/>
        <v>-</v>
      </c>
      <c r="BT145" s="98" t="str">
        <f>IF(ISNUMBER(BS145),BS145-(C145*Rules!$P$9/100),"-")</f>
        <v>-</v>
      </c>
      <c r="BU145" s="59" t="e">
        <f>RANK($BT145,$BT$5:$BT$106,1)+COUNTIF(BT$5:BT145,BT145)-1</f>
        <v>#VALUE!</v>
      </c>
      <c r="BV145" s="59" t="e">
        <f t="shared" si="74"/>
        <v>#VALUE!</v>
      </c>
      <c r="BW145" s="59" t="str">
        <f t="shared" si="75"/>
        <v xml:space="preserve"> </v>
      </c>
      <c r="BX145" s="59">
        <f t="shared" si="76"/>
        <v>0</v>
      </c>
      <c r="BY145" s="98" t="str">
        <f t="shared" si="77"/>
        <v>-</v>
      </c>
      <c r="CD145" s="79"/>
      <c r="CE145" s="80"/>
      <c r="CF145" s="81"/>
      <c r="CL145" s="77">
        <v>1</v>
      </c>
    </row>
    <row r="146" spans="1:90" ht="17.45" customHeight="1">
      <c r="A146" s="58">
        <v>142</v>
      </c>
      <c r="B146" s="59" t="str">
        <f>'A Div'!A146 &amp; " " &amp; 'A Div'!B146</f>
        <v xml:space="preserve"> </v>
      </c>
      <c r="C146" s="59">
        <f>'A Div'!E146</f>
        <v>0</v>
      </c>
      <c r="D146" s="60"/>
      <c r="E146" s="60"/>
      <c r="F146" s="60"/>
      <c r="G146" s="60"/>
      <c r="H146" s="60"/>
      <c r="I146" s="60"/>
      <c r="J146" s="60"/>
      <c r="K146" s="60"/>
      <c r="L146" s="60"/>
      <c r="M146" s="74" t="str">
        <f t="shared" si="52"/>
        <v>-</v>
      </c>
      <c r="N146" s="60"/>
      <c r="O146" s="60"/>
      <c r="P146" s="60"/>
      <c r="Q146" s="60"/>
      <c r="R146" s="60"/>
      <c r="S146" s="60"/>
      <c r="T146" s="60"/>
      <c r="U146" s="60"/>
      <c r="V146" s="60"/>
      <c r="W146" s="74" t="str">
        <f t="shared" si="53"/>
        <v>-</v>
      </c>
      <c r="X146" s="148" t="str">
        <f t="shared" si="54"/>
        <v>-</v>
      </c>
      <c r="Y146" s="74" t="str">
        <f t="shared" si="55"/>
        <v>-</v>
      </c>
      <c r="AA146" s="60"/>
      <c r="AB146" s="60"/>
      <c r="AC146" s="60"/>
      <c r="AD146" s="60"/>
      <c r="AE146" s="60"/>
      <c r="AF146" s="60"/>
      <c r="AG146" s="60"/>
      <c r="AH146" s="60"/>
      <c r="AI146" s="60"/>
      <c r="AJ146" s="74" t="str">
        <f t="shared" si="56"/>
        <v>-</v>
      </c>
      <c r="AK146" s="60"/>
      <c r="AL146" s="60"/>
      <c r="AM146" s="60"/>
      <c r="AN146" s="60"/>
      <c r="AO146" s="60"/>
      <c r="AP146" s="60"/>
      <c r="AQ146" s="60"/>
      <c r="AR146" s="60"/>
      <c r="AS146" s="60"/>
      <c r="AT146" s="74" t="str">
        <f>IF(COUNTIF(AK146:AS146,"&lt;&gt;"&amp;"")=9,SUM(AK146:AS146),"-")</f>
        <v>-</v>
      </c>
      <c r="AU146" s="148" t="str">
        <f>IF(AND(ISNUMBER(AJ146),ISNUMBER(AT146)),AJ146+AT146,"-")</f>
        <v>-</v>
      </c>
      <c r="AV146" s="74" t="str">
        <f>IF(ISNUMBER(AU146),AU146-C146,"-")</f>
        <v>-</v>
      </c>
      <c r="AX146" s="59" t="str">
        <f t="shared" si="57"/>
        <v>-</v>
      </c>
      <c r="AY146" s="59" t="str">
        <f t="shared" si="58"/>
        <v>-</v>
      </c>
      <c r="AZ146" s="59" t="str">
        <f t="shared" si="59"/>
        <v>-</v>
      </c>
      <c r="BA146" s="59" t="str">
        <f t="shared" si="60"/>
        <v>-</v>
      </c>
      <c r="BB146" s="59" t="str">
        <f t="shared" si="61"/>
        <v>-</v>
      </c>
      <c r="BC146" s="59" t="str">
        <f t="shared" si="62"/>
        <v>-</v>
      </c>
      <c r="BD146" s="59" t="str">
        <f t="shared" si="63"/>
        <v>-</v>
      </c>
      <c r="BE146" s="59" t="str">
        <f t="shared" si="64"/>
        <v>-</v>
      </c>
      <c r="BF146" s="59" t="str">
        <f t="shared" si="65"/>
        <v>-</v>
      </c>
      <c r="BG146" s="59" t="str">
        <f t="shared" si="66"/>
        <v>-</v>
      </c>
      <c r="BH146" s="59" t="str">
        <f t="shared" si="67"/>
        <v>-</v>
      </c>
      <c r="BI146" s="59" t="str">
        <f t="shared" si="68"/>
        <v>-</v>
      </c>
      <c r="BJ146" s="59" t="str">
        <f t="shared" si="69"/>
        <v>-</v>
      </c>
      <c r="BK146" s="59" t="str">
        <f t="shared" si="70"/>
        <v>-</v>
      </c>
      <c r="BL146" s="59" t="str">
        <f>IF(AND(R146&gt;0,AO146&gt;0),MIN(R146,AO146),"-")</f>
        <v>-</v>
      </c>
      <c r="BM146" s="59" t="str">
        <f>IF(AND(S146&gt;0,AP146&gt;0),MIN(S146,AP146),"-")</f>
        <v>-</v>
      </c>
      <c r="BN146" s="59" t="str">
        <f>IF(AND(T146&gt;0,AQ146&gt;0),MIN(T146,AQ146),"-")</f>
        <v>-</v>
      </c>
      <c r="BO146" s="59" t="str">
        <f>IF(AND(U146&gt;0,AR146&gt;0),MIN(U146,AR146),"-")</f>
        <v>-</v>
      </c>
      <c r="BP146" s="59" t="str">
        <f>IF(AND(V146&gt;0,AS146&gt;0),MIN(V146,AS146),"-")</f>
        <v>-</v>
      </c>
      <c r="BQ146" s="59" t="str">
        <f t="shared" si="71"/>
        <v>-</v>
      </c>
      <c r="BR146" s="59" t="str">
        <f t="shared" si="72"/>
        <v>-</v>
      </c>
      <c r="BS146" s="59" t="str">
        <f t="shared" si="73"/>
        <v>-</v>
      </c>
      <c r="BT146" s="98" t="str">
        <f>IF(ISNUMBER(BS146),BS146-(C146*Rules!$P$9/100),"-")</f>
        <v>-</v>
      </c>
      <c r="BU146" s="59" t="e">
        <f>RANK($BT146,$BT$5:$BT$106,1)+COUNTIF(BT$5:BT146,BT146)-1</f>
        <v>#VALUE!</v>
      </c>
      <c r="BV146" s="59" t="e">
        <f t="shared" si="74"/>
        <v>#VALUE!</v>
      </c>
      <c r="BW146" s="59" t="str">
        <f t="shared" si="75"/>
        <v xml:space="preserve"> </v>
      </c>
      <c r="BX146" s="59">
        <f t="shared" si="76"/>
        <v>0</v>
      </c>
      <c r="BY146" s="98" t="str">
        <f t="shared" si="77"/>
        <v>-</v>
      </c>
      <c r="CD146" s="79"/>
      <c r="CE146" s="80"/>
      <c r="CF146" s="81"/>
      <c r="CL146" s="77">
        <v>1</v>
      </c>
    </row>
    <row r="147" spans="1:90" ht="17.45" customHeight="1">
      <c r="A147" s="58">
        <v>143</v>
      </c>
      <c r="B147" s="59" t="str">
        <f>'A Div'!A147 &amp; " " &amp; 'A Div'!B147</f>
        <v xml:space="preserve"> </v>
      </c>
      <c r="C147" s="59">
        <f>'A Div'!E147</f>
        <v>0</v>
      </c>
      <c r="D147" s="60"/>
      <c r="E147" s="60"/>
      <c r="F147" s="60"/>
      <c r="G147" s="60"/>
      <c r="H147" s="60"/>
      <c r="I147" s="60"/>
      <c r="J147" s="60"/>
      <c r="K147" s="60"/>
      <c r="L147" s="60"/>
      <c r="M147" s="74" t="str">
        <f t="shared" si="52"/>
        <v>-</v>
      </c>
      <c r="N147" s="60"/>
      <c r="O147" s="60"/>
      <c r="P147" s="60"/>
      <c r="Q147" s="60"/>
      <c r="R147" s="60"/>
      <c r="S147" s="60"/>
      <c r="T147" s="60"/>
      <c r="U147" s="60"/>
      <c r="V147" s="60"/>
      <c r="W147" s="74" t="str">
        <f t="shared" si="53"/>
        <v>-</v>
      </c>
      <c r="X147" s="148" t="str">
        <f t="shared" si="54"/>
        <v>-</v>
      </c>
      <c r="Y147" s="74" t="str">
        <f t="shared" si="55"/>
        <v>-</v>
      </c>
      <c r="AA147" s="60"/>
      <c r="AB147" s="60"/>
      <c r="AC147" s="60"/>
      <c r="AD147" s="60"/>
      <c r="AE147" s="60"/>
      <c r="AF147" s="60"/>
      <c r="AG147" s="60"/>
      <c r="AH147" s="60"/>
      <c r="AI147" s="60"/>
      <c r="AJ147" s="74" t="str">
        <f t="shared" si="56"/>
        <v>-</v>
      </c>
      <c r="AK147" s="60"/>
      <c r="AL147" s="60"/>
      <c r="AM147" s="60"/>
      <c r="AN147" s="60"/>
      <c r="AO147" s="60"/>
      <c r="AP147" s="60"/>
      <c r="AQ147" s="60"/>
      <c r="AR147" s="60"/>
      <c r="AS147" s="60"/>
      <c r="AT147" s="74" t="str">
        <f>IF(COUNTIF(AK147:AS147,"&lt;&gt;"&amp;"")=9,SUM(AK147:AS147),"-")</f>
        <v>-</v>
      </c>
      <c r="AU147" s="148" t="str">
        <f>IF(AND(ISNUMBER(AJ147),ISNUMBER(AT147)),AJ147+AT147,"-")</f>
        <v>-</v>
      </c>
      <c r="AV147" s="74" t="str">
        <f>IF(ISNUMBER(AU147),AU147-C147,"-")</f>
        <v>-</v>
      </c>
      <c r="AX147" s="59" t="str">
        <f t="shared" si="57"/>
        <v>-</v>
      </c>
      <c r="AY147" s="59" t="str">
        <f t="shared" si="58"/>
        <v>-</v>
      </c>
      <c r="AZ147" s="59" t="str">
        <f t="shared" si="59"/>
        <v>-</v>
      </c>
      <c r="BA147" s="59" t="str">
        <f t="shared" si="60"/>
        <v>-</v>
      </c>
      <c r="BB147" s="59" t="str">
        <f t="shared" si="61"/>
        <v>-</v>
      </c>
      <c r="BC147" s="59" t="str">
        <f t="shared" si="62"/>
        <v>-</v>
      </c>
      <c r="BD147" s="59" t="str">
        <f t="shared" si="63"/>
        <v>-</v>
      </c>
      <c r="BE147" s="59" t="str">
        <f t="shared" si="64"/>
        <v>-</v>
      </c>
      <c r="BF147" s="59" t="str">
        <f t="shared" si="65"/>
        <v>-</v>
      </c>
      <c r="BG147" s="59" t="str">
        <f t="shared" si="66"/>
        <v>-</v>
      </c>
      <c r="BH147" s="59" t="str">
        <f t="shared" si="67"/>
        <v>-</v>
      </c>
      <c r="BI147" s="59" t="str">
        <f t="shared" si="68"/>
        <v>-</v>
      </c>
      <c r="BJ147" s="59" t="str">
        <f t="shared" si="69"/>
        <v>-</v>
      </c>
      <c r="BK147" s="59" t="str">
        <f t="shared" si="70"/>
        <v>-</v>
      </c>
      <c r="BL147" s="59" t="str">
        <f>IF(AND(R147&gt;0,AO147&gt;0),MIN(R147,AO147),"-")</f>
        <v>-</v>
      </c>
      <c r="BM147" s="59" t="str">
        <f>IF(AND(S147&gt;0,AP147&gt;0),MIN(S147,AP147),"-")</f>
        <v>-</v>
      </c>
      <c r="BN147" s="59" t="str">
        <f>IF(AND(T147&gt;0,AQ147&gt;0),MIN(T147,AQ147),"-")</f>
        <v>-</v>
      </c>
      <c r="BO147" s="59" t="str">
        <f>IF(AND(U147&gt;0,AR147&gt;0),MIN(U147,AR147),"-")</f>
        <v>-</v>
      </c>
      <c r="BP147" s="59" t="str">
        <f>IF(AND(V147&gt;0,AS147&gt;0),MIN(V147,AS147),"-")</f>
        <v>-</v>
      </c>
      <c r="BQ147" s="59" t="str">
        <f t="shared" si="71"/>
        <v>-</v>
      </c>
      <c r="BR147" s="59" t="str">
        <f t="shared" si="72"/>
        <v>-</v>
      </c>
      <c r="BS147" s="59" t="str">
        <f t="shared" si="73"/>
        <v>-</v>
      </c>
      <c r="BT147" s="98" t="str">
        <f>IF(ISNUMBER(BS147),BS147-(C147*Rules!$P$9/100),"-")</f>
        <v>-</v>
      </c>
      <c r="BU147" s="59" t="e">
        <f>RANK($BT147,$BT$5:$BT$106,1)+COUNTIF(BT$5:BT147,BT147)-1</f>
        <v>#VALUE!</v>
      </c>
      <c r="BV147" s="59" t="e">
        <f t="shared" si="74"/>
        <v>#VALUE!</v>
      </c>
      <c r="BW147" s="59" t="str">
        <f t="shared" si="75"/>
        <v xml:space="preserve"> </v>
      </c>
      <c r="BX147" s="59">
        <f t="shared" si="76"/>
        <v>0</v>
      </c>
      <c r="BY147" s="98" t="str">
        <f t="shared" si="77"/>
        <v>-</v>
      </c>
      <c r="CD147" s="79"/>
      <c r="CE147" s="80"/>
      <c r="CF147" s="81"/>
      <c r="CL147" s="77">
        <v>1</v>
      </c>
    </row>
    <row r="148" spans="1:90" ht="17.45" customHeight="1">
      <c r="A148" s="58">
        <v>144</v>
      </c>
      <c r="B148" s="59" t="str">
        <f>'A Div'!A148 &amp; " " &amp; 'A Div'!B148</f>
        <v xml:space="preserve"> </v>
      </c>
      <c r="C148" s="59">
        <f>'A Div'!E148</f>
        <v>0</v>
      </c>
      <c r="D148" s="60"/>
      <c r="E148" s="60"/>
      <c r="F148" s="60"/>
      <c r="G148" s="60"/>
      <c r="H148" s="60"/>
      <c r="I148" s="60"/>
      <c r="J148" s="60"/>
      <c r="K148" s="60"/>
      <c r="L148" s="60"/>
      <c r="M148" s="74" t="str">
        <f t="shared" si="52"/>
        <v>-</v>
      </c>
      <c r="N148" s="60"/>
      <c r="O148" s="60"/>
      <c r="P148" s="60"/>
      <c r="Q148" s="60"/>
      <c r="R148" s="60"/>
      <c r="S148" s="60"/>
      <c r="T148" s="60"/>
      <c r="U148" s="60"/>
      <c r="V148" s="60"/>
      <c r="W148" s="74" t="str">
        <f t="shared" si="53"/>
        <v>-</v>
      </c>
      <c r="X148" s="148" t="str">
        <f t="shared" si="54"/>
        <v>-</v>
      </c>
      <c r="Y148" s="74" t="str">
        <f t="shared" si="55"/>
        <v>-</v>
      </c>
      <c r="AA148" s="60"/>
      <c r="AB148" s="60"/>
      <c r="AC148" s="60"/>
      <c r="AD148" s="60"/>
      <c r="AE148" s="60"/>
      <c r="AF148" s="60"/>
      <c r="AG148" s="60"/>
      <c r="AH148" s="60"/>
      <c r="AI148" s="60"/>
      <c r="AJ148" s="74" t="str">
        <f t="shared" si="56"/>
        <v>-</v>
      </c>
      <c r="AK148" s="60"/>
      <c r="AL148" s="60"/>
      <c r="AM148" s="60"/>
      <c r="AN148" s="60"/>
      <c r="AO148" s="60"/>
      <c r="AP148" s="60"/>
      <c r="AQ148" s="60"/>
      <c r="AR148" s="60"/>
      <c r="AS148" s="60"/>
      <c r="AT148" s="74" t="str">
        <f>IF(COUNTIF(AK148:AS148,"&lt;&gt;"&amp;"")=9,SUM(AK148:AS148),"-")</f>
        <v>-</v>
      </c>
      <c r="AU148" s="148" t="str">
        <f>IF(AND(ISNUMBER(AJ148),ISNUMBER(AT148)),AJ148+AT148,"-")</f>
        <v>-</v>
      </c>
      <c r="AV148" s="74" t="str">
        <f>IF(ISNUMBER(AU148),AU148-C148,"-")</f>
        <v>-</v>
      </c>
      <c r="AX148" s="59" t="str">
        <f t="shared" si="57"/>
        <v>-</v>
      </c>
      <c r="AY148" s="59" t="str">
        <f t="shared" si="58"/>
        <v>-</v>
      </c>
      <c r="AZ148" s="59" t="str">
        <f t="shared" si="59"/>
        <v>-</v>
      </c>
      <c r="BA148" s="59" t="str">
        <f t="shared" si="60"/>
        <v>-</v>
      </c>
      <c r="BB148" s="59" t="str">
        <f t="shared" si="61"/>
        <v>-</v>
      </c>
      <c r="BC148" s="59" t="str">
        <f t="shared" si="62"/>
        <v>-</v>
      </c>
      <c r="BD148" s="59" t="str">
        <f t="shared" si="63"/>
        <v>-</v>
      </c>
      <c r="BE148" s="59" t="str">
        <f t="shared" si="64"/>
        <v>-</v>
      </c>
      <c r="BF148" s="59" t="str">
        <f t="shared" si="65"/>
        <v>-</v>
      </c>
      <c r="BG148" s="59" t="str">
        <f t="shared" si="66"/>
        <v>-</v>
      </c>
      <c r="BH148" s="59" t="str">
        <f t="shared" si="67"/>
        <v>-</v>
      </c>
      <c r="BI148" s="59" t="str">
        <f t="shared" si="68"/>
        <v>-</v>
      </c>
      <c r="BJ148" s="59" t="str">
        <f t="shared" si="69"/>
        <v>-</v>
      </c>
      <c r="BK148" s="59" t="str">
        <f t="shared" si="70"/>
        <v>-</v>
      </c>
      <c r="BL148" s="59" t="str">
        <f>IF(AND(R148&gt;0,AO148&gt;0),MIN(R148,AO148),"-")</f>
        <v>-</v>
      </c>
      <c r="BM148" s="59" t="str">
        <f>IF(AND(S148&gt;0,AP148&gt;0),MIN(S148,AP148),"-")</f>
        <v>-</v>
      </c>
      <c r="BN148" s="59" t="str">
        <f>IF(AND(T148&gt;0,AQ148&gt;0),MIN(T148,AQ148),"-")</f>
        <v>-</v>
      </c>
      <c r="BO148" s="59" t="str">
        <f>IF(AND(U148&gt;0,AR148&gt;0),MIN(U148,AR148),"-")</f>
        <v>-</v>
      </c>
      <c r="BP148" s="59" t="str">
        <f>IF(AND(V148&gt;0,AS148&gt;0),MIN(V148,AS148),"-")</f>
        <v>-</v>
      </c>
      <c r="BQ148" s="59" t="str">
        <f t="shared" si="71"/>
        <v>-</v>
      </c>
      <c r="BR148" s="59" t="str">
        <f t="shared" si="72"/>
        <v>-</v>
      </c>
      <c r="BS148" s="59" t="str">
        <f t="shared" si="73"/>
        <v>-</v>
      </c>
      <c r="BT148" s="98" t="str">
        <f>IF(ISNUMBER(BS148),BS148-(C148*Rules!$P$9/100),"-")</f>
        <v>-</v>
      </c>
      <c r="BU148" s="59" t="e">
        <f>RANK($BT148,$BT$5:$BT$106,1)+COUNTIF(BT$5:BT148,BT148)-1</f>
        <v>#VALUE!</v>
      </c>
      <c r="BV148" s="59" t="e">
        <f t="shared" si="74"/>
        <v>#VALUE!</v>
      </c>
      <c r="BW148" s="59" t="str">
        <f t="shared" si="75"/>
        <v xml:space="preserve"> </v>
      </c>
      <c r="BX148" s="59">
        <f t="shared" si="76"/>
        <v>0</v>
      </c>
      <c r="BY148" s="98" t="str">
        <f t="shared" si="77"/>
        <v>-</v>
      </c>
      <c r="CD148" s="79"/>
      <c r="CE148" s="80"/>
      <c r="CF148" s="81"/>
      <c r="CL148" s="77">
        <v>1</v>
      </c>
    </row>
    <row r="149" spans="1:90" ht="17.45" customHeight="1">
      <c r="A149" s="58">
        <v>145</v>
      </c>
      <c r="B149" s="59" t="str">
        <f>'A Div'!A149 &amp; " " &amp; 'A Div'!B149</f>
        <v xml:space="preserve"> </v>
      </c>
      <c r="C149" s="59">
        <f>'A Div'!E149</f>
        <v>0</v>
      </c>
      <c r="D149" s="60"/>
      <c r="E149" s="60"/>
      <c r="F149" s="60"/>
      <c r="G149" s="60"/>
      <c r="H149" s="60"/>
      <c r="I149" s="60"/>
      <c r="J149" s="60"/>
      <c r="K149" s="60"/>
      <c r="L149" s="60"/>
      <c r="M149" s="74" t="str">
        <f t="shared" si="52"/>
        <v>-</v>
      </c>
      <c r="N149" s="60"/>
      <c r="O149" s="60"/>
      <c r="P149" s="60"/>
      <c r="Q149" s="60"/>
      <c r="R149" s="60"/>
      <c r="S149" s="60"/>
      <c r="T149" s="60"/>
      <c r="U149" s="60"/>
      <c r="V149" s="60"/>
      <c r="W149" s="74" t="str">
        <f t="shared" si="53"/>
        <v>-</v>
      </c>
      <c r="X149" s="148" t="str">
        <f t="shared" si="54"/>
        <v>-</v>
      </c>
      <c r="Y149" s="74" t="str">
        <f t="shared" si="55"/>
        <v>-</v>
      </c>
      <c r="AA149" s="60"/>
      <c r="AB149" s="60"/>
      <c r="AC149" s="60"/>
      <c r="AD149" s="60"/>
      <c r="AE149" s="60"/>
      <c r="AF149" s="60"/>
      <c r="AG149" s="60"/>
      <c r="AH149" s="60"/>
      <c r="AI149" s="60"/>
      <c r="AJ149" s="74" t="str">
        <f t="shared" si="56"/>
        <v>-</v>
      </c>
      <c r="AK149" s="60"/>
      <c r="AL149" s="60"/>
      <c r="AM149" s="60"/>
      <c r="AN149" s="60"/>
      <c r="AO149" s="60"/>
      <c r="AP149" s="60"/>
      <c r="AQ149" s="60"/>
      <c r="AR149" s="60"/>
      <c r="AS149" s="60"/>
      <c r="AT149" s="74" t="str">
        <f>IF(COUNTIF(AK149:AS149,"&lt;&gt;"&amp;"")=9,SUM(AK149:AS149),"-")</f>
        <v>-</v>
      </c>
      <c r="AU149" s="148" t="str">
        <f>IF(AND(ISNUMBER(AJ149),ISNUMBER(AT149)),AJ149+AT149,"-")</f>
        <v>-</v>
      </c>
      <c r="AV149" s="74" t="str">
        <f>IF(ISNUMBER(AU149),AU149-C149,"-")</f>
        <v>-</v>
      </c>
      <c r="AX149" s="59" t="str">
        <f t="shared" si="57"/>
        <v>-</v>
      </c>
      <c r="AY149" s="59" t="str">
        <f t="shared" si="58"/>
        <v>-</v>
      </c>
      <c r="AZ149" s="59" t="str">
        <f t="shared" si="59"/>
        <v>-</v>
      </c>
      <c r="BA149" s="59" t="str">
        <f t="shared" si="60"/>
        <v>-</v>
      </c>
      <c r="BB149" s="59" t="str">
        <f t="shared" si="61"/>
        <v>-</v>
      </c>
      <c r="BC149" s="59" t="str">
        <f t="shared" si="62"/>
        <v>-</v>
      </c>
      <c r="BD149" s="59" t="str">
        <f t="shared" si="63"/>
        <v>-</v>
      </c>
      <c r="BE149" s="59" t="str">
        <f t="shared" si="64"/>
        <v>-</v>
      </c>
      <c r="BF149" s="59" t="str">
        <f t="shared" si="65"/>
        <v>-</v>
      </c>
      <c r="BG149" s="59" t="str">
        <f t="shared" si="66"/>
        <v>-</v>
      </c>
      <c r="BH149" s="59" t="str">
        <f t="shared" si="67"/>
        <v>-</v>
      </c>
      <c r="BI149" s="59" t="str">
        <f t="shared" si="68"/>
        <v>-</v>
      </c>
      <c r="BJ149" s="59" t="str">
        <f t="shared" si="69"/>
        <v>-</v>
      </c>
      <c r="BK149" s="59" t="str">
        <f t="shared" si="70"/>
        <v>-</v>
      </c>
      <c r="BL149" s="59" t="str">
        <f>IF(AND(R149&gt;0,AO149&gt;0),MIN(R149,AO149),"-")</f>
        <v>-</v>
      </c>
      <c r="BM149" s="59" t="str">
        <f>IF(AND(S149&gt;0,AP149&gt;0),MIN(S149,AP149),"-")</f>
        <v>-</v>
      </c>
      <c r="BN149" s="59" t="str">
        <f>IF(AND(T149&gt;0,AQ149&gt;0),MIN(T149,AQ149),"-")</f>
        <v>-</v>
      </c>
      <c r="BO149" s="59" t="str">
        <f>IF(AND(U149&gt;0,AR149&gt;0),MIN(U149,AR149),"-")</f>
        <v>-</v>
      </c>
      <c r="BP149" s="59" t="str">
        <f>IF(AND(V149&gt;0,AS149&gt;0),MIN(V149,AS149),"-")</f>
        <v>-</v>
      </c>
      <c r="BQ149" s="59" t="str">
        <f t="shared" si="71"/>
        <v>-</v>
      </c>
      <c r="BR149" s="59" t="str">
        <f t="shared" si="72"/>
        <v>-</v>
      </c>
      <c r="BS149" s="59" t="str">
        <f t="shared" si="73"/>
        <v>-</v>
      </c>
      <c r="BT149" s="98" t="str">
        <f>IF(ISNUMBER(BS149),BS149-(C149*Rules!$P$9/100),"-")</f>
        <v>-</v>
      </c>
      <c r="BU149" s="59" t="e">
        <f>RANK($BT149,$BT$5:$BT$106,1)+COUNTIF(BT$5:BT149,BT149)-1</f>
        <v>#VALUE!</v>
      </c>
      <c r="BV149" s="59" t="e">
        <f t="shared" si="74"/>
        <v>#VALUE!</v>
      </c>
      <c r="BW149" s="59" t="str">
        <f t="shared" si="75"/>
        <v xml:space="preserve"> </v>
      </c>
      <c r="BX149" s="59">
        <f t="shared" si="76"/>
        <v>0</v>
      </c>
      <c r="BY149" s="98" t="str">
        <f t="shared" si="77"/>
        <v>-</v>
      </c>
      <c r="CD149" s="79"/>
      <c r="CE149" s="80"/>
      <c r="CF149" s="81"/>
      <c r="CL149" s="77">
        <v>1</v>
      </c>
    </row>
    <row r="150" spans="1:90" ht="17.45" customHeight="1">
      <c r="A150" s="58">
        <v>146</v>
      </c>
      <c r="B150" s="59" t="str">
        <f>'A Div'!A150 &amp; " " &amp; 'A Div'!B150</f>
        <v xml:space="preserve"> </v>
      </c>
      <c r="C150" s="59">
        <f>'A Div'!E150</f>
        <v>0</v>
      </c>
      <c r="D150" s="60"/>
      <c r="E150" s="60"/>
      <c r="F150" s="60"/>
      <c r="G150" s="60"/>
      <c r="H150" s="60"/>
      <c r="I150" s="60"/>
      <c r="J150" s="60"/>
      <c r="K150" s="60"/>
      <c r="L150" s="60"/>
      <c r="M150" s="74" t="str">
        <f t="shared" si="52"/>
        <v>-</v>
      </c>
      <c r="N150" s="60"/>
      <c r="O150" s="60"/>
      <c r="P150" s="60"/>
      <c r="Q150" s="60"/>
      <c r="R150" s="60"/>
      <c r="S150" s="60"/>
      <c r="T150" s="60"/>
      <c r="U150" s="60"/>
      <c r="V150" s="60"/>
      <c r="W150" s="74" t="str">
        <f t="shared" si="53"/>
        <v>-</v>
      </c>
      <c r="X150" s="148" t="str">
        <f t="shared" si="54"/>
        <v>-</v>
      </c>
      <c r="Y150" s="74" t="str">
        <f t="shared" si="55"/>
        <v>-</v>
      </c>
      <c r="AA150" s="60"/>
      <c r="AB150" s="60"/>
      <c r="AC150" s="60"/>
      <c r="AD150" s="60"/>
      <c r="AE150" s="60"/>
      <c r="AF150" s="60"/>
      <c r="AG150" s="60"/>
      <c r="AH150" s="60"/>
      <c r="AI150" s="60"/>
      <c r="AJ150" s="74" t="str">
        <f t="shared" si="56"/>
        <v>-</v>
      </c>
      <c r="AK150" s="60"/>
      <c r="AL150" s="60"/>
      <c r="AM150" s="60"/>
      <c r="AN150" s="60"/>
      <c r="AO150" s="60"/>
      <c r="AP150" s="60"/>
      <c r="AQ150" s="60"/>
      <c r="AR150" s="60"/>
      <c r="AS150" s="60"/>
      <c r="AT150" s="74" t="str">
        <f>IF(COUNTIF(AK150:AS150,"&lt;&gt;"&amp;"")=9,SUM(AK150:AS150),"-")</f>
        <v>-</v>
      </c>
      <c r="AU150" s="148" t="str">
        <f>IF(AND(ISNUMBER(AJ150),ISNUMBER(AT150)),AJ150+AT150,"-")</f>
        <v>-</v>
      </c>
      <c r="AV150" s="74" t="str">
        <f>IF(ISNUMBER(AU150),AU150-C150,"-")</f>
        <v>-</v>
      </c>
      <c r="AX150" s="59" t="str">
        <f t="shared" si="57"/>
        <v>-</v>
      </c>
      <c r="AY150" s="59" t="str">
        <f t="shared" si="58"/>
        <v>-</v>
      </c>
      <c r="AZ150" s="59" t="str">
        <f t="shared" si="59"/>
        <v>-</v>
      </c>
      <c r="BA150" s="59" t="str">
        <f t="shared" si="60"/>
        <v>-</v>
      </c>
      <c r="BB150" s="59" t="str">
        <f t="shared" si="61"/>
        <v>-</v>
      </c>
      <c r="BC150" s="59" t="str">
        <f t="shared" si="62"/>
        <v>-</v>
      </c>
      <c r="BD150" s="59" t="str">
        <f t="shared" si="63"/>
        <v>-</v>
      </c>
      <c r="BE150" s="59" t="str">
        <f t="shared" si="64"/>
        <v>-</v>
      </c>
      <c r="BF150" s="59" t="str">
        <f t="shared" si="65"/>
        <v>-</v>
      </c>
      <c r="BG150" s="59" t="str">
        <f t="shared" si="66"/>
        <v>-</v>
      </c>
      <c r="BH150" s="59" t="str">
        <f t="shared" si="67"/>
        <v>-</v>
      </c>
      <c r="BI150" s="59" t="str">
        <f t="shared" si="68"/>
        <v>-</v>
      </c>
      <c r="BJ150" s="59" t="str">
        <f t="shared" si="69"/>
        <v>-</v>
      </c>
      <c r="BK150" s="59" t="str">
        <f t="shared" si="70"/>
        <v>-</v>
      </c>
      <c r="BL150" s="59" t="str">
        <f>IF(AND(R150&gt;0,AO150&gt;0),MIN(R150,AO150),"-")</f>
        <v>-</v>
      </c>
      <c r="BM150" s="59" t="str">
        <f>IF(AND(S150&gt;0,AP150&gt;0),MIN(S150,AP150),"-")</f>
        <v>-</v>
      </c>
      <c r="BN150" s="59" t="str">
        <f>IF(AND(T150&gt;0,AQ150&gt;0),MIN(T150,AQ150),"-")</f>
        <v>-</v>
      </c>
      <c r="BO150" s="59" t="str">
        <f>IF(AND(U150&gt;0,AR150&gt;0),MIN(U150,AR150),"-")</f>
        <v>-</v>
      </c>
      <c r="BP150" s="59" t="str">
        <f>IF(AND(V150&gt;0,AS150&gt;0),MIN(V150,AS150),"-")</f>
        <v>-</v>
      </c>
      <c r="BQ150" s="59" t="str">
        <f t="shared" si="71"/>
        <v>-</v>
      </c>
      <c r="BR150" s="59" t="str">
        <f t="shared" si="72"/>
        <v>-</v>
      </c>
      <c r="BS150" s="59" t="str">
        <f t="shared" si="73"/>
        <v>-</v>
      </c>
      <c r="BT150" s="98" t="str">
        <f>IF(ISNUMBER(BS150),BS150-(C150*Rules!$P$9/100),"-")</f>
        <v>-</v>
      </c>
      <c r="BU150" s="59" t="e">
        <f>RANK($BT150,$BT$5:$BT$106,1)+COUNTIF(BT$5:BT150,BT150)-1</f>
        <v>#VALUE!</v>
      </c>
      <c r="BV150" s="59" t="e">
        <f t="shared" si="74"/>
        <v>#VALUE!</v>
      </c>
      <c r="BW150" s="59" t="str">
        <f t="shared" si="75"/>
        <v xml:space="preserve"> </v>
      </c>
      <c r="BX150" s="59">
        <f t="shared" si="76"/>
        <v>0</v>
      </c>
      <c r="BY150" s="98" t="str">
        <f t="shared" si="77"/>
        <v>-</v>
      </c>
      <c r="CD150" s="79"/>
      <c r="CE150" s="80"/>
      <c r="CF150" s="81"/>
      <c r="CL150" s="77">
        <v>1</v>
      </c>
    </row>
    <row r="151" spans="1:90" ht="17.45" customHeight="1">
      <c r="A151" s="58">
        <v>147</v>
      </c>
      <c r="B151" s="59" t="str">
        <f>'A Div'!A151 &amp; " " &amp; 'A Div'!B151</f>
        <v xml:space="preserve"> </v>
      </c>
      <c r="C151" s="59">
        <f>'A Div'!E151</f>
        <v>0</v>
      </c>
      <c r="D151" s="60"/>
      <c r="E151" s="60"/>
      <c r="F151" s="60"/>
      <c r="G151" s="60"/>
      <c r="H151" s="60"/>
      <c r="I151" s="60"/>
      <c r="J151" s="60"/>
      <c r="K151" s="60"/>
      <c r="L151" s="60"/>
      <c r="M151" s="74" t="str">
        <f t="shared" si="52"/>
        <v>-</v>
      </c>
      <c r="N151" s="60"/>
      <c r="O151" s="60"/>
      <c r="P151" s="60"/>
      <c r="Q151" s="60"/>
      <c r="R151" s="60"/>
      <c r="S151" s="60"/>
      <c r="T151" s="60"/>
      <c r="U151" s="60"/>
      <c r="V151" s="60"/>
      <c r="W151" s="74" t="str">
        <f t="shared" si="53"/>
        <v>-</v>
      </c>
      <c r="X151" s="148" t="str">
        <f t="shared" si="54"/>
        <v>-</v>
      </c>
      <c r="Y151" s="74" t="str">
        <f t="shared" si="55"/>
        <v>-</v>
      </c>
      <c r="AA151" s="60"/>
      <c r="AB151" s="60"/>
      <c r="AC151" s="60"/>
      <c r="AD151" s="60"/>
      <c r="AE151" s="60"/>
      <c r="AF151" s="60"/>
      <c r="AG151" s="60"/>
      <c r="AH151" s="60"/>
      <c r="AI151" s="60"/>
      <c r="AJ151" s="74" t="str">
        <f t="shared" si="56"/>
        <v>-</v>
      </c>
      <c r="AK151" s="60"/>
      <c r="AL151" s="60"/>
      <c r="AM151" s="60"/>
      <c r="AN151" s="60"/>
      <c r="AO151" s="60"/>
      <c r="AP151" s="60"/>
      <c r="AQ151" s="60"/>
      <c r="AR151" s="60"/>
      <c r="AS151" s="60"/>
      <c r="AT151" s="74" t="str">
        <f>IF(COUNTIF(AK151:AS151,"&lt;&gt;"&amp;"")=9,SUM(AK151:AS151),"-")</f>
        <v>-</v>
      </c>
      <c r="AU151" s="148" t="str">
        <f>IF(AND(ISNUMBER(AJ151),ISNUMBER(AT151)),AJ151+AT151,"-")</f>
        <v>-</v>
      </c>
      <c r="AV151" s="74" t="str">
        <f>IF(ISNUMBER(AU151),AU151-C151,"-")</f>
        <v>-</v>
      </c>
      <c r="AX151" s="59" t="str">
        <f t="shared" si="57"/>
        <v>-</v>
      </c>
      <c r="AY151" s="59" t="str">
        <f t="shared" si="58"/>
        <v>-</v>
      </c>
      <c r="AZ151" s="59" t="str">
        <f t="shared" si="59"/>
        <v>-</v>
      </c>
      <c r="BA151" s="59" t="str">
        <f t="shared" si="60"/>
        <v>-</v>
      </c>
      <c r="BB151" s="59" t="str">
        <f t="shared" si="61"/>
        <v>-</v>
      </c>
      <c r="BC151" s="59" t="str">
        <f t="shared" si="62"/>
        <v>-</v>
      </c>
      <c r="BD151" s="59" t="str">
        <f t="shared" si="63"/>
        <v>-</v>
      </c>
      <c r="BE151" s="59" t="str">
        <f t="shared" si="64"/>
        <v>-</v>
      </c>
      <c r="BF151" s="59" t="str">
        <f t="shared" si="65"/>
        <v>-</v>
      </c>
      <c r="BG151" s="59" t="str">
        <f t="shared" si="66"/>
        <v>-</v>
      </c>
      <c r="BH151" s="59" t="str">
        <f t="shared" si="67"/>
        <v>-</v>
      </c>
      <c r="BI151" s="59" t="str">
        <f t="shared" si="68"/>
        <v>-</v>
      </c>
      <c r="BJ151" s="59" t="str">
        <f t="shared" si="69"/>
        <v>-</v>
      </c>
      <c r="BK151" s="59" t="str">
        <f t="shared" si="70"/>
        <v>-</v>
      </c>
      <c r="BL151" s="59" t="str">
        <f>IF(AND(R151&gt;0,AO151&gt;0),MIN(R151,AO151),"-")</f>
        <v>-</v>
      </c>
      <c r="BM151" s="59" t="str">
        <f>IF(AND(S151&gt;0,AP151&gt;0),MIN(S151,AP151),"-")</f>
        <v>-</v>
      </c>
      <c r="BN151" s="59" t="str">
        <f>IF(AND(T151&gt;0,AQ151&gt;0),MIN(T151,AQ151),"-")</f>
        <v>-</v>
      </c>
      <c r="BO151" s="59" t="str">
        <f>IF(AND(U151&gt;0,AR151&gt;0),MIN(U151,AR151),"-")</f>
        <v>-</v>
      </c>
      <c r="BP151" s="59" t="str">
        <f>IF(AND(V151&gt;0,AS151&gt;0),MIN(V151,AS151),"-")</f>
        <v>-</v>
      </c>
      <c r="BQ151" s="59" t="str">
        <f t="shared" si="71"/>
        <v>-</v>
      </c>
      <c r="BR151" s="59" t="str">
        <f t="shared" si="72"/>
        <v>-</v>
      </c>
      <c r="BS151" s="59" t="str">
        <f t="shared" si="73"/>
        <v>-</v>
      </c>
      <c r="BT151" s="98" t="str">
        <f>IF(ISNUMBER(BS151),BS151-(C151*Rules!$P$9/100),"-")</f>
        <v>-</v>
      </c>
      <c r="BU151" s="59" t="e">
        <f>RANK($BT151,$BT$5:$BT$106,1)+COUNTIF(BT$5:BT151,BT151)-1</f>
        <v>#VALUE!</v>
      </c>
      <c r="BV151" s="59" t="e">
        <f t="shared" si="74"/>
        <v>#VALUE!</v>
      </c>
      <c r="BW151" s="59" t="str">
        <f t="shared" si="75"/>
        <v xml:space="preserve"> </v>
      </c>
      <c r="BX151" s="59">
        <f t="shared" si="76"/>
        <v>0</v>
      </c>
      <c r="BY151" s="98" t="str">
        <f t="shared" si="77"/>
        <v>-</v>
      </c>
      <c r="CD151" s="79"/>
      <c r="CE151" s="80"/>
      <c r="CF151" s="81"/>
      <c r="CL151" s="77">
        <v>1</v>
      </c>
    </row>
    <row r="152" spans="1:90" ht="17.45" customHeight="1">
      <c r="A152" s="58">
        <v>148</v>
      </c>
      <c r="B152" s="59" t="str">
        <f>'A Div'!A152 &amp; " " &amp; 'A Div'!B152</f>
        <v xml:space="preserve"> </v>
      </c>
      <c r="C152" s="59">
        <f>'A Div'!E152</f>
        <v>0</v>
      </c>
      <c r="D152" s="60"/>
      <c r="E152" s="60"/>
      <c r="F152" s="60"/>
      <c r="G152" s="60"/>
      <c r="H152" s="60"/>
      <c r="I152" s="60"/>
      <c r="J152" s="60"/>
      <c r="K152" s="60"/>
      <c r="L152" s="60"/>
      <c r="M152" s="74" t="str">
        <f t="shared" si="52"/>
        <v>-</v>
      </c>
      <c r="N152" s="60"/>
      <c r="O152" s="60"/>
      <c r="P152" s="60"/>
      <c r="Q152" s="60"/>
      <c r="R152" s="60"/>
      <c r="S152" s="60"/>
      <c r="T152" s="60"/>
      <c r="U152" s="60"/>
      <c r="V152" s="60"/>
      <c r="W152" s="74" t="str">
        <f t="shared" si="53"/>
        <v>-</v>
      </c>
      <c r="X152" s="148" t="str">
        <f t="shared" si="54"/>
        <v>-</v>
      </c>
      <c r="Y152" s="74" t="str">
        <f t="shared" si="55"/>
        <v>-</v>
      </c>
      <c r="AA152" s="60"/>
      <c r="AB152" s="60"/>
      <c r="AC152" s="60"/>
      <c r="AD152" s="60"/>
      <c r="AE152" s="60"/>
      <c r="AF152" s="60"/>
      <c r="AG152" s="60"/>
      <c r="AH152" s="60"/>
      <c r="AI152" s="60"/>
      <c r="AJ152" s="74" t="str">
        <f t="shared" si="56"/>
        <v>-</v>
      </c>
      <c r="AK152" s="60"/>
      <c r="AL152" s="60"/>
      <c r="AM152" s="60"/>
      <c r="AN152" s="60"/>
      <c r="AO152" s="60"/>
      <c r="AP152" s="60"/>
      <c r="AQ152" s="60"/>
      <c r="AR152" s="60"/>
      <c r="AS152" s="60"/>
      <c r="AT152" s="74" t="str">
        <f>IF(COUNTIF(AK152:AS152,"&lt;&gt;"&amp;"")=9,SUM(AK152:AS152),"-")</f>
        <v>-</v>
      </c>
      <c r="AU152" s="148" t="str">
        <f>IF(AND(ISNUMBER(AJ152),ISNUMBER(AT152)),AJ152+AT152,"-")</f>
        <v>-</v>
      </c>
      <c r="AV152" s="74" t="str">
        <f>IF(ISNUMBER(AU152),AU152-C152,"-")</f>
        <v>-</v>
      </c>
      <c r="AX152" s="59" t="str">
        <f t="shared" si="57"/>
        <v>-</v>
      </c>
      <c r="AY152" s="59" t="str">
        <f t="shared" si="58"/>
        <v>-</v>
      </c>
      <c r="AZ152" s="59" t="str">
        <f t="shared" si="59"/>
        <v>-</v>
      </c>
      <c r="BA152" s="59" t="str">
        <f t="shared" si="60"/>
        <v>-</v>
      </c>
      <c r="BB152" s="59" t="str">
        <f t="shared" si="61"/>
        <v>-</v>
      </c>
      <c r="BC152" s="59" t="str">
        <f t="shared" si="62"/>
        <v>-</v>
      </c>
      <c r="BD152" s="59" t="str">
        <f t="shared" si="63"/>
        <v>-</v>
      </c>
      <c r="BE152" s="59" t="str">
        <f t="shared" si="64"/>
        <v>-</v>
      </c>
      <c r="BF152" s="59" t="str">
        <f t="shared" si="65"/>
        <v>-</v>
      </c>
      <c r="BG152" s="59" t="str">
        <f t="shared" si="66"/>
        <v>-</v>
      </c>
      <c r="BH152" s="59" t="str">
        <f t="shared" si="67"/>
        <v>-</v>
      </c>
      <c r="BI152" s="59" t="str">
        <f t="shared" si="68"/>
        <v>-</v>
      </c>
      <c r="BJ152" s="59" t="str">
        <f t="shared" si="69"/>
        <v>-</v>
      </c>
      <c r="BK152" s="59" t="str">
        <f t="shared" si="70"/>
        <v>-</v>
      </c>
      <c r="BL152" s="59" t="str">
        <f>IF(AND(R152&gt;0,AO152&gt;0),MIN(R152,AO152),"-")</f>
        <v>-</v>
      </c>
      <c r="BM152" s="59" t="str">
        <f>IF(AND(S152&gt;0,AP152&gt;0),MIN(S152,AP152),"-")</f>
        <v>-</v>
      </c>
      <c r="BN152" s="59" t="str">
        <f>IF(AND(T152&gt;0,AQ152&gt;0),MIN(T152,AQ152),"-")</f>
        <v>-</v>
      </c>
      <c r="BO152" s="59" t="str">
        <f>IF(AND(U152&gt;0,AR152&gt;0),MIN(U152,AR152),"-")</f>
        <v>-</v>
      </c>
      <c r="BP152" s="59" t="str">
        <f>IF(AND(V152&gt;0,AS152&gt;0),MIN(V152,AS152),"-")</f>
        <v>-</v>
      </c>
      <c r="BQ152" s="59" t="str">
        <f t="shared" si="71"/>
        <v>-</v>
      </c>
      <c r="BR152" s="59" t="str">
        <f t="shared" si="72"/>
        <v>-</v>
      </c>
      <c r="BS152" s="59" t="str">
        <f t="shared" si="73"/>
        <v>-</v>
      </c>
      <c r="BT152" s="98" t="str">
        <f>IF(ISNUMBER(BS152),BS152-(C152*Rules!$P$9/100),"-")</f>
        <v>-</v>
      </c>
      <c r="BU152" s="59" t="e">
        <f>RANK($BT152,$BT$5:$BT$106,1)+COUNTIF(BT$5:BT152,BT152)-1</f>
        <v>#VALUE!</v>
      </c>
      <c r="BV152" s="59" t="e">
        <f t="shared" si="74"/>
        <v>#VALUE!</v>
      </c>
      <c r="BW152" s="59" t="str">
        <f t="shared" si="75"/>
        <v xml:space="preserve"> </v>
      </c>
      <c r="BX152" s="59">
        <f t="shared" si="76"/>
        <v>0</v>
      </c>
      <c r="BY152" s="98" t="str">
        <f t="shared" si="77"/>
        <v>-</v>
      </c>
      <c r="CD152" s="79"/>
      <c r="CE152" s="80"/>
      <c r="CF152" s="81"/>
      <c r="CL152" s="77">
        <v>1</v>
      </c>
    </row>
    <row r="153" spans="1:90" ht="17.45" customHeight="1">
      <c r="A153" s="58">
        <v>149</v>
      </c>
      <c r="B153" s="59" t="str">
        <f>'A Div'!A153 &amp; " " &amp; 'A Div'!B153</f>
        <v xml:space="preserve"> </v>
      </c>
      <c r="C153" s="59">
        <f>'A Div'!E153</f>
        <v>0</v>
      </c>
      <c r="D153" s="60"/>
      <c r="E153" s="60"/>
      <c r="F153" s="60"/>
      <c r="G153" s="60"/>
      <c r="H153" s="60"/>
      <c r="I153" s="60"/>
      <c r="J153" s="60"/>
      <c r="K153" s="60"/>
      <c r="L153" s="60"/>
      <c r="M153" s="74" t="str">
        <f t="shared" si="52"/>
        <v>-</v>
      </c>
      <c r="N153" s="60"/>
      <c r="O153" s="60"/>
      <c r="P153" s="60"/>
      <c r="Q153" s="60"/>
      <c r="R153" s="60"/>
      <c r="S153" s="60"/>
      <c r="T153" s="60"/>
      <c r="U153" s="60"/>
      <c r="V153" s="60"/>
      <c r="W153" s="74" t="str">
        <f t="shared" si="53"/>
        <v>-</v>
      </c>
      <c r="X153" s="148" t="str">
        <f t="shared" si="54"/>
        <v>-</v>
      </c>
      <c r="Y153" s="74" t="str">
        <f t="shared" si="55"/>
        <v>-</v>
      </c>
      <c r="AA153" s="60"/>
      <c r="AB153" s="60"/>
      <c r="AC153" s="60"/>
      <c r="AD153" s="60"/>
      <c r="AE153" s="60"/>
      <c r="AF153" s="60"/>
      <c r="AG153" s="60"/>
      <c r="AH153" s="60"/>
      <c r="AI153" s="60"/>
      <c r="AJ153" s="74" t="str">
        <f t="shared" si="56"/>
        <v>-</v>
      </c>
      <c r="AK153" s="60"/>
      <c r="AL153" s="60"/>
      <c r="AM153" s="60"/>
      <c r="AN153" s="60"/>
      <c r="AO153" s="60"/>
      <c r="AP153" s="60"/>
      <c r="AQ153" s="60"/>
      <c r="AR153" s="60"/>
      <c r="AS153" s="60"/>
      <c r="AT153" s="74" t="str">
        <f>IF(COUNTIF(AK153:AS153,"&lt;&gt;"&amp;"")=9,SUM(AK153:AS153),"-")</f>
        <v>-</v>
      </c>
      <c r="AU153" s="148" t="str">
        <f>IF(AND(ISNUMBER(AJ153),ISNUMBER(AT153)),AJ153+AT153,"-")</f>
        <v>-</v>
      </c>
      <c r="AV153" s="74" t="str">
        <f>IF(ISNUMBER(AU153),AU153-C153,"-")</f>
        <v>-</v>
      </c>
      <c r="AX153" s="59" t="str">
        <f t="shared" si="57"/>
        <v>-</v>
      </c>
      <c r="AY153" s="59" t="str">
        <f t="shared" si="58"/>
        <v>-</v>
      </c>
      <c r="AZ153" s="59" t="str">
        <f t="shared" si="59"/>
        <v>-</v>
      </c>
      <c r="BA153" s="59" t="str">
        <f t="shared" si="60"/>
        <v>-</v>
      </c>
      <c r="BB153" s="59" t="str">
        <f t="shared" si="61"/>
        <v>-</v>
      </c>
      <c r="BC153" s="59" t="str">
        <f t="shared" si="62"/>
        <v>-</v>
      </c>
      <c r="BD153" s="59" t="str">
        <f t="shared" si="63"/>
        <v>-</v>
      </c>
      <c r="BE153" s="59" t="str">
        <f t="shared" si="64"/>
        <v>-</v>
      </c>
      <c r="BF153" s="59" t="str">
        <f t="shared" si="65"/>
        <v>-</v>
      </c>
      <c r="BG153" s="59" t="str">
        <f t="shared" si="66"/>
        <v>-</v>
      </c>
      <c r="BH153" s="59" t="str">
        <f t="shared" si="67"/>
        <v>-</v>
      </c>
      <c r="BI153" s="59" t="str">
        <f t="shared" si="68"/>
        <v>-</v>
      </c>
      <c r="BJ153" s="59" t="str">
        <f t="shared" si="69"/>
        <v>-</v>
      </c>
      <c r="BK153" s="59" t="str">
        <f t="shared" si="70"/>
        <v>-</v>
      </c>
      <c r="BL153" s="59" t="str">
        <f>IF(AND(R153&gt;0,AO153&gt;0),MIN(R153,AO153),"-")</f>
        <v>-</v>
      </c>
      <c r="BM153" s="59" t="str">
        <f>IF(AND(S153&gt;0,AP153&gt;0),MIN(S153,AP153),"-")</f>
        <v>-</v>
      </c>
      <c r="BN153" s="59" t="str">
        <f>IF(AND(T153&gt;0,AQ153&gt;0),MIN(T153,AQ153),"-")</f>
        <v>-</v>
      </c>
      <c r="BO153" s="59" t="str">
        <f>IF(AND(U153&gt;0,AR153&gt;0),MIN(U153,AR153),"-")</f>
        <v>-</v>
      </c>
      <c r="BP153" s="59" t="str">
        <f>IF(AND(V153&gt;0,AS153&gt;0),MIN(V153,AS153),"-")</f>
        <v>-</v>
      </c>
      <c r="BQ153" s="59" t="str">
        <f t="shared" si="71"/>
        <v>-</v>
      </c>
      <c r="BR153" s="59" t="str">
        <f t="shared" si="72"/>
        <v>-</v>
      </c>
      <c r="BS153" s="59" t="str">
        <f t="shared" si="73"/>
        <v>-</v>
      </c>
      <c r="BT153" s="98" t="str">
        <f>IF(ISNUMBER(BS153),BS153-(C153*Rules!$P$9/100),"-")</f>
        <v>-</v>
      </c>
      <c r="BU153" s="59" t="e">
        <f>RANK($BT153,$BT$5:$BT$106,1)+COUNTIF(BT$5:BT153,BT153)-1</f>
        <v>#VALUE!</v>
      </c>
      <c r="BV153" s="59" t="e">
        <f t="shared" si="74"/>
        <v>#VALUE!</v>
      </c>
      <c r="BW153" s="59" t="str">
        <f t="shared" si="75"/>
        <v xml:space="preserve"> </v>
      </c>
      <c r="BX153" s="59">
        <f t="shared" si="76"/>
        <v>0</v>
      </c>
      <c r="BY153" s="98" t="str">
        <f t="shared" si="77"/>
        <v>-</v>
      </c>
      <c r="CD153" s="79"/>
      <c r="CE153" s="80"/>
      <c r="CF153" s="81"/>
      <c r="CL153" s="77">
        <v>1</v>
      </c>
    </row>
    <row r="154" spans="1:90" ht="17.45" customHeight="1">
      <c r="A154" s="58">
        <v>150</v>
      </c>
      <c r="B154" s="59" t="str">
        <f>'A Div'!A154 &amp; " " &amp; 'A Div'!B154</f>
        <v xml:space="preserve"> </v>
      </c>
      <c r="C154" s="59">
        <f>'A Div'!E154</f>
        <v>0</v>
      </c>
      <c r="D154" s="60"/>
      <c r="E154" s="60"/>
      <c r="F154" s="60"/>
      <c r="G154" s="60"/>
      <c r="H154" s="60"/>
      <c r="I154" s="60"/>
      <c r="J154" s="60"/>
      <c r="K154" s="60"/>
      <c r="L154" s="60"/>
      <c r="M154" s="74" t="str">
        <f t="shared" si="52"/>
        <v>-</v>
      </c>
      <c r="N154" s="60"/>
      <c r="O154" s="60"/>
      <c r="P154" s="60"/>
      <c r="Q154" s="60"/>
      <c r="R154" s="60"/>
      <c r="S154" s="60"/>
      <c r="T154" s="60"/>
      <c r="U154" s="60"/>
      <c r="V154" s="60"/>
      <c r="W154" s="74" t="str">
        <f t="shared" si="53"/>
        <v>-</v>
      </c>
      <c r="X154" s="148" t="str">
        <f t="shared" si="54"/>
        <v>-</v>
      </c>
      <c r="Y154" s="74" t="str">
        <f t="shared" si="55"/>
        <v>-</v>
      </c>
      <c r="AA154" s="60"/>
      <c r="AB154" s="60"/>
      <c r="AC154" s="60"/>
      <c r="AD154" s="60"/>
      <c r="AE154" s="60"/>
      <c r="AF154" s="60"/>
      <c r="AG154" s="60"/>
      <c r="AH154" s="60"/>
      <c r="AI154" s="60"/>
      <c r="AJ154" s="74" t="str">
        <f t="shared" si="56"/>
        <v>-</v>
      </c>
      <c r="AK154" s="60"/>
      <c r="AL154" s="60"/>
      <c r="AM154" s="60"/>
      <c r="AN154" s="60"/>
      <c r="AO154" s="60"/>
      <c r="AP154" s="60"/>
      <c r="AQ154" s="60"/>
      <c r="AR154" s="60"/>
      <c r="AS154" s="60"/>
      <c r="AT154" s="74" t="str">
        <f>IF(COUNTIF(AK154:AS154,"&lt;&gt;"&amp;"")=9,SUM(AK154:AS154),"-")</f>
        <v>-</v>
      </c>
      <c r="AU154" s="148" t="str">
        <f>IF(AND(ISNUMBER(AJ154),ISNUMBER(AT154)),AJ154+AT154,"-")</f>
        <v>-</v>
      </c>
      <c r="AV154" s="74" t="str">
        <f>IF(ISNUMBER(AU154),AU154-C154,"-")</f>
        <v>-</v>
      </c>
      <c r="AX154" s="59" t="str">
        <f t="shared" si="57"/>
        <v>-</v>
      </c>
      <c r="AY154" s="59" t="str">
        <f t="shared" si="58"/>
        <v>-</v>
      </c>
      <c r="AZ154" s="59" t="str">
        <f t="shared" si="59"/>
        <v>-</v>
      </c>
      <c r="BA154" s="59" t="str">
        <f t="shared" si="60"/>
        <v>-</v>
      </c>
      <c r="BB154" s="59" t="str">
        <f t="shared" si="61"/>
        <v>-</v>
      </c>
      <c r="BC154" s="59" t="str">
        <f t="shared" si="62"/>
        <v>-</v>
      </c>
      <c r="BD154" s="59" t="str">
        <f t="shared" si="63"/>
        <v>-</v>
      </c>
      <c r="BE154" s="59" t="str">
        <f t="shared" si="64"/>
        <v>-</v>
      </c>
      <c r="BF154" s="59" t="str">
        <f t="shared" si="65"/>
        <v>-</v>
      </c>
      <c r="BG154" s="59" t="str">
        <f t="shared" si="66"/>
        <v>-</v>
      </c>
      <c r="BH154" s="59" t="str">
        <f t="shared" si="67"/>
        <v>-</v>
      </c>
      <c r="BI154" s="59" t="str">
        <f t="shared" si="68"/>
        <v>-</v>
      </c>
      <c r="BJ154" s="59" t="str">
        <f t="shared" si="69"/>
        <v>-</v>
      </c>
      <c r="BK154" s="59" t="str">
        <f t="shared" si="70"/>
        <v>-</v>
      </c>
      <c r="BL154" s="59" t="str">
        <f>IF(AND(R154&gt;0,AO154&gt;0),MIN(R154,AO154),"-")</f>
        <v>-</v>
      </c>
      <c r="BM154" s="59" t="str">
        <f>IF(AND(S154&gt;0,AP154&gt;0),MIN(S154,AP154),"-")</f>
        <v>-</v>
      </c>
      <c r="BN154" s="59" t="str">
        <f>IF(AND(T154&gt;0,AQ154&gt;0),MIN(T154,AQ154),"-")</f>
        <v>-</v>
      </c>
      <c r="BO154" s="59" t="str">
        <f>IF(AND(U154&gt;0,AR154&gt;0),MIN(U154,AR154),"-")</f>
        <v>-</v>
      </c>
      <c r="BP154" s="59" t="str">
        <f>IF(AND(V154&gt;0,AS154&gt;0),MIN(V154,AS154),"-")</f>
        <v>-</v>
      </c>
      <c r="BQ154" s="59" t="str">
        <f t="shared" si="71"/>
        <v>-</v>
      </c>
      <c r="BR154" s="59" t="str">
        <f t="shared" si="72"/>
        <v>-</v>
      </c>
      <c r="BS154" s="59" t="str">
        <f t="shared" si="73"/>
        <v>-</v>
      </c>
      <c r="BT154" s="98" t="str">
        <f>IF(ISNUMBER(BS154),BS154-(C154*Rules!$P$9/100),"-")</f>
        <v>-</v>
      </c>
      <c r="BU154" s="59" t="e">
        <f>RANK($BT154,$BT$5:$BT$106,1)+COUNTIF(BT$5:BT154,BT154)-1</f>
        <v>#VALUE!</v>
      </c>
      <c r="BV154" s="59" t="e">
        <f t="shared" si="74"/>
        <v>#VALUE!</v>
      </c>
      <c r="BW154" s="59" t="str">
        <f t="shared" si="75"/>
        <v xml:space="preserve"> </v>
      </c>
      <c r="BX154" s="59">
        <f t="shared" si="76"/>
        <v>0</v>
      </c>
      <c r="BY154" s="98" t="str">
        <f t="shared" si="77"/>
        <v>-</v>
      </c>
      <c r="CD154" s="79"/>
      <c r="CE154" s="80"/>
      <c r="CF154" s="81"/>
      <c r="CL154" s="77">
        <v>1</v>
      </c>
    </row>
    <row r="155" spans="1:90" ht="17.45" customHeight="1">
      <c r="A155" s="58">
        <v>151</v>
      </c>
      <c r="B155" s="59" t="str">
        <f>'A Div'!A155 &amp; " " &amp; 'A Div'!B155</f>
        <v xml:space="preserve"> </v>
      </c>
      <c r="C155" s="59">
        <f>'A Div'!E155</f>
        <v>0</v>
      </c>
      <c r="D155" s="60"/>
      <c r="E155" s="60"/>
      <c r="F155" s="60"/>
      <c r="G155" s="60"/>
      <c r="H155" s="60"/>
      <c r="I155" s="60"/>
      <c r="J155" s="60"/>
      <c r="K155" s="60"/>
      <c r="L155" s="60"/>
      <c r="M155" s="74" t="str">
        <f t="shared" si="52"/>
        <v>-</v>
      </c>
      <c r="N155" s="60"/>
      <c r="O155" s="60"/>
      <c r="P155" s="60"/>
      <c r="Q155" s="60"/>
      <c r="R155" s="60"/>
      <c r="S155" s="60"/>
      <c r="T155" s="60"/>
      <c r="U155" s="60"/>
      <c r="V155" s="60"/>
      <c r="W155" s="74" t="str">
        <f t="shared" si="53"/>
        <v>-</v>
      </c>
      <c r="X155" s="148" t="str">
        <f t="shared" si="54"/>
        <v>-</v>
      </c>
      <c r="Y155" s="74" t="str">
        <f t="shared" si="55"/>
        <v>-</v>
      </c>
      <c r="AA155" s="60"/>
      <c r="AB155" s="60"/>
      <c r="AC155" s="60"/>
      <c r="AD155" s="60"/>
      <c r="AE155" s="60"/>
      <c r="AF155" s="60"/>
      <c r="AG155" s="60"/>
      <c r="AH155" s="60"/>
      <c r="AI155" s="60"/>
      <c r="AJ155" s="74" t="str">
        <f t="shared" si="56"/>
        <v>-</v>
      </c>
      <c r="AK155" s="60"/>
      <c r="AL155" s="60"/>
      <c r="AM155" s="60"/>
      <c r="AN155" s="60"/>
      <c r="AO155" s="60"/>
      <c r="AP155" s="60"/>
      <c r="AQ155" s="60"/>
      <c r="AR155" s="60"/>
      <c r="AS155" s="60"/>
      <c r="AT155" s="74" t="str">
        <f>IF(COUNTIF(AK155:AS155,"&lt;&gt;"&amp;"")=9,SUM(AK155:AS155),"-")</f>
        <v>-</v>
      </c>
      <c r="AU155" s="148" t="str">
        <f>IF(AND(ISNUMBER(AJ155),ISNUMBER(AT155)),AJ155+AT155,"-")</f>
        <v>-</v>
      </c>
      <c r="AV155" s="74" t="str">
        <f>IF(ISNUMBER(AU155),AU155-C155,"-")</f>
        <v>-</v>
      </c>
      <c r="AX155" s="59" t="str">
        <f t="shared" si="57"/>
        <v>-</v>
      </c>
      <c r="AY155" s="59" t="str">
        <f t="shared" si="58"/>
        <v>-</v>
      </c>
      <c r="AZ155" s="59" t="str">
        <f t="shared" si="59"/>
        <v>-</v>
      </c>
      <c r="BA155" s="59" t="str">
        <f t="shared" si="60"/>
        <v>-</v>
      </c>
      <c r="BB155" s="59" t="str">
        <f t="shared" si="61"/>
        <v>-</v>
      </c>
      <c r="BC155" s="59" t="str">
        <f t="shared" si="62"/>
        <v>-</v>
      </c>
      <c r="BD155" s="59" t="str">
        <f t="shared" si="63"/>
        <v>-</v>
      </c>
      <c r="BE155" s="59" t="str">
        <f t="shared" si="64"/>
        <v>-</v>
      </c>
      <c r="BF155" s="59" t="str">
        <f t="shared" si="65"/>
        <v>-</v>
      </c>
      <c r="BG155" s="59" t="str">
        <f t="shared" si="66"/>
        <v>-</v>
      </c>
      <c r="BH155" s="59" t="str">
        <f t="shared" si="67"/>
        <v>-</v>
      </c>
      <c r="BI155" s="59" t="str">
        <f t="shared" si="68"/>
        <v>-</v>
      </c>
      <c r="BJ155" s="59" t="str">
        <f t="shared" si="69"/>
        <v>-</v>
      </c>
      <c r="BK155" s="59" t="str">
        <f t="shared" si="70"/>
        <v>-</v>
      </c>
      <c r="BL155" s="59" t="str">
        <f>IF(AND(R155&gt;0,AO155&gt;0),MIN(R155,AO155),"-")</f>
        <v>-</v>
      </c>
      <c r="BM155" s="59" t="str">
        <f>IF(AND(S155&gt;0,AP155&gt;0),MIN(S155,AP155),"-")</f>
        <v>-</v>
      </c>
      <c r="BN155" s="59" t="str">
        <f>IF(AND(T155&gt;0,AQ155&gt;0),MIN(T155,AQ155),"-")</f>
        <v>-</v>
      </c>
      <c r="BO155" s="59" t="str">
        <f>IF(AND(U155&gt;0,AR155&gt;0),MIN(U155,AR155),"-")</f>
        <v>-</v>
      </c>
      <c r="BP155" s="59" t="str">
        <f>IF(AND(V155&gt;0,AS155&gt;0),MIN(V155,AS155),"-")</f>
        <v>-</v>
      </c>
      <c r="BQ155" s="59" t="str">
        <f t="shared" si="71"/>
        <v>-</v>
      </c>
      <c r="BR155" s="59" t="str">
        <f t="shared" si="72"/>
        <v>-</v>
      </c>
      <c r="BS155" s="59" t="str">
        <f t="shared" si="73"/>
        <v>-</v>
      </c>
      <c r="BT155" s="98" t="str">
        <f>IF(ISNUMBER(BS155),BS155-(C155*Rules!$P$9/100),"-")</f>
        <v>-</v>
      </c>
      <c r="BU155" s="59" t="e">
        <f>RANK($BT155,$BT$5:$BT$106,1)+COUNTIF(BT$5:BT155,BT155)-1</f>
        <v>#VALUE!</v>
      </c>
      <c r="BV155" s="59" t="e">
        <f t="shared" si="74"/>
        <v>#VALUE!</v>
      </c>
      <c r="BW155" s="59" t="str">
        <f t="shared" si="75"/>
        <v xml:space="preserve"> </v>
      </c>
      <c r="BX155" s="59">
        <f t="shared" si="76"/>
        <v>0</v>
      </c>
      <c r="BY155" s="98" t="str">
        <f t="shared" si="77"/>
        <v>-</v>
      </c>
      <c r="CD155" s="79"/>
      <c r="CE155" s="80"/>
      <c r="CF155" s="81"/>
      <c r="CL155" s="77">
        <v>1</v>
      </c>
    </row>
    <row r="156" spans="1:90" ht="17.45" customHeight="1">
      <c r="A156" s="58">
        <v>152</v>
      </c>
      <c r="B156" s="59" t="str">
        <f>'A Div'!A156 &amp; " " &amp; 'A Div'!B156</f>
        <v xml:space="preserve"> </v>
      </c>
      <c r="C156" s="59">
        <f>'A Div'!E156</f>
        <v>0</v>
      </c>
      <c r="D156" s="60"/>
      <c r="E156" s="60"/>
      <c r="F156" s="60"/>
      <c r="G156" s="60"/>
      <c r="H156" s="60"/>
      <c r="I156" s="60"/>
      <c r="J156" s="60"/>
      <c r="K156" s="60"/>
      <c r="L156" s="60"/>
      <c r="M156" s="74" t="str">
        <f t="shared" si="52"/>
        <v>-</v>
      </c>
      <c r="N156" s="60"/>
      <c r="O156" s="60"/>
      <c r="P156" s="60"/>
      <c r="Q156" s="60"/>
      <c r="R156" s="60"/>
      <c r="S156" s="60"/>
      <c r="T156" s="60"/>
      <c r="U156" s="60"/>
      <c r="V156" s="60"/>
      <c r="W156" s="74" t="str">
        <f t="shared" si="53"/>
        <v>-</v>
      </c>
      <c r="X156" s="148" t="str">
        <f t="shared" si="54"/>
        <v>-</v>
      </c>
      <c r="Y156" s="74" t="str">
        <f t="shared" si="55"/>
        <v>-</v>
      </c>
      <c r="AA156" s="60"/>
      <c r="AB156" s="60"/>
      <c r="AC156" s="60"/>
      <c r="AD156" s="60"/>
      <c r="AE156" s="60"/>
      <c r="AF156" s="60"/>
      <c r="AG156" s="60"/>
      <c r="AH156" s="60"/>
      <c r="AI156" s="60"/>
      <c r="AJ156" s="74" t="str">
        <f t="shared" si="56"/>
        <v>-</v>
      </c>
      <c r="AK156" s="60"/>
      <c r="AL156" s="60"/>
      <c r="AM156" s="60"/>
      <c r="AN156" s="60"/>
      <c r="AO156" s="60"/>
      <c r="AP156" s="60"/>
      <c r="AQ156" s="60"/>
      <c r="AR156" s="60"/>
      <c r="AS156" s="60"/>
      <c r="AT156" s="74" t="str">
        <f>IF(COUNTIF(AK156:AS156,"&lt;&gt;"&amp;"")=9,SUM(AK156:AS156),"-")</f>
        <v>-</v>
      </c>
      <c r="AU156" s="148" t="str">
        <f>IF(AND(ISNUMBER(AJ156),ISNUMBER(AT156)),AJ156+AT156,"-")</f>
        <v>-</v>
      </c>
      <c r="AV156" s="74" t="str">
        <f>IF(ISNUMBER(AU156),AU156-C156,"-")</f>
        <v>-</v>
      </c>
      <c r="AX156" s="59" t="str">
        <f t="shared" si="57"/>
        <v>-</v>
      </c>
      <c r="AY156" s="59" t="str">
        <f t="shared" si="58"/>
        <v>-</v>
      </c>
      <c r="AZ156" s="59" t="str">
        <f t="shared" si="59"/>
        <v>-</v>
      </c>
      <c r="BA156" s="59" t="str">
        <f t="shared" si="60"/>
        <v>-</v>
      </c>
      <c r="BB156" s="59" t="str">
        <f t="shared" si="61"/>
        <v>-</v>
      </c>
      <c r="BC156" s="59" t="str">
        <f t="shared" si="62"/>
        <v>-</v>
      </c>
      <c r="BD156" s="59" t="str">
        <f t="shared" si="63"/>
        <v>-</v>
      </c>
      <c r="BE156" s="59" t="str">
        <f t="shared" si="64"/>
        <v>-</v>
      </c>
      <c r="BF156" s="59" t="str">
        <f t="shared" si="65"/>
        <v>-</v>
      </c>
      <c r="BG156" s="59" t="str">
        <f t="shared" si="66"/>
        <v>-</v>
      </c>
      <c r="BH156" s="59" t="str">
        <f t="shared" si="67"/>
        <v>-</v>
      </c>
      <c r="BI156" s="59" t="str">
        <f t="shared" si="68"/>
        <v>-</v>
      </c>
      <c r="BJ156" s="59" t="str">
        <f t="shared" si="69"/>
        <v>-</v>
      </c>
      <c r="BK156" s="59" t="str">
        <f t="shared" si="70"/>
        <v>-</v>
      </c>
      <c r="BL156" s="59" t="str">
        <f>IF(AND(R156&gt;0,AO156&gt;0),MIN(R156,AO156),"-")</f>
        <v>-</v>
      </c>
      <c r="BM156" s="59" t="str">
        <f>IF(AND(S156&gt;0,AP156&gt;0),MIN(S156,AP156),"-")</f>
        <v>-</v>
      </c>
      <c r="BN156" s="59" t="str">
        <f>IF(AND(T156&gt;0,AQ156&gt;0),MIN(T156,AQ156),"-")</f>
        <v>-</v>
      </c>
      <c r="BO156" s="59" t="str">
        <f>IF(AND(U156&gt;0,AR156&gt;0),MIN(U156,AR156),"-")</f>
        <v>-</v>
      </c>
      <c r="BP156" s="59" t="str">
        <f>IF(AND(V156&gt;0,AS156&gt;0),MIN(V156,AS156),"-")</f>
        <v>-</v>
      </c>
      <c r="BQ156" s="59" t="str">
        <f t="shared" si="71"/>
        <v>-</v>
      </c>
      <c r="BR156" s="59" t="str">
        <f t="shared" si="72"/>
        <v>-</v>
      </c>
      <c r="BS156" s="59" t="str">
        <f t="shared" si="73"/>
        <v>-</v>
      </c>
      <c r="BT156" s="98" t="str">
        <f>IF(ISNUMBER(BS156),BS156-(C156*Rules!$P$9/100),"-")</f>
        <v>-</v>
      </c>
      <c r="BU156" s="59" t="e">
        <f>RANK($BT156,$BT$5:$BT$106,1)+COUNTIF(BT$5:BT156,BT156)-1</f>
        <v>#VALUE!</v>
      </c>
      <c r="BV156" s="59" t="e">
        <f t="shared" si="74"/>
        <v>#VALUE!</v>
      </c>
      <c r="BW156" s="59" t="str">
        <f t="shared" si="75"/>
        <v xml:space="preserve"> </v>
      </c>
      <c r="BX156" s="59">
        <f t="shared" si="76"/>
        <v>0</v>
      </c>
      <c r="BY156" s="98" t="str">
        <f t="shared" si="77"/>
        <v>-</v>
      </c>
      <c r="CD156" s="79"/>
      <c r="CE156" s="80"/>
      <c r="CF156" s="81"/>
      <c r="CL156" s="77">
        <v>1</v>
      </c>
    </row>
    <row r="157" spans="1:90" ht="17.45" customHeight="1">
      <c r="A157" s="58">
        <v>153</v>
      </c>
      <c r="B157" s="59" t="str">
        <f>'A Div'!A157 &amp; " " &amp; 'A Div'!B157</f>
        <v xml:space="preserve"> </v>
      </c>
      <c r="C157" s="59">
        <f>'A Div'!E157</f>
        <v>0</v>
      </c>
      <c r="D157" s="60"/>
      <c r="E157" s="60"/>
      <c r="F157" s="60"/>
      <c r="G157" s="60"/>
      <c r="H157" s="60"/>
      <c r="I157" s="60"/>
      <c r="J157" s="60"/>
      <c r="K157" s="60"/>
      <c r="L157" s="60"/>
      <c r="M157" s="74" t="str">
        <f t="shared" si="52"/>
        <v>-</v>
      </c>
      <c r="N157" s="60"/>
      <c r="O157" s="60"/>
      <c r="P157" s="60"/>
      <c r="Q157" s="60"/>
      <c r="R157" s="60"/>
      <c r="S157" s="60"/>
      <c r="T157" s="60"/>
      <c r="U157" s="60"/>
      <c r="V157" s="60"/>
      <c r="W157" s="74" t="str">
        <f t="shared" si="53"/>
        <v>-</v>
      </c>
      <c r="X157" s="148" t="str">
        <f t="shared" si="54"/>
        <v>-</v>
      </c>
      <c r="Y157" s="74" t="str">
        <f t="shared" si="55"/>
        <v>-</v>
      </c>
      <c r="AA157" s="60"/>
      <c r="AB157" s="60"/>
      <c r="AC157" s="60"/>
      <c r="AD157" s="60"/>
      <c r="AE157" s="60"/>
      <c r="AF157" s="60"/>
      <c r="AG157" s="60"/>
      <c r="AH157" s="60"/>
      <c r="AI157" s="60"/>
      <c r="AJ157" s="74" t="str">
        <f t="shared" si="56"/>
        <v>-</v>
      </c>
      <c r="AK157" s="60"/>
      <c r="AL157" s="60"/>
      <c r="AM157" s="60"/>
      <c r="AN157" s="60"/>
      <c r="AO157" s="60"/>
      <c r="AP157" s="60"/>
      <c r="AQ157" s="60"/>
      <c r="AR157" s="60"/>
      <c r="AS157" s="60"/>
      <c r="AT157" s="74" t="str">
        <f>IF(COUNTIF(AK157:AS157,"&lt;&gt;"&amp;"")=9,SUM(AK157:AS157),"-")</f>
        <v>-</v>
      </c>
      <c r="AU157" s="148" t="str">
        <f>IF(AND(ISNUMBER(AJ157),ISNUMBER(AT157)),AJ157+AT157,"-")</f>
        <v>-</v>
      </c>
      <c r="AV157" s="74" t="str">
        <f>IF(ISNUMBER(AU157),AU157-C157,"-")</f>
        <v>-</v>
      </c>
      <c r="AX157" s="59" t="str">
        <f t="shared" si="57"/>
        <v>-</v>
      </c>
      <c r="AY157" s="59" t="str">
        <f t="shared" si="58"/>
        <v>-</v>
      </c>
      <c r="AZ157" s="59" t="str">
        <f t="shared" si="59"/>
        <v>-</v>
      </c>
      <c r="BA157" s="59" t="str">
        <f t="shared" si="60"/>
        <v>-</v>
      </c>
      <c r="BB157" s="59" t="str">
        <f t="shared" si="61"/>
        <v>-</v>
      </c>
      <c r="BC157" s="59" t="str">
        <f t="shared" si="62"/>
        <v>-</v>
      </c>
      <c r="BD157" s="59" t="str">
        <f t="shared" si="63"/>
        <v>-</v>
      </c>
      <c r="BE157" s="59" t="str">
        <f t="shared" si="64"/>
        <v>-</v>
      </c>
      <c r="BF157" s="59" t="str">
        <f t="shared" si="65"/>
        <v>-</v>
      </c>
      <c r="BG157" s="59" t="str">
        <f t="shared" si="66"/>
        <v>-</v>
      </c>
      <c r="BH157" s="59" t="str">
        <f t="shared" si="67"/>
        <v>-</v>
      </c>
      <c r="BI157" s="59" t="str">
        <f t="shared" si="68"/>
        <v>-</v>
      </c>
      <c r="BJ157" s="59" t="str">
        <f t="shared" si="69"/>
        <v>-</v>
      </c>
      <c r="BK157" s="59" t="str">
        <f t="shared" si="70"/>
        <v>-</v>
      </c>
      <c r="BL157" s="59" t="str">
        <f>IF(AND(R157&gt;0,AO157&gt;0),MIN(R157,AO157),"-")</f>
        <v>-</v>
      </c>
      <c r="BM157" s="59" t="str">
        <f>IF(AND(S157&gt;0,AP157&gt;0),MIN(S157,AP157),"-")</f>
        <v>-</v>
      </c>
      <c r="BN157" s="59" t="str">
        <f>IF(AND(T157&gt;0,AQ157&gt;0),MIN(T157,AQ157),"-")</f>
        <v>-</v>
      </c>
      <c r="BO157" s="59" t="str">
        <f>IF(AND(U157&gt;0,AR157&gt;0),MIN(U157,AR157),"-")</f>
        <v>-</v>
      </c>
      <c r="BP157" s="59" t="str">
        <f>IF(AND(V157&gt;0,AS157&gt;0),MIN(V157,AS157),"-")</f>
        <v>-</v>
      </c>
      <c r="BQ157" s="59" t="str">
        <f t="shared" si="71"/>
        <v>-</v>
      </c>
      <c r="BR157" s="59" t="str">
        <f t="shared" si="72"/>
        <v>-</v>
      </c>
      <c r="BS157" s="59" t="str">
        <f t="shared" si="73"/>
        <v>-</v>
      </c>
      <c r="BT157" s="98" t="str">
        <f>IF(ISNUMBER(BS157),BS157-(C157*Rules!$P$9/100),"-")</f>
        <v>-</v>
      </c>
      <c r="BU157" s="59" t="e">
        <f>RANK($BT157,$BT$5:$BT$106,1)+COUNTIF(BT$5:BT157,BT157)-1</f>
        <v>#VALUE!</v>
      </c>
      <c r="BV157" s="59" t="e">
        <f t="shared" si="74"/>
        <v>#VALUE!</v>
      </c>
      <c r="BW157" s="59" t="str">
        <f t="shared" si="75"/>
        <v xml:space="preserve"> </v>
      </c>
      <c r="BX157" s="59">
        <f t="shared" si="76"/>
        <v>0</v>
      </c>
      <c r="BY157" s="98" t="str">
        <f t="shared" si="77"/>
        <v>-</v>
      </c>
      <c r="CD157" s="79"/>
      <c r="CE157" s="80"/>
      <c r="CF157" s="81"/>
      <c r="CL157" s="77">
        <v>1</v>
      </c>
    </row>
    <row r="158" spans="1:90" ht="17.45" customHeight="1">
      <c r="A158" s="58">
        <v>154</v>
      </c>
      <c r="B158" s="59" t="str">
        <f>'A Div'!A158 &amp; " " &amp; 'A Div'!B158</f>
        <v xml:space="preserve"> </v>
      </c>
      <c r="C158" s="59">
        <f>'A Div'!E158</f>
        <v>0</v>
      </c>
      <c r="D158" s="60"/>
      <c r="E158" s="60"/>
      <c r="F158" s="60"/>
      <c r="G158" s="60"/>
      <c r="H158" s="60"/>
      <c r="I158" s="60"/>
      <c r="J158" s="60"/>
      <c r="K158" s="60"/>
      <c r="L158" s="60"/>
      <c r="M158" s="74" t="str">
        <f t="shared" si="52"/>
        <v>-</v>
      </c>
      <c r="N158" s="60"/>
      <c r="O158" s="60"/>
      <c r="P158" s="60"/>
      <c r="Q158" s="60"/>
      <c r="R158" s="60"/>
      <c r="S158" s="60"/>
      <c r="T158" s="60"/>
      <c r="U158" s="60"/>
      <c r="V158" s="60"/>
      <c r="W158" s="74" t="str">
        <f t="shared" si="53"/>
        <v>-</v>
      </c>
      <c r="X158" s="148" t="str">
        <f t="shared" si="54"/>
        <v>-</v>
      </c>
      <c r="Y158" s="74" t="str">
        <f t="shared" si="55"/>
        <v>-</v>
      </c>
      <c r="AA158" s="60"/>
      <c r="AB158" s="60"/>
      <c r="AC158" s="60"/>
      <c r="AD158" s="60"/>
      <c r="AE158" s="60"/>
      <c r="AF158" s="60"/>
      <c r="AG158" s="60"/>
      <c r="AH158" s="60"/>
      <c r="AI158" s="60"/>
      <c r="AJ158" s="74" t="str">
        <f t="shared" si="56"/>
        <v>-</v>
      </c>
      <c r="AK158" s="60"/>
      <c r="AL158" s="60"/>
      <c r="AM158" s="60"/>
      <c r="AN158" s="60"/>
      <c r="AO158" s="60"/>
      <c r="AP158" s="60"/>
      <c r="AQ158" s="60"/>
      <c r="AR158" s="60"/>
      <c r="AS158" s="60"/>
      <c r="AT158" s="74" t="str">
        <f>IF(COUNTIF(AK158:AS158,"&lt;&gt;"&amp;"")=9,SUM(AK158:AS158),"-")</f>
        <v>-</v>
      </c>
      <c r="AU158" s="148" t="str">
        <f>IF(AND(ISNUMBER(AJ158),ISNUMBER(AT158)),AJ158+AT158,"-")</f>
        <v>-</v>
      </c>
      <c r="AV158" s="74" t="str">
        <f>IF(ISNUMBER(AU158),AU158-C158,"-")</f>
        <v>-</v>
      </c>
      <c r="AX158" s="59" t="str">
        <f t="shared" si="57"/>
        <v>-</v>
      </c>
      <c r="AY158" s="59" t="str">
        <f t="shared" si="58"/>
        <v>-</v>
      </c>
      <c r="AZ158" s="59" t="str">
        <f t="shared" si="59"/>
        <v>-</v>
      </c>
      <c r="BA158" s="59" t="str">
        <f t="shared" si="60"/>
        <v>-</v>
      </c>
      <c r="BB158" s="59" t="str">
        <f t="shared" si="61"/>
        <v>-</v>
      </c>
      <c r="BC158" s="59" t="str">
        <f t="shared" si="62"/>
        <v>-</v>
      </c>
      <c r="BD158" s="59" t="str">
        <f t="shared" si="63"/>
        <v>-</v>
      </c>
      <c r="BE158" s="59" t="str">
        <f t="shared" si="64"/>
        <v>-</v>
      </c>
      <c r="BF158" s="59" t="str">
        <f t="shared" si="65"/>
        <v>-</v>
      </c>
      <c r="BG158" s="59" t="str">
        <f t="shared" si="66"/>
        <v>-</v>
      </c>
      <c r="BH158" s="59" t="str">
        <f t="shared" si="67"/>
        <v>-</v>
      </c>
      <c r="BI158" s="59" t="str">
        <f t="shared" si="68"/>
        <v>-</v>
      </c>
      <c r="BJ158" s="59" t="str">
        <f t="shared" si="69"/>
        <v>-</v>
      </c>
      <c r="BK158" s="59" t="str">
        <f t="shared" si="70"/>
        <v>-</v>
      </c>
      <c r="BL158" s="59" t="str">
        <f>IF(AND(R158&gt;0,AO158&gt;0),MIN(R158,AO158),"-")</f>
        <v>-</v>
      </c>
      <c r="BM158" s="59" t="str">
        <f>IF(AND(S158&gt;0,AP158&gt;0),MIN(S158,AP158),"-")</f>
        <v>-</v>
      </c>
      <c r="BN158" s="59" t="str">
        <f>IF(AND(T158&gt;0,AQ158&gt;0),MIN(T158,AQ158),"-")</f>
        <v>-</v>
      </c>
      <c r="BO158" s="59" t="str">
        <f>IF(AND(U158&gt;0,AR158&gt;0),MIN(U158,AR158),"-")</f>
        <v>-</v>
      </c>
      <c r="BP158" s="59" t="str">
        <f>IF(AND(V158&gt;0,AS158&gt;0),MIN(V158,AS158),"-")</f>
        <v>-</v>
      </c>
      <c r="BQ158" s="59" t="str">
        <f t="shared" si="71"/>
        <v>-</v>
      </c>
      <c r="BR158" s="59" t="str">
        <f t="shared" si="72"/>
        <v>-</v>
      </c>
      <c r="BS158" s="59" t="str">
        <f t="shared" si="73"/>
        <v>-</v>
      </c>
      <c r="BT158" s="98" t="str">
        <f>IF(ISNUMBER(BS158),BS158-(C158*Rules!$P$9/100),"-")</f>
        <v>-</v>
      </c>
      <c r="BU158" s="59" t="e">
        <f>RANK($BT158,$BT$5:$BT$106,1)+COUNTIF(BT$5:BT158,BT158)-1</f>
        <v>#VALUE!</v>
      </c>
      <c r="BV158" s="59" t="e">
        <f t="shared" si="74"/>
        <v>#VALUE!</v>
      </c>
      <c r="BW158" s="59" t="str">
        <f t="shared" si="75"/>
        <v xml:space="preserve"> </v>
      </c>
      <c r="BX158" s="59">
        <f t="shared" si="76"/>
        <v>0</v>
      </c>
      <c r="BY158" s="98" t="str">
        <f t="shared" si="77"/>
        <v>-</v>
      </c>
      <c r="CD158" s="79"/>
      <c r="CE158" s="80"/>
      <c r="CF158" s="81"/>
      <c r="CL158" s="77">
        <v>1</v>
      </c>
    </row>
    <row r="159" spans="1:90" ht="17.45" customHeight="1">
      <c r="A159" s="58">
        <v>155</v>
      </c>
      <c r="B159" s="59" t="str">
        <f>'A Div'!A159 &amp; " " &amp; 'A Div'!B159</f>
        <v xml:space="preserve"> </v>
      </c>
      <c r="C159" s="59">
        <f>'A Div'!E159</f>
        <v>0</v>
      </c>
      <c r="D159" s="60"/>
      <c r="E159" s="60"/>
      <c r="F159" s="60"/>
      <c r="G159" s="60"/>
      <c r="H159" s="60"/>
      <c r="I159" s="60"/>
      <c r="J159" s="60"/>
      <c r="K159" s="60"/>
      <c r="L159" s="60"/>
      <c r="M159" s="74" t="str">
        <f t="shared" si="52"/>
        <v>-</v>
      </c>
      <c r="N159" s="60"/>
      <c r="O159" s="60"/>
      <c r="P159" s="60"/>
      <c r="Q159" s="60"/>
      <c r="R159" s="60"/>
      <c r="S159" s="60"/>
      <c r="T159" s="60"/>
      <c r="U159" s="60"/>
      <c r="V159" s="60"/>
      <c r="W159" s="74" t="str">
        <f t="shared" si="53"/>
        <v>-</v>
      </c>
      <c r="X159" s="148" t="str">
        <f t="shared" si="54"/>
        <v>-</v>
      </c>
      <c r="Y159" s="74" t="str">
        <f t="shared" si="55"/>
        <v>-</v>
      </c>
      <c r="AA159" s="60"/>
      <c r="AB159" s="60"/>
      <c r="AC159" s="60"/>
      <c r="AD159" s="60"/>
      <c r="AE159" s="60"/>
      <c r="AF159" s="60"/>
      <c r="AG159" s="60"/>
      <c r="AH159" s="60"/>
      <c r="AI159" s="60"/>
      <c r="AJ159" s="74" t="str">
        <f t="shared" si="56"/>
        <v>-</v>
      </c>
      <c r="AK159" s="60"/>
      <c r="AL159" s="60"/>
      <c r="AM159" s="60"/>
      <c r="AN159" s="60"/>
      <c r="AO159" s="60"/>
      <c r="AP159" s="60"/>
      <c r="AQ159" s="60"/>
      <c r="AR159" s="60"/>
      <c r="AS159" s="60"/>
      <c r="AT159" s="74" t="str">
        <f>IF(COUNTIF(AK159:AS159,"&lt;&gt;"&amp;"")=9,SUM(AK159:AS159),"-")</f>
        <v>-</v>
      </c>
      <c r="AU159" s="148" t="str">
        <f>IF(AND(ISNUMBER(AJ159),ISNUMBER(AT159)),AJ159+AT159,"-")</f>
        <v>-</v>
      </c>
      <c r="AV159" s="74" t="str">
        <f>IF(ISNUMBER(AU159),AU159-C159,"-")</f>
        <v>-</v>
      </c>
      <c r="AX159" s="59" t="str">
        <f t="shared" si="57"/>
        <v>-</v>
      </c>
      <c r="AY159" s="59" t="str">
        <f t="shared" si="58"/>
        <v>-</v>
      </c>
      <c r="AZ159" s="59" t="str">
        <f t="shared" si="59"/>
        <v>-</v>
      </c>
      <c r="BA159" s="59" t="str">
        <f t="shared" si="60"/>
        <v>-</v>
      </c>
      <c r="BB159" s="59" t="str">
        <f t="shared" si="61"/>
        <v>-</v>
      </c>
      <c r="BC159" s="59" t="str">
        <f t="shared" si="62"/>
        <v>-</v>
      </c>
      <c r="BD159" s="59" t="str">
        <f t="shared" si="63"/>
        <v>-</v>
      </c>
      <c r="BE159" s="59" t="str">
        <f t="shared" si="64"/>
        <v>-</v>
      </c>
      <c r="BF159" s="59" t="str">
        <f t="shared" si="65"/>
        <v>-</v>
      </c>
      <c r="BG159" s="59" t="str">
        <f t="shared" si="66"/>
        <v>-</v>
      </c>
      <c r="BH159" s="59" t="str">
        <f t="shared" si="67"/>
        <v>-</v>
      </c>
      <c r="BI159" s="59" t="str">
        <f t="shared" si="68"/>
        <v>-</v>
      </c>
      <c r="BJ159" s="59" t="str">
        <f t="shared" si="69"/>
        <v>-</v>
      </c>
      <c r="BK159" s="59" t="str">
        <f t="shared" si="70"/>
        <v>-</v>
      </c>
      <c r="BL159" s="59" t="str">
        <f>IF(AND(R159&gt;0,AO159&gt;0),MIN(R159,AO159),"-")</f>
        <v>-</v>
      </c>
      <c r="BM159" s="59" t="str">
        <f>IF(AND(S159&gt;0,AP159&gt;0),MIN(S159,AP159),"-")</f>
        <v>-</v>
      </c>
      <c r="BN159" s="59" t="str">
        <f>IF(AND(T159&gt;0,AQ159&gt;0),MIN(T159,AQ159),"-")</f>
        <v>-</v>
      </c>
      <c r="BO159" s="59" t="str">
        <f>IF(AND(U159&gt;0,AR159&gt;0),MIN(U159,AR159),"-")</f>
        <v>-</v>
      </c>
      <c r="BP159" s="59" t="str">
        <f>IF(AND(V159&gt;0,AS159&gt;0),MIN(V159,AS159),"-")</f>
        <v>-</v>
      </c>
      <c r="BQ159" s="59" t="str">
        <f t="shared" si="71"/>
        <v>-</v>
      </c>
      <c r="BR159" s="59" t="str">
        <f t="shared" si="72"/>
        <v>-</v>
      </c>
      <c r="BS159" s="59" t="str">
        <f t="shared" si="73"/>
        <v>-</v>
      </c>
      <c r="BT159" s="98" t="str">
        <f>IF(ISNUMBER(BS159),BS159-(C159*Rules!$P$9/100),"-")</f>
        <v>-</v>
      </c>
      <c r="BU159" s="59" t="e">
        <f>RANK($BT159,$BT$5:$BT$106,1)+COUNTIF(BT$5:BT159,BT159)-1</f>
        <v>#VALUE!</v>
      </c>
      <c r="BV159" s="59" t="e">
        <f t="shared" si="74"/>
        <v>#VALUE!</v>
      </c>
      <c r="BW159" s="59" t="str">
        <f t="shared" si="75"/>
        <v xml:space="preserve"> </v>
      </c>
      <c r="BX159" s="59">
        <f t="shared" si="76"/>
        <v>0</v>
      </c>
      <c r="BY159" s="98" t="str">
        <f t="shared" si="77"/>
        <v>-</v>
      </c>
      <c r="CD159" s="79"/>
      <c r="CE159" s="80"/>
      <c r="CF159" s="81"/>
      <c r="CL159" s="77">
        <v>1</v>
      </c>
    </row>
    <row r="160" spans="1:90" ht="17.45" customHeight="1">
      <c r="A160" s="58">
        <v>156</v>
      </c>
      <c r="B160" s="59" t="str">
        <f>'A Div'!A160 &amp; " " &amp; 'A Div'!B160</f>
        <v xml:space="preserve"> </v>
      </c>
      <c r="C160" s="59">
        <f>'A Div'!E160</f>
        <v>0</v>
      </c>
      <c r="D160" s="60"/>
      <c r="E160" s="60"/>
      <c r="F160" s="60"/>
      <c r="G160" s="60"/>
      <c r="H160" s="60"/>
      <c r="I160" s="60"/>
      <c r="J160" s="60"/>
      <c r="K160" s="60"/>
      <c r="L160" s="60"/>
      <c r="M160" s="74" t="str">
        <f t="shared" si="52"/>
        <v>-</v>
      </c>
      <c r="N160" s="60"/>
      <c r="O160" s="60"/>
      <c r="P160" s="60"/>
      <c r="Q160" s="60"/>
      <c r="R160" s="60"/>
      <c r="S160" s="60"/>
      <c r="T160" s="60"/>
      <c r="U160" s="60"/>
      <c r="V160" s="60"/>
      <c r="W160" s="74" t="str">
        <f t="shared" si="53"/>
        <v>-</v>
      </c>
      <c r="X160" s="148" t="str">
        <f t="shared" si="54"/>
        <v>-</v>
      </c>
      <c r="Y160" s="74" t="str">
        <f t="shared" si="55"/>
        <v>-</v>
      </c>
      <c r="AA160" s="60"/>
      <c r="AB160" s="60"/>
      <c r="AC160" s="60"/>
      <c r="AD160" s="60"/>
      <c r="AE160" s="60"/>
      <c r="AF160" s="60"/>
      <c r="AG160" s="60"/>
      <c r="AH160" s="60"/>
      <c r="AI160" s="60"/>
      <c r="AJ160" s="74" t="str">
        <f t="shared" si="56"/>
        <v>-</v>
      </c>
      <c r="AK160" s="60"/>
      <c r="AL160" s="60"/>
      <c r="AM160" s="60"/>
      <c r="AN160" s="60"/>
      <c r="AO160" s="60"/>
      <c r="AP160" s="60"/>
      <c r="AQ160" s="60"/>
      <c r="AR160" s="60"/>
      <c r="AS160" s="60"/>
      <c r="AT160" s="74" t="str">
        <f>IF(COUNTIF(AK160:AS160,"&lt;&gt;"&amp;"")=9,SUM(AK160:AS160),"-")</f>
        <v>-</v>
      </c>
      <c r="AU160" s="148" t="str">
        <f>IF(AND(ISNUMBER(AJ160),ISNUMBER(AT160)),AJ160+AT160,"-")</f>
        <v>-</v>
      </c>
      <c r="AV160" s="74" t="str">
        <f>IF(ISNUMBER(AU160),AU160-C160,"-")</f>
        <v>-</v>
      </c>
      <c r="AX160" s="59" t="str">
        <f t="shared" si="57"/>
        <v>-</v>
      </c>
      <c r="AY160" s="59" t="str">
        <f t="shared" si="58"/>
        <v>-</v>
      </c>
      <c r="AZ160" s="59" t="str">
        <f t="shared" si="59"/>
        <v>-</v>
      </c>
      <c r="BA160" s="59" t="str">
        <f t="shared" si="60"/>
        <v>-</v>
      </c>
      <c r="BB160" s="59" t="str">
        <f t="shared" si="61"/>
        <v>-</v>
      </c>
      <c r="BC160" s="59" t="str">
        <f t="shared" si="62"/>
        <v>-</v>
      </c>
      <c r="BD160" s="59" t="str">
        <f t="shared" si="63"/>
        <v>-</v>
      </c>
      <c r="BE160" s="59" t="str">
        <f t="shared" si="64"/>
        <v>-</v>
      </c>
      <c r="BF160" s="59" t="str">
        <f t="shared" si="65"/>
        <v>-</v>
      </c>
      <c r="BG160" s="59" t="str">
        <f t="shared" si="66"/>
        <v>-</v>
      </c>
      <c r="BH160" s="59" t="str">
        <f t="shared" si="67"/>
        <v>-</v>
      </c>
      <c r="BI160" s="59" t="str">
        <f t="shared" si="68"/>
        <v>-</v>
      </c>
      <c r="BJ160" s="59" t="str">
        <f t="shared" si="69"/>
        <v>-</v>
      </c>
      <c r="BK160" s="59" t="str">
        <f t="shared" si="70"/>
        <v>-</v>
      </c>
      <c r="BL160" s="59" t="str">
        <f>IF(AND(R160&gt;0,AO160&gt;0),MIN(R160,AO160),"-")</f>
        <v>-</v>
      </c>
      <c r="BM160" s="59" t="str">
        <f>IF(AND(S160&gt;0,AP160&gt;0),MIN(S160,AP160),"-")</f>
        <v>-</v>
      </c>
      <c r="BN160" s="59" t="str">
        <f>IF(AND(T160&gt;0,AQ160&gt;0),MIN(T160,AQ160),"-")</f>
        <v>-</v>
      </c>
      <c r="BO160" s="59" t="str">
        <f>IF(AND(U160&gt;0,AR160&gt;0),MIN(U160,AR160),"-")</f>
        <v>-</v>
      </c>
      <c r="BP160" s="59" t="str">
        <f>IF(AND(V160&gt;0,AS160&gt;0),MIN(V160,AS160),"-")</f>
        <v>-</v>
      </c>
      <c r="BQ160" s="59" t="str">
        <f t="shared" si="71"/>
        <v>-</v>
      </c>
      <c r="BR160" s="59" t="str">
        <f t="shared" si="72"/>
        <v>-</v>
      </c>
      <c r="BS160" s="59" t="str">
        <f t="shared" si="73"/>
        <v>-</v>
      </c>
      <c r="BT160" s="98" t="str">
        <f>IF(ISNUMBER(BS160),BS160-(C160*Rules!$P$9/100),"-")</f>
        <v>-</v>
      </c>
      <c r="BU160" s="59" t="e">
        <f>RANK($BT160,$BT$5:$BT$106,1)+COUNTIF(BT$5:BT160,BT160)-1</f>
        <v>#VALUE!</v>
      </c>
      <c r="BV160" s="59" t="e">
        <f t="shared" si="74"/>
        <v>#VALUE!</v>
      </c>
      <c r="BW160" s="59" t="str">
        <f t="shared" si="75"/>
        <v xml:space="preserve"> </v>
      </c>
      <c r="BX160" s="59">
        <f t="shared" si="76"/>
        <v>0</v>
      </c>
      <c r="BY160" s="98" t="str">
        <f t="shared" si="77"/>
        <v>-</v>
      </c>
      <c r="CD160" s="79"/>
      <c r="CE160" s="80"/>
      <c r="CF160" s="81"/>
      <c r="CL160" s="77">
        <v>1</v>
      </c>
    </row>
    <row r="161" spans="1:90" ht="17.45" customHeight="1">
      <c r="A161" s="58">
        <v>157</v>
      </c>
      <c r="B161" s="59" t="str">
        <f>'A Div'!A161 &amp; " " &amp; 'A Div'!B161</f>
        <v xml:space="preserve"> </v>
      </c>
      <c r="C161" s="59">
        <f>'A Div'!E161</f>
        <v>0</v>
      </c>
      <c r="D161" s="60"/>
      <c r="E161" s="60"/>
      <c r="F161" s="60"/>
      <c r="G161" s="60"/>
      <c r="H161" s="60"/>
      <c r="I161" s="60"/>
      <c r="J161" s="60"/>
      <c r="K161" s="60"/>
      <c r="L161" s="60"/>
      <c r="M161" s="74" t="str">
        <f t="shared" si="52"/>
        <v>-</v>
      </c>
      <c r="N161" s="60"/>
      <c r="O161" s="60"/>
      <c r="P161" s="60"/>
      <c r="Q161" s="60"/>
      <c r="R161" s="60"/>
      <c r="S161" s="60"/>
      <c r="T161" s="60"/>
      <c r="U161" s="60"/>
      <c r="V161" s="60"/>
      <c r="W161" s="74" t="str">
        <f t="shared" si="53"/>
        <v>-</v>
      </c>
      <c r="X161" s="148" t="str">
        <f t="shared" si="54"/>
        <v>-</v>
      </c>
      <c r="Y161" s="74" t="str">
        <f t="shared" si="55"/>
        <v>-</v>
      </c>
      <c r="AA161" s="60"/>
      <c r="AB161" s="60"/>
      <c r="AC161" s="60"/>
      <c r="AD161" s="60"/>
      <c r="AE161" s="60"/>
      <c r="AF161" s="60"/>
      <c r="AG161" s="60"/>
      <c r="AH161" s="60"/>
      <c r="AI161" s="60"/>
      <c r="AJ161" s="74" t="str">
        <f t="shared" si="56"/>
        <v>-</v>
      </c>
      <c r="AK161" s="60"/>
      <c r="AL161" s="60"/>
      <c r="AM161" s="60"/>
      <c r="AN161" s="60"/>
      <c r="AO161" s="60"/>
      <c r="AP161" s="60"/>
      <c r="AQ161" s="60"/>
      <c r="AR161" s="60"/>
      <c r="AS161" s="60"/>
      <c r="AT161" s="74" t="str">
        <f>IF(COUNTIF(AK161:AS161,"&lt;&gt;"&amp;"")=9,SUM(AK161:AS161),"-")</f>
        <v>-</v>
      </c>
      <c r="AU161" s="148" t="str">
        <f>IF(AND(ISNUMBER(AJ161),ISNUMBER(AT161)),AJ161+AT161,"-")</f>
        <v>-</v>
      </c>
      <c r="AV161" s="74" t="str">
        <f>IF(ISNUMBER(AU161),AU161-C161,"-")</f>
        <v>-</v>
      </c>
      <c r="AX161" s="59" t="str">
        <f t="shared" si="57"/>
        <v>-</v>
      </c>
      <c r="AY161" s="59" t="str">
        <f t="shared" si="58"/>
        <v>-</v>
      </c>
      <c r="AZ161" s="59" t="str">
        <f t="shared" si="59"/>
        <v>-</v>
      </c>
      <c r="BA161" s="59" t="str">
        <f t="shared" si="60"/>
        <v>-</v>
      </c>
      <c r="BB161" s="59" t="str">
        <f t="shared" si="61"/>
        <v>-</v>
      </c>
      <c r="BC161" s="59" t="str">
        <f t="shared" si="62"/>
        <v>-</v>
      </c>
      <c r="BD161" s="59" t="str">
        <f t="shared" si="63"/>
        <v>-</v>
      </c>
      <c r="BE161" s="59" t="str">
        <f t="shared" si="64"/>
        <v>-</v>
      </c>
      <c r="BF161" s="59" t="str">
        <f t="shared" si="65"/>
        <v>-</v>
      </c>
      <c r="BG161" s="59" t="str">
        <f t="shared" si="66"/>
        <v>-</v>
      </c>
      <c r="BH161" s="59" t="str">
        <f t="shared" si="67"/>
        <v>-</v>
      </c>
      <c r="BI161" s="59" t="str">
        <f t="shared" si="68"/>
        <v>-</v>
      </c>
      <c r="BJ161" s="59" t="str">
        <f t="shared" si="69"/>
        <v>-</v>
      </c>
      <c r="BK161" s="59" t="str">
        <f t="shared" si="70"/>
        <v>-</v>
      </c>
      <c r="BL161" s="59" t="str">
        <f>IF(AND(R161&gt;0,AO161&gt;0),MIN(R161,AO161),"-")</f>
        <v>-</v>
      </c>
      <c r="BM161" s="59" t="str">
        <f>IF(AND(S161&gt;0,AP161&gt;0),MIN(S161,AP161),"-")</f>
        <v>-</v>
      </c>
      <c r="BN161" s="59" t="str">
        <f>IF(AND(T161&gt;0,AQ161&gt;0),MIN(T161,AQ161),"-")</f>
        <v>-</v>
      </c>
      <c r="BO161" s="59" t="str">
        <f>IF(AND(U161&gt;0,AR161&gt;0),MIN(U161,AR161),"-")</f>
        <v>-</v>
      </c>
      <c r="BP161" s="59" t="str">
        <f>IF(AND(V161&gt;0,AS161&gt;0),MIN(V161,AS161),"-")</f>
        <v>-</v>
      </c>
      <c r="BQ161" s="59" t="str">
        <f t="shared" si="71"/>
        <v>-</v>
      </c>
      <c r="BR161" s="59" t="str">
        <f t="shared" si="72"/>
        <v>-</v>
      </c>
      <c r="BS161" s="59" t="str">
        <f t="shared" si="73"/>
        <v>-</v>
      </c>
      <c r="BT161" s="98" t="str">
        <f>IF(ISNUMBER(BS161),BS161-(C161*Rules!$P$9/100),"-")</f>
        <v>-</v>
      </c>
      <c r="BU161" s="59" t="e">
        <f>RANK($BT161,$BT$5:$BT$106,1)+COUNTIF(BT$5:BT161,BT161)-1</f>
        <v>#VALUE!</v>
      </c>
      <c r="BV161" s="59" t="e">
        <f t="shared" si="74"/>
        <v>#VALUE!</v>
      </c>
      <c r="BW161" s="59" t="str">
        <f t="shared" si="75"/>
        <v xml:space="preserve"> </v>
      </c>
      <c r="BX161" s="59">
        <f t="shared" si="76"/>
        <v>0</v>
      </c>
      <c r="BY161" s="98" t="str">
        <f t="shared" si="77"/>
        <v>-</v>
      </c>
      <c r="CD161" s="79"/>
      <c r="CE161" s="80"/>
      <c r="CF161" s="81"/>
      <c r="CL161" s="77">
        <v>1</v>
      </c>
    </row>
    <row r="162" spans="1:90" ht="17.45" customHeight="1">
      <c r="A162" s="58">
        <v>158</v>
      </c>
      <c r="B162" s="59" t="str">
        <f>'A Div'!A162 &amp; " " &amp; 'A Div'!B162</f>
        <v xml:space="preserve"> </v>
      </c>
      <c r="C162" s="59">
        <f>'A Div'!E162</f>
        <v>0</v>
      </c>
      <c r="D162" s="60"/>
      <c r="E162" s="60"/>
      <c r="F162" s="60"/>
      <c r="G162" s="60"/>
      <c r="H162" s="60"/>
      <c r="I162" s="60"/>
      <c r="J162" s="60"/>
      <c r="K162" s="60"/>
      <c r="L162" s="60"/>
      <c r="M162" s="74" t="str">
        <f t="shared" si="52"/>
        <v>-</v>
      </c>
      <c r="N162" s="60"/>
      <c r="O162" s="60"/>
      <c r="P162" s="60"/>
      <c r="Q162" s="60"/>
      <c r="R162" s="60"/>
      <c r="S162" s="60"/>
      <c r="T162" s="60"/>
      <c r="U162" s="60"/>
      <c r="V162" s="60"/>
      <c r="W162" s="74" t="str">
        <f t="shared" si="53"/>
        <v>-</v>
      </c>
      <c r="X162" s="148" t="str">
        <f t="shared" si="54"/>
        <v>-</v>
      </c>
      <c r="Y162" s="74" t="str">
        <f t="shared" si="55"/>
        <v>-</v>
      </c>
      <c r="AA162" s="60"/>
      <c r="AB162" s="60"/>
      <c r="AC162" s="60"/>
      <c r="AD162" s="60"/>
      <c r="AE162" s="60"/>
      <c r="AF162" s="60"/>
      <c r="AG162" s="60"/>
      <c r="AH162" s="60"/>
      <c r="AI162" s="60"/>
      <c r="AJ162" s="74" t="str">
        <f t="shared" si="56"/>
        <v>-</v>
      </c>
      <c r="AK162" s="60"/>
      <c r="AL162" s="60"/>
      <c r="AM162" s="60"/>
      <c r="AN162" s="60"/>
      <c r="AO162" s="60"/>
      <c r="AP162" s="60"/>
      <c r="AQ162" s="60"/>
      <c r="AR162" s="60"/>
      <c r="AS162" s="60"/>
      <c r="AT162" s="74" t="str">
        <f>IF(COUNTIF(AK162:AS162,"&lt;&gt;"&amp;"")=9,SUM(AK162:AS162),"-")</f>
        <v>-</v>
      </c>
      <c r="AU162" s="148" t="str">
        <f>IF(AND(ISNUMBER(AJ162),ISNUMBER(AT162)),AJ162+AT162,"-")</f>
        <v>-</v>
      </c>
      <c r="AV162" s="74" t="str">
        <f>IF(ISNUMBER(AU162),AU162-C162,"-")</f>
        <v>-</v>
      </c>
      <c r="AX162" s="59" t="str">
        <f t="shared" si="57"/>
        <v>-</v>
      </c>
      <c r="AY162" s="59" t="str">
        <f t="shared" si="58"/>
        <v>-</v>
      </c>
      <c r="AZ162" s="59" t="str">
        <f t="shared" si="59"/>
        <v>-</v>
      </c>
      <c r="BA162" s="59" t="str">
        <f t="shared" si="60"/>
        <v>-</v>
      </c>
      <c r="BB162" s="59" t="str">
        <f t="shared" si="61"/>
        <v>-</v>
      </c>
      <c r="BC162" s="59" t="str">
        <f t="shared" si="62"/>
        <v>-</v>
      </c>
      <c r="BD162" s="59" t="str">
        <f t="shared" si="63"/>
        <v>-</v>
      </c>
      <c r="BE162" s="59" t="str">
        <f t="shared" si="64"/>
        <v>-</v>
      </c>
      <c r="BF162" s="59" t="str">
        <f t="shared" si="65"/>
        <v>-</v>
      </c>
      <c r="BG162" s="59" t="str">
        <f t="shared" si="66"/>
        <v>-</v>
      </c>
      <c r="BH162" s="59" t="str">
        <f t="shared" si="67"/>
        <v>-</v>
      </c>
      <c r="BI162" s="59" t="str">
        <f t="shared" si="68"/>
        <v>-</v>
      </c>
      <c r="BJ162" s="59" t="str">
        <f t="shared" si="69"/>
        <v>-</v>
      </c>
      <c r="BK162" s="59" t="str">
        <f t="shared" si="70"/>
        <v>-</v>
      </c>
      <c r="BL162" s="59" t="str">
        <f>IF(AND(R162&gt;0,AO162&gt;0),MIN(R162,AO162),"-")</f>
        <v>-</v>
      </c>
      <c r="BM162" s="59" t="str">
        <f>IF(AND(S162&gt;0,AP162&gt;0),MIN(S162,AP162),"-")</f>
        <v>-</v>
      </c>
      <c r="BN162" s="59" t="str">
        <f>IF(AND(T162&gt;0,AQ162&gt;0),MIN(T162,AQ162),"-")</f>
        <v>-</v>
      </c>
      <c r="BO162" s="59" t="str">
        <f>IF(AND(U162&gt;0,AR162&gt;0),MIN(U162,AR162),"-")</f>
        <v>-</v>
      </c>
      <c r="BP162" s="59" t="str">
        <f>IF(AND(V162&gt;0,AS162&gt;0),MIN(V162,AS162),"-")</f>
        <v>-</v>
      </c>
      <c r="BQ162" s="59" t="str">
        <f t="shared" si="71"/>
        <v>-</v>
      </c>
      <c r="BR162" s="59" t="str">
        <f t="shared" si="72"/>
        <v>-</v>
      </c>
      <c r="BS162" s="59" t="str">
        <f t="shared" si="73"/>
        <v>-</v>
      </c>
      <c r="BT162" s="98" t="str">
        <f>IF(ISNUMBER(BS162),BS162-(C162*Rules!$P$9/100),"-")</f>
        <v>-</v>
      </c>
      <c r="BU162" s="59" t="e">
        <f>RANK($BT162,$BT$5:$BT$106,1)+COUNTIF(BT$5:BT162,BT162)-1</f>
        <v>#VALUE!</v>
      </c>
      <c r="BV162" s="59" t="e">
        <f t="shared" si="74"/>
        <v>#VALUE!</v>
      </c>
      <c r="BW162" s="59" t="str">
        <f t="shared" si="75"/>
        <v xml:space="preserve"> </v>
      </c>
      <c r="BX162" s="59">
        <f t="shared" si="76"/>
        <v>0</v>
      </c>
      <c r="BY162" s="98" t="str">
        <f t="shared" si="77"/>
        <v>-</v>
      </c>
      <c r="CD162" s="79"/>
      <c r="CE162" s="80"/>
      <c r="CF162" s="81"/>
      <c r="CL162" s="77">
        <v>1</v>
      </c>
    </row>
    <row r="163" spans="1:90" ht="17.45" customHeight="1">
      <c r="A163" s="58">
        <v>159</v>
      </c>
      <c r="B163" s="59" t="str">
        <f>'A Div'!A163 &amp; " " &amp; 'A Div'!B163</f>
        <v xml:space="preserve"> </v>
      </c>
      <c r="C163" s="59">
        <f>'A Div'!E163</f>
        <v>0</v>
      </c>
      <c r="D163" s="60"/>
      <c r="E163" s="60"/>
      <c r="F163" s="60"/>
      <c r="G163" s="60"/>
      <c r="H163" s="60"/>
      <c r="I163" s="60"/>
      <c r="J163" s="60"/>
      <c r="K163" s="60"/>
      <c r="L163" s="60"/>
      <c r="M163" s="74" t="str">
        <f t="shared" si="52"/>
        <v>-</v>
      </c>
      <c r="N163" s="60"/>
      <c r="O163" s="60"/>
      <c r="P163" s="60"/>
      <c r="Q163" s="60"/>
      <c r="R163" s="60"/>
      <c r="S163" s="60"/>
      <c r="T163" s="60"/>
      <c r="U163" s="60"/>
      <c r="V163" s="60"/>
      <c r="W163" s="74" t="str">
        <f t="shared" si="53"/>
        <v>-</v>
      </c>
      <c r="X163" s="148" t="str">
        <f t="shared" si="54"/>
        <v>-</v>
      </c>
      <c r="Y163" s="74" t="str">
        <f t="shared" si="55"/>
        <v>-</v>
      </c>
      <c r="AA163" s="60"/>
      <c r="AB163" s="60"/>
      <c r="AC163" s="60"/>
      <c r="AD163" s="60"/>
      <c r="AE163" s="60"/>
      <c r="AF163" s="60"/>
      <c r="AG163" s="60"/>
      <c r="AH163" s="60"/>
      <c r="AI163" s="60"/>
      <c r="AJ163" s="74" t="str">
        <f t="shared" si="56"/>
        <v>-</v>
      </c>
      <c r="AK163" s="60"/>
      <c r="AL163" s="60"/>
      <c r="AM163" s="60"/>
      <c r="AN163" s="60"/>
      <c r="AO163" s="60"/>
      <c r="AP163" s="60"/>
      <c r="AQ163" s="60"/>
      <c r="AR163" s="60"/>
      <c r="AS163" s="60"/>
      <c r="AT163" s="74" t="str">
        <f>IF(COUNTIF(AK163:AS163,"&lt;&gt;"&amp;"")=9,SUM(AK163:AS163),"-")</f>
        <v>-</v>
      </c>
      <c r="AU163" s="148" t="str">
        <f>IF(AND(ISNUMBER(AJ163),ISNUMBER(AT163)),AJ163+AT163,"-")</f>
        <v>-</v>
      </c>
      <c r="AV163" s="74" t="str">
        <f>IF(ISNUMBER(AU163),AU163-C163,"-")</f>
        <v>-</v>
      </c>
      <c r="AX163" s="59" t="str">
        <f t="shared" si="57"/>
        <v>-</v>
      </c>
      <c r="AY163" s="59" t="str">
        <f t="shared" si="58"/>
        <v>-</v>
      </c>
      <c r="AZ163" s="59" t="str">
        <f t="shared" si="59"/>
        <v>-</v>
      </c>
      <c r="BA163" s="59" t="str">
        <f t="shared" si="60"/>
        <v>-</v>
      </c>
      <c r="BB163" s="59" t="str">
        <f t="shared" si="61"/>
        <v>-</v>
      </c>
      <c r="BC163" s="59" t="str">
        <f t="shared" si="62"/>
        <v>-</v>
      </c>
      <c r="BD163" s="59" t="str">
        <f t="shared" si="63"/>
        <v>-</v>
      </c>
      <c r="BE163" s="59" t="str">
        <f t="shared" si="64"/>
        <v>-</v>
      </c>
      <c r="BF163" s="59" t="str">
        <f t="shared" si="65"/>
        <v>-</v>
      </c>
      <c r="BG163" s="59" t="str">
        <f t="shared" si="66"/>
        <v>-</v>
      </c>
      <c r="BH163" s="59" t="str">
        <f t="shared" si="67"/>
        <v>-</v>
      </c>
      <c r="BI163" s="59" t="str">
        <f t="shared" si="68"/>
        <v>-</v>
      </c>
      <c r="BJ163" s="59" t="str">
        <f t="shared" si="69"/>
        <v>-</v>
      </c>
      <c r="BK163" s="59" t="str">
        <f t="shared" si="70"/>
        <v>-</v>
      </c>
      <c r="BL163" s="59" t="str">
        <f>IF(AND(R163&gt;0,AO163&gt;0),MIN(R163,AO163),"-")</f>
        <v>-</v>
      </c>
      <c r="BM163" s="59" t="str">
        <f>IF(AND(S163&gt;0,AP163&gt;0),MIN(S163,AP163),"-")</f>
        <v>-</v>
      </c>
      <c r="BN163" s="59" t="str">
        <f>IF(AND(T163&gt;0,AQ163&gt;0),MIN(T163,AQ163),"-")</f>
        <v>-</v>
      </c>
      <c r="BO163" s="59" t="str">
        <f>IF(AND(U163&gt;0,AR163&gt;0),MIN(U163,AR163),"-")</f>
        <v>-</v>
      </c>
      <c r="BP163" s="59" t="str">
        <f>IF(AND(V163&gt;0,AS163&gt;0),MIN(V163,AS163),"-")</f>
        <v>-</v>
      </c>
      <c r="BQ163" s="59" t="str">
        <f t="shared" si="71"/>
        <v>-</v>
      </c>
      <c r="BR163" s="59" t="str">
        <f t="shared" si="72"/>
        <v>-</v>
      </c>
      <c r="BS163" s="59" t="str">
        <f t="shared" si="73"/>
        <v>-</v>
      </c>
      <c r="BT163" s="98" t="str">
        <f>IF(ISNUMBER(BS163),BS163-(C163*Rules!$P$9/100),"-")</f>
        <v>-</v>
      </c>
      <c r="BU163" s="59" t="e">
        <f>RANK($BT163,$BT$5:$BT$106,1)+COUNTIF(BT$5:BT163,BT163)-1</f>
        <v>#VALUE!</v>
      </c>
      <c r="BV163" s="59" t="e">
        <f t="shared" si="74"/>
        <v>#VALUE!</v>
      </c>
      <c r="BW163" s="59" t="str">
        <f t="shared" si="75"/>
        <v xml:space="preserve"> </v>
      </c>
      <c r="BX163" s="59">
        <f t="shared" si="76"/>
        <v>0</v>
      </c>
      <c r="BY163" s="98" t="str">
        <f t="shared" si="77"/>
        <v>-</v>
      </c>
      <c r="CD163" s="79"/>
      <c r="CE163" s="80"/>
      <c r="CF163" s="81"/>
      <c r="CL163" s="77">
        <v>1</v>
      </c>
    </row>
    <row r="164" spans="1:90" ht="17.45" customHeight="1">
      <c r="A164" s="58">
        <v>160</v>
      </c>
      <c r="B164" s="59" t="str">
        <f>'A Div'!A164 &amp; " " &amp; 'A Div'!B164</f>
        <v xml:space="preserve"> </v>
      </c>
      <c r="C164" s="59">
        <f>'A Div'!E164</f>
        <v>0</v>
      </c>
      <c r="D164" s="60"/>
      <c r="E164" s="60"/>
      <c r="F164" s="60"/>
      <c r="G164" s="60"/>
      <c r="H164" s="60"/>
      <c r="I164" s="60"/>
      <c r="J164" s="60"/>
      <c r="K164" s="60"/>
      <c r="L164" s="60"/>
      <c r="M164" s="74" t="str">
        <f t="shared" si="52"/>
        <v>-</v>
      </c>
      <c r="N164" s="60"/>
      <c r="O164" s="60"/>
      <c r="P164" s="60"/>
      <c r="Q164" s="60"/>
      <c r="R164" s="60"/>
      <c r="S164" s="60"/>
      <c r="T164" s="60"/>
      <c r="U164" s="60"/>
      <c r="V164" s="60"/>
      <c r="W164" s="74" t="str">
        <f t="shared" si="53"/>
        <v>-</v>
      </c>
      <c r="X164" s="148" t="str">
        <f t="shared" si="54"/>
        <v>-</v>
      </c>
      <c r="Y164" s="74" t="str">
        <f t="shared" si="55"/>
        <v>-</v>
      </c>
      <c r="AA164" s="60"/>
      <c r="AB164" s="60"/>
      <c r="AC164" s="60"/>
      <c r="AD164" s="60"/>
      <c r="AE164" s="60"/>
      <c r="AF164" s="60"/>
      <c r="AG164" s="60"/>
      <c r="AH164" s="60"/>
      <c r="AI164" s="60"/>
      <c r="AJ164" s="74" t="str">
        <f t="shared" si="56"/>
        <v>-</v>
      </c>
      <c r="AK164" s="60"/>
      <c r="AL164" s="60"/>
      <c r="AM164" s="60"/>
      <c r="AN164" s="60"/>
      <c r="AO164" s="60"/>
      <c r="AP164" s="60"/>
      <c r="AQ164" s="60"/>
      <c r="AR164" s="60"/>
      <c r="AS164" s="60"/>
      <c r="AT164" s="74" t="str">
        <f>IF(COUNTIF(AK164:AS164,"&lt;&gt;"&amp;"")=9,SUM(AK164:AS164),"-")</f>
        <v>-</v>
      </c>
      <c r="AU164" s="148" t="str">
        <f>IF(AND(ISNUMBER(AJ164),ISNUMBER(AT164)),AJ164+AT164,"-")</f>
        <v>-</v>
      </c>
      <c r="AV164" s="74" t="str">
        <f>IF(ISNUMBER(AU164),AU164-C164,"-")</f>
        <v>-</v>
      </c>
      <c r="AX164" s="59" t="str">
        <f t="shared" si="57"/>
        <v>-</v>
      </c>
      <c r="AY164" s="59" t="str">
        <f t="shared" si="58"/>
        <v>-</v>
      </c>
      <c r="AZ164" s="59" t="str">
        <f t="shared" si="59"/>
        <v>-</v>
      </c>
      <c r="BA164" s="59" t="str">
        <f t="shared" si="60"/>
        <v>-</v>
      </c>
      <c r="BB164" s="59" t="str">
        <f t="shared" si="61"/>
        <v>-</v>
      </c>
      <c r="BC164" s="59" t="str">
        <f t="shared" si="62"/>
        <v>-</v>
      </c>
      <c r="BD164" s="59" t="str">
        <f t="shared" si="63"/>
        <v>-</v>
      </c>
      <c r="BE164" s="59" t="str">
        <f t="shared" si="64"/>
        <v>-</v>
      </c>
      <c r="BF164" s="59" t="str">
        <f t="shared" si="65"/>
        <v>-</v>
      </c>
      <c r="BG164" s="59" t="str">
        <f t="shared" si="66"/>
        <v>-</v>
      </c>
      <c r="BH164" s="59" t="str">
        <f t="shared" si="67"/>
        <v>-</v>
      </c>
      <c r="BI164" s="59" t="str">
        <f t="shared" si="68"/>
        <v>-</v>
      </c>
      <c r="BJ164" s="59" t="str">
        <f t="shared" si="69"/>
        <v>-</v>
      </c>
      <c r="BK164" s="59" t="str">
        <f t="shared" si="70"/>
        <v>-</v>
      </c>
      <c r="BL164" s="59" t="str">
        <f>IF(AND(R164&gt;0,AO164&gt;0),MIN(R164,AO164),"-")</f>
        <v>-</v>
      </c>
      <c r="BM164" s="59" t="str">
        <f>IF(AND(S164&gt;0,AP164&gt;0),MIN(S164,AP164),"-")</f>
        <v>-</v>
      </c>
      <c r="BN164" s="59" t="str">
        <f>IF(AND(T164&gt;0,AQ164&gt;0),MIN(T164,AQ164),"-")</f>
        <v>-</v>
      </c>
      <c r="BO164" s="59" t="str">
        <f>IF(AND(U164&gt;0,AR164&gt;0),MIN(U164,AR164),"-")</f>
        <v>-</v>
      </c>
      <c r="BP164" s="59" t="str">
        <f>IF(AND(V164&gt;0,AS164&gt;0),MIN(V164,AS164),"-")</f>
        <v>-</v>
      </c>
      <c r="BQ164" s="59" t="str">
        <f t="shared" si="71"/>
        <v>-</v>
      </c>
      <c r="BR164" s="59" t="str">
        <f t="shared" si="72"/>
        <v>-</v>
      </c>
      <c r="BS164" s="59" t="str">
        <f t="shared" si="73"/>
        <v>-</v>
      </c>
      <c r="BT164" s="98" t="str">
        <f>IF(ISNUMBER(BS164),BS164-(C164*Rules!$P$9/100),"-")</f>
        <v>-</v>
      </c>
      <c r="BU164" s="59" t="e">
        <f>RANK($BT164,$BT$5:$BT$106,1)+COUNTIF(BT$5:BT164,BT164)-1</f>
        <v>#VALUE!</v>
      </c>
      <c r="BV164" s="59" t="e">
        <f t="shared" si="74"/>
        <v>#VALUE!</v>
      </c>
      <c r="BW164" s="59" t="str">
        <f t="shared" si="75"/>
        <v xml:space="preserve"> </v>
      </c>
      <c r="BX164" s="59">
        <f t="shared" si="76"/>
        <v>0</v>
      </c>
      <c r="BY164" s="98" t="str">
        <f t="shared" si="77"/>
        <v>-</v>
      </c>
      <c r="CD164" s="79"/>
      <c r="CE164" s="80"/>
      <c r="CF164" s="81"/>
      <c r="CL164" s="77">
        <v>1</v>
      </c>
    </row>
    <row r="165" spans="1:90" ht="17.45" customHeight="1">
      <c r="A165" s="58">
        <v>161</v>
      </c>
      <c r="B165" s="59" t="str">
        <f>'A Div'!A165 &amp; " " &amp; 'A Div'!B165</f>
        <v xml:space="preserve"> </v>
      </c>
      <c r="C165" s="59">
        <f>'A Div'!E165</f>
        <v>0</v>
      </c>
      <c r="D165" s="60"/>
      <c r="E165" s="60"/>
      <c r="F165" s="60"/>
      <c r="G165" s="60"/>
      <c r="H165" s="60"/>
      <c r="I165" s="60"/>
      <c r="J165" s="60"/>
      <c r="K165" s="60"/>
      <c r="L165" s="60"/>
      <c r="M165" s="74" t="str">
        <f t="shared" si="52"/>
        <v>-</v>
      </c>
      <c r="N165" s="60"/>
      <c r="O165" s="60"/>
      <c r="P165" s="60"/>
      <c r="Q165" s="60"/>
      <c r="R165" s="60"/>
      <c r="S165" s="60"/>
      <c r="T165" s="60"/>
      <c r="U165" s="60"/>
      <c r="V165" s="60"/>
      <c r="W165" s="74" t="str">
        <f t="shared" si="53"/>
        <v>-</v>
      </c>
      <c r="X165" s="148" t="str">
        <f t="shared" si="54"/>
        <v>-</v>
      </c>
      <c r="Y165" s="74" t="str">
        <f t="shared" si="55"/>
        <v>-</v>
      </c>
      <c r="AA165" s="60"/>
      <c r="AB165" s="60"/>
      <c r="AC165" s="60"/>
      <c r="AD165" s="60"/>
      <c r="AE165" s="60"/>
      <c r="AF165" s="60"/>
      <c r="AG165" s="60"/>
      <c r="AH165" s="60"/>
      <c r="AI165" s="60"/>
      <c r="AJ165" s="74" t="str">
        <f t="shared" si="56"/>
        <v>-</v>
      </c>
      <c r="AK165" s="60"/>
      <c r="AL165" s="60"/>
      <c r="AM165" s="60"/>
      <c r="AN165" s="60"/>
      <c r="AO165" s="60"/>
      <c r="AP165" s="60"/>
      <c r="AQ165" s="60"/>
      <c r="AR165" s="60"/>
      <c r="AS165" s="60"/>
      <c r="AT165" s="74" t="str">
        <f>IF(COUNTIF(AK165:AS165,"&lt;&gt;"&amp;"")=9,SUM(AK165:AS165),"-")</f>
        <v>-</v>
      </c>
      <c r="AU165" s="148" t="str">
        <f>IF(AND(ISNUMBER(AJ165),ISNUMBER(AT165)),AJ165+AT165,"-")</f>
        <v>-</v>
      </c>
      <c r="AV165" s="74" t="str">
        <f>IF(ISNUMBER(AU165),AU165-C165,"-")</f>
        <v>-</v>
      </c>
      <c r="AX165" s="59" t="str">
        <f t="shared" si="57"/>
        <v>-</v>
      </c>
      <c r="AY165" s="59" t="str">
        <f t="shared" si="58"/>
        <v>-</v>
      </c>
      <c r="AZ165" s="59" t="str">
        <f t="shared" si="59"/>
        <v>-</v>
      </c>
      <c r="BA165" s="59" t="str">
        <f t="shared" si="60"/>
        <v>-</v>
      </c>
      <c r="BB165" s="59" t="str">
        <f t="shared" si="61"/>
        <v>-</v>
      </c>
      <c r="BC165" s="59" t="str">
        <f t="shared" si="62"/>
        <v>-</v>
      </c>
      <c r="BD165" s="59" t="str">
        <f t="shared" si="63"/>
        <v>-</v>
      </c>
      <c r="BE165" s="59" t="str">
        <f t="shared" si="64"/>
        <v>-</v>
      </c>
      <c r="BF165" s="59" t="str">
        <f t="shared" si="65"/>
        <v>-</v>
      </c>
      <c r="BG165" s="59" t="str">
        <f t="shared" si="66"/>
        <v>-</v>
      </c>
      <c r="BH165" s="59" t="str">
        <f t="shared" si="67"/>
        <v>-</v>
      </c>
      <c r="BI165" s="59" t="str">
        <f t="shared" si="68"/>
        <v>-</v>
      </c>
      <c r="BJ165" s="59" t="str">
        <f t="shared" si="69"/>
        <v>-</v>
      </c>
      <c r="BK165" s="59" t="str">
        <f t="shared" si="70"/>
        <v>-</v>
      </c>
      <c r="BL165" s="59" t="str">
        <f>IF(AND(R165&gt;0,AO165&gt;0),MIN(R165,AO165),"-")</f>
        <v>-</v>
      </c>
      <c r="BM165" s="59" t="str">
        <f>IF(AND(S165&gt;0,AP165&gt;0),MIN(S165,AP165),"-")</f>
        <v>-</v>
      </c>
      <c r="BN165" s="59" t="str">
        <f>IF(AND(T165&gt;0,AQ165&gt;0),MIN(T165,AQ165),"-")</f>
        <v>-</v>
      </c>
      <c r="BO165" s="59" t="str">
        <f>IF(AND(U165&gt;0,AR165&gt;0),MIN(U165,AR165),"-")</f>
        <v>-</v>
      </c>
      <c r="BP165" s="59" t="str">
        <f>IF(AND(V165&gt;0,AS165&gt;0),MIN(V165,AS165),"-")</f>
        <v>-</v>
      </c>
      <c r="BQ165" s="59" t="str">
        <f t="shared" si="71"/>
        <v>-</v>
      </c>
      <c r="BR165" s="59" t="str">
        <f t="shared" si="72"/>
        <v>-</v>
      </c>
      <c r="BS165" s="59" t="str">
        <f t="shared" si="73"/>
        <v>-</v>
      </c>
      <c r="BT165" s="98" t="str">
        <f>IF(ISNUMBER(BS165),BS165-(C165*Rules!$P$9/100),"-")</f>
        <v>-</v>
      </c>
      <c r="BU165" s="59" t="e">
        <f>RANK($BT165,$BT$5:$BT$106,1)+COUNTIF(BT$5:BT165,BT165)-1</f>
        <v>#VALUE!</v>
      </c>
      <c r="BV165" s="59" t="e">
        <f t="shared" si="74"/>
        <v>#VALUE!</v>
      </c>
      <c r="BW165" s="59" t="str">
        <f t="shared" si="75"/>
        <v xml:space="preserve"> </v>
      </c>
      <c r="BX165" s="59">
        <f t="shared" si="76"/>
        <v>0</v>
      </c>
      <c r="BY165" s="98" t="str">
        <f t="shared" si="77"/>
        <v>-</v>
      </c>
      <c r="CD165" s="79"/>
      <c r="CE165" s="80"/>
      <c r="CF165" s="81"/>
      <c r="CL165" s="77">
        <v>1</v>
      </c>
    </row>
    <row r="166" spans="1:90" ht="17.45" customHeight="1">
      <c r="A166" s="58">
        <v>162</v>
      </c>
      <c r="B166" s="59" t="str">
        <f>'A Div'!A166 &amp; " " &amp; 'A Div'!B166</f>
        <v xml:space="preserve"> </v>
      </c>
      <c r="C166" s="59">
        <f>'A Div'!E166</f>
        <v>0</v>
      </c>
      <c r="D166" s="60"/>
      <c r="E166" s="60"/>
      <c r="F166" s="60"/>
      <c r="G166" s="60"/>
      <c r="H166" s="60"/>
      <c r="I166" s="60"/>
      <c r="J166" s="60"/>
      <c r="K166" s="60"/>
      <c r="L166" s="60"/>
      <c r="M166" s="74" t="str">
        <f t="shared" si="52"/>
        <v>-</v>
      </c>
      <c r="N166" s="60"/>
      <c r="O166" s="60"/>
      <c r="P166" s="60"/>
      <c r="Q166" s="60"/>
      <c r="R166" s="60"/>
      <c r="S166" s="60"/>
      <c r="T166" s="60"/>
      <c r="U166" s="60"/>
      <c r="V166" s="60"/>
      <c r="W166" s="74" t="str">
        <f t="shared" si="53"/>
        <v>-</v>
      </c>
      <c r="X166" s="148" t="str">
        <f t="shared" si="54"/>
        <v>-</v>
      </c>
      <c r="Y166" s="74" t="str">
        <f t="shared" si="55"/>
        <v>-</v>
      </c>
      <c r="AA166" s="60"/>
      <c r="AB166" s="60"/>
      <c r="AC166" s="60"/>
      <c r="AD166" s="60"/>
      <c r="AE166" s="60"/>
      <c r="AF166" s="60"/>
      <c r="AG166" s="60"/>
      <c r="AH166" s="60"/>
      <c r="AI166" s="60"/>
      <c r="AJ166" s="74" t="str">
        <f t="shared" si="56"/>
        <v>-</v>
      </c>
      <c r="AK166" s="60"/>
      <c r="AL166" s="60"/>
      <c r="AM166" s="60"/>
      <c r="AN166" s="60"/>
      <c r="AO166" s="60"/>
      <c r="AP166" s="60"/>
      <c r="AQ166" s="60"/>
      <c r="AR166" s="60"/>
      <c r="AS166" s="60"/>
      <c r="AT166" s="74" t="str">
        <f>IF(COUNTIF(AK166:AS166,"&lt;&gt;"&amp;"")=9,SUM(AK166:AS166),"-")</f>
        <v>-</v>
      </c>
      <c r="AU166" s="148" t="str">
        <f>IF(AND(ISNUMBER(AJ166),ISNUMBER(AT166)),AJ166+AT166,"-")</f>
        <v>-</v>
      </c>
      <c r="AV166" s="74" t="str">
        <f>IF(ISNUMBER(AU166),AU166-C166,"-")</f>
        <v>-</v>
      </c>
      <c r="AX166" s="59" t="str">
        <f t="shared" si="57"/>
        <v>-</v>
      </c>
      <c r="AY166" s="59" t="str">
        <f t="shared" si="58"/>
        <v>-</v>
      </c>
      <c r="AZ166" s="59" t="str">
        <f t="shared" si="59"/>
        <v>-</v>
      </c>
      <c r="BA166" s="59" t="str">
        <f t="shared" si="60"/>
        <v>-</v>
      </c>
      <c r="BB166" s="59" t="str">
        <f t="shared" si="61"/>
        <v>-</v>
      </c>
      <c r="BC166" s="59" t="str">
        <f t="shared" si="62"/>
        <v>-</v>
      </c>
      <c r="BD166" s="59" t="str">
        <f t="shared" si="63"/>
        <v>-</v>
      </c>
      <c r="BE166" s="59" t="str">
        <f t="shared" si="64"/>
        <v>-</v>
      </c>
      <c r="BF166" s="59" t="str">
        <f t="shared" si="65"/>
        <v>-</v>
      </c>
      <c r="BG166" s="59" t="str">
        <f t="shared" si="66"/>
        <v>-</v>
      </c>
      <c r="BH166" s="59" t="str">
        <f t="shared" si="67"/>
        <v>-</v>
      </c>
      <c r="BI166" s="59" t="str">
        <f t="shared" si="68"/>
        <v>-</v>
      </c>
      <c r="BJ166" s="59" t="str">
        <f t="shared" si="69"/>
        <v>-</v>
      </c>
      <c r="BK166" s="59" t="str">
        <f t="shared" si="70"/>
        <v>-</v>
      </c>
      <c r="BL166" s="59" t="str">
        <f>IF(AND(R166&gt;0,AO166&gt;0),MIN(R166,AO166),"-")</f>
        <v>-</v>
      </c>
      <c r="BM166" s="59" t="str">
        <f>IF(AND(S166&gt;0,AP166&gt;0),MIN(S166,AP166),"-")</f>
        <v>-</v>
      </c>
      <c r="BN166" s="59" t="str">
        <f>IF(AND(T166&gt;0,AQ166&gt;0),MIN(T166,AQ166),"-")</f>
        <v>-</v>
      </c>
      <c r="BO166" s="59" t="str">
        <f>IF(AND(U166&gt;0,AR166&gt;0),MIN(U166,AR166),"-")</f>
        <v>-</v>
      </c>
      <c r="BP166" s="59" t="str">
        <f>IF(AND(V166&gt;0,AS166&gt;0),MIN(V166,AS166),"-")</f>
        <v>-</v>
      </c>
      <c r="BQ166" s="59" t="str">
        <f t="shared" si="71"/>
        <v>-</v>
      </c>
      <c r="BR166" s="59" t="str">
        <f t="shared" si="72"/>
        <v>-</v>
      </c>
      <c r="BS166" s="59" t="str">
        <f t="shared" si="73"/>
        <v>-</v>
      </c>
      <c r="BT166" s="98" t="str">
        <f>IF(ISNUMBER(BS166),BS166-(C166*Rules!$P$9/100),"-")</f>
        <v>-</v>
      </c>
      <c r="BU166" s="59" t="e">
        <f>RANK($BT166,$BT$5:$BT$106,1)+COUNTIF(BT$5:BT166,BT166)-1</f>
        <v>#VALUE!</v>
      </c>
      <c r="BV166" s="59" t="e">
        <f t="shared" si="74"/>
        <v>#VALUE!</v>
      </c>
      <c r="BW166" s="59" t="str">
        <f t="shared" si="75"/>
        <v xml:space="preserve"> </v>
      </c>
      <c r="BX166" s="59">
        <f t="shared" si="76"/>
        <v>0</v>
      </c>
      <c r="BY166" s="98" t="str">
        <f t="shared" si="77"/>
        <v>-</v>
      </c>
      <c r="CD166" s="79"/>
      <c r="CE166" s="80"/>
      <c r="CF166" s="81"/>
      <c r="CL166" s="77">
        <v>1</v>
      </c>
    </row>
    <row r="167" spans="1:90" ht="17.45" customHeight="1">
      <c r="A167" s="58">
        <v>163</v>
      </c>
      <c r="B167" s="59" t="str">
        <f>'A Div'!A167 &amp; " " &amp; 'A Div'!B167</f>
        <v xml:space="preserve"> </v>
      </c>
      <c r="C167" s="59">
        <f>'A Div'!E167</f>
        <v>0</v>
      </c>
      <c r="D167" s="60"/>
      <c r="E167" s="60"/>
      <c r="F167" s="60"/>
      <c r="G167" s="60"/>
      <c r="H167" s="60"/>
      <c r="I167" s="60"/>
      <c r="J167" s="60"/>
      <c r="K167" s="60"/>
      <c r="L167" s="60"/>
      <c r="M167" s="74" t="str">
        <f t="shared" si="52"/>
        <v>-</v>
      </c>
      <c r="N167" s="60"/>
      <c r="O167" s="60"/>
      <c r="P167" s="60"/>
      <c r="Q167" s="60"/>
      <c r="R167" s="60"/>
      <c r="S167" s="60"/>
      <c r="T167" s="60"/>
      <c r="U167" s="60"/>
      <c r="V167" s="60"/>
      <c r="W167" s="74" t="str">
        <f t="shared" si="53"/>
        <v>-</v>
      </c>
      <c r="X167" s="148" t="str">
        <f t="shared" si="54"/>
        <v>-</v>
      </c>
      <c r="Y167" s="74" t="str">
        <f t="shared" si="55"/>
        <v>-</v>
      </c>
      <c r="AA167" s="60"/>
      <c r="AB167" s="60"/>
      <c r="AC167" s="60"/>
      <c r="AD167" s="60"/>
      <c r="AE167" s="60"/>
      <c r="AF167" s="60"/>
      <c r="AG167" s="60"/>
      <c r="AH167" s="60"/>
      <c r="AI167" s="60"/>
      <c r="AJ167" s="74" t="str">
        <f t="shared" si="56"/>
        <v>-</v>
      </c>
      <c r="AK167" s="60"/>
      <c r="AL167" s="60"/>
      <c r="AM167" s="60"/>
      <c r="AN167" s="60"/>
      <c r="AO167" s="60"/>
      <c r="AP167" s="60"/>
      <c r="AQ167" s="60"/>
      <c r="AR167" s="60"/>
      <c r="AS167" s="60"/>
      <c r="AT167" s="74" t="str">
        <f>IF(COUNTIF(AK167:AS167,"&lt;&gt;"&amp;"")=9,SUM(AK167:AS167),"-")</f>
        <v>-</v>
      </c>
      <c r="AU167" s="148" t="str">
        <f>IF(AND(ISNUMBER(AJ167),ISNUMBER(AT167)),AJ167+AT167,"-")</f>
        <v>-</v>
      </c>
      <c r="AV167" s="74" t="str">
        <f>IF(ISNUMBER(AU167),AU167-C167,"-")</f>
        <v>-</v>
      </c>
      <c r="AX167" s="59" t="str">
        <f t="shared" si="57"/>
        <v>-</v>
      </c>
      <c r="AY167" s="59" t="str">
        <f t="shared" si="58"/>
        <v>-</v>
      </c>
      <c r="AZ167" s="59" t="str">
        <f t="shared" si="59"/>
        <v>-</v>
      </c>
      <c r="BA167" s="59" t="str">
        <f t="shared" si="60"/>
        <v>-</v>
      </c>
      <c r="BB167" s="59" t="str">
        <f t="shared" si="61"/>
        <v>-</v>
      </c>
      <c r="BC167" s="59" t="str">
        <f t="shared" si="62"/>
        <v>-</v>
      </c>
      <c r="BD167" s="59" t="str">
        <f t="shared" si="63"/>
        <v>-</v>
      </c>
      <c r="BE167" s="59" t="str">
        <f t="shared" si="64"/>
        <v>-</v>
      </c>
      <c r="BF167" s="59" t="str">
        <f t="shared" si="65"/>
        <v>-</v>
      </c>
      <c r="BG167" s="59" t="str">
        <f t="shared" si="66"/>
        <v>-</v>
      </c>
      <c r="BH167" s="59" t="str">
        <f t="shared" si="67"/>
        <v>-</v>
      </c>
      <c r="BI167" s="59" t="str">
        <f t="shared" si="68"/>
        <v>-</v>
      </c>
      <c r="BJ167" s="59" t="str">
        <f t="shared" si="69"/>
        <v>-</v>
      </c>
      <c r="BK167" s="59" t="str">
        <f t="shared" si="70"/>
        <v>-</v>
      </c>
      <c r="BL167" s="59" t="str">
        <f>IF(AND(R167&gt;0,AO167&gt;0),MIN(R167,AO167),"-")</f>
        <v>-</v>
      </c>
      <c r="BM167" s="59" t="str">
        <f>IF(AND(S167&gt;0,AP167&gt;0),MIN(S167,AP167),"-")</f>
        <v>-</v>
      </c>
      <c r="BN167" s="59" t="str">
        <f>IF(AND(T167&gt;0,AQ167&gt;0),MIN(T167,AQ167),"-")</f>
        <v>-</v>
      </c>
      <c r="BO167" s="59" t="str">
        <f>IF(AND(U167&gt;0,AR167&gt;0),MIN(U167,AR167),"-")</f>
        <v>-</v>
      </c>
      <c r="BP167" s="59" t="str">
        <f>IF(AND(V167&gt;0,AS167&gt;0),MIN(V167,AS167),"-")</f>
        <v>-</v>
      </c>
      <c r="BQ167" s="59" t="str">
        <f t="shared" si="71"/>
        <v>-</v>
      </c>
      <c r="BR167" s="59" t="str">
        <f t="shared" si="72"/>
        <v>-</v>
      </c>
      <c r="BS167" s="59" t="str">
        <f t="shared" si="73"/>
        <v>-</v>
      </c>
      <c r="BT167" s="98" t="str">
        <f>IF(ISNUMBER(BS167),BS167-(C167*Rules!$P$9/100),"-")</f>
        <v>-</v>
      </c>
      <c r="BU167" s="59" t="e">
        <f>RANK($BT167,$BT$5:$BT$106,1)+COUNTIF(BT$5:BT167,BT167)-1</f>
        <v>#VALUE!</v>
      </c>
      <c r="BV167" s="59" t="e">
        <f t="shared" si="74"/>
        <v>#VALUE!</v>
      </c>
      <c r="BW167" s="59" t="str">
        <f t="shared" si="75"/>
        <v xml:space="preserve"> </v>
      </c>
      <c r="BX167" s="59">
        <f t="shared" si="76"/>
        <v>0</v>
      </c>
      <c r="BY167" s="98" t="str">
        <f t="shared" si="77"/>
        <v>-</v>
      </c>
      <c r="CD167" s="79"/>
      <c r="CE167" s="80"/>
      <c r="CF167" s="81"/>
      <c r="CL167" s="77">
        <v>1</v>
      </c>
    </row>
    <row r="168" spans="1:90" ht="17.45" customHeight="1">
      <c r="A168" s="58">
        <v>164</v>
      </c>
      <c r="B168" s="59" t="str">
        <f>'A Div'!A168 &amp; " " &amp; 'A Div'!B168</f>
        <v xml:space="preserve"> </v>
      </c>
      <c r="C168" s="59">
        <f>'A Div'!E168</f>
        <v>0</v>
      </c>
      <c r="D168" s="60"/>
      <c r="E168" s="60"/>
      <c r="F168" s="60"/>
      <c r="G168" s="60"/>
      <c r="H168" s="60"/>
      <c r="I168" s="60"/>
      <c r="J168" s="60"/>
      <c r="K168" s="60"/>
      <c r="L168" s="60"/>
      <c r="M168" s="74" t="str">
        <f t="shared" si="52"/>
        <v>-</v>
      </c>
      <c r="N168" s="60"/>
      <c r="O168" s="60"/>
      <c r="P168" s="60"/>
      <c r="Q168" s="60"/>
      <c r="R168" s="60"/>
      <c r="S168" s="60"/>
      <c r="T168" s="60"/>
      <c r="U168" s="60"/>
      <c r="V168" s="60"/>
      <c r="W168" s="74" t="str">
        <f t="shared" si="53"/>
        <v>-</v>
      </c>
      <c r="X168" s="148" t="str">
        <f t="shared" si="54"/>
        <v>-</v>
      </c>
      <c r="Y168" s="74" t="str">
        <f t="shared" si="55"/>
        <v>-</v>
      </c>
      <c r="AA168" s="60"/>
      <c r="AB168" s="60"/>
      <c r="AC168" s="60"/>
      <c r="AD168" s="60"/>
      <c r="AE168" s="60"/>
      <c r="AF168" s="60"/>
      <c r="AG168" s="60"/>
      <c r="AH168" s="60"/>
      <c r="AI168" s="60"/>
      <c r="AJ168" s="74" t="str">
        <f t="shared" si="56"/>
        <v>-</v>
      </c>
      <c r="AK168" s="60"/>
      <c r="AL168" s="60"/>
      <c r="AM168" s="60"/>
      <c r="AN168" s="60"/>
      <c r="AO168" s="60"/>
      <c r="AP168" s="60"/>
      <c r="AQ168" s="60"/>
      <c r="AR168" s="60"/>
      <c r="AS168" s="60"/>
      <c r="AT168" s="74" t="str">
        <f>IF(COUNTIF(AK168:AS168,"&lt;&gt;"&amp;"")=9,SUM(AK168:AS168),"-")</f>
        <v>-</v>
      </c>
      <c r="AU168" s="148" t="str">
        <f>IF(AND(ISNUMBER(AJ168),ISNUMBER(AT168)),AJ168+AT168,"-")</f>
        <v>-</v>
      </c>
      <c r="AV168" s="74" t="str">
        <f>IF(ISNUMBER(AU168),AU168-C168,"-")</f>
        <v>-</v>
      </c>
      <c r="AX168" s="59" t="str">
        <f t="shared" si="57"/>
        <v>-</v>
      </c>
      <c r="AY168" s="59" t="str">
        <f t="shared" si="58"/>
        <v>-</v>
      </c>
      <c r="AZ168" s="59" t="str">
        <f t="shared" si="59"/>
        <v>-</v>
      </c>
      <c r="BA168" s="59" t="str">
        <f t="shared" si="60"/>
        <v>-</v>
      </c>
      <c r="BB168" s="59" t="str">
        <f t="shared" si="61"/>
        <v>-</v>
      </c>
      <c r="BC168" s="59" t="str">
        <f t="shared" si="62"/>
        <v>-</v>
      </c>
      <c r="BD168" s="59" t="str">
        <f t="shared" si="63"/>
        <v>-</v>
      </c>
      <c r="BE168" s="59" t="str">
        <f t="shared" si="64"/>
        <v>-</v>
      </c>
      <c r="BF168" s="59" t="str">
        <f t="shared" si="65"/>
        <v>-</v>
      </c>
      <c r="BG168" s="59" t="str">
        <f t="shared" si="66"/>
        <v>-</v>
      </c>
      <c r="BH168" s="59" t="str">
        <f t="shared" si="67"/>
        <v>-</v>
      </c>
      <c r="BI168" s="59" t="str">
        <f t="shared" si="68"/>
        <v>-</v>
      </c>
      <c r="BJ168" s="59" t="str">
        <f t="shared" si="69"/>
        <v>-</v>
      </c>
      <c r="BK168" s="59" t="str">
        <f t="shared" si="70"/>
        <v>-</v>
      </c>
      <c r="BL168" s="59" t="str">
        <f>IF(AND(R168&gt;0,AO168&gt;0),MIN(R168,AO168),"-")</f>
        <v>-</v>
      </c>
      <c r="BM168" s="59" t="str">
        <f>IF(AND(S168&gt;0,AP168&gt;0),MIN(S168,AP168),"-")</f>
        <v>-</v>
      </c>
      <c r="BN168" s="59" t="str">
        <f>IF(AND(T168&gt;0,AQ168&gt;0),MIN(T168,AQ168),"-")</f>
        <v>-</v>
      </c>
      <c r="BO168" s="59" t="str">
        <f>IF(AND(U168&gt;0,AR168&gt;0),MIN(U168,AR168),"-")</f>
        <v>-</v>
      </c>
      <c r="BP168" s="59" t="str">
        <f>IF(AND(V168&gt;0,AS168&gt;0),MIN(V168,AS168),"-")</f>
        <v>-</v>
      </c>
      <c r="BQ168" s="59" t="str">
        <f t="shared" si="71"/>
        <v>-</v>
      </c>
      <c r="BR168" s="59" t="str">
        <f t="shared" si="72"/>
        <v>-</v>
      </c>
      <c r="BS168" s="59" t="str">
        <f t="shared" si="73"/>
        <v>-</v>
      </c>
      <c r="BT168" s="98" t="str">
        <f>IF(ISNUMBER(BS168),BS168-(C168*Rules!$P$9/100),"-")</f>
        <v>-</v>
      </c>
      <c r="BU168" s="59" t="e">
        <f>RANK($BT168,$BT$5:$BT$106,1)+COUNTIF(BT$5:BT168,BT168)-1</f>
        <v>#VALUE!</v>
      </c>
      <c r="BV168" s="59" t="e">
        <f t="shared" si="74"/>
        <v>#VALUE!</v>
      </c>
      <c r="BW168" s="59" t="str">
        <f t="shared" si="75"/>
        <v xml:space="preserve"> </v>
      </c>
      <c r="BX168" s="59">
        <f t="shared" si="76"/>
        <v>0</v>
      </c>
      <c r="BY168" s="98" t="str">
        <f t="shared" si="77"/>
        <v>-</v>
      </c>
      <c r="CD168" s="79"/>
      <c r="CE168" s="80"/>
      <c r="CF168" s="81"/>
      <c r="CL168" s="77">
        <v>1</v>
      </c>
    </row>
    <row r="169" spans="1:90" ht="17.45" customHeight="1">
      <c r="A169" s="58">
        <v>165</v>
      </c>
      <c r="B169" s="59" t="str">
        <f>'A Div'!A169 &amp; " " &amp; 'A Div'!B169</f>
        <v xml:space="preserve"> </v>
      </c>
      <c r="C169" s="59">
        <f>'A Div'!E169</f>
        <v>0</v>
      </c>
      <c r="D169" s="60"/>
      <c r="E169" s="60"/>
      <c r="F169" s="60"/>
      <c r="G169" s="60"/>
      <c r="H169" s="60"/>
      <c r="I169" s="60"/>
      <c r="J169" s="60"/>
      <c r="K169" s="60"/>
      <c r="L169" s="60"/>
      <c r="M169" s="74" t="str">
        <f t="shared" si="52"/>
        <v>-</v>
      </c>
      <c r="N169" s="60"/>
      <c r="O169" s="60"/>
      <c r="P169" s="60"/>
      <c r="Q169" s="60"/>
      <c r="R169" s="60"/>
      <c r="S169" s="60"/>
      <c r="T169" s="60"/>
      <c r="U169" s="60"/>
      <c r="V169" s="60"/>
      <c r="W169" s="74" t="str">
        <f t="shared" si="53"/>
        <v>-</v>
      </c>
      <c r="X169" s="148" t="str">
        <f t="shared" si="54"/>
        <v>-</v>
      </c>
      <c r="Y169" s="74" t="str">
        <f t="shared" si="55"/>
        <v>-</v>
      </c>
      <c r="AA169" s="60"/>
      <c r="AB169" s="60"/>
      <c r="AC169" s="60"/>
      <c r="AD169" s="60"/>
      <c r="AE169" s="60"/>
      <c r="AF169" s="60"/>
      <c r="AG169" s="60"/>
      <c r="AH169" s="60"/>
      <c r="AI169" s="60"/>
      <c r="AJ169" s="74" t="str">
        <f t="shared" si="56"/>
        <v>-</v>
      </c>
      <c r="AK169" s="60"/>
      <c r="AL169" s="60"/>
      <c r="AM169" s="60"/>
      <c r="AN169" s="60"/>
      <c r="AO169" s="60"/>
      <c r="AP169" s="60"/>
      <c r="AQ169" s="60"/>
      <c r="AR169" s="60"/>
      <c r="AS169" s="60"/>
      <c r="AT169" s="74" t="str">
        <f>IF(COUNTIF(AK169:AS169,"&lt;&gt;"&amp;"")=9,SUM(AK169:AS169),"-")</f>
        <v>-</v>
      </c>
      <c r="AU169" s="148" t="str">
        <f>IF(AND(ISNUMBER(AJ169),ISNUMBER(AT169)),AJ169+AT169,"-")</f>
        <v>-</v>
      </c>
      <c r="AV169" s="74" t="str">
        <f>IF(ISNUMBER(AU169),AU169-C169,"-")</f>
        <v>-</v>
      </c>
      <c r="AX169" s="59" t="str">
        <f t="shared" si="57"/>
        <v>-</v>
      </c>
      <c r="AY169" s="59" t="str">
        <f t="shared" si="58"/>
        <v>-</v>
      </c>
      <c r="AZ169" s="59" t="str">
        <f t="shared" si="59"/>
        <v>-</v>
      </c>
      <c r="BA169" s="59" t="str">
        <f t="shared" si="60"/>
        <v>-</v>
      </c>
      <c r="BB169" s="59" t="str">
        <f t="shared" si="61"/>
        <v>-</v>
      </c>
      <c r="BC169" s="59" t="str">
        <f t="shared" si="62"/>
        <v>-</v>
      </c>
      <c r="BD169" s="59" t="str">
        <f t="shared" si="63"/>
        <v>-</v>
      </c>
      <c r="BE169" s="59" t="str">
        <f t="shared" si="64"/>
        <v>-</v>
      </c>
      <c r="BF169" s="59" t="str">
        <f t="shared" si="65"/>
        <v>-</v>
      </c>
      <c r="BG169" s="59" t="str">
        <f t="shared" si="66"/>
        <v>-</v>
      </c>
      <c r="BH169" s="59" t="str">
        <f t="shared" si="67"/>
        <v>-</v>
      </c>
      <c r="BI169" s="59" t="str">
        <f t="shared" si="68"/>
        <v>-</v>
      </c>
      <c r="BJ169" s="59" t="str">
        <f t="shared" si="69"/>
        <v>-</v>
      </c>
      <c r="BK169" s="59" t="str">
        <f t="shared" si="70"/>
        <v>-</v>
      </c>
      <c r="BL169" s="59" t="str">
        <f>IF(AND(R169&gt;0,AO169&gt;0),MIN(R169,AO169),"-")</f>
        <v>-</v>
      </c>
      <c r="BM169" s="59" t="str">
        <f>IF(AND(S169&gt;0,AP169&gt;0),MIN(S169,AP169),"-")</f>
        <v>-</v>
      </c>
      <c r="BN169" s="59" t="str">
        <f>IF(AND(T169&gt;0,AQ169&gt;0),MIN(T169,AQ169),"-")</f>
        <v>-</v>
      </c>
      <c r="BO169" s="59" t="str">
        <f>IF(AND(U169&gt;0,AR169&gt;0),MIN(U169,AR169),"-")</f>
        <v>-</v>
      </c>
      <c r="BP169" s="59" t="str">
        <f>IF(AND(V169&gt;0,AS169&gt;0),MIN(V169,AS169),"-")</f>
        <v>-</v>
      </c>
      <c r="BQ169" s="59" t="str">
        <f t="shared" si="71"/>
        <v>-</v>
      </c>
      <c r="BR169" s="59" t="str">
        <f t="shared" si="72"/>
        <v>-</v>
      </c>
      <c r="BS169" s="59" t="str">
        <f t="shared" si="73"/>
        <v>-</v>
      </c>
      <c r="BT169" s="98" t="str">
        <f>IF(ISNUMBER(BS169),BS169-(C169*Rules!$P$9/100),"-")</f>
        <v>-</v>
      </c>
      <c r="BU169" s="59" t="e">
        <f>RANK($BT169,$BT$5:$BT$106,1)+COUNTIF(BT$5:BT169,BT169)-1</f>
        <v>#VALUE!</v>
      </c>
      <c r="BV169" s="59" t="e">
        <f t="shared" si="74"/>
        <v>#VALUE!</v>
      </c>
      <c r="BW169" s="59" t="str">
        <f t="shared" si="75"/>
        <v xml:space="preserve"> </v>
      </c>
      <c r="BX169" s="59">
        <f t="shared" si="76"/>
        <v>0</v>
      </c>
      <c r="BY169" s="98" t="str">
        <f t="shared" si="77"/>
        <v>-</v>
      </c>
      <c r="CD169" s="79"/>
      <c r="CE169" s="80"/>
      <c r="CF169" s="81"/>
      <c r="CL169" s="77">
        <v>1</v>
      </c>
    </row>
    <row r="170" spans="1:90" ht="17.45" customHeight="1">
      <c r="A170" s="58">
        <v>166</v>
      </c>
      <c r="B170" s="59" t="str">
        <f>'A Div'!A170 &amp; " " &amp; 'A Div'!B170</f>
        <v xml:space="preserve"> </v>
      </c>
      <c r="C170" s="59">
        <f>'A Div'!E170</f>
        <v>0</v>
      </c>
      <c r="D170" s="60"/>
      <c r="E170" s="60"/>
      <c r="F170" s="60"/>
      <c r="G170" s="60"/>
      <c r="H170" s="60"/>
      <c r="I170" s="60"/>
      <c r="J170" s="60"/>
      <c r="K170" s="60"/>
      <c r="L170" s="60"/>
      <c r="M170" s="74" t="str">
        <f t="shared" si="52"/>
        <v>-</v>
      </c>
      <c r="N170" s="60"/>
      <c r="O170" s="60"/>
      <c r="P170" s="60"/>
      <c r="Q170" s="60"/>
      <c r="R170" s="60"/>
      <c r="S170" s="60"/>
      <c r="T170" s="60"/>
      <c r="U170" s="60"/>
      <c r="V170" s="60"/>
      <c r="W170" s="74" t="str">
        <f t="shared" si="53"/>
        <v>-</v>
      </c>
      <c r="X170" s="148" t="str">
        <f t="shared" si="54"/>
        <v>-</v>
      </c>
      <c r="Y170" s="74" t="str">
        <f t="shared" si="55"/>
        <v>-</v>
      </c>
      <c r="AA170" s="60"/>
      <c r="AB170" s="60"/>
      <c r="AC170" s="60"/>
      <c r="AD170" s="60"/>
      <c r="AE170" s="60"/>
      <c r="AF170" s="60"/>
      <c r="AG170" s="60"/>
      <c r="AH170" s="60"/>
      <c r="AI170" s="60"/>
      <c r="AJ170" s="74" t="str">
        <f t="shared" si="56"/>
        <v>-</v>
      </c>
      <c r="AK170" s="60"/>
      <c r="AL170" s="60"/>
      <c r="AM170" s="60"/>
      <c r="AN170" s="60"/>
      <c r="AO170" s="60"/>
      <c r="AP170" s="60"/>
      <c r="AQ170" s="60"/>
      <c r="AR170" s="60"/>
      <c r="AS170" s="60"/>
      <c r="AT170" s="74" t="str">
        <f>IF(COUNTIF(AK170:AS170,"&lt;&gt;"&amp;"")=9,SUM(AK170:AS170),"-")</f>
        <v>-</v>
      </c>
      <c r="AU170" s="148" t="str">
        <f>IF(AND(ISNUMBER(AJ170),ISNUMBER(AT170)),AJ170+AT170,"-")</f>
        <v>-</v>
      </c>
      <c r="AV170" s="74" t="str">
        <f>IF(ISNUMBER(AU170),AU170-C170,"-")</f>
        <v>-</v>
      </c>
      <c r="AX170" s="59" t="str">
        <f t="shared" si="57"/>
        <v>-</v>
      </c>
      <c r="AY170" s="59" t="str">
        <f t="shared" si="58"/>
        <v>-</v>
      </c>
      <c r="AZ170" s="59" t="str">
        <f t="shared" si="59"/>
        <v>-</v>
      </c>
      <c r="BA170" s="59" t="str">
        <f t="shared" si="60"/>
        <v>-</v>
      </c>
      <c r="BB170" s="59" t="str">
        <f t="shared" si="61"/>
        <v>-</v>
      </c>
      <c r="BC170" s="59" t="str">
        <f t="shared" si="62"/>
        <v>-</v>
      </c>
      <c r="BD170" s="59" t="str">
        <f t="shared" si="63"/>
        <v>-</v>
      </c>
      <c r="BE170" s="59" t="str">
        <f t="shared" si="64"/>
        <v>-</v>
      </c>
      <c r="BF170" s="59" t="str">
        <f t="shared" si="65"/>
        <v>-</v>
      </c>
      <c r="BG170" s="59" t="str">
        <f t="shared" si="66"/>
        <v>-</v>
      </c>
      <c r="BH170" s="59" t="str">
        <f t="shared" si="67"/>
        <v>-</v>
      </c>
      <c r="BI170" s="59" t="str">
        <f t="shared" si="68"/>
        <v>-</v>
      </c>
      <c r="BJ170" s="59" t="str">
        <f t="shared" si="69"/>
        <v>-</v>
      </c>
      <c r="BK170" s="59" t="str">
        <f t="shared" si="70"/>
        <v>-</v>
      </c>
      <c r="BL170" s="59" t="str">
        <f>IF(AND(R170&gt;0,AO170&gt;0),MIN(R170,AO170),"-")</f>
        <v>-</v>
      </c>
      <c r="BM170" s="59" t="str">
        <f>IF(AND(S170&gt;0,AP170&gt;0),MIN(S170,AP170),"-")</f>
        <v>-</v>
      </c>
      <c r="BN170" s="59" t="str">
        <f>IF(AND(T170&gt;0,AQ170&gt;0),MIN(T170,AQ170),"-")</f>
        <v>-</v>
      </c>
      <c r="BO170" s="59" t="str">
        <f>IF(AND(U170&gt;0,AR170&gt;0),MIN(U170,AR170),"-")</f>
        <v>-</v>
      </c>
      <c r="BP170" s="59" t="str">
        <f>IF(AND(V170&gt;0,AS170&gt;0),MIN(V170,AS170),"-")</f>
        <v>-</v>
      </c>
      <c r="BQ170" s="59" t="str">
        <f t="shared" si="71"/>
        <v>-</v>
      </c>
      <c r="BR170" s="59" t="str">
        <f t="shared" si="72"/>
        <v>-</v>
      </c>
      <c r="BS170" s="59" t="str">
        <f t="shared" si="73"/>
        <v>-</v>
      </c>
      <c r="BT170" s="98" t="str">
        <f>IF(ISNUMBER(BS170),BS170-(C170*Rules!$P$9/100),"-")</f>
        <v>-</v>
      </c>
      <c r="BU170" s="59" t="e">
        <f>RANK($BT170,$BT$5:$BT$106,1)+COUNTIF(BT$5:BT170,BT170)-1</f>
        <v>#VALUE!</v>
      </c>
      <c r="BV170" s="59" t="e">
        <f t="shared" si="74"/>
        <v>#VALUE!</v>
      </c>
      <c r="BW170" s="59" t="str">
        <f t="shared" si="75"/>
        <v xml:space="preserve"> </v>
      </c>
      <c r="BX170" s="59">
        <f t="shared" si="76"/>
        <v>0</v>
      </c>
      <c r="BY170" s="98" t="str">
        <f t="shared" si="77"/>
        <v>-</v>
      </c>
      <c r="CD170" s="79"/>
      <c r="CE170" s="80"/>
      <c r="CF170" s="81"/>
      <c r="CL170" s="77">
        <v>1</v>
      </c>
    </row>
    <row r="171" spans="1:90" ht="17.45" customHeight="1">
      <c r="A171" s="58">
        <v>167</v>
      </c>
      <c r="B171" s="59" t="str">
        <f>'A Div'!A171 &amp; " " &amp; 'A Div'!B171</f>
        <v xml:space="preserve"> </v>
      </c>
      <c r="C171" s="59">
        <f>'A Div'!E171</f>
        <v>0</v>
      </c>
      <c r="D171" s="60"/>
      <c r="E171" s="60"/>
      <c r="F171" s="60"/>
      <c r="G171" s="60"/>
      <c r="H171" s="60"/>
      <c r="I171" s="60"/>
      <c r="J171" s="60"/>
      <c r="K171" s="60"/>
      <c r="L171" s="60"/>
      <c r="M171" s="74" t="str">
        <f t="shared" si="52"/>
        <v>-</v>
      </c>
      <c r="N171" s="60"/>
      <c r="O171" s="60"/>
      <c r="P171" s="60"/>
      <c r="Q171" s="60"/>
      <c r="R171" s="60"/>
      <c r="S171" s="60"/>
      <c r="T171" s="60"/>
      <c r="U171" s="60"/>
      <c r="V171" s="60"/>
      <c r="W171" s="74" t="str">
        <f t="shared" si="53"/>
        <v>-</v>
      </c>
      <c r="X171" s="148" t="str">
        <f t="shared" si="54"/>
        <v>-</v>
      </c>
      <c r="Y171" s="74" t="str">
        <f t="shared" si="55"/>
        <v>-</v>
      </c>
      <c r="AA171" s="60"/>
      <c r="AB171" s="60"/>
      <c r="AC171" s="60"/>
      <c r="AD171" s="60"/>
      <c r="AE171" s="60"/>
      <c r="AF171" s="60"/>
      <c r="AG171" s="60"/>
      <c r="AH171" s="60"/>
      <c r="AI171" s="60"/>
      <c r="AJ171" s="74" t="str">
        <f t="shared" si="56"/>
        <v>-</v>
      </c>
      <c r="AK171" s="60"/>
      <c r="AL171" s="60"/>
      <c r="AM171" s="60"/>
      <c r="AN171" s="60"/>
      <c r="AO171" s="60"/>
      <c r="AP171" s="60"/>
      <c r="AQ171" s="60"/>
      <c r="AR171" s="60"/>
      <c r="AS171" s="60"/>
      <c r="AT171" s="74" t="str">
        <f>IF(COUNTIF(AK171:AS171,"&lt;&gt;"&amp;"")=9,SUM(AK171:AS171),"-")</f>
        <v>-</v>
      </c>
      <c r="AU171" s="148" t="str">
        <f>IF(AND(ISNUMBER(AJ171),ISNUMBER(AT171)),AJ171+AT171,"-")</f>
        <v>-</v>
      </c>
      <c r="AV171" s="74" t="str">
        <f>IF(ISNUMBER(AU171),AU171-C171,"-")</f>
        <v>-</v>
      </c>
      <c r="AX171" s="59" t="str">
        <f t="shared" si="57"/>
        <v>-</v>
      </c>
      <c r="AY171" s="59" t="str">
        <f t="shared" si="58"/>
        <v>-</v>
      </c>
      <c r="AZ171" s="59" t="str">
        <f t="shared" si="59"/>
        <v>-</v>
      </c>
      <c r="BA171" s="59" t="str">
        <f t="shared" si="60"/>
        <v>-</v>
      </c>
      <c r="BB171" s="59" t="str">
        <f t="shared" si="61"/>
        <v>-</v>
      </c>
      <c r="BC171" s="59" t="str">
        <f t="shared" si="62"/>
        <v>-</v>
      </c>
      <c r="BD171" s="59" t="str">
        <f t="shared" si="63"/>
        <v>-</v>
      </c>
      <c r="BE171" s="59" t="str">
        <f t="shared" si="64"/>
        <v>-</v>
      </c>
      <c r="BF171" s="59" t="str">
        <f t="shared" si="65"/>
        <v>-</v>
      </c>
      <c r="BG171" s="59" t="str">
        <f t="shared" si="66"/>
        <v>-</v>
      </c>
      <c r="BH171" s="59" t="str">
        <f t="shared" si="67"/>
        <v>-</v>
      </c>
      <c r="BI171" s="59" t="str">
        <f t="shared" si="68"/>
        <v>-</v>
      </c>
      <c r="BJ171" s="59" t="str">
        <f t="shared" si="69"/>
        <v>-</v>
      </c>
      <c r="BK171" s="59" t="str">
        <f t="shared" si="70"/>
        <v>-</v>
      </c>
      <c r="BL171" s="59" t="str">
        <f>IF(AND(R171&gt;0,AO171&gt;0),MIN(R171,AO171),"-")</f>
        <v>-</v>
      </c>
      <c r="BM171" s="59" t="str">
        <f>IF(AND(S171&gt;0,AP171&gt;0),MIN(S171,AP171),"-")</f>
        <v>-</v>
      </c>
      <c r="BN171" s="59" t="str">
        <f>IF(AND(T171&gt;0,AQ171&gt;0),MIN(T171,AQ171),"-")</f>
        <v>-</v>
      </c>
      <c r="BO171" s="59" t="str">
        <f>IF(AND(U171&gt;0,AR171&gt;0),MIN(U171,AR171),"-")</f>
        <v>-</v>
      </c>
      <c r="BP171" s="59" t="str">
        <f>IF(AND(V171&gt;0,AS171&gt;0),MIN(V171,AS171),"-")</f>
        <v>-</v>
      </c>
      <c r="BQ171" s="59" t="str">
        <f t="shared" si="71"/>
        <v>-</v>
      </c>
      <c r="BR171" s="59" t="str">
        <f t="shared" si="72"/>
        <v>-</v>
      </c>
      <c r="BS171" s="59" t="str">
        <f t="shared" si="73"/>
        <v>-</v>
      </c>
      <c r="BT171" s="98" t="str">
        <f>IF(ISNUMBER(BS171),BS171-(C171*Rules!$P$9/100),"-")</f>
        <v>-</v>
      </c>
      <c r="BU171" s="59" t="e">
        <f>RANK($BT171,$BT$5:$BT$106,1)+COUNTIF(BT$5:BT171,BT171)-1</f>
        <v>#VALUE!</v>
      </c>
      <c r="BV171" s="59" t="e">
        <f t="shared" si="74"/>
        <v>#VALUE!</v>
      </c>
      <c r="BW171" s="59" t="str">
        <f t="shared" si="75"/>
        <v xml:space="preserve"> </v>
      </c>
      <c r="BX171" s="59">
        <f t="shared" si="76"/>
        <v>0</v>
      </c>
      <c r="BY171" s="98" t="str">
        <f t="shared" si="77"/>
        <v>-</v>
      </c>
      <c r="CD171" s="79"/>
      <c r="CE171" s="80"/>
      <c r="CF171" s="81"/>
      <c r="CL171" s="77">
        <v>1</v>
      </c>
    </row>
    <row r="172" spans="1:90" ht="17.45" customHeight="1">
      <c r="A172" s="58">
        <v>168</v>
      </c>
      <c r="B172" s="59" t="str">
        <f>'A Div'!A172 &amp; " " &amp; 'A Div'!B172</f>
        <v xml:space="preserve"> </v>
      </c>
      <c r="C172" s="59">
        <f>'A Div'!E172</f>
        <v>0</v>
      </c>
      <c r="D172" s="60"/>
      <c r="E172" s="60"/>
      <c r="F172" s="60"/>
      <c r="G172" s="60"/>
      <c r="H172" s="60"/>
      <c r="I172" s="60"/>
      <c r="J172" s="60"/>
      <c r="K172" s="60"/>
      <c r="L172" s="60"/>
      <c r="M172" s="74" t="str">
        <f t="shared" si="52"/>
        <v>-</v>
      </c>
      <c r="N172" s="60"/>
      <c r="O172" s="60"/>
      <c r="P172" s="60"/>
      <c r="Q172" s="60"/>
      <c r="R172" s="60"/>
      <c r="S172" s="60"/>
      <c r="T172" s="60"/>
      <c r="U172" s="60"/>
      <c r="V172" s="60"/>
      <c r="W172" s="74" t="str">
        <f t="shared" si="53"/>
        <v>-</v>
      </c>
      <c r="X172" s="148" t="str">
        <f t="shared" si="54"/>
        <v>-</v>
      </c>
      <c r="Y172" s="74" t="str">
        <f t="shared" si="55"/>
        <v>-</v>
      </c>
      <c r="AA172" s="60"/>
      <c r="AB172" s="60"/>
      <c r="AC172" s="60"/>
      <c r="AD172" s="60"/>
      <c r="AE172" s="60"/>
      <c r="AF172" s="60"/>
      <c r="AG172" s="60"/>
      <c r="AH172" s="60"/>
      <c r="AI172" s="60"/>
      <c r="AJ172" s="74" t="str">
        <f t="shared" si="56"/>
        <v>-</v>
      </c>
      <c r="AK172" s="60"/>
      <c r="AL172" s="60"/>
      <c r="AM172" s="60"/>
      <c r="AN172" s="60"/>
      <c r="AO172" s="60"/>
      <c r="AP172" s="60"/>
      <c r="AQ172" s="60"/>
      <c r="AR172" s="60"/>
      <c r="AS172" s="60"/>
      <c r="AT172" s="74" t="str">
        <f>IF(COUNTIF(AK172:AS172,"&lt;&gt;"&amp;"")=9,SUM(AK172:AS172),"-")</f>
        <v>-</v>
      </c>
      <c r="AU172" s="148" t="str">
        <f>IF(AND(ISNUMBER(AJ172),ISNUMBER(AT172)),AJ172+AT172,"-")</f>
        <v>-</v>
      </c>
      <c r="AV172" s="74" t="str">
        <f>IF(ISNUMBER(AU172),AU172-C172,"-")</f>
        <v>-</v>
      </c>
      <c r="AX172" s="59" t="str">
        <f t="shared" si="57"/>
        <v>-</v>
      </c>
      <c r="AY172" s="59" t="str">
        <f t="shared" si="58"/>
        <v>-</v>
      </c>
      <c r="AZ172" s="59" t="str">
        <f t="shared" si="59"/>
        <v>-</v>
      </c>
      <c r="BA172" s="59" t="str">
        <f t="shared" si="60"/>
        <v>-</v>
      </c>
      <c r="BB172" s="59" t="str">
        <f t="shared" si="61"/>
        <v>-</v>
      </c>
      <c r="BC172" s="59" t="str">
        <f t="shared" si="62"/>
        <v>-</v>
      </c>
      <c r="BD172" s="59" t="str">
        <f t="shared" si="63"/>
        <v>-</v>
      </c>
      <c r="BE172" s="59" t="str">
        <f t="shared" si="64"/>
        <v>-</v>
      </c>
      <c r="BF172" s="59" t="str">
        <f t="shared" si="65"/>
        <v>-</v>
      </c>
      <c r="BG172" s="59" t="str">
        <f t="shared" si="66"/>
        <v>-</v>
      </c>
      <c r="BH172" s="59" t="str">
        <f t="shared" si="67"/>
        <v>-</v>
      </c>
      <c r="BI172" s="59" t="str">
        <f t="shared" si="68"/>
        <v>-</v>
      </c>
      <c r="BJ172" s="59" t="str">
        <f t="shared" si="69"/>
        <v>-</v>
      </c>
      <c r="BK172" s="59" t="str">
        <f t="shared" si="70"/>
        <v>-</v>
      </c>
      <c r="BL172" s="59" t="str">
        <f>IF(AND(R172&gt;0,AO172&gt;0),MIN(R172,AO172),"-")</f>
        <v>-</v>
      </c>
      <c r="BM172" s="59" t="str">
        <f>IF(AND(S172&gt;0,AP172&gt;0),MIN(S172,AP172),"-")</f>
        <v>-</v>
      </c>
      <c r="BN172" s="59" t="str">
        <f>IF(AND(T172&gt;0,AQ172&gt;0),MIN(T172,AQ172),"-")</f>
        <v>-</v>
      </c>
      <c r="BO172" s="59" t="str">
        <f>IF(AND(U172&gt;0,AR172&gt;0),MIN(U172,AR172),"-")</f>
        <v>-</v>
      </c>
      <c r="BP172" s="59" t="str">
        <f>IF(AND(V172&gt;0,AS172&gt;0),MIN(V172,AS172),"-")</f>
        <v>-</v>
      </c>
      <c r="BQ172" s="59" t="str">
        <f t="shared" si="71"/>
        <v>-</v>
      </c>
      <c r="BR172" s="59" t="str">
        <f t="shared" si="72"/>
        <v>-</v>
      </c>
      <c r="BS172" s="59" t="str">
        <f t="shared" si="73"/>
        <v>-</v>
      </c>
      <c r="BT172" s="98" t="str">
        <f>IF(ISNUMBER(BS172),BS172-(C172*Rules!$P$9/100),"-")</f>
        <v>-</v>
      </c>
      <c r="BU172" s="59" t="e">
        <f>RANK($BT172,$BT$5:$BT$106,1)+COUNTIF(BT$5:BT172,BT172)-1</f>
        <v>#VALUE!</v>
      </c>
      <c r="BV172" s="59" t="e">
        <f t="shared" si="74"/>
        <v>#VALUE!</v>
      </c>
      <c r="BW172" s="59" t="str">
        <f t="shared" si="75"/>
        <v xml:space="preserve"> </v>
      </c>
      <c r="BX172" s="59">
        <f t="shared" si="76"/>
        <v>0</v>
      </c>
      <c r="BY172" s="98" t="str">
        <f t="shared" si="77"/>
        <v>-</v>
      </c>
      <c r="CD172" s="79"/>
      <c r="CE172" s="80"/>
      <c r="CF172" s="81"/>
      <c r="CL172" s="77">
        <v>1</v>
      </c>
    </row>
    <row r="173" spans="1:90" ht="17.45" customHeight="1">
      <c r="A173" s="58">
        <v>169</v>
      </c>
      <c r="B173" s="59" t="str">
        <f>'A Div'!A173 &amp; " " &amp; 'A Div'!B173</f>
        <v xml:space="preserve"> </v>
      </c>
      <c r="C173" s="59">
        <f>'A Div'!E173</f>
        <v>0</v>
      </c>
      <c r="D173" s="60"/>
      <c r="E173" s="60"/>
      <c r="F173" s="60"/>
      <c r="G173" s="60"/>
      <c r="H173" s="60"/>
      <c r="I173" s="60"/>
      <c r="J173" s="60"/>
      <c r="K173" s="60"/>
      <c r="L173" s="60"/>
      <c r="M173" s="74" t="str">
        <f t="shared" si="52"/>
        <v>-</v>
      </c>
      <c r="N173" s="60"/>
      <c r="O173" s="60"/>
      <c r="P173" s="60"/>
      <c r="Q173" s="60"/>
      <c r="R173" s="60"/>
      <c r="S173" s="60"/>
      <c r="T173" s="60"/>
      <c r="U173" s="60"/>
      <c r="V173" s="60"/>
      <c r="W173" s="74" t="str">
        <f t="shared" si="53"/>
        <v>-</v>
      </c>
      <c r="X173" s="148" t="str">
        <f t="shared" si="54"/>
        <v>-</v>
      </c>
      <c r="Y173" s="74" t="str">
        <f t="shared" si="55"/>
        <v>-</v>
      </c>
      <c r="AA173" s="60"/>
      <c r="AB173" s="60"/>
      <c r="AC173" s="60"/>
      <c r="AD173" s="60"/>
      <c r="AE173" s="60"/>
      <c r="AF173" s="60"/>
      <c r="AG173" s="60"/>
      <c r="AH173" s="60"/>
      <c r="AI173" s="60"/>
      <c r="AJ173" s="74" t="str">
        <f t="shared" si="56"/>
        <v>-</v>
      </c>
      <c r="AK173" s="60"/>
      <c r="AL173" s="60"/>
      <c r="AM173" s="60"/>
      <c r="AN173" s="60"/>
      <c r="AO173" s="60"/>
      <c r="AP173" s="60"/>
      <c r="AQ173" s="60"/>
      <c r="AR173" s="60"/>
      <c r="AS173" s="60"/>
      <c r="AT173" s="74" t="str">
        <f>IF(COUNTIF(AK173:AS173,"&lt;&gt;"&amp;"")=9,SUM(AK173:AS173),"-")</f>
        <v>-</v>
      </c>
      <c r="AU173" s="148" t="str">
        <f>IF(AND(ISNUMBER(AJ173),ISNUMBER(AT173)),AJ173+AT173,"-")</f>
        <v>-</v>
      </c>
      <c r="AV173" s="74" t="str">
        <f>IF(ISNUMBER(AU173),AU173-C173,"-")</f>
        <v>-</v>
      </c>
      <c r="AX173" s="59" t="str">
        <f t="shared" si="57"/>
        <v>-</v>
      </c>
      <c r="AY173" s="59" t="str">
        <f t="shared" si="58"/>
        <v>-</v>
      </c>
      <c r="AZ173" s="59" t="str">
        <f t="shared" si="59"/>
        <v>-</v>
      </c>
      <c r="BA173" s="59" t="str">
        <f t="shared" si="60"/>
        <v>-</v>
      </c>
      <c r="BB173" s="59" t="str">
        <f t="shared" si="61"/>
        <v>-</v>
      </c>
      <c r="BC173" s="59" t="str">
        <f t="shared" si="62"/>
        <v>-</v>
      </c>
      <c r="BD173" s="59" t="str">
        <f t="shared" si="63"/>
        <v>-</v>
      </c>
      <c r="BE173" s="59" t="str">
        <f t="shared" si="64"/>
        <v>-</v>
      </c>
      <c r="BF173" s="59" t="str">
        <f t="shared" si="65"/>
        <v>-</v>
      </c>
      <c r="BG173" s="59" t="str">
        <f t="shared" si="66"/>
        <v>-</v>
      </c>
      <c r="BH173" s="59" t="str">
        <f t="shared" si="67"/>
        <v>-</v>
      </c>
      <c r="BI173" s="59" t="str">
        <f t="shared" si="68"/>
        <v>-</v>
      </c>
      <c r="BJ173" s="59" t="str">
        <f t="shared" si="69"/>
        <v>-</v>
      </c>
      <c r="BK173" s="59" t="str">
        <f t="shared" si="70"/>
        <v>-</v>
      </c>
      <c r="BL173" s="59" t="str">
        <f>IF(AND(R173&gt;0,AO173&gt;0),MIN(R173,AO173),"-")</f>
        <v>-</v>
      </c>
      <c r="BM173" s="59" t="str">
        <f>IF(AND(S173&gt;0,AP173&gt;0),MIN(S173,AP173),"-")</f>
        <v>-</v>
      </c>
      <c r="BN173" s="59" t="str">
        <f>IF(AND(T173&gt;0,AQ173&gt;0),MIN(T173,AQ173),"-")</f>
        <v>-</v>
      </c>
      <c r="BO173" s="59" t="str">
        <f>IF(AND(U173&gt;0,AR173&gt;0),MIN(U173,AR173),"-")</f>
        <v>-</v>
      </c>
      <c r="BP173" s="59" t="str">
        <f>IF(AND(V173&gt;0,AS173&gt;0),MIN(V173,AS173),"-")</f>
        <v>-</v>
      </c>
      <c r="BQ173" s="59" t="str">
        <f t="shared" si="71"/>
        <v>-</v>
      </c>
      <c r="BR173" s="59" t="str">
        <f t="shared" si="72"/>
        <v>-</v>
      </c>
      <c r="BS173" s="59" t="str">
        <f t="shared" si="73"/>
        <v>-</v>
      </c>
      <c r="BT173" s="98" t="str">
        <f>IF(ISNUMBER(BS173),BS173-(C173*Rules!$P$9/100),"-")</f>
        <v>-</v>
      </c>
      <c r="BU173" s="59" t="e">
        <f>RANK($BT173,$BT$5:$BT$106,1)+COUNTIF(BT$5:BT173,BT173)-1</f>
        <v>#VALUE!</v>
      </c>
      <c r="BV173" s="59" t="e">
        <f t="shared" si="74"/>
        <v>#VALUE!</v>
      </c>
      <c r="BW173" s="59" t="str">
        <f t="shared" si="75"/>
        <v xml:space="preserve"> </v>
      </c>
      <c r="BX173" s="59">
        <f t="shared" si="76"/>
        <v>0</v>
      </c>
      <c r="BY173" s="98" t="str">
        <f t="shared" si="77"/>
        <v>-</v>
      </c>
      <c r="CD173" s="79"/>
      <c r="CE173" s="80"/>
      <c r="CF173" s="81"/>
      <c r="CL173" s="77">
        <v>1</v>
      </c>
    </row>
    <row r="174" spans="1:90" ht="17.45" customHeight="1">
      <c r="A174" s="58">
        <v>170</v>
      </c>
      <c r="B174" s="59" t="str">
        <f>'A Div'!A174 &amp; " " &amp; 'A Div'!B174</f>
        <v xml:space="preserve"> </v>
      </c>
      <c r="C174" s="59">
        <f>'A Div'!E174</f>
        <v>0</v>
      </c>
      <c r="D174" s="60"/>
      <c r="E174" s="60"/>
      <c r="F174" s="60"/>
      <c r="G174" s="60"/>
      <c r="H174" s="60"/>
      <c r="I174" s="60"/>
      <c r="J174" s="60"/>
      <c r="K174" s="60"/>
      <c r="L174" s="60"/>
      <c r="M174" s="74" t="str">
        <f t="shared" si="52"/>
        <v>-</v>
      </c>
      <c r="N174" s="60"/>
      <c r="O174" s="60"/>
      <c r="P174" s="60"/>
      <c r="Q174" s="60"/>
      <c r="R174" s="60"/>
      <c r="S174" s="60"/>
      <c r="T174" s="60"/>
      <c r="U174" s="60"/>
      <c r="V174" s="60"/>
      <c r="W174" s="74" t="str">
        <f t="shared" si="53"/>
        <v>-</v>
      </c>
      <c r="X174" s="148" t="str">
        <f t="shared" si="54"/>
        <v>-</v>
      </c>
      <c r="Y174" s="74" t="str">
        <f t="shared" si="55"/>
        <v>-</v>
      </c>
      <c r="AA174" s="60"/>
      <c r="AB174" s="60"/>
      <c r="AC174" s="60"/>
      <c r="AD174" s="60"/>
      <c r="AE174" s="60"/>
      <c r="AF174" s="60"/>
      <c r="AG174" s="60"/>
      <c r="AH174" s="60"/>
      <c r="AI174" s="60"/>
      <c r="AJ174" s="74" t="str">
        <f t="shared" si="56"/>
        <v>-</v>
      </c>
      <c r="AK174" s="60"/>
      <c r="AL174" s="60"/>
      <c r="AM174" s="60"/>
      <c r="AN174" s="60"/>
      <c r="AO174" s="60"/>
      <c r="AP174" s="60"/>
      <c r="AQ174" s="60"/>
      <c r="AR174" s="60"/>
      <c r="AS174" s="60"/>
      <c r="AT174" s="74" t="str">
        <f>IF(COUNTIF(AK174:AS174,"&lt;&gt;"&amp;"")=9,SUM(AK174:AS174),"-")</f>
        <v>-</v>
      </c>
      <c r="AU174" s="148" t="str">
        <f>IF(AND(ISNUMBER(AJ174),ISNUMBER(AT174)),AJ174+AT174,"-")</f>
        <v>-</v>
      </c>
      <c r="AV174" s="74" t="str">
        <f>IF(ISNUMBER(AU174),AU174-C174,"-")</f>
        <v>-</v>
      </c>
      <c r="AX174" s="59" t="str">
        <f t="shared" si="57"/>
        <v>-</v>
      </c>
      <c r="AY174" s="59" t="str">
        <f t="shared" si="58"/>
        <v>-</v>
      </c>
      <c r="AZ174" s="59" t="str">
        <f t="shared" si="59"/>
        <v>-</v>
      </c>
      <c r="BA174" s="59" t="str">
        <f t="shared" si="60"/>
        <v>-</v>
      </c>
      <c r="BB174" s="59" t="str">
        <f t="shared" si="61"/>
        <v>-</v>
      </c>
      <c r="BC174" s="59" t="str">
        <f t="shared" si="62"/>
        <v>-</v>
      </c>
      <c r="BD174" s="59" t="str">
        <f t="shared" si="63"/>
        <v>-</v>
      </c>
      <c r="BE174" s="59" t="str">
        <f t="shared" si="64"/>
        <v>-</v>
      </c>
      <c r="BF174" s="59" t="str">
        <f t="shared" si="65"/>
        <v>-</v>
      </c>
      <c r="BG174" s="59" t="str">
        <f t="shared" si="66"/>
        <v>-</v>
      </c>
      <c r="BH174" s="59" t="str">
        <f t="shared" si="67"/>
        <v>-</v>
      </c>
      <c r="BI174" s="59" t="str">
        <f t="shared" si="68"/>
        <v>-</v>
      </c>
      <c r="BJ174" s="59" t="str">
        <f t="shared" si="69"/>
        <v>-</v>
      </c>
      <c r="BK174" s="59" t="str">
        <f t="shared" si="70"/>
        <v>-</v>
      </c>
      <c r="BL174" s="59" t="str">
        <f>IF(AND(R174&gt;0,AO174&gt;0),MIN(R174,AO174),"-")</f>
        <v>-</v>
      </c>
      <c r="BM174" s="59" t="str">
        <f>IF(AND(S174&gt;0,AP174&gt;0),MIN(S174,AP174),"-")</f>
        <v>-</v>
      </c>
      <c r="BN174" s="59" t="str">
        <f>IF(AND(T174&gt;0,AQ174&gt;0),MIN(T174,AQ174),"-")</f>
        <v>-</v>
      </c>
      <c r="BO174" s="59" t="str">
        <f>IF(AND(U174&gt;0,AR174&gt;0),MIN(U174,AR174),"-")</f>
        <v>-</v>
      </c>
      <c r="BP174" s="59" t="str">
        <f>IF(AND(V174&gt;0,AS174&gt;0),MIN(V174,AS174),"-")</f>
        <v>-</v>
      </c>
      <c r="BQ174" s="59" t="str">
        <f t="shared" si="71"/>
        <v>-</v>
      </c>
      <c r="BR174" s="59" t="str">
        <f t="shared" si="72"/>
        <v>-</v>
      </c>
      <c r="BS174" s="59" t="str">
        <f t="shared" si="73"/>
        <v>-</v>
      </c>
      <c r="BT174" s="98" t="str">
        <f>IF(ISNUMBER(BS174),BS174-(C174*Rules!$P$9/100),"-")</f>
        <v>-</v>
      </c>
      <c r="BU174" s="59" t="e">
        <f>RANK($BT174,$BT$5:$BT$106,1)+COUNTIF(BT$5:BT174,BT174)-1</f>
        <v>#VALUE!</v>
      </c>
      <c r="BV174" s="59" t="e">
        <f t="shared" si="74"/>
        <v>#VALUE!</v>
      </c>
      <c r="BW174" s="59" t="str">
        <f t="shared" si="75"/>
        <v xml:space="preserve"> </v>
      </c>
      <c r="BX174" s="59">
        <f t="shared" si="76"/>
        <v>0</v>
      </c>
      <c r="BY174" s="98" t="str">
        <f t="shared" si="77"/>
        <v>-</v>
      </c>
      <c r="CD174" s="79"/>
      <c r="CE174" s="80"/>
      <c r="CF174" s="81"/>
      <c r="CL174" s="77">
        <v>1</v>
      </c>
    </row>
    <row r="175" spans="1:90" ht="17.45" customHeight="1">
      <c r="A175" s="58">
        <v>171</v>
      </c>
      <c r="B175" s="59" t="str">
        <f>'A Div'!A175 &amp; " " &amp; 'A Div'!B175</f>
        <v xml:space="preserve"> </v>
      </c>
      <c r="C175" s="59">
        <f>'A Div'!E175</f>
        <v>0</v>
      </c>
      <c r="D175" s="60"/>
      <c r="E175" s="60"/>
      <c r="F175" s="60"/>
      <c r="G175" s="60"/>
      <c r="H175" s="60"/>
      <c r="I175" s="60"/>
      <c r="J175" s="60"/>
      <c r="K175" s="60"/>
      <c r="L175" s="60"/>
      <c r="M175" s="74" t="str">
        <f t="shared" si="52"/>
        <v>-</v>
      </c>
      <c r="N175" s="60"/>
      <c r="O175" s="60"/>
      <c r="P175" s="60"/>
      <c r="Q175" s="60"/>
      <c r="R175" s="60"/>
      <c r="S175" s="60"/>
      <c r="T175" s="60"/>
      <c r="U175" s="60"/>
      <c r="V175" s="60"/>
      <c r="W175" s="74" t="str">
        <f t="shared" si="53"/>
        <v>-</v>
      </c>
      <c r="X175" s="148" t="str">
        <f t="shared" si="54"/>
        <v>-</v>
      </c>
      <c r="Y175" s="74" t="str">
        <f t="shared" si="55"/>
        <v>-</v>
      </c>
      <c r="AA175" s="60"/>
      <c r="AB175" s="60"/>
      <c r="AC175" s="60"/>
      <c r="AD175" s="60"/>
      <c r="AE175" s="60"/>
      <c r="AF175" s="60"/>
      <c r="AG175" s="60"/>
      <c r="AH175" s="60"/>
      <c r="AI175" s="60"/>
      <c r="AJ175" s="74" t="str">
        <f t="shared" si="56"/>
        <v>-</v>
      </c>
      <c r="AK175" s="60"/>
      <c r="AL175" s="60"/>
      <c r="AM175" s="60"/>
      <c r="AN175" s="60"/>
      <c r="AO175" s="60"/>
      <c r="AP175" s="60"/>
      <c r="AQ175" s="60"/>
      <c r="AR175" s="60"/>
      <c r="AS175" s="60"/>
      <c r="AT175" s="74" t="str">
        <f>IF(COUNTIF(AK175:AS175,"&lt;&gt;"&amp;"")=9,SUM(AK175:AS175),"-")</f>
        <v>-</v>
      </c>
      <c r="AU175" s="148" t="str">
        <f>IF(AND(ISNUMBER(AJ175),ISNUMBER(AT175)),AJ175+AT175,"-")</f>
        <v>-</v>
      </c>
      <c r="AV175" s="74" t="str">
        <f>IF(ISNUMBER(AU175),AU175-C175,"-")</f>
        <v>-</v>
      </c>
      <c r="AX175" s="59" t="str">
        <f t="shared" si="57"/>
        <v>-</v>
      </c>
      <c r="AY175" s="59" t="str">
        <f t="shared" si="58"/>
        <v>-</v>
      </c>
      <c r="AZ175" s="59" t="str">
        <f t="shared" si="59"/>
        <v>-</v>
      </c>
      <c r="BA175" s="59" t="str">
        <f t="shared" si="60"/>
        <v>-</v>
      </c>
      <c r="BB175" s="59" t="str">
        <f t="shared" si="61"/>
        <v>-</v>
      </c>
      <c r="BC175" s="59" t="str">
        <f t="shared" si="62"/>
        <v>-</v>
      </c>
      <c r="BD175" s="59" t="str">
        <f t="shared" si="63"/>
        <v>-</v>
      </c>
      <c r="BE175" s="59" t="str">
        <f t="shared" si="64"/>
        <v>-</v>
      </c>
      <c r="BF175" s="59" t="str">
        <f t="shared" si="65"/>
        <v>-</v>
      </c>
      <c r="BG175" s="59" t="str">
        <f t="shared" si="66"/>
        <v>-</v>
      </c>
      <c r="BH175" s="59" t="str">
        <f t="shared" si="67"/>
        <v>-</v>
      </c>
      <c r="BI175" s="59" t="str">
        <f t="shared" si="68"/>
        <v>-</v>
      </c>
      <c r="BJ175" s="59" t="str">
        <f t="shared" si="69"/>
        <v>-</v>
      </c>
      <c r="BK175" s="59" t="str">
        <f t="shared" si="70"/>
        <v>-</v>
      </c>
      <c r="BL175" s="59" t="str">
        <f>IF(AND(R175&gt;0,AO175&gt;0),MIN(R175,AO175),"-")</f>
        <v>-</v>
      </c>
      <c r="BM175" s="59" t="str">
        <f>IF(AND(S175&gt;0,AP175&gt;0),MIN(S175,AP175),"-")</f>
        <v>-</v>
      </c>
      <c r="BN175" s="59" t="str">
        <f>IF(AND(T175&gt;0,AQ175&gt;0),MIN(T175,AQ175),"-")</f>
        <v>-</v>
      </c>
      <c r="BO175" s="59" t="str">
        <f>IF(AND(U175&gt;0,AR175&gt;0),MIN(U175,AR175),"-")</f>
        <v>-</v>
      </c>
      <c r="BP175" s="59" t="str">
        <f>IF(AND(V175&gt;0,AS175&gt;0),MIN(V175,AS175),"-")</f>
        <v>-</v>
      </c>
      <c r="BQ175" s="59" t="str">
        <f t="shared" si="71"/>
        <v>-</v>
      </c>
      <c r="BR175" s="59" t="str">
        <f t="shared" si="72"/>
        <v>-</v>
      </c>
      <c r="BS175" s="59" t="str">
        <f t="shared" si="73"/>
        <v>-</v>
      </c>
      <c r="BT175" s="98" t="str">
        <f>IF(ISNUMBER(BS175),BS175-(C175*Rules!$P$9/100),"-")</f>
        <v>-</v>
      </c>
      <c r="BU175" s="59" t="e">
        <f>RANK($BT175,$BT$5:$BT$106,1)+COUNTIF(BT$5:BT175,BT175)-1</f>
        <v>#VALUE!</v>
      </c>
      <c r="BV175" s="59" t="e">
        <f t="shared" si="74"/>
        <v>#VALUE!</v>
      </c>
      <c r="BW175" s="59" t="str">
        <f t="shared" si="75"/>
        <v xml:space="preserve"> </v>
      </c>
      <c r="BX175" s="59">
        <f t="shared" si="76"/>
        <v>0</v>
      </c>
      <c r="BY175" s="98" t="str">
        <f t="shared" si="77"/>
        <v>-</v>
      </c>
      <c r="CD175" s="79"/>
      <c r="CE175" s="80"/>
      <c r="CF175" s="81"/>
      <c r="CL175" s="77">
        <v>1</v>
      </c>
    </row>
    <row r="176" spans="1:90" ht="17.45" customHeight="1">
      <c r="A176" s="58">
        <v>172</v>
      </c>
      <c r="B176" s="59" t="str">
        <f>'A Div'!A176 &amp; " " &amp; 'A Div'!B176</f>
        <v xml:space="preserve"> </v>
      </c>
      <c r="C176" s="59">
        <f>'A Div'!E176</f>
        <v>0</v>
      </c>
      <c r="D176" s="60"/>
      <c r="E176" s="60"/>
      <c r="F176" s="60"/>
      <c r="G176" s="60"/>
      <c r="H176" s="60"/>
      <c r="I176" s="60"/>
      <c r="J176" s="60"/>
      <c r="K176" s="60"/>
      <c r="L176" s="60"/>
      <c r="M176" s="74" t="str">
        <f t="shared" si="52"/>
        <v>-</v>
      </c>
      <c r="N176" s="60"/>
      <c r="O176" s="60"/>
      <c r="P176" s="60"/>
      <c r="Q176" s="60"/>
      <c r="R176" s="60"/>
      <c r="S176" s="60"/>
      <c r="T176" s="60"/>
      <c r="U176" s="60"/>
      <c r="V176" s="60"/>
      <c r="W176" s="74" t="str">
        <f t="shared" si="53"/>
        <v>-</v>
      </c>
      <c r="X176" s="148" t="str">
        <f t="shared" si="54"/>
        <v>-</v>
      </c>
      <c r="Y176" s="74" t="str">
        <f t="shared" si="55"/>
        <v>-</v>
      </c>
      <c r="AA176" s="60"/>
      <c r="AB176" s="60"/>
      <c r="AC176" s="60"/>
      <c r="AD176" s="60"/>
      <c r="AE176" s="60"/>
      <c r="AF176" s="60"/>
      <c r="AG176" s="60"/>
      <c r="AH176" s="60"/>
      <c r="AI176" s="60"/>
      <c r="AJ176" s="74" t="str">
        <f t="shared" si="56"/>
        <v>-</v>
      </c>
      <c r="AK176" s="60"/>
      <c r="AL176" s="60"/>
      <c r="AM176" s="60"/>
      <c r="AN176" s="60"/>
      <c r="AO176" s="60"/>
      <c r="AP176" s="60"/>
      <c r="AQ176" s="60"/>
      <c r="AR176" s="60"/>
      <c r="AS176" s="60"/>
      <c r="AT176" s="74" t="str">
        <f>IF(COUNTIF(AK176:AS176,"&lt;&gt;"&amp;"")=9,SUM(AK176:AS176),"-")</f>
        <v>-</v>
      </c>
      <c r="AU176" s="148" t="str">
        <f>IF(AND(ISNUMBER(AJ176),ISNUMBER(AT176)),AJ176+AT176,"-")</f>
        <v>-</v>
      </c>
      <c r="AV176" s="74" t="str">
        <f>IF(ISNUMBER(AU176),AU176-C176,"-")</f>
        <v>-</v>
      </c>
      <c r="AX176" s="59" t="str">
        <f t="shared" si="57"/>
        <v>-</v>
      </c>
      <c r="AY176" s="59" t="str">
        <f t="shared" si="58"/>
        <v>-</v>
      </c>
      <c r="AZ176" s="59" t="str">
        <f t="shared" si="59"/>
        <v>-</v>
      </c>
      <c r="BA176" s="59" t="str">
        <f t="shared" si="60"/>
        <v>-</v>
      </c>
      <c r="BB176" s="59" t="str">
        <f t="shared" si="61"/>
        <v>-</v>
      </c>
      <c r="BC176" s="59" t="str">
        <f t="shared" si="62"/>
        <v>-</v>
      </c>
      <c r="BD176" s="59" t="str">
        <f t="shared" si="63"/>
        <v>-</v>
      </c>
      <c r="BE176" s="59" t="str">
        <f t="shared" si="64"/>
        <v>-</v>
      </c>
      <c r="BF176" s="59" t="str">
        <f t="shared" si="65"/>
        <v>-</v>
      </c>
      <c r="BG176" s="59" t="str">
        <f t="shared" si="66"/>
        <v>-</v>
      </c>
      <c r="BH176" s="59" t="str">
        <f t="shared" si="67"/>
        <v>-</v>
      </c>
      <c r="BI176" s="59" t="str">
        <f t="shared" si="68"/>
        <v>-</v>
      </c>
      <c r="BJ176" s="59" t="str">
        <f t="shared" si="69"/>
        <v>-</v>
      </c>
      <c r="BK176" s="59" t="str">
        <f t="shared" si="70"/>
        <v>-</v>
      </c>
      <c r="BL176" s="59" t="str">
        <f>IF(AND(R176&gt;0,AO176&gt;0),MIN(R176,AO176),"-")</f>
        <v>-</v>
      </c>
      <c r="BM176" s="59" t="str">
        <f>IF(AND(S176&gt;0,AP176&gt;0),MIN(S176,AP176),"-")</f>
        <v>-</v>
      </c>
      <c r="BN176" s="59" t="str">
        <f>IF(AND(T176&gt;0,AQ176&gt;0),MIN(T176,AQ176),"-")</f>
        <v>-</v>
      </c>
      <c r="BO176" s="59" t="str">
        <f>IF(AND(U176&gt;0,AR176&gt;0),MIN(U176,AR176),"-")</f>
        <v>-</v>
      </c>
      <c r="BP176" s="59" t="str">
        <f>IF(AND(V176&gt;0,AS176&gt;0),MIN(V176,AS176),"-")</f>
        <v>-</v>
      </c>
      <c r="BQ176" s="59" t="str">
        <f t="shared" si="71"/>
        <v>-</v>
      </c>
      <c r="BR176" s="59" t="str">
        <f t="shared" si="72"/>
        <v>-</v>
      </c>
      <c r="BS176" s="59" t="str">
        <f t="shared" si="73"/>
        <v>-</v>
      </c>
      <c r="BT176" s="98" t="str">
        <f>IF(ISNUMBER(BS176),BS176-(C176*Rules!$P$9/100),"-")</f>
        <v>-</v>
      </c>
      <c r="BU176" s="59" t="e">
        <f>RANK($BT176,$BT$5:$BT$106,1)+COUNTIF(BT$5:BT176,BT176)-1</f>
        <v>#VALUE!</v>
      </c>
      <c r="BV176" s="59" t="e">
        <f t="shared" si="74"/>
        <v>#VALUE!</v>
      </c>
      <c r="BW176" s="59" t="str">
        <f t="shared" si="75"/>
        <v xml:space="preserve"> </v>
      </c>
      <c r="BX176" s="59">
        <f t="shared" si="76"/>
        <v>0</v>
      </c>
      <c r="BY176" s="98" t="str">
        <f t="shared" si="77"/>
        <v>-</v>
      </c>
      <c r="CD176" s="79"/>
      <c r="CE176" s="80"/>
      <c r="CF176" s="81"/>
      <c r="CL176" s="77">
        <v>1</v>
      </c>
    </row>
    <row r="177" spans="1:90" ht="17.45" customHeight="1">
      <c r="A177" s="58">
        <v>173</v>
      </c>
      <c r="B177" s="59" t="str">
        <f>'A Div'!A177 &amp; " " &amp; 'A Div'!B177</f>
        <v xml:space="preserve"> </v>
      </c>
      <c r="C177" s="59">
        <f>'A Div'!E177</f>
        <v>0</v>
      </c>
      <c r="D177" s="60"/>
      <c r="E177" s="60"/>
      <c r="F177" s="60"/>
      <c r="G177" s="60"/>
      <c r="H177" s="60"/>
      <c r="I177" s="60"/>
      <c r="J177" s="60"/>
      <c r="K177" s="60"/>
      <c r="L177" s="60"/>
      <c r="M177" s="74" t="str">
        <f t="shared" si="52"/>
        <v>-</v>
      </c>
      <c r="N177" s="60"/>
      <c r="O177" s="60"/>
      <c r="P177" s="60"/>
      <c r="Q177" s="60"/>
      <c r="R177" s="60"/>
      <c r="S177" s="60"/>
      <c r="T177" s="60"/>
      <c r="U177" s="60"/>
      <c r="V177" s="60"/>
      <c r="W177" s="74" t="str">
        <f t="shared" si="53"/>
        <v>-</v>
      </c>
      <c r="X177" s="148" t="str">
        <f t="shared" si="54"/>
        <v>-</v>
      </c>
      <c r="Y177" s="74" t="str">
        <f t="shared" si="55"/>
        <v>-</v>
      </c>
      <c r="AA177" s="60"/>
      <c r="AB177" s="60"/>
      <c r="AC177" s="60"/>
      <c r="AD177" s="60"/>
      <c r="AE177" s="60"/>
      <c r="AF177" s="60"/>
      <c r="AG177" s="60"/>
      <c r="AH177" s="60"/>
      <c r="AI177" s="60"/>
      <c r="AJ177" s="74" t="str">
        <f t="shared" si="56"/>
        <v>-</v>
      </c>
      <c r="AK177" s="60"/>
      <c r="AL177" s="60"/>
      <c r="AM177" s="60"/>
      <c r="AN177" s="60"/>
      <c r="AO177" s="60"/>
      <c r="AP177" s="60"/>
      <c r="AQ177" s="60"/>
      <c r="AR177" s="60"/>
      <c r="AS177" s="60"/>
      <c r="AT177" s="74" t="str">
        <f>IF(COUNTIF(AK177:AS177,"&lt;&gt;"&amp;"")=9,SUM(AK177:AS177),"-")</f>
        <v>-</v>
      </c>
      <c r="AU177" s="148" t="str">
        <f>IF(AND(ISNUMBER(AJ177),ISNUMBER(AT177)),AJ177+AT177,"-")</f>
        <v>-</v>
      </c>
      <c r="AV177" s="74" t="str">
        <f>IF(ISNUMBER(AU177),AU177-C177,"-")</f>
        <v>-</v>
      </c>
      <c r="AX177" s="59" t="str">
        <f t="shared" si="57"/>
        <v>-</v>
      </c>
      <c r="AY177" s="59" t="str">
        <f t="shared" si="58"/>
        <v>-</v>
      </c>
      <c r="AZ177" s="59" t="str">
        <f t="shared" si="59"/>
        <v>-</v>
      </c>
      <c r="BA177" s="59" t="str">
        <f t="shared" si="60"/>
        <v>-</v>
      </c>
      <c r="BB177" s="59" t="str">
        <f t="shared" si="61"/>
        <v>-</v>
      </c>
      <c r="BC177" s="59" t="str">
        <f t="shared" si="62"/>
        <v>-</v>
      </c>
      <c r="BD177" s="59" t="str">
        <f t="shared" si="63"/>
        <v>-</v>
      </c>
      <c r="BE177" s="59" t="str">
        <f t="shared" si="64"/>
        <v>-</v>
      </c>
      <c r="BF177" s="59" t="str">
        <f t="shared" si="65"/>
        <v>-</v>
      </c>
      <c r="BG177" s="59" t="str">
        <f t="shared" si="66"/>
        <v>-</v>
      </c>
      <c r="BH177" s="59" t="str">
        <f t="shared" si="67"/>
        <v>-</v>
      </c>
      <c r="BI177" s="59" t="str">
        <f t="shared" si="68"/>
        <v>-</v>
      </c>
      <c r="BJ177" s="59" t="str">
        <f t="shared" si="69"/>
        <v>-</v>
      </c>
      <c r="BK177" s="59" t="str">
        <f t="shared" si="70"/>
        <v>-</v>
      </c>
      <c r="BL177" s="59" t="str">
        <f>IF(AND(R177&gt;0,AO177&gt;0),MIN(R177,AO177),"-")</f>
        <v>-</v>
      </c>
      <c r="BM177" s="59" t="str">
        <f>IF(AND(S177&gt;0,AP177&gt;0),MIN(S177,AP177),"-")</f>
        <v>-</v>
      </c>
      <c r="BN177" s="59" t="str">
        <f>IF(AND(T177&gt;0,AQ177&gt;0),MIN(T177,AQ177),"-")</f>
        <v>-</v>
      </c>
      <c r="BO177" s="59" t="str">
        <f>IF(AND(U177&gt;0,AR177&gt;0),MIN(U177,AR177),"-")</f>
        <v>-</v>
      </c>
      <c r="BP177" s="59" t="str">
        <f>IF(AND(V177&gt;0,AS177&gt;0),MIN(V177,AS177),"-")</f>
        <v>-</v>
      </c>
      <c r="BQ177" s="59" t="str">
        <f t="shared" si="71"/>
        <v>-</v>
      </c>
      <c r="BR177" s="59" t="str">
        <f t="shared" si="72"/>
        <v>-</v>
      </c>
      <c r="BS177" s="59" t="str">
        <f t="shared" si="73"/>
        <v>-</v>
      </c>
      <c r="BT177" s="98" t="str">
        <f>IF(ISNUMBER(BS177),BS177-(C177*Rules!$P$9/100),"-")</f>
        <v>-</v>
      </c>
      <c r="BU177" s="59" t="e">
        <f>RANK($BT177,$BT$5:$BT$106,1)+COUNTIF(BT$5:BT177,BT177)-1</f>
        <v>#VALUE!</v>
      </c>
      <c r="BV177" s="59" t="e">
        <f t="shared" si="74"/>
        <v>#VALUE!</v>
      </c>
      <c r="BW177" s="59" t="str">
        <f t="shared" si="75"/>
        <v xml:space="preserve"> </v>
      </c>
      <c r="BX177" s="59">
        <f t="shared" si="76"/>
        <v>0</v>
      </c>
      <c r="BY177" s="98" t="str">
        <f t="shared" si="77"/>
        <v>-</v>
      </c>
      <c r="CD177" s="79"/>
      <c r="CE177" s="80"/>
      <c r="CF177" s="81"/>
      <c r="CL177" s="77">
        <v>1</v>
      </c>
    </row>
    <row r="178" spans="1:90" ht="17.45" customHeight="1">
      <c r="A178" s="58">
        <v>174</v>
      </c>
      <c r="B178" s="59" t="str">
        <f>'A Div'!A178 &amp; " " &amp; 'A Div'!B178</f>
        <v xml:space="preserve"> </v>
      </c>
      <c r="C178" s="59">
        <f>'A Div'!E178</f>
        <v>0</v>
      </c>
      <c r="D178" s="60"/>
      <c r="E178" s="60"/>
      <c r="F178" s="60"/>
      <c r="G178" s="60"/>
      <c r="H178" s="60"/>
      <c r="I178" s="60"/>
      <c r="J178" s="60"/>
      <c r="K178" s="60"/>
      <c r="L178" s="60"/>
      <c r="M178" s="74" t="str">
        <f t="shared" si="52"/>
        <v>-</v>
      </c>
      <c r="N178" s="60"/>
      <c r="O178" s="60"/>
      <c r="P178" s="60"/>
      <c r="Q178" s="60"/>
      <c r="R178" s="60"/>
      <c r="S178" s="60"/>
      <c r="T178" s="60"/>
      <c r="U178" s="60"/>
      <c r="V178" s="60"/>
      <c r="W178" s="74" t="str">
        <f t="shared" si="53"/>
        <v>-</v>
      </c>
      <c r="X178" s="148" t="str">
        <f t="shared" si="54"/>
        <v>-</v>
      </c>
      <c r="Y178" s="74" t="str">
        <f t="shared" si="55"/>
        <v>-</v>
      </c>
      <c r="AA178" s="60"/>
      <c r="AB178" s="60"/>
      <c r="AC178" s="60"/>
      <c r="AD178" s="60"/>
      <c r="AE178" s="60"/>
      <c r="AF178" s="60"/>
      <c r="AG178" s="60"/>
      <c r="AH178" s="60"/>
      <c r="AI178" s="60"/>
      <c r="AJ178" s="74" t="str">
        <f t="shared" si="56"/>
        <v>-</v>
      </c>
      <c r="AK178" s="60"/>
      <c r="AL178" s="60"/>
      <c r="AM178" s="60"/>
      <c r="AN178" s="60"/>
      <c r="AO178" s="60"/>
      <c r="AP178" s="60"/>
      <c r="AQ178" s="60"/>
      <c r="AR178" s="60"/>
      <c r="AS178" s="60"/>
      <c r="AT178" s="74" t="str">
        <f>IF(COUNTIF(AK178:AS178,"&lt;&gt;"&amp;"")=9,SUM(AK178:AS178),"-")</f>
        <v>-</v>
      </c>
      <c r="AU178" s="148" t="str">
        <f>IF(AND(ISNUMBER(AJ178),ISNUMBER(AT178)),AJ178+AT178,"-")</f>
        <v>-</v>
      </c>
      <c r="AV178" s="74" t="str">
        <f>IF(ISNUMBER(AU178),AU178-C178,"-")</f>
        <v>-</v>
      </c>
      <c r="AX178" s="59" t="str">
        <f t="shared" si="57"/>
        <v>-</v>
      </c>
      <c r="AY178" s="59" t="str">
        <f t="shared" si="58"/>
        <v>-</v>
      </c>
      <c r="AZ178" s="59" t="str">
        <f t="shared" si="59"/>
        <v>-</v>
      </c>
      <c r="BA178" s="59" t="str">
        <f t="shared" si="60"/>
        <v>-</v>
      </c>
      <c r="BB178" s="59" t="str">
        <f t="shared" si="61"/>
        <v>-</v>
      </c>
      <c r="BC178" s="59" t="str">
        <f t="shared" si="62"/>
        <v>-</v>
      </c>
      <c r="BD178" s="59" t="str">
        <f t="shared" si="63"/>
        <v>-</v>
      </c>
      <c r="BE178" s="59" t="str">
        <f t="shared" si="64"/>
        <v>-</v>
      </c>
      <c r="BF178" s="59" t="str">
        <f t="shared" si="65"/>
        <v>-</v>
      </c>
      <c r="BG178" s="59" t="str">
        <f t="shared" si="66"/>
        <v>-</v>
      </c>
      <c r="BH178" s="59" t="str">
        <f t="shared" si="67"/>
        <v>-</v>
      </c>
      <c r="BI178" s="59" t="str">
        <f t="shared" si="68"/>
        <v>-</v>
      </c>
      <c r="BJ178" s="59" t="str">
        <f t="shared" si="69"/>
        <v>-</v>
      </c>
      <c r="BK178" s="59" t="str">
        <f t="shared" si="70"/>
        <v>-</v>
      </c>
      <c r="BL178" s="59" t="str">
        <f>IF(AND(R178&gt;0,AO178&gt;0),MIN(R178,AO178),"-")</f>
        <v>-</v>
      </c>
      <c r="BM178" s="59" t="str">
        <f>IF(AND(S178&gt;0,AP178&gt;0),MIN(S178,AP178),"-")</f>
        <v>-</v>
      </c>
      <c r="BN178" s="59" t="str">
        <f>IF(AND(T178&gt;0,AQ178&gt;0),MIN(T178,AQ178),"-")</f>
        <v>-</v>
      </c>
      <c r="BO178" s="59" t="str">
        <f>IF(AND(U178&gt;0,AR178&gt;0),MIN(U178,AR178),"-")</f>
        <v>-</v>
      </c>
      <c r="BP178" s="59" t="str">
        <f>IF(AND(V178&gt;0,AS178&gt;0),MIN(V178,AS178),"-")</f>
        <v>-</v>
      </c>
      <c r="BQ178" s="59" t="str">
        <f t="shared" si="71"/>
        <v>-</v>
      </c>
      <c r="BR178" s="59" t="str">
        <f t="shared" si="72"/>
        <v>-</v>
      </c>
      <c r="BS178" s="59" t="str">
        <f t="shared" si="73"/>
        <v>-</v>
      </c>
      <c r="BT178" s="98" t="str">
        <f>IF(ISNUMBER(BS178),BS178-(C178*Rules!$P$9/100),"-")</f>
        <v>-</v>
      </c>
      <c r="BU178" s="59" t="e">
        <f>RANK($BT178,$BT$5:$BT$106,1)+COUNTIF(BT$5:BT178,BT178)-1</f>
        <v>#VALUE!</v>
      </c>
      <c r="BV178" s="59" t="e">
        <f t="shared" si="74"/>
        <v>#VALUE!</v>
      </c>
      <c r="BW178" s="59" t="str">
        <f t="shared" si="75"/>
        <v xml:space="preserve"> </v>
      </c>
      <c r="BX178" s="59">
        <f t="shared" si="76"/>
        <v>0</v>
      </c>
      <c r="BY178" s="98" t="str">
        <f t="shared" si="77"/>
        <v>-</v>
      </c>
      <c r="CD178" s="79"/>
      <c r="CE178" s="80"/>
      <c r="CF178" s="81"/>
      <c r="CL178" s="77">
        <v>1</v>
      </c>
    </row>
    <row r="179" spans="1:90" ht="17.45" customHeight="1">
      <c r="A179" s="58">
        <v>175</v>
      </c>
      <c r="B179" s="59" t="str">
        <f>'A Div'!A179 &amp; " " &amp; 'A Div'!B179</f>
        <v xml:space="preserve"> </v>
      </c>
      <c r="C179" s="59">
        <f>'A Div'!E179</f>
        <v>0</v>
      </c>
      <c r="D179" s="60"/>
      <c r="E179" s="60"/>
      <c r="F179" s="60"/>
      <c r="G179" s="60"/>
      <c r="H179" s="60"/>
      <c r="I179" s="60"/>
      <c r="J179" s="60"/>
      <c r="K179" s="60"/>
      <c r="L179" s="60"/>
      <c r="M179" s="74" t="str">
        <f t="shared" si="52"/>
        <v>-</v>
      </c>
      <c r="N179" s="60"/>
      <c r="O179" s="60"/>
      <c r="P179" s="60"/>
      <c r="Q179" s="60"/>
      <c r="R179" s="60"/>
      <c r="S179" s="60"/>
      <c r="T179" s="60"/>
      <c r="U179" s="60"/>
      <c r="V179" s="60"/>
      <c r="W179" s="74" t="str">
        <f t="shared" si="53"/>
        <v>-</v>
      </c>
      <c r="X179" s="148" t="str">
        <f t="shared" si="54"/>
        <v>-</v>
      </c>
      <c r="Y179" s="74" t="str">
        <f t="shared" si="55"/>
        <v>-</v>
      </c>
      <c r="AA179" s="60"/>
      <c r="AB179" s="60"/>
      <c r="AC179" s="60"/>
      <c r="AD179" s="60"/>
      <c r="AE179" s="60"/>
      <c r="AF179" s="60"/>
      <c r="AG179" s="60"/>
      <c r="AH179" s="60"/>
      <c r="AI179" s="60"/>
      <c r="AJ179" s="74" t="str">
        <f t="shared" si="56"/>
        <v>-</v>
      </c>
      <c r="AK179" s="60"/>
      <c r="AL179" s="60"/>
      <c r="AM179" s="60"/>
      <c r="AN179" s="60"/>
      <c r="AO179" s="60"/>
      <c r="AP179" s="60"/>
      <c r="AQ179" s="60"/>
      <c r="AR179" s="60"/>
      <c r="AS179" s="60"/>
      <c r="AT179" s="74" t="str">
        <f>IF(COUNTIF(AK179:AS179,"&lt;&gt;"&amp;"")=9,SUM(AK179:AS179),"-")</f>
        <v>-</v>
      </c>
      <c r="AU179" s="148" t="str">
        <f>IF(AND(ISNUMBER(AJ179),ISNUMBER(AT179)),AJ179+AT179,"-")</f>
        <v>-</v>
      </c>
      <c r="AV179" s="74" t="str">
        <f>IF(ISNUMBER(AU179),AU179-C179,"-")</f>
        <v>-</v>
      </c>
      <c r="AX179" s="59" t="str">
        <f t="shared" si="57"/>
        <v>-</v>
      </c>
      <c r="AY179" s="59" t="str">
        <f t="shared" si="58"/>
        <v>-</v>
      </c>
      <c r="AZ179" s="59" t="str">
        <f t="shared" si="59"/>
        <v>-</v>
      </c>
      <c r="BA179" s="59" t="str">
        <f t="shared" si="60"/>
        <v>-</v>
      </c>
      <c r="BB179" s="59" t="str">
        <f t="shared" si="61"/>
        <v>-</v>
      </c>
      <c r="BC179" s="59" t="str">
        <f t="shared" si="62"/>
        <v>-</v>
      </c>
      <c r="BD179" s="59" t="str">
        <f t="shared" si="63"/>
        <v>-</v>
      </c>
      <c r="BE179" s="59" t="str">
        <f t="shared" si="64"/>
        <v>-</v>
      </c>
      <c r="BF179" s="59" t="str">
        <f t="shared" si="65"/>
        <v>-</v>
      </c>
      <c r="BG179" s="59" t="str">
        <f t="shared" si="66"/>
        <v>-</v>
      </c>
      <c r="BH179" s="59" t="str">
        <f t="shared" si="67"/>
        <v>-</v>
      </c>
      <c r="BI179" s="59" t="str">
        <f t="shared" si="68"/>
        <v>-</v>
      </c>
      <c r="BJ179" s="59" t="str">
        <f t="shared" si="69"/>
        <v>-</v>
      </c>
      <c r="BK179" s="59" t="str">
        <f t="shared" si="70"/>
        <v>-</v>
      </c>
      <c r="BL179" s="59" t="str">
        <f>IF(AND(R179&gt;0,AO179&gt;0),MIN(R179,AO179),"-")</f>
        <v>-</v>
      </c>
      <c r="BM179" s="59" t="str">
        <f>IF(AND(S179&gt;0,AP179&gt;0),MIN(S179,AP179),"-")</f>
        <v>-</v>
      </c>
      <c r="BN179" s="59" t="str">
        <f>IF(AND(T179&gt;0,AQ179&gt;0),MIN(T179,AQ179),"-")</f>
        <v>-</v>
      </c>
      <c r="BO179" s="59" t="str">
        <f>IF(AND(U179&gt;0,AR179&gt;0),MIN(U179,AR179),"-")</f>
        <v>-</v>
      </c>
      <c r="BP179" s="59" t="str">
        <f>IF(AND(V179&gt;0,AS179&gt;0),MIN(V179,AS179),"-")</f>
        <v>-</v>
      </c>
      <c r="BQ179" s="59" t="str">
        <f t="shared" si="71"/>
        <v>-</v>
      </c>
      <c r="BR179" s="59" t="str">
        <f t="shared" si="72"/>
        <v>-</v>
      </c>
      <c r="BS179" s="59" t="str">
        <f t="shared" si="73"/>
        <v>-</v>
      </c>
      <c r="BT179" s="98" t="str">
        <f>IF(ISNUMBER(BS179),BS179-(C179*Rules!$P$9/100),"-")</f>
        <v>-</v>
      </c>
      <c r="BU179" s="59" t="e">
        <f>RANK($BT179,$BT$5:$BT$106,1)+COUNTIF(BT$5:BT179,BT179)-1</f>
        <v>#VALUE!</v>
      </c>
      <c r="BV179" s="59" t="e">
        <f t="shared" si="74"/>
        <v>#VALUE!</v>
      </c>
      <c r="BW179" s="59" t="str">
        <f t="shared" si="75"/>
        <v xml:space="preserve"> </v>
      </c>
      <c r="BX179" s="59">
        <f t="shared" si="76"/>
        <v>0</v>
      </c>
      <c r="BY179" s="98" t="str">
        <f t="shared" si="77"/>
        <v>-</v>
      </c>
      <c r="CD179" s="79"/>
      <c r="CE179" s="80"/>
      <c r="CF179" s="81"/>
      <c r="CL179" s="77">
        <v>1</v>
      </c>
    </row>
    <row r="180" spans="1:90" ht="17.45" customHeight="1">
      <c r="A180" s="58">
        <v>176</v>
      </c>
      <c r="B180" s="59" t="str">
        <f>'A Div'!A180 &amp; " " &amp; 'A Div'!B180</f>
        <v xml:space="preserve"> </v>
      </c>
      <c r="C180" s="59">
        <f>'A Div'!E180</f>
        <v>0</v>
      </c>
      <c r="D180" s="60"/>
      <c r="E180" s="60"/>
      <c r="F180" s="60"/>
      <c r="G180" s="60"/>
      <c r="H180" s="60"/>
      <c r="I180" s="60"/>
      <c r="J180" s="60"/>
      <c r="K180" s="60"/>
      <c r="L180" s="60"/>
      <c r="M180" s="74" t="str">
        <f t="shared" si="52"/>
        <v>-</v>
      </c>
      <c r="N180" s="60"/>
      <c r="O180" s="60"/>
      <c r="P180" s="60"/>
      <c r="Q180" s="60"/>
      <c r="R180" s="60"/>
      <c r="S180" s="60"/>
      <c r="T180" s="60"/>
      <c r="U180" s="60"/>
      <c r="V180" s="60"/>
      <c r="W180" s="74" t="str">
        <f t="shared" si="53"/>
        <v>-</v>
      </c>
      <c r="X180" s="148" t="str">
        <f t="shared" si="54"/>
        <v>-</v>
      </c>
      <c r="Y180" s="74" t="str">
        <f t="shared" si="55"/>
        <v>-</v>
      </c>
      <c r="AA180" s="60"/>
      <c r="AB180" s="60"/>
      <c r="AC180" s="60"/>
      <c r="AD180" s="60"/>
      <c r="AE180" s="60"/>
      <c r="AF180" s="60"/>
      <c r="AG180" s="60"/>
      <c r="AH180" s="60"/>
      <c r="AI180" s="60"/>
      <c r="AJ180" s="74" t="str">
        <f t="shared" si="56"/>
        <v>-</v>
      </c>
      <c r="AK180" s="60"/>
      <c r="AL180" s="60"/>
      <c r="AM180" s="60"/>
      <c r="AN180" s="60"/>
      <c r="AO180" s="60"/>
      <c r="AP180" s="60"/>
      <c r="AQ180" s="60"/>
      <c r="AR180" s="60"/>
      <c r="AS180" s="60"/>
      <c r="AT180" s="74" t="str">
        <f>IF(COUNTIF(AK180:AS180,"&lt;&gt;"&amp;"")=9,SUM(AK180:AS180),"-")</f>
        <v>-</v>
      </c>
      <c r="AU180" s="148" t="str">
        <f>IF(AND(ISNUMBER(AJ180),ISNUMBER(AT180)),AJ180+AT180,"-")</f>
        <v>-</v>
      </c>
      <c r="AV180" s="74" t="str">
        <f>IF(ISNUMBER(AU180),AU180-C180,"-")</f>
        <v>-</v>
      </c>
      <c r="AX180" s="59" t="str">
        <f t="shared" si="57"/>
        <v>-</v>
      </c>
      <c r="AY180" s="59" t="str">
        <f t="shared" si="58"/>
        <v>-</v>
      </c>
      <c r="AZ180" s="59" t="str">
        <f t="shared" si="59"/>
        <v>-</v>
      </c>
      <c r="BA180" s="59" t="str">
        <f t="shared" si="60"/>
        <v>-</v>
      </c>
      <c r="BB180" s="59" t="str">
        <f t="shared" si="61"/>
        <v>-</v>
      </c>
      <c r="BC180" s="59" t="str">
        <f t="shared" si="62"/>
        <v>-</v>
      </c>
      <c r="BD180" s="59" t="str">
        <f t="shared" si="63"/>
        <v>-</v>
      </c>
      <c r="BE180" s="59" t="str">
        <f t="shared" si="64"/>
        <v>-</v>
      </c>
      <c r="BF180" s="59" t="str">
        <f t="shared" si="65"/>
        <v>-</v>
      </c>
      <c r="BG180" s="59" t="str">
        <f t="shared" si="66"/>
        <v>-</v>
      </c>
      <c r="BH180" s="59" t="str">
        <f t="shared" si="67"/>
        <v>-</v>
      </c>
      <c r="BI180" s="59" t="str">
        <f t="shared" si="68"/>
        <v>-</v>
      </c>
      <c r="BJ180" s="59" t="str">
        <f t="shared" si="69"/>
        <v>-</v>
      </c>
      <c r="BK180" s="59" t="str">
        <f t="shared" si="70"/>
        <v>-</v>
      </c>
      <c r="BL180" s="59" t="str">
        <f>IF(AND(R180&gt;0,AO180&gt;0),MIN(R180,AO180),"-")</f>
        <v>-</v>
      </c>
      <c r="BM180" s="59" t="str">
        <f>IF(AND(S180&gt;0,AP180&gt;0),MIN(S180,AP180),"-")</f>
        <v>-</v>
      </c>
      <c r="BN180" s="59" t="str">
        <f>IF(AND(T180&gt;0,AQ180&gt;0),MIN(T180,AQ180),"-")</f>
        <v>-</v>
      </c>
      <c r="BO180" s="59" t="str">
        <f>IF(AND(U180&gt;0,AR180&gt;0),MIN(U180,AR180),"-")</f>
        <v>-</v>
      </c>
      <c r="BP180" s="59" t="str">
        <f>IF(AND(V180&gt;0,AS180&gt;0),MIN(V180,AS180),"-")</f>
        <v>-</v>
      </c>
      <c r="BQ180" s="59" t="str">
        <f t="shared" si="71"/>
        <v>-</v>
      </c>
      <c r="BR180" s="59" t="str">
        <f t="shared" si="72"/>
        <v>-</v>
      </c>
      <c r="BS180" s="59" t="str">
        <f t="shared" si="73"/>
        <v>-</v>
      </c>
      <c r="BT180" s="98" t="str">
        <f>IF(ISNUMBER(BS180),BS180-(C180*Rules!$P$9/100),"-")</f>
        <v>-</v>
      </c>
      <c r="BU180" s="59" t="e">
        <f>RANK($BT180,$BT$5:$BT$106,1)+COUNTIF(BT$5:BT180,BT180)-1</f>
        <v>#VALUE!</v>
      </c>
      <c r="BV180" s="59" t="e">
        <f t="shared" si="74"/>
        <v>#VALUE!</v>
      </c>
      <c r="BW180" s="59" t="str">
        <f t="shared" si="75"/>
        <v xml:space="preserve"> </v>
      </c>
      <c r="BX180" s="59">
        <f t="shared" si="76"/>
        <v>0</v>
      </c>
      <c r="BY180" s="98" t="str">
        <f t="shared" si="77"/>
        <v>-</v>
      </c>
      <c r="CD180" s="79"/>
      <c r="CE180" s="80"/>
      <c r="CF180" s="81"/>
      <c r="CL180" s="77">
        <v>1</v>
      </c>
    </row>
    <row r="181" spans="1:90" ht="17.45" customHeight="1">
      <c r="A181" s="58">
        <v>177</v>
      </c>
      <c r="B181" s="59" t="str">
        <f>'A Div'!A181 &amp; " " &amp; 'A Div'!B181</f>
        <v xml:space="preserve"> </v>
      </c>
      <c r="C181" s="59">
        <f>'A Div'!E181</f>
        <v>0</v>
      </c>
      <c r="D181" s="60"/>
      <c r="E181" s="60"/>
      <c r="F181" s="60"/>
      <c r="G181" s="60"/>
      <c r="H181" s="60"/>
      <c r="I181" s="60"/>
      <c r="J181" s="60"/>
      <c r="K181" s="60"/>
      <c r="L181" s="60"/>
      <c r="M181" s="74" t="str">
        <f t="shared" si="52"/>
        <v>-</v>
      </c>
      <c r="N181" s="60"/>
      <c r="O181" s="60"/>
      <c r="P181" s="60"/>
      <c r="Q181" s="60"/>
      <c r="R181" s="60"/>
      <c r="S181" s="60"/>
      <c r="T181" s="60"/>
      <c r="U181" s="60"/>
      <c r="V181" s="60"/>
      <c r="W181" s="74" t="str">
        <f t="shared" si="53"/>
        <v>-</v>
      </c>
      <c r="X181" s="148" t="str">
        <f t="shared" si="54"/>
        <v>-</v>
      </c>
      <c r="Y181" s="74" t="str">
        <f t="shared" si="55"/>
        <v>-</v>
      </c>
      <c r="AA181" s="60"/>
      <c r="AB181" s="60"/>
      <c r="AC181" s="60"/>
      <c r="AD181" s="60"/>
      <c r="AE181" s="60"/>
      <c r="AF181" s="60"/>
      <c r="AG181" s="60"/>
      <c r="AH181" s="60"/>
      <c r="AI181" s="60"/>
      <c r="AJ181" s="74" t="str">
        <f t="shared" si="56"/>
        <v>-</v>
      </c>
      <c r="AK181" s="60"/>
      <c r="AL181" s="60"/>
      <c r="AM181" s="60"/>
      <c r="AN181" s="60"/>
      <c r="AO181" s="60"/>
      <c r="AP181" s="60"/>
      <c r="AQ181" s="60"/>
      <c r="AR181" s="60"/>
      <c r="AS181" s="60"/>
      <c r="AT181" s="74" t="str">
        <f>IF(COUNTIF(AK181:AS181,"&lt;&gt;"&amp;"")=9,SUM(AK181:AS181),"-")</f>
        <v>-</v>
      </c>
      <c r="AU181" s="148" t="str">
        <f>IF(AND(ISNUMBER(AJ181),ISNUMBER(AT181)),AJ181+AT181,"-")</f>
        <v>-</v>
      </c>
      <c r="AV181" s="74" t="str">
        <f>IF(ISNUMBER(AU181),AU181-C181,"-")</f>
        <v>-</v>
      </c>
      <c r="AX181" s="59" t="str">
        <f t="shared" si="57"/>
        <v>-</v>
      </c>
      <c r="AY181" s="59" t="str">
        <f t="shared" si="58"/>
        <v>-</v>
      </c>
      <c r="AZ181" s="59" t="str">
        <f t="shared" si="59"/>
        <v>-</v>
      </c>
      <c r="BA181" s="59" t="str">
        <f t="shared" si="60"/>
        <v>-</v>
      </c>
      <c r="BB181" s="59" t="str">
        <f t="shared" si="61"/>
        <v>-</v>
      </c>
      <c r="BC181" s="59" t="str">
        <f t="shared" si="62"/>
        <v>-</v>
      </c>
      <c r="BD181" s="59" t="str">
        <f t="shared" si="63"/>
        <v>-</v>
      </c>
      <c r="BE181" s="59" t="str">
        <f t="shared" si="64"/>
        <v>-</v>
      </c>
      <c r="BF181" s="59" t="str">
        <f t="shared" si="65"/>
        <v>-</v>
      </c>
      <c r="BG181" s="59" t="str">
        <f t="shared" si="66"/>
        <v>-</v>
      </c>
      <c r="BH181" s="59" t="str">
        <f t="shared" si="67"/>
        <v>-</v>
      </c>
      <c r="BI181" s="59" t="str">
        <f t="shared" si="68"/>
        <v>-</v>
      </c>
      <c r="BJ181" s="59" t="str">
        <f t="shared" si="69"/>
        <v>-</v>
      </c>
      <c r="BK181" s="59" t="str">
        <f t="shared" si="70"/>
        <v>-</v>
      </c>
      <c r="BL181" s="59" t="str">
        <f>IF(AND(R181&gt;0,AO181&gt;0),MIN(R181,AO181),"-")</f>
        <v>-</v>
      </c>
      <c r="BM181" s="59" t="str">
        <f>IF(AND(S181&gt;0,AP181&gt;0),MIN(S181,AP181),"-")</f>
        <v>-</v>
      </c>
      <c r="BN181" s="59" t="str">
        <f>IF(AND(T181&gt;0,AQ181&gt;0),MIN(T181,AQ181),"-")</f>
        <v>-</v>
      </c>
      <c r="BO181" s="59" t="str">
        <f>IF(AND(U181&gt;0,AR181&gt;0),MIN(U181,AR181),"-")</f>
        <v>-</v>
      </c>
      <c r="BP181" s="59" t="str">
        <f>IF(AND(V181&gt;0,AS181&gt;0),MIN(V181,AS181),"-")</f>
        <v>-</v>
      </c>
      <c r="BQ181" s="59" t="str">
        <f t="shared" si="71"/>
        <v>-</v>
      </c>
      <c r="BR181" s="59" t="str">
        <f t="shared" si="72"/>
        <v>-</v>
      </c>
      <c r="BS181" s="59" t="str">
        <f t="shared" si="73"/>
        <v>-</v>
      </c>
      <c r="BT181" s="98" t="str">
        <f>IF(ISNUMBER(BS181),BS181-(C181*Rules!$P$9/100),"-")</f>
        <v>-</v>
      </c>
      <c r="BU181" s="59" t="e">
        <f>RANK($BT181,$BT$5:$BT$106,1)+COUNTIF(BT$5:BT181,BT181)-1</f>
        <v>#VALUE!</v>
      </c>
      <c r="BV181" s="59" t="e">
        <f t="shared" si="74"/>
        <v>#VALUE!</v>
      </c>
      <c r="BW181" s="59" t="str">
        <f t="shared" si="75"/>
        <v xml:space="preserve"> </v>
      </c>
      <c r="BX181" s="59">
        <f t="shared" si="76"/>
        <v>0</v>
      </c>
      <c r="BY181" s="98" t="str">
        <f t="shared" si="77"/>
        <v>-</v>
      </c>
      <c r="CD181" s="79"/>
      <c r="CE181" s="80"/>
      <c r="CF181" s="81"/>
      <c r="CL181" s="77">
        <v>1</v>
      </c>
    </row>
    <row r="182" spans="1:90" ht="17.45" customHeight="1">
      <c r="A182" s="58">
        <v>178</v>
      </c>
      <c r="B182" s="59" t="str">
        <f>'A Div'!A182 &amp; " " &amp; 'A Div'!B182</f>
        <v xml:space="preserve"> </v>
      </c>
      <c r="C182" s="59">
        <f>'A Div'!E182</f>
        <v>0</v>
      </c>
      <c r="D182" s="60"/>
      <c r="E182" s="60"/>
      <c r="F182" s="60"/>
      <c r="G182" s="60"/>
      <c r="H182" s="60"/>
      <c r="I182" s="60"/>
      <c r="J182" s="60"/>
      <c r="K182" s="60"/>
      <c r="L182" s="60"/>
      <c r="M182" s="74" t="str">
        <f t="shared" si="52"/>
        <v>-</v>
      </c>
      <c r="N182" s="60"/>
      <c r="O182" s="60"/>
      <c r="P182" s="60"/>
      <c r="Q182" s="60"/>
      <c r="R182" s="60"/>
      <c r="S182" s="60"/>
      <c r="T182" s="60"/>
      <c r="U182" s="60"/>
      <c r="V182" s="60"/>
      <c r="W182" s="74" t="str">
        <f t="shared" si="53"/>
        <v>-</v>
      </c>
      <c r="X182" s="148" t="str">
        <f t="shared" si="54"/>
        <v>-</v>
      </c>
      <c r="Y182" s="74" t="str">
        <f t="shared" si="55"/>
        <v>-</v>
      </c>
      <c r="AA182" s="60"/>
      <c r="AB182" s="60"/>
      <c r="AC182" s="60"/>
      <c r="AD182" s="60"/>
      <c r="AE182" s="60"/>
      <c r="AF182" s="60"/>
      <c r="AG182" s="60"/>
      <c r="AH182" s="60"/>
      <c r="AI182" s="60"/>
      <c r="AJ182" s="74" t="str">
        <f t="shared" si="56"/>
        <v>-</v>
      </c>
      <c r="AK182" s="60"/>
      <c r="AL182" s="60"/>
      <c r="AM182" s="60"/>
      <c r="AN182" s="60"/>
      <c r="AO182" s="60"/>
      <c r="AP182" s="60"/>
      <c r="AQ182" s="60"/>
      <c r="AR182" s="60"/>
      <c r="AS182" s="60"/>
      <c r="AT182" s="74" t="str">
        <f>IF(COUNTIF(AK182:AS182,"&lt;&gt;"&amp;"")=9,SUM(AK182:AS182),"-")</f>
        <v>-</v>
      </c>
      <c r="AU182" s="148" t="str">
        <f>IF(AND(ISNUMBER(AJ182),ISNUMBER(AT182)),AJ182+AT182,"-")</f>
        <v>-</v>
      </c>
      <c r="AV182" s="74" t="str">
        <f>IF(ISNUMBER(AU182),AU182-C182,"-")</f>
        <v>-</v>
      </c>
      <c r="AX182" s="59" t="str">
        <f t="shared" si="57"/>
        <v>-</v>
      </c>
      <c r="AY182" s="59" t="str">
        <f t="shared" si="58"/>
        <v>-</v>
      </c>
      <c r="AZ182" s="59" t="str">
        <f t="shared" si="59"/>
        <v>-</v>
      </c>
      <c r="BA182" s="59" t="str">
        <f t="shared" si="60"/>
        <v>-</v>
      </c>
      <c r="BB182" s="59" t="str">
        <f t="shared" si="61"/>
        <v>-</v>
      </c>
      <c r="BC182" s="59" t="str">
        <f t="shared" si="62"/>
        <v>-</v>
      </c>
      <c r="BD182" s="59" t="str">
        <f t="shared" si="63"/>
        <v>-</v>
      </c>
      <c r="BE182" s="59" t="str">
        <f t="shared" si="64"/>
        <v>-</v>
      </c>
      <c r="BF182" s="59" t="str">
        <f t="shared" si="65"/>
        <v>-</v>
      </c>
      <c r="BG182" s="59" t="str">
        <f t="shared" si="66"/>
        <v>-</v>
      </c>
      <c r="BH182" s="59" t="str">
        <f t="shared" si="67"/>
        <v>-</v>
      </c>
      <c r="BI182" s="59" t="str">
        <f t="shared" si="68"/>
        <v>-</v>
      </c>
      <c r="BJ182" s="59" t="str">
        <f t="shared" si="69"/>
        <v>-</v>
      </c>
      <c r="BK182" s="59" t="str">
        <f t="shared" si="70"/>
        <v>-</v>
      </c>
      <c r="BL182" s="59" t="str">
        <f>IF(AND(R182&gt;0,AO182&gt;0),MIN(R182,AO182),"-")</f>
        <v>-</v>
      </c>
      <c r="BM182" s="59" t="str">
        <f>IF(AND(S182&gt;0,AP182&gt;0),MIN(S182,AP182),"-")</f>
        <v>-</v>
      </c>
      <c r="BN182" s="59" t="str">
        <f>IF(AND(T182&gt;0,AQ182&gt;0),MIN(T182,AQ182),"-")</f>
        <v>-</v>
      </c>
      <c r="BO182" s="59" t="str">
        <f>IF(AND(U182&gt;0,AR182&gt;0),MIN(U182,AR182),"-")</f>
        <v>-</v>
      </c>
      <c r="BP182" s="59" t="str">
        <f>IF(AND(V182&gt;0,AS182&gt;0),MIN(V182,AS182),"-")</f>
        <v>-</v>
      </c>
      <c r="BQ182" s="59" t="str">
        <f t="shared" si="71"/>
        <v>-</v>
      </c>
      <c r="BR182" s="59" t="str">
        <f t="shared" si="72"/>
        <v>-</v>
      </c>
      <c r="BS182" s="59" t="str">
        <f t="shared" si="73"/>
        <v>-</v>
      </c>
      <c r="BT182" s="98" t="str">
        <f>IF(ISNUMBER(BS182),BS182-(C182*Rules!$P$9/100),"-")</f>
        <v>-</v>
      </c>
      <c r="BU182" s="59" t="e">
        <f>RANK($BT182,$BT$5:$BT$106,1)+COUNTIF(BT$5:BT182,BT182)-1</f>
        <v>#VALUE!</v>
      </c>
      <c r="BV182" s="59" t="e">
        <f t="shared" si="74"/>
        <v>#VALUE!</v>
      </c>
      <c r="BW182" s="59" t="str">
        <f t="shared" si="75"/>
        <v xml:space="preserve"> </v>
      </c>
      <c r="BX182" s="59">
        <f t="shared" si="76"/>
        <v>0</v>
      </c>
      <c r="BY182" s="98" t="str">
        <f t="shared" si="77"/>
        <v>-</v>
      </c>
      <c r="CD182" s="79"/>
      <c r="CE182" s="80"/>
      <c r="CF182" s="81"/>
      <c r="CL182" s="77">
        <v>1</v>
      </c>
    </row>
    <row r="183" spans="1:90" ht="17.45" customHeight="1">
      <c r="A183" s="58">
        <v>179</v>
      </c>
      <c r="B183" s="59" t="str">
        <f>'A Div'!A183 &amp; " " &amp; 'A Div'!B183</f>
        <v xml:space="preserve"> </v>
      </c>
      <c r="C183" s="59">
        <f>'A Div'!E183</f>
        <v>0</v>
      </c>
      <c r="D183" s="60"/>
      <c r="E183" s="60"/>
      <c r="F183" s="60"/>
      <c r="G183" s="60"/>
      <c r="H183" s="60"/>
      <c r="I183" s="60"/>
      <c r="J183" s="60"/>
      <c r="K183" s="60"/>
      <c r="L183" s="60"/>
      <c r="M183" s="74" t="str">
        <f t="shared" si="52"/>
        <v>-</v>
      </c>
      <c r="N183" s="60"/>
      <c r="O183" s="60"/>
      <c r="P183" s="60"/>
      <c r="Q183" s="60"/>
      <c r="R183" s="60"/>
      <c r="S183" s="60"/>
      <c r="T183" s="60"/>
      <c r="U183" s="60"/>
      <c r="V183" s="60"/>
      <c r="W183" s="74" t="str">
        <f t="shared" si="53"/>
        <v>-</v>
      </c>
      <c r="X183" s="148" t="str">
        <f t="shared" si="54"/>
        <v>-</v>
      </c>
      <c r="Y183" s="74" t="str">
        <f t="shared" si="55"/>
        <v>-</v>
      </c>
      <c r="AA183" s="60"/>
      <c r="AB183" s="60"/>
      <c r="AC183" s="60"/>
      <c r="AD183" s="60"/>
      <c r="AE183" s="60"/>
      <c r="AF183" s="60"/>
      <c r="AG183" s="60"/>
      <c r="AH183" s="60"/>
      <c r="AI183" s="60"/>
      <c r="AJ183" s="74" t="str">
        <f t="shared" si="56"/>
        <v>-</v>
      </c>
      <c r="AK183" s="60"/>
      <c r="AL183" s="60"/>
      <c r="AM183" s="60"/>
      <c r="AN183" s="60"/>
      <c r="AO183" s="60"/>
      <c r="AP183" s="60"/>
      <c r="AQ183" s="60"/>
      <c r="AR183" s="60"/>
      <c r="AS183" s="60"/>
      <c r="AT183" s="74" t="str">
        <f>IF(COUNTIF(AK183:AS183,"&lt;&gt;"&amp;"")=9,SUM(AK183:AS183),"-")</f>
        <v>-</v>
      </c>
      <c r="AU183" s="148" t="str">
        <f>IF(AND(ISNUMBER(AJ183),ISNUMBER(AT183)),AJ183+AT183,"-")</f>
        <v>-</v>
      </c>
      <c r="AV183" s="74" t="str">
        <f>IF(ISNUMBER(AU183),AU183-C183,"-")</f>
        <v>-</v>
      </c>
      <c r="AX183" s="59" t="str">
        <f t="shared" si="57"/>
        <v>-</v>
      </c>
      <c r="AY183" s="59" t="str">
        <f t="shared" si="58"/>
        <v>-</v>
      </c>
      <c r="AZ183" s="59" t="str">
        <f t="shared" si="59"/>
        <v>-</v>
      </c>
      <c r="BA183" s="59" t="str">
        <f t="shared" si="60"/>
        <v>-</v>
      </c>
      <c r="BB183" s="59" t="str">
        <f t="shared" si="61"/>
        <v>-</v>
      </c>
      <c r="BC183" s="59" t="str">
        <f t="shared" si="62"/>
        <v>-</v>
      </c>
      <c r="BD183" s="59" t="str">
        <f t="shared" si="63"/>
        <v>-</v>
      </c>
      <c r="BE183" s="59" t="str">
        <f t="shared" si="64"/>
        <v>-</v>
      </c>
      <c r="BF183" s="59" t="str">
        <f t="shared" si="65"/>
        <v>-</v>
      </c>
      <c r="BG183" s="59" t="str">
        <f t="shared" si="66"/>
        <v>-</v>
      </c>
      <c r="BH183" s="59" t="str">
        <f t="shared" si="67"/>
        <v>-</v>
      </c>
      <c r="BI183" s="59" t="str">
        <f t="shared" si="68"/>
        <v>-</v>
      </c>
      <c r="BJ183" s="59" t="str">
        <f t="shared" si="69"/>
        <v>-</v>
      </c>
      <c r="BK183" s="59" t="str">
        <f t="shared" si="70"/>
        <v>-</v>
      </c>
      <c r="BL183" s="59" t="str">
        <f>IF(AND(R183&gt;0,AO183&gt;0),MIN(R183,AO183),"-")</f>
        <v>-</v>
      </c>
      <c r="BM183" s="59" t="str">
        <f>IF(AND(S183&gt;0,AP183&gt;0),MIN(S183,AP183),"-")</f>
        <v>-</v>
      </c>
      <c r="BN183" s="59" t="str">
        <f>IF(AND(T183&gt;0,AQ183&gt;0),MIN(T183,AQ183),"-")</f>
        <v>-</v>
      </c>
      <c r="BO183" s="59" t="str">
        <f>IF(AND(U183&gt;0,AR183&gt;0),MIN(U183,AR183),"-")</f>
        <v>-</v>
      </c>
      <c r="BP183" s="59" t="str">
        <f>IF(AND(V183&gt;0,AS183&gt;0),MIN(V183,AS183),"-")</f>
        <v>-</v>
      </c>
      <c r="BQ183" s="59" t="str">
        <f t="shared" si="71"/>
        <v>-</v>
      </c>
      <c r="BR183" s="59" t="str">
        <f t="shared" si="72"/>
        <v>-</v>
      </c>
      <c r="BS183" s="59" t="str">
        <f t="shared" si="73"/>
        <v>-</v>
      </c>
      <c r="BT183" s="98" t="str">
        <f>IF(ISNUMBER(BS183),BS183-(C183*Rules!$P$9/100),"-")</f>
        <v>-</v>
      </c>
      <c r="BU183" s="59" t="e">
        <f>RANK($BT183,$BT$5:$BT$106,1)+COUNTIF(BT$5:BT183,BT183)-1</f>
        <v>#VALUE!</v>
      </c>
      <c r="BV183" s="59" t="e">
        <f t="shared" si="74"/>
        <v>#VALUE!</v>
      </c>
      <c r="BW183" s="59" t="str">
        <f t="shared" si="75"/>
        <v xml:space="preserve"> </v>
      </c>
      <c r="BX183" s="59">
        <f t="shared" si="76"/>
        <v>0</v>
      </c>
      <c r="BY183" s="98" t="str">
        <f t="shared" si="77"/>
        <v>-</v>
      </c>
      <c r="CD183" s="79"/>
      <c r="CE183" s="80"/>
      <c r="CF183" s="81"/>
      <c r="CL183" s="77">
        <v>1</v>
      </c>
    </row>
    <row r="184" spans="1:90" ht="17.45" customHeight="1">
      <c r="A184" s="58">
        <v>180</v>
      </c>
      <c r="B184" s="59" t="str">
        <f>'A Div'!A184 &amp; " " &amp; 'A Div'!B184</f>
        <v xml:space="preserve"> </v>
      </c>
      <c r="C184" s="59">
        <f>'A Div'!E184</f>
        <v>0</v>
      </c>
      <c r="D184" s="60"/>
      <c r="E184" s="60"/>
      <c r="F184" s="60"/>
      <c r="G184" s="60"/>
      <c r="H184" s="60"/>
      <c r="I184" s="60"/>
      <c r="J184" s="60"/>
      <c r="K184" s="60"/>
      <c r="L184" s="60"/>
      <c r="M184" s="74" t="str">
        <f t="shared" si="52"/>
        <v>-</v>
      </c>
      <c r="N184" s="60"/>
      <c r="O184" s="60"/>
      <c r="P184" s="60"/>
      <c r="Q184" s="60"/>
      <c r="R184" s="60"/>
      <c r="S184" s="60"/>
      <c r="T184" s="60"/>
      <c r="U184" s="60"/>
      <c r="V184" s="60"/>
      <c r="W184" s="74" t="str">
        <f t="shared" si="53"/>
        <v>-</v>
      </c>
      <c r="X184" s="148" t="str">
        <f t="shared" si="54"/>
        <v>-</v>
      </c>
      <c r="Y184" s="74" t="str">
        <f t="shared" si="55"/>
        <v>-</v>
      </c>
      <c r="AA184" s="60"/>
      <c r="AB184" s="60"/>
      <c r="AC184" s="60"/>
      <c r="AD184" s="60"/>
      <c r="AE184" s="60"/>
      <c r="AF184" s="60"/>
      <c r="AG184" s="60"/>
      <c r="AH184" s="60"/>
      <c r="AI184" s="60"/>
      <c r="AJ184" s="74" t="str">
        <f t="shared" si="56"/>
        <v>-</v>
      </c>
      <c r="AK184" s="60"/>
      <c r="AL184" s="60"/>
      <c r="AM184" s="60"/>
      <c r="AN184" s="60"/>
      <c r="AO184" s="60"/>
      <c r="AP184" s="60"/>
      <c r="AQ184" s="60"/>
      <c r="AR184" s="60"/>
      <c r="AS184" s="60"/>
      <c r="AT184" s="74" t="str">
        <f>IF(COUNTIF(AK184:AS184,"&lt;&gt;"&amp;"")=9,SUM(AK184:AS184),"-")</f>
        <v>-</v>
      </c>
      <c r="AU184" s="148" t="str">
        <f>IF(AND(ISNUMBER(AJ184),ISNUMBER(AT184)),AJ184+AT184,"-")</f>
        <v>-</v>
      </c>
      <c r="AV184" s="74" t="str">
        <f>IF(ISNUMBER(AU184),AU184-C184,"-")</f>
        <v>-</v>
      </c>
      <c r="AX184" s="59" t="str">
        <f t="shared" si="57"/>
        <v>-</v>
      </c>
      <c r="AY184" s="59" t="str">
        <f t="shared" si="58"/>
        <v>-</v>
      </c>
      <c r="AZ184" s="59" t="str">
        <f t="shared" si="59"/>
        <v>-</v>
      </c>
      <c r="BA184" s="59" t="str">
        <f t="shared" si="60"/>
        <v>-</v>
      </c>
      <c r="BB184" s="59" t="str">
        <f t="shared" si="61"/>
        <v>-</v>
      </c>
      <c r="BC184" s="59" t="str">
        <f t="shared" si="62"/>
        <v>-</v>
      </c>
      <c r="BD184" s="59" t="str">
        <f t="shared" si="63"/>
        <v>-</v>
      </c>
      <c r="BE184" s="59" t="str">
        <f t="shared" si="64"/>
        <v>-</v>
      </c>
      <c r="BF184" s="59" t="str">
        <f t="shared" si="65"/>
        <v>-</v>
      </c>
      <c r="BG184" s="59" t="str">
        <f t="shared" si="66"/>
        <v>-</v>
      </c>
      <c r="BH184" s="59" t="str">
        <f t="shared" si="67"/>
        <v>-</v>
      </c>
      <c r="BI184" s="59" t="str">
        <f t="shared" si="68"/>
        <v>-</v>
      </c>
      <c r="BJ184" s="59" t="str">
        <f t="shared" si="69"/>
        <v>-</v>
      </c>
      <c r="BK184" s="59" t="str">
        <f t="shared" si="70"/>
        <v>-</v>
      </c>
      <c r="BL184" s="59" t="str">
        <f>IF(AND(R184&gt;0,AO184&gt;0),MIN(R184,AO184),"-")</f>
        <v>-</v>
      </c>
      <c r="BM184" s="59" t="str">
        <f>IF(AND(S184&gt;0,AP184&gt;0),MIN(S184,AP184),"-")</f>
        <v>-</v>
      </c>
      <c r="BN184" s="59" t="str">
        <f>IF(AND(T184&gt;0,AQ184&gt;0),MIN(T184,AQ184),"-")</f>
        <v>-</v>
      </c>
      <c r="BO184" s="59" t="str">
        <f>IF(AND(U184&gt;0,AR184&gt;0),MIN(U184,AR184),"-")</f>
        <v>-</v>
      </c>
      <c r="BP184" s="59" t="str">
        <f>IF(AND(V184&gt;0,AS184&gt;0),MIN(V184,AS184),"-")</f>
        <v>-</v>
      </c>
      <c r="BQ184" s="59" t="str">
        <f t="shared" si="71"/>
        <v>-</v>
      </c>
      <c r="BR184" s="59" t="str">
        <f t="shared" si="72"/>
        <v>-</v>
      </c>
      <c r="BS184" s="59" t="str">
        <f t="shared" si="73"/>
        <v>-</v>
      </c>
      <c r="BT184" s="98" t="str">
        <f>IF(ISNUMBER(BS184),BS184-(C184*Rules!$P$9/100),"-")</f>
        <v>-</v>
      </c>
      <c r="BU184" s="59" t="e">
        <f>RANK($BT184,$BT$5:$BT$106,1)+COUNTIF(BT$5:BT184,BT184)-1</f>
        <v>#VALUE!</v>
      </c>
      <c r="BV184" s="59" t="e">
        <f t="shared" si="74"/>
        <v>#VALUE!</v>
      </c>
      <c r="BW184" s="59" t="str">
        <f t="shared" si="75"/>
        <v xml:space="preserve"> </v>
      </c>
      <c r="BX184" s="59">
        <f t="shared" si="76"/>
        <v>0</v>
      </c>
      <c r="BY184" s="98" t="str">
        <f t="shared" si="77"/>
        <v>-</v>
      </c>
      <c r="CD184" s="79"/>
      <c r="CE184" s="80"/>
      <c r="CF184" s="81"/>
      <c r="CL184" s="77">
        <v>1</v>
      </c>
    </row>
    <row r="185" spans="1:90" ht="17.45" customHeight="1">
      <c r="A185" s="58">
        <v>181</v>
      </c>
      <c r="B185" s="59" t="str">
        <f>'A Div'!A185 &amp; " " &amp; 'A Div'!B185</f>
        <v xml:space="preserve"> </v>
      </c>
      <c r="C185" s="59">
        <f>'A Div'!E185</f>
        <v>0</v>
      </c>
      <c r="D185" s="60"/>
      <c r="E185" s="60"/>
      <c r="F185" s="60"/>
      <c r="G185" s="60"/>
      <c r="H185" s="60"/>
      <c r="I185" s="60"/>
      <c r="J185" s="60"/>
      <c r="K185" s="60"/>
      <c r="L185" s="60"/>
      <c r="M185" s="74" t="str">
        <f t="shared" si="52"/>
        <v>-</v>
      </c>
      <c r="N185" s="60"/>
      <c r="O185" s="60"/>
      <c r="P185" s="60"/>
      <c r="Q185" s="60"/>
      <c r="R185" s="60"/>
      <c r="S185" s="60"/>
      <c r="T185" s="60"/>
      <c r="U185" s="60"/>
      <c r="V185" s="60"/>
      <c r="W185" s="74" t="str">
        <f t="shared" si="53"/>
        <v>-</v>
      </c>
      <c r="X185" s="148" t="str">
        <f t="shared" si="54"/>
        <v>-</v>
      </c>
      <c r="Y185" s="74" t="str">
        <f t="shared" si="55"/>
        <v>-</v>
      </c>
      <c r="AA185" s="60"/>
      <c r="AB185" s="60"/>
      <c r="AC185" s="60"/>
      <c r="AD185" s="60"/>
      <c r="AE185" s="60"/>
      <c r="AF185" s="60"/>
      <c r="AG185" s="60"/>
      <c r="AH185" s="60"/>
      <c r="AI185" s="60"/>
      <c r="AJ185" s="74" t="str">
        <f t="shared" si="56"/>
        <v>-</v>
      </c>
      <c r="AK185" s="60"/>
      <c r="AL185" s="60"/>
      <c r="AM185" s="60"/>
      <c r="AN185" s="60"/>
      <c r="AO185" s="60"/>
      <c r="AP185" s="60"/>
      <c r="AQ185" s="60"/>
      <c r="AR185" s="60"/>
      <c r="AS185" s="60"/>
      <c r="AT185" s="74" t="str">
        <f>IF(COUNTIF(AK185:AS185,"&lt;&gt;"&amp;"")=9,SUM(AK185:AS185),"-")</f>
        <v>-</v>
      </c>
      <c r="AU185" s="148" t="str">
        <f>IF(AND(ISNUMBER(AJ185),ISNUMBER(AT185)),AJ185+AT185,"-")</f>
        <v>-</v>
      </c>
      <c r="AV185" s="74" t="str">
        <f>IF(ISNUMBER(AU185),AU185-C185,"-")</f>
        <v>-</v>
      </c>
      <c r="AX185" s="59" t="str">
        <f t="shared" si="57"/>
        <v>-</v>
      </c>
      <c r="AY185" s="59" t="str">
        <f t="shared" si="58"/>
        <v>-</v>
      </c>
      <c r="AZ185" s="59" t="str">
        <f t="shared" si="59"/>
        <v>-</v>
      </c>
      <c r="BA185" s="59" t="str">
        <f t="shared" si="60"/>
        <v>-</v>
      </c>
      <c r="BB185" s="59" t="str">
        <f t="shared" si="61"/>
        <v>-</v>
      </c>
      <c r="BC185" s="59" t="str">
        <f t="shared" si="62"/>
        <v>-</v>
      </c>
      <c r="BD185" s="59" t="str">
        <f t="shared" si="63"/>
        <v>-</v>
      </c>
      <c r="BE185" s="59" t="str">
        <f t="shared" si="64"/>
        <v>-</v>
      </c>
      <c r="BF185" s="59" t="str">
        <f t="shared" si="65"/>
        <v>-</v>
      </c>
      <c r="BG185" s="59" t="str">
        <f t="shared" si="66"/>
        <v>-</v>
      </c>
      <c r="BH185" s="59" t="str">
        <f t="shared" si="67"/>
        <v>-</v>
      </c>
      <c r="BI185" s="59" t="str">
        <f t="shared" si="68"/>
        <v>-</v>
      </c>
      <c r="BJ185" s="59" t="str">
        <f t="shared" si="69"/>
        <v>-</v>
      </c>
      <c r="BK185" s="59" t="str">
        <f t="shared" si="70"/>
        <v>-</v>
      </c>
      <c r="BL185" s="59" t="str">
        <f>IF(AND(R185&gt;0,AO185&gt;0),MIN(R185,AO185),"-")</f>
        <v>-</v>
      </c>
      <c r="BM185" s="59" t="str">
        <f>IF(AND(S185&gt;0,AP185&gt;0),MIN(S185,AP185),"-")</f>
        <v>-</v>
      </c>
      <c r="BN185" s="59" t="str">
        <f>IF(AND(T185&gt;0,AQ185&gt;0),MIN(T185,AQ185),"-")</f>
        <v>-</v>
      </c>
      <c r="BO185" s="59" t="str">
        <f>IF(AND(U185&gt;0,AR185&gt;0),MIN(U185,AR185),"-")</f>
        <v>-</v>
      </c>
      <c r="BP185" s="59" t="str">
        <f>IF(AND(V185&gt;0,AS185&gt;0),MIN(V185,AS185),"-")</f>
        <v>-</v>
      </c>
      <c r="BQ185" s="59" t="str">
        <f t="shared" si="71"/>
        <v>-</v>
      </c>
      <c r="BR185" s="59" t="str">
        <f t="shared" si="72"/>
        <v>-</v>
      </c>
      <c r="BS185" s="59" t="str">
        <f t="shared" si="73"/>
        <v>-</v>
      </c>
      <c r="BT185" s="98" t="str">
        <f>IF(ISNUMBER(BS185),BS185-(C185*Rules!$P$9/100),"-")</f>
        <v>-</v>
      </c>
      <c r="BU185" s="59" t="e">
        <f>RANK($BT185,$BT$5:$BT$106,1)+COUNTIF(BT$5:BT185,BT185)-1</f>
        <v>#VALUE!</v>
      </c>
      <c r="BV185" s="59" t="e">
        <f t="shared" si="74"/>
        <v>#VALUE!</v>
      </c>
      <c r="BW185" s="59" t="str">
        <f t="shared" si="75"/>
        <v xml:space="preserve"> </v>
      </c>
      <c r="BX185" s="59">
        <f t="shared" si="76"/>
        <v>0</v>
      </c>
      <c r="BY185" s="98" t="str">
        <f t="shared" si="77"/>
        <v>-</v>
      </c>
      <c r="CD185" s="79"/>
      <c r="CE185" s="80"/>
      <c r="CF185" s="81"/>
      <c r="CL185" s="77">
        <v>1</v>
      </c>
    </row>
    <row r="186" spans="1:90" ht="17.45" customHeight="1">
      <c r="A186" s="58">
        <v>182</v>
      </c>
      <c r="B186" s="59" t="str">
        <f>'A Div'!A186 &amp; " " &amp; 'A Div'!B186</f>
        <v xml:space="preserve"> </v>
      </c>
      <c r="C186" s="59">
        <f>'A Div'!E186</f>
        <v>0</v>
      </c>
      <c r="D186" s="60"/>
      <c r="E186" s="60"/>
      <c r="F186" s="60"/>
      <c r="G186" s="60"/>
      <c r="H186" s="60"/>
      <c r="I186" s="60"/>
      <c r="J186" s="60"/>
      <c r="K186" s="60"/>
      <c r="L186" s="60"/>
      <c r="M186" s="74" t="str">
        <f t="shared" si="52"/>
        <v>-</v>
      </c>
      <c r="N186" s="60"/>
      <c r="O186" s="60"/>
      <c r="P186" s="60"/>
      <c r="Q186" s="60"/>
      <c r="R186" s="60"/>
      <c r="S186" s="60"/>
      <c r="T186" s="60"/>
      <c r="U186" s="60"/>
      <c r="V186" s="60"/>
      <c r="W186" s="74" t="str">
        <f t="shared" si="53"/>
        <v>-</v>
      </c>
      <c r="X186" s="148" t="str">
        <f t="shared" si="54"/>
        <v>-</v>
      </c>
      <c r="Y186" s="74" t="str">
        <f t="shared" si="55"/>
        <v>-</v>
      </c>
      <c r="AA186" s="60"/>
      <c r="AB186" s="60"/>
      <c r="AC186" s="60"/>
      <c r="AD186" s="60"/>
      <c r="AE186" s="60"/>
      <c r="AF186" s="60"/>
      <c r="AG186" s="60"/>
      <c r="AH186" s="60"/>
      <c r="AI186" s="60"/>
      <c r="AJ186" s="74" t="str">
        <f t="shared" si="56"/>
        <v>-</v>
      </c>
      <c r="AK186" s="60"/>
      <c r="AL186" s="60"/>
      <c r="AM186" s="60"/>
      <c r="AN186" s="60"/>
      <c r="AO186" s="60"/>
      <c r="AP186" s="60"/>
      <c r="AQ186" s="60"/>
      <c r="AR186" s="60"/>
      <c r="AS186" s="60"/>
      <c r="AT186" s="74" t="str">
        <f>IF(COUNTIF(AK186:AS186,"&lt;&gt;"&amp;"")=9,SUM(AK186:AS186),"-")</f>
        <v>-</v>
      </c>
      <c r="AU186" s="148" t="str">
        <f>IF(AND(ISNUMBER(AJ186),ISNUMBER(AT186)),AJ186+AT186,"-")</f>
        <v>-</v>
      </c>
      <c r="AV186" s="74" t="str">
        <f>IF(ISNUMBER(AU186),AU186-C186,"-")</f>
        <v>-</v>
      </c>
      <c r="AX186" s="59" t="str">
        <f t="shared" si="57"/>
        <v>-</v>
      </c>
      <c r="AY186" s="59" t="str">
        <f t="shared" si="58"/>
        <v>-</v>
      </c>
      <c r="AZ186" s="59" t="str">
        <f t="shared" si="59"/>
        <v>-</v>
      </c>
      <c r="BA186" s="59" t="str">
        <f t="shared" si="60"/>
        <v>-</v>
      </c>
      <c r="BB186" s="59" t="str">
        <f t="shared" si="61"/>
        <v>-</v>
      </c>
      <c r="BC186" s="59" t="str">
        <f t="shared" si="62"/>
        <v>-</v>
      </c>
      <c r="BD186" s="59" t="str">
        <f t="shared" si="63"/>
        <v>-</v>
      </c>
      <c r="BE186" s="59" t="str">
        <f t="shared" si="64"/>
        <v>-</v>
      </c>
      <c r="BF186" s="59" t="str">
        <f t="shared" si="65"/>
        <v>-</v>
      </c>
      <c r="BG186" s="59" t="str">
        <f t="shared" si="66"/>
        <v>-</v>
      </c>
      <c r="BH186" s="59" t="str">
        <f t="shared" si="67"/>
        <v>-</v>
      </c>
      <c r="BI186" s="59" t="str">
        <f t="shared" si="68"/>
        <v>-</v>
      </c>
      <c r="BJ186" s="59" t="str">
        <f t="shared" si="69"/>
        <v>-</v>
      </c>
      <c r="BK186" s="59" t="str">
        <f t="shared" si="70"/>
        <v>-</v>
      </c>
      <c r="BL186" s="59" t="str">
        <f>IF(AND(R186&gt;0,AO186&gt;0),MIN(R186,AO186),"-")</f>
        <v>-</v>
      </c>
      <c r="BM186" s="59" t="str">
        <f>IF(AND(S186&gt;0,AP186&gt;0),MIN(S186,AP186),"-")</f>
        <v>-</v>
      </c>
      <c r="BN186" s="59" t="str">
        <f>IF(AND(T186&gt;0,AQ186&gt;0),MIN(T186,AQ186),"-")</f>
        <v>-</v>
      </c>
      <c r="BO186" s="59" t="str">
        <f>IF(AND(U186&gt;0,AR186&gt;0),MIN(U186,AR186),"-")</f>
        <v>-</v>
      </c>
      <c r="BP186" s="59" t="str">
        <f>IF(AND(V186&gt;0,AS186&gt;0),MIN(V186,AS186),"-")</f>
        <v>-</v>
      </c>
      <c r="BQ186" s="59" t="str">
        <f t="shared" si="71"/>
        <v>-</v>
      </c>
      <c r="BR186" s="59" t="str">
        <f t="shared" si="72"/>
        <v>-</v>
      </c>
      <c r="BS186" s="59" t="str">
        <f t="shared" si="73"/>
        <v>-</v>
      </c>
      <c r="BT186" s="98" t="str">
        <f>IF(ISNUMBER(BS186),BS186-(C186*Rules!$P$9/100),"-")</f>
        <v>-</v>
      </c>
      <c r="BU186" s="59" t="e">
        <f>RANK($BT186,$BT$5:$BT$106,1)+COUNTIF(BT$5:BT186,BT186)-1</f>
        <v>#VALUE!</v>
      </c>
      <c r="BV186" s="59" t="e">
        <f t="shared" si="74"/>
        <v>#VALUE!</v>
      </c>
      <c r="BW186" s="59" t="str">
        <f t="shared" si="75"/>
        <v xml:space="preserve"> </v>
      </c>
      <c r="BX186" s="59">
        <f t="shared" si="76"/>
        <v>0</v>
      </c>
      <c r="BY186" s="98" t="str">
        <f t="shared" si="77"/>
        <v>-</v>
      </c>
      <c r="CD186" s="79"/>
      <c r="CE186" s="80"/>
      <c r="CF186" s="81"/>
      <c r="CL186" s="77">
        <v>1</v>
      </c>
    </row>
    <row r="187" spans="1:90" ht="17.45" customHeight="1">
      <c r="A187" s="58">
        <v>183</v>
      </c>
      <c r="B187" s="59" t="str">
        <f>'A Div'!A187 &amp; " " &amp; 'A Div'!B187</f>
        <v xml:space="preserve"> </v>
      </c>
      <c r="C187" s="59">
        <f>'A Div'!E187</f>
        <v>0</v>
      </c>
      <c r="D187" s="60"/>
      <c r="E187" s="60"/>
      <c r="F187" s="60"/>
      <c r="G187" s="60"/>
      <c r="H187" s="60"/>
      <c r="I187" s="60"/>
      <c r="J187" s="60"/>
      <c r="K187" s="60"/>
      <c r="L187" s="60"/>
      <c r="M187" s="74" t="str">
        <f t="shared" si="52"/>
        <v>-</v>
      </c>
      <c r="N187" s="60"/>
      <c r="O187" s="60"/>
      <c r="P187" s="60"/>
      <c r="Q187" s="60"/>
      <c r="R187" s="60"/>
      <c r="S187" s="60"/>
      <c r="T187" s="60"/>
      <c r="U187" s="60"/>
      <c r="V187" s="60"/>
      <c r="W187" s="74" t="str">
        <f t="shared" si="53"/>
        <v>-</v>
      </c>
      <c r="X187" s="148" t="str">
        <f t="shared" si="54"/>
        <v>-</v>
      </c>
      <c r="Y187" s="74" t="str">
        <f t="shared" si="55"/>
        <v>-</v>
      </c>
      <c r="AA187" s="60"/>
      <c r="AB187" s="60"/>
      <c r="AC187" s="60"/>
      <c r="AD187" s="60"/>
      <c r="AE187" s="60"/>
      <c r="AF187" s="60"/>
      <c r="AG187" s="60"/>
      <c r="AH187" s="60"/>
      <c r="AI187" s="60"/>
      <c r="AJ187" s="74" t="str">
        <f t="shared" si="56"/>
        <v>-</v>
      </c>
      <c r="AK187" s="60"/>
      <c r="AL187" s="60"/>
      <c r="AM187" s="60"/>
      <c r="AN187" s="60"/>
      <c r="AO187" s="60"/>
      <c r="AP187" s="60"/>
      <c r="AQ187" s="60"/>
      <c r="AR187" s="60"/>
      <c r="AS187" s="60"/>
      <c r="AT187" s="74" t="str">
        <f>IF(COUNTIF(AK187:AS187,"&lt;&gt;"&amp;"")=9,SUM(AK187:AS187),"-")</f>
        <v>-</v>
      </c>
      <c r="AU187" s="148" t="str">
        <f>IF(AND(ISNUMBER(AJ187),ISNUMBER(AT187)),AJ187+AT187,"-")</f>
        <v>-</v>
      </c>
      <c r="AV187" s="74" t="str">
        <f>IF(ISNUMBER(AU187),AU187-C187,"-")</f>
        <v>-</v>
      </c>
      <c r="AX187" s="59" t="str">
        <f t="shared" si="57"/>
        <v>-</v>
      </c>
      <c r="AY187" s="59" t="str">
        <f t="shared" si="58"/>
        <v>-</v>
      </c>
      <c r="AZ187" s="59" t="str">
        <f t="shared" si="59"/>
        <v>-</v>
      </c>
      <c r="BA187" s="59" t="str">
        <f t="shared" si="60"/>
        <v>-</v>
      </c>
      <c r="BB187" s="59" t="str">
        <f t="shared" si="61"/>
        <v>-</v>
      </c>
      <c r="BC187" s="59" t="str">
        <f t="shared" si="62"/>
        <v>-</v>
      </c>
      <c r="BD187" s="59" t="str">
        <f t="shared" si="63"/>
        <v>-</v>
      </c>
      <c r="BE187" s="59" t="str">
        <f t="shared" si="64"/>
        <v>-</v>
      </c>
      <c r="BF187" s="59" t="str">
        <f t="shared" si="65"/>
        <v>-</v>
      </c>
      <c r="BG187" s="59" t="str">
        <f t="shared" si="66"/>
        <v>-</v>
      </c>
      <c r="BH187" s="59" t="str">
        <f t="shared" si="67"/>
        <v>-</v>
      </c>
      <c r="BI187" s="59" t="str">
        <f t="shared" si="68"/>
        <v>-</v>
      </c>
      <c r="BJ187" s="59" t="str">
        <f t="shared" si="69"/>
        <v>-</v>
      </c>
      <c r="BK187" s="59" t="str">
        <f t="shared" si="70"/>
        <v>-</v>
      </c>
      <c r="BL187" s="59" t="str">
        <f>IF(AND(R187&gt;0,AO187&gt;0),MIN(R187,AO187),"-")</f>
        <v>-</v>
      </c>
      <c r="BM187" s="59" t="str">
        <f>IF(AND(S187&gt;0,AP187&gt;0),MIN(S187,AP187),"-")</f>
        <v>-</v>
      </c>
      <c r="BN187" s="59" t="str">
        <f>IF(AND(T187&gt;0,AQ187&gt;0),MIN(T187,AQ187),"-")</f>
        <v>-</v>
      </c>
      <c r="BO187" s="59" t="str">
        <f>IF(AND(U187&gt;0,AR187&gt;0),MIN(U187,AR187),"-")</f>
        <v>-</v>
      </c>
      <c r="BP187" s="59" t="str">
        <f>IF(AND(V187&gt;0,AS187&gt;0),MIN(V187,AS187),"-")</f>
        <v>-</v>
      </c>
      <c r="BQ187" s="59" t="str">
        <f t="shared" si="71"/>
        <v>-</v>
      </c>
      <c r="BR187" s="59" t="str">
        <f t="shared" si="72"/>
        <v>-</v>
      </c>
      <c r="BS187" s="59" t="str">
        <f t="shared" si="73"/>
        <v>-</v>
      </c>
      <c r="BT187" s="98" t="str">
        <f>IF(ISNUMBER(BS187),BS187-(C187*Rules!$P$9/100),"-")</f>
        <v>-</v>
      </c>
      <c r="BU187" s="59" t="e">
        <f>RANK($BT187,$BT$5:$BT$106,1)+COUNTIF(BT$5:BT187,BT187)-1</f>
        <v>#VALUE!</v>
      </c>
      <c r="BV187" s="59" t="e">
        <f t="shared" si="74"/>
        <v>#VALUE!</v>
      </c>
      <c r="BW187" s="59" t="str">
        <f t="shared" si="75"/>
        <v xml:space="preserve"> </v>
      </c>
      <c r="BX187" s="59">
        <f t="shared" si="76"/>
        <v>0</v>
      </c>
      <c r="BY187" s="98" t="str">
        <f t="shared" si="77"/>
        <v>-</v>
      </c>
      <c r="CD187" s="79"/>
      <c r="CE187" s="80"/>
      <c r="CF187" s="81"/>
      <c r="CL187" s="77">
        <v>1</v>
      </c>
    </row>
    <row r="188" spans="1:90" ht="17.45" customHeight="1">
      <c r="A188" s="58">
        <v>184</v>
      </c>
      <c r="B188" s="59" t="str">
        <f>'A Div'!A188 &amp; " " &amp; 'A Div'!B188</f>
        <v xml:space="preserve"> </v>
      </c>
      <c r="C188" s="59">
        <f>'A Div'!E188</f>
        <v>0</v>
      </c>
      <c r="D188" s="60"/>
      <c r="E188" s="60"/>
      <c r="F188" s="60"/>
      <c r="G188" s="60"/>
      <c r="H188" s="60"/>
      <c r="I188" s="60"/>
      <c r="J188" s="60"/>
      <c r="K188" s="60"/>
      <c r="L188" s="60"/>
      <c r="M188" s="74" t="str">
        <f t="shared" si="52"/>
        <v>-</v>
      </c>
      <c r="N188" s="60"/>
      <c r="O188" s="60"/>
      <c r="P188" s="60"/>
      <c r="Q188" s="60"/>
      <c r="R188" s="60"/>
      <c r="S188" s="60"/>
      <c r="T188" s="60"/>
      <c r="U188" s="60"/>
      <c r="V188" s="60"/>
      <c r="W188" s="74" t="str">
        <f t="shared" si="53"/>
        <v>-</v>
      </c>
      <c r="X188" s="148" t="str">
        <f t="shared" si="54"/>
        <v>-</v>
      </c>
      <c r="Y188" s="74" t="str">
        <f t="shared" si="55"/>
        <v>-</v>
      </c>
      <c r="AA188" s="60"/>
      <c r="AB188" s="60"/>
      <c r="AC188" s="60"/>
      <c r="AD188" s="60"/>
      <c r="AE188" s="60"/>
      <c r="AF188" s="60"/>
      <c r="AG188" s="60"/>
      <c r="AH188" s="60"/>
      <c r="AI188" s="60"/>
      <c r="AJ188" s="74" t="str">
        <f t="shared" si="56"/>
        <v>-</v>
      </c>
      <c r="AK188" s="60"/>
      <c r="AL188" s="60"/>
      <c r="AM188" s="60"/>
      <c r="AN188" s="60"/>
      <c r="AO188" s="60"/>
      <c r="AP188" s="60"/>
      <c r="AQ188" s="60"/>
      <c r="AR188" s="60"/>
      <c r="AS188" s="60"/>
      <c r="AT188" s="74" t="str">
        <f>IF(COUNTIF(AK188:AS188,"&lt;&gt;"&amp;"")=9,SUM(AK188:AS188),"-")</f>
        <v>-</v>
      </c>
      <c r="AU188" s="148" t="str">
        <f>IF(AND(ISNUMBER(AJ188),ISNUMBER(AT188)),AJ188+AT188,"-")</f>
        <v>-</v>
      </c>
      <c r="AV188" s="74" t="str">
        <f>IF(ISNUMBER(AU188),AU188-C188,"-")</f>
        <v>-</v>
      </c>
      <c r="AX188" s="59" t="str">
        <f t="shared" si="57"/>
        <v>-</v>
      </c>
      <c r="AY188" s="59" t="str">
        <f t="shared" si="58"/>
        <v>-</v>
      </c>
      <c r="AZ188" s="59" t="str">
        <f t="shared" si="59"/>
        <v>-</v>
      </c>
      <c r="BA188" s="59" t="str">
        <f t="shared" si="60"/>
        <v>-</v>
      </c>
      <c r="BB188" s="59" t="str">
        <f t="shared" si="61"/>
        <v>-</v>
      </c>
      <c r="BC188" s="59" t="str">
        <f t="shared" si="62"/>
        <v>-</v>
      </c>
      <c r="BD188" s="59" t="str">
        <f t="shared" si="63"/>
        <v>-</v>
      </c>
      <c r="BE188" s="59" t="str">
        <f t="shared" si="64"/>
        <v>-</v>
      </c>
      <c r="BF188" s="59" t="str">
        <f t="shared" si="65"/>
        <v>-</v>
      </c>
      <c r="BG188" s="59" t="str">
        <f t="shared" si="66"/>
        <v>-</v>
      </c>
      <c r="BH188" s="59" t="str">
        <f t="shared" si="67"/>
        <v>-</v>
      </c>
      <c r="BI188" s="59" t="str">
        <f t="shared" si="68"/>
        <v>-</v>
      </c>
      <c r="BJ188" s="59" t="str">
        <f t="shared" si="69"/>
        <v>-</v>
      </c>
      <c r="BK188" s="59" t="str">
        <f t="shared" si="70"/>
        <v>-</v>
      </c>
      <c r="BL188" s="59" t="str">
        <f>IF(AND(R188&gt;0,AO188&gt;0),MIN(R188,AO188),"-")</f>
        <v>-</v>
      </c>
      <c r="BM188" s="59" t="str">
        <f>IF(AND(S188&gt;0,AP188&gt;0),MIN(S188,AP188),"-")</f>
        <v>-</v>
      </c>
      <c r="BN188" s="59" t="str">
        <f>IF(AND(T188&gt;0,AQ188&gt;0),MIN(T188,AQ188),"-")</f>
        <v>-</v>
      </c>
      <c r="BO188" s="59" t="str">
        <f>IF(AND(U188&gt;0,AR188&gt;0),MIN(U188,AR188),"-")</f>
        <v>-</v>
      </c>
      <c r="BP188" s="59" t="str">
        <f>IF(AND(V188&gt;0,AS188&gt;0),MIN(V188,AS188),"-")</f>
        <v>-</v>
      </c>
      <c r="BQ188" s="59" t="str">
        <f t="shared" si="71"/>
        <v>-</v>
      </c>
      <c r="BR188" s="59" t="str">
        <f t="shared" si="72"/>
        <v>-</v>
      </c>
      <c r="BS188" s="59" t="str">
        <f t="shared" si="73"/>
        <v>-</v>
      </c>
      <c r="BT188" s="98" t="str">
        <f>IF(ISNUMBER(BS188),BS188-(C188*Rules!$P$9/100),"-")</f>
        <v>-</v>
      </c>
      <c r="BU188" s="59" t="e">
        <f>RANK($BT188,$BT$5:$BT$106,1)+COUNTIF(BT$5:BT188,BT188)-1</f>
        <v>#VALUE!</v>
      </c>
      <c r="BV188" s="59" t="e">
        <f t="shared" si="74"/>
        <v>#VALUE!</v>
      </c>
      <c r="BW188" s="59" t="str">
        <f t="shared" si="75"/>
        <v xml:space="preserve"> </v>
      </c>
      <c r="BX188" s="59">
        <f t="shared" si="76"/>
        <v>0</v>
      </c>
      <c r="BY188" s="98" t="str">
        <f t="shared" si="77"/>
        <v>-</v>
      </c>
      <c r="CD188" s="79"/>
      <c r="CE188" s="80"/>
      <c r="CF188" s="81"/>
      <c r="CL188" s="77">
        <v>1</v>
      </c>
    </row>
    <row r="189" spans="1:90" ht="17.45" customHeight="1">
      <c r="A189" s="58">
        <v>185</v>
      </c>
      <c r="B189" s="59" t="str">
        <f>'A Div'!A189 &amp; " " &amp; 'A Div'!B189</f>
        <v xml:space="preserve"> </v>
      </c>
      <c r="C189" s="59">
        <f>'A Div'!E189</f>
        <v>0</v>
      </c>
      <c r="D189" s="60"/>
      <c r="E189" s="60"/>
      <c r="F189" s="60"/>
      <c r="G189" s="60"/>
      <c r="H189" s="60"/>
      <c r="I189" s="60"/>
      <c r="J189" s="60"/>
      <c r="K189" s="60"/>
      <c r="L189" s="60"/>
      <c r="M189" s="74" t="str">
        <f t="shared" si="52"/>
        <v>-</v>
      </c>
      <c r="N189" s="60"/>
      <c r="O189" s="60"/>
      <c r="P189" s="60"/>
      <c r="Q189" s="60"/>
      <c r="R189" s="60"/>
      <c r="S189" s="60"/>
      <c r="T189" s="60"/>
      <c r="U189" s="60"/>
      <c r="V189" s="60"/>
      <c r="W189" s="74" t="str">
        <f t="shared" si="53"/>
        <v>-</v>
      </c>
      <c r="X189" s="148" t="str">
        <f t="shared" si="54"/>
        <v>-</v>
      </c>
      <c r="Y189" s="74" t="str">
        <f t="shared" si="55"/>
        <v>-</v>
      </c>
      <c r="AA189" s="60"/>
      <c r="AB189" s="60"/>
      <c r="AC189" s="60"/>
      <c r="AD189" s="60"/>
      <c r="AE189" s="60"/>
      <c r="AF189" s="60"/>
      <c r="AG189" s="60"/>
      <c r="AH189" s="60"/>
      <c r="AI189" s="60"/>
      <c r="AJ189" s="74" t="str">
        <f t="shared" si="56"/>
        <v>-</v>
      </c>
      <c r="AK189" s="60"/>
      <c r="AL189" s="60"/>
      <c r="AM189" s="60"/>
      <c r="AN189" s="60"/>
      <c r="AO189" s="60"/>
      <c r="AP189" s="60"/>
      <c r="AQ189" s="60"/>
      <c r="AR189" s="60"/>
      <c r="AS189" s="60"/>
      <c r="AT189" s="74" t="str">
        <f>IF(COUNTIF(AK189:AS189,"&lt;&gt;"&amp;"")=9,SUM(AK189:AS189),"-")</f>
        <v>-</v>
      </c>
      <c r="AU189" s="148" t="str">
        <f>IF(AND(ISNUMBER(AJ189),ISNUMBER(AT189)),AJ189+AT189,"-")</f>
        <v>-</v>
      </c>
      <c r="AV189" s="74" t="str">
        <f>IF(ISNUMBER(AU189),AU189-C189,"-")</f>
        <v>-</v>
      </c>
      <c r="AX189" s="59" t="str">
        <f t="shared" si="57"/>
        <v>-</v>
      </c>
      <c r="AY189" s="59" t="str">
        <f t="shared" si="58"/>
        <v>-</v>
      </c>
      <c r="AZ189" s="59" t="str">
        <f t="shared" si="59"/>
        <v>-</v>
      </c>
      <c r="BA189" s="59" t="str">
        <f t="shared" si="60"/>
        <v>-</v>
      </c>
      <c r="BB189" s="59" t="str">
        <f t="shared" si="61"/>
        <v>-</v>
      </c>
      <c r="BC189" s="59" t="str">
        <f t="shared" si="62"/>
        <v>-</v>
      </c>
      <c r="BD189" s="59" t="str">
        <f t="shared" si="63"/>
        <v>-</v>
      </c>
      <c r="BE189" s="59" t="str">
        <f t="shared" si="64"/>
        <v>-</v>
      </c>
      <c r="BF189" s="59" t="str">
        <f t="shared" si="65"/>
        <v>-</v>
      </c>
      <c r="BG189" s="59" t="str">
        <f t="shared" si="66"/>
        <v>-</v>
      </c>
      <c r="BH189" s="59" t="str">
        <f t="shared" si="67"/>
        <v>-</v>
      </c>
      <c r="BI189" s="59" t="str">
        <f t="shared" si="68"/>
        <v>-</v>
      </c>
      <c r="BJ189" s="59" t="str">
        <f t="shared" si="69"/>
        <v>-</v>
      </c>
      <c r="BK189" s="59" t="str">
        <f t="shared" si="70"/>
        <v>-</v>
      </c>
      <c r="BL189" s="59" t="str">
        <f>IF(AND(R189&gt;0,AO189&gt;0),MIN(R189,AO189),"-")</f>
        <v>-</v>
      </c>
      <c r="BM189" s="59" t="str">
        <f>IF(AND(S189&gt;0,AP189&gt;0),MIN(S189,AP189),"-")</f>
        <v>-</v>
      </c>
      <c r="BN189" s="59" t="str">
        <f>IF(AND(T189&gt;0,AQ189&gt;0),MIN(T189,AQ189),"-")</f>
        <v>-</v>
      </c>
      <c r="BO189" s="59" t="str">
        <f>IF(AND(U189&gt;0,AR189&gt;0),MIN(U189,AR189),"-")</f>
        <v>-</v>
      </c>
      <c r="BP189" s="59" t="str">
        <f>IF(AND(V189&gt;0,AS189&gt;0),MIN(V189,AS189),"-")</f>
        <v>-</v>
      </c>
      <c r="BQ189" s="59" t="str">
        <f t="shared" si="71"/>
        <v>-</v>
      </c>
      <c r="BR189" s="59" t="str">
        <f t="shared" si="72"/>
        <v>-</v>
      </c>
      <c r="BS189" s="59" t="str">
        <f t="shared" si="73"/>
        <v>-</v>
      </c>
      <c r="BT189" s="98" t="str">
        <f>IF(ISNUMBER(BS189),BS189-(C189*Rules!$P$9/100),"-")</f>
        <v>-</v>
      </c>
      <c r="BU189" s="59" t="e">
        <f>RANK($BT189,$BT$5:$BT$106,1)+COUNTIF(BT$5:BT189,BT189)-1</f>
        <v>#VALUE!</v>
      </c>
      <c r="BV189" s="59" t="e">
        <f t="shared" si="74"/>
        <v>#VALUE!</v>
      </c>
      <c r="BW189" s="59" t="str">
        <f t="shared" si="75"/>
        <v xml:space="preserve"> </v>
      </c>
      <c r="BX189" s="59">
        <f t="shared" si="76"/>
        <v>0</v>
      </c>
      <c r="BY189" s="98" t="str">
        <f t="shared" si="77"/>
        <v>-</v>
      </c>
      <c r="CD189" s="79"/>
      <c r="CE189" s="80"/>
      <c r="CF189" s="81"/>
      <c r="CL189" s="77">
        <v>1</v>
      </c>
    </row>
    <row r="190" spans="1:90" ht="17.45" customHeight="1">
      <c r="A190" s="58">
        <v>186</v>
      </c>
      <c r="B190" s="59" t="str">
        <f>'A Div'!A190 &amp; " " &amp; 'A Div'!B190</f>
        <v xml:space="preserve"> </v>
      </c>
      <c r="C190" s="59">
        <f>'A Div'!E190</f>
        <v>0</v>
      </c>
      <c r="D190" s="60"/>
      <c r="E190" s="60"/>
      <c r="F190" s="60"/>
      <c r="G190" s="60"/>
      <c r="H190" s="60"/>
      <c r="I190" s="60"/>
      <c r="J190" s="60"/>
      <c r="K190" s="60"/>
      <c r="L190" s="60"/>
      <c r="M190" s="74" t="str">
        <f t="shared" si="52"/>
        <v>-</v>
      </c>
      <c r="N190" s="60"/>
      <c r="O190" s="60"/>
      <c r="P190" s="60"/>
      <c r="Q190" s="60"/>
      <c r="R190" s="60"/>
      <c r="S190" s="60"/>
      <c r="T190" s="60"/>
      <c r="U190" s="60"/>
      <c r="V190" s="60"/>
      <c r="W190" s="74" t="str">
        <f t="shared" si="53"/>
        <v>-</v>
      </c>
      <c r="X190" s="148" t="str">
        <f t="shared" si="54"/>
        <v>-</v>
      </c>
      <c r="Y190" s="74" t="str">
        <f t="shared" si="55"/>
        <v>-</v>
      </c>
      <c r="AA190" s="60"/>
      <c r="AB190" s="60"/>
      <c r="AC190" s="60"/>
      <c r="AD190" s="60"/>
      <c r="AE190" s="60"/>
      <c r="AF190" s="60"/>
      <c r="AG190" s="60"/>
      <c r="AH190" s="60"/>
      <c r="AI190" s="60"/>
      <c r="AJ190" s="74" t="str">
        <f t="shared" si="56"/>
        <v>-</v>
      </c>
      <c r="AK190" s="60"/>
      <c r="AL190" s="60"/>
      <c r="AM190" s="60"/>
      <c r="AN190" s="60"/>
      <c r="AO190" s="60"/>
      <c r="AP190" s="60"/>
      <c r="AQ190" s="60"/>
      <c r="AR190" s="60"/>
      <c r="AS190" s="60"/>
      <c r="AT190" s="74" t="str">
        <f>IF(COUNTIF(AK190:AS190,"&lt;&gt;"&amp;"")=9,SUM(AK190:AS190),"-")</f>
        <v>-</v>
      </c>
      <c r="AU190" s="148" t="str">
        <f>IF(AND(ISNUMBER(AJ190),ISNUMBER(AT190)),AJ190+AT190,"-")</f>
        <v>-</v>
      </c>
      <c r="AV190" s="74" t="str">
        <f>IF(ISNUMBER(AU190),AU190-C190,"-")</f>
        <v>-</v>
      </c>
      <c r="AX190" s="59" t="str">
        <f t="shared" si="57"/>
        <v>-</v>
      </c>
      <c r="AY190" s="59" t="str">
        <f t="shared" si="58"/>
        <v>-</v>
      </c>
      <c r="AZ190" s="59" t="str">
        <f t="shared" si="59"/>
        <v>-</v>
      </c>
      <c r="BA190" s="59" t="str">
        <f t="shared" si="60"/>
        <v>-</v>
      </c>
      <c r="BB190" s="59" t="str">
        <f t="shared" si="61"/>
        <v>-</v>
      </c>
      <c r="BC190" s="59" t="str">
        <f t="shared" si="62"/>
        <v>-</v>
      </c>
      <c r="BD190" s="59" t="str">
        <f t="shared" si="63"/>
        <v>-</v>
      </c>
      <c r="BE190" s="59" t="str">
        <f t="shared" si="64"/>
        <v>-</v>
      </c>
      <c r="BF190" s="59" t="str">
        <f t="shared" si="65"/>
        <v>-</v>
      </c>
      <c r="BG190" s="59" t="str">
        <f t="shared" si="66"/>
        <v>-</v>
      </c>
      <c r="BH190" s="59" t="str">
        <f t="shared" si="67"/>
        <v>-</v>
      </c>
      <c r="BI190" s="59" t="str">
        <f t="shared" si="68"/>
        <v>-</v>
      </c>
      <c r="BJ190" s="59" t="str">
        <f t="shared" si="69"/>
        <v>-</v>
      </c>
      <c r="BK190" s="59" t="str">
        <f t="shared" si="70"/>
        <v>-</v>
      </c>
      <c r="BL190" s="59" t="str">
        <f>IF(AND(R190&gt;0,AO190&gt;0),MIN(R190,AO190),"-")</f>
        <v>-</v>
      </c>
      <c r="BM190" s="59" t="str">
        <f>IF(AND(S190&gt;0,AP190&gt;0),MIN(S190,AP190),"-")</f>
        <v>-</v>
      </c>
      <c r="BN190" s="59" t="str">
        <f>IF(AND(T190&gt;0,AQ190&gt;0),MIN(T190,AQ190),"-")</f>
        <v>-</v>
      </c>
      <c r="BO190" s="59" t="str">
        <f>IF(AND(U190&gt;0,AR190&gt;0),MIN(U190,AR190),"-")</f>
        <v>-</v>
      </c>
      <c r="BP190" s="59" t="str">
        <f>IF(AND(V190&gt;0,AS190&gt;0),MIN(V190,AS190),"-")</f>
        <v>-</v>
      </c>
      <c r="BQ190" s="59" t="str">
        <f t="shared" si="71"/>
        <v>-</v>
      </c>
      <c r="BR190" s="59" t="str">
        <f t="shared" si="72"/>
        <v>-</v>
      </c>
      <c r="BS190" s="59" t="str">
        <f t="shared" si="73"/>
        <v>-</v>
      </c>
      <c r="BT190" s="98" t="str">
        <f>IF(ISNUMBER(BS190),BS190-(C190*Rules!$P$9/100),"-")</f>
        <v>-</v>
      </c>
      <c r="BU190" s="59" t="e">
        <f>RANK($BT190,$BT$5:$BT$106,1)+COUNTIF(BT$5:BT190,BT190)-1</f>
        <v>#VALUE!</v>
      </c>
      <c r="BV190" s="59" t="e">
        <f t="shared" si="74"/>
        <v>#VALUE!</v>
      </c>
      <c r="BW190" s="59" t="str">
        <f t="shared" si="75"/>
        <v xml:space="preserve"> </v>
      </c>
      <c r="BX190" s="59">
        <f t="shared" si="76"/>
        <v>0</v>
      </c>
      <c r="BY190" s="98" t="str">
        <f t="shared" si="77"/>
        <v>-</v>
      </c>
      <c r="CD190" s="79"/>
      <c r="CE190" s="80"/>
      <c r="CF190" s="81"/>
      <c r="CL190" s="77">
        <v>1</v>
      </c>
    </row>
    <row r="191" spans="1:90" ht="17.45" customHeight="1">
      <c r="A191" s="58">
        <v>187</v>
      </c>
      <c r="B191" s="59" t="str">
        <f>'A Div'!A191 &amp; " " &amp; 'A Div'!B191</f>
        <v xml:space="preserve"> </v>
      </c>
      <c r="C191" s="59">
        <f>'A Div'!E191</f>
        <v>0</v>
      </c>
      <c r="D191" s="60"/>
      <c r="E191" s="60"/>
      <c r="F191" s="60"/>
      <c r="G191" s="60"/>
      <c r="H191" s="60"/>
      <c r="I191" s="60"/>
      <c r="J191" s="60"/>
      <c r="K191" s="60"/>
      <c r="L191" s="60"/>
      <c r="M191" s="74" t="str">
        <f t="shared" si="52"/>
        <v>-</v>
      </c>
      <c r="N191" s="60"/>
      <c r="O191" s="60"/>
      <c r="P191" s="60"/>
      <c r="Q191" s="60"/>
      <c r="R191" s="60"/>
      <c r="S191" s="60"/>
      <c r="T191" s="60"/>
      <c r="U191" s="60"/>
      <c r="V191" s="60"/>
      <c r="W191" s="74" t="str">
        <f t="shared" si="53"/>
        <v>-</v>
      </c>
      <c r="X191" s="148" t="str">
        <f t="shared" si="54"/>
        <v>-</v>
      </c>
      <c r="Y191" s="74" t="str">
        <f t="shared" si="55"/>
        <v>-</v>
      </c>
      <c r="AA191" s="60"/>
      <c r="AB191" s="60"/>
      <c r="AC191" s="60"/>
      <c r="AD191" s="60"/>
      <c r="AE191" s="60"/>
      <c r="AF191" s="60"/>
      <c r="AG191" s="60"/>
      <c r="AH191" s="60"/>
      <c r="AI191" s="60"/>
      <c r="AJ191" s="74" t="str">
        <f t="shared" si="56"/>
        <v>-</v>
      </c>
      <c r="AK191" s="60"/>
      <c r="AL191" s="60"/>
      <c r="AM191" s="60"/>
      <c r="AN191" s="60"/>
      <c r="AO191" s="60"/>
      <c r="AP191" s="60"/>
      <c r="AQ191" s="60"/>
      <c r="AR191" s="60"/>
      <c r="AS191" s="60"/>
      <c r="AT191" s="74" t="str">
        <f>IF(COUNTIF(AK191:AS191,"&lt;&gt;"&amp;"")=9,SUM(AK191:AS191),"-")</f>
        <v>-</v>
      </c>
      <c r="AU191" s="148" t="str">
        <f>IF(AND(ISNUMBER(AJ191),ISNUMBER(AT191)),AJ191+AT191,"-")</f>
        <v>-</v>
      </c>
      <c r="AV191" s="74" t="str">
        <f>IF(ISNUMBER(AU191),AU191-C191,"-")</f>
        <v>-</v>
      </c>
      <c r="AX191" s="59" t="str">
        <f t="shared" si="57"/>
        <v>-</v>
      </c>
      <c r="AY191" s="59" t="str">
        <f t="shared" si="58"/>
        <v>-</v>
      </c>
      <c r="AZ191" s="59" t="str">
        <f t="shared" si="59"/>
        <v>-</v>
      </c>
      <c r="BA191" s="59" t="str">
        <f t="shared" si="60"/>
        <v>-</v>
      </c>
      <c r="BB191" s="59" t="str">
        <f t="shared" si="61"/>
        <v>-</v>
      </c>
      <c r="BC191" s="59" t="str">
        <f t="shared" si="62"/>
        <v>-</v>
      </c>
      <c r="BD191" s="59" t="str">
        <f t="shared" si="63"/>
        <v>-</v>
      </c>
      <c r="BE191" s="59" t="str">
        <f t="shared" si="64"/>
        <v>-</v>
      </c>
      <c r="BF191" s="59" t="str">
        <f t="shared" si="65"/>
        <v>-</v>
      </c>
      <c r="BG191" s="59" t="str">
        <f t="shared" si="66"/>
        <v>-</v>
      </c>
      <c r="BH191" s="59" t="str">
        <f t="shared" si="67"/>
        <v>-</v>
      </c>
      <c r="BI191" s="59" t="str">
        <f t="shared" si="68"/>
        <v>-</v>
      </c>
      <c r="BJ191" s="59" t="str">
        <f t="shared" si="69"/>
        <v>-</v>
      </c>
      <c r="BK191" s="59" t="str">
        <f t="shared" si="70"/>
        <v>-</v>
      </c>
      <c r="BL191" s="59" t="str">
        <f>IF(AND(R191&gt;0,AO191&gt;0),MIN(R191,AO191),"-")</f>
        <v>-</v>
      </c>
      <c r="BM191" s="59" t="str">
        <f>IF(AND(S191&gt;0,AP191&gt;0),MIN(S191,AP191),"-")</f>
        <v>-</v>
      </c>
      <c r="BN191" s="59" t="str">
        <f>IF(AND(T191&gt;0,AQ191&gt;0),MIN(T191,AQ191),"-")</f>
        <v>-</v>
      </c>
      <c r="BO191" s="59" t="str">
        <f>IF(AND(U191&gt;0,AR191&gt;0),MIN(U191,AR191),"-")</f>
        <v>-</v>
      </c>
      <c r="BP191" s="59" t="str">
        <f>IF(AND(V191&gt;0,AS191&gt;0),MIN(V191,AS191),"-")</f>
        <v>-</v>
      </c>
      <c r="BQ191" s="59" t="str">
        <f t="shared" si="71"/>
        <v>-</v>
      </c>
      <c r="BR191" s="59" t="str">
        <f t="shared" si="72"/>
        <v>-</v>
      </c>
      <c r="BS191" s="59" t="str">
        <f t="shared" si="73"/>
        <v>-</v>
      </c>
      <c r="BT191" s="98" t="str">
        <f>IF(ISNUMBER(BS191),BS191-(C191*Rules!$P$9/100),"-")</f>
        <v>-</v>
      </c>
      <c r="BU191" s="59" t="e">
        <f>RANK($BT191,$BT$5:$BT$106,1)+COUNTIF(BT$5:BT191,BT191)-1</f>
        <v>#VALUE!</v>
      </c>
      <c r="BV191" s="59" t="e">
        <f t="shared" si="74"/>
        <v>#VALUE!</v>
      </c>
      <c r="BW191" s="59" t="str">
        <f t="shared" si="75"/>
        <v xml:space="preserve"> </v>
      </c>
      <c r="BX191" s="59">
        <f t="shared" si="76"/>
        <v>0</v>
      </c>
      <c r="BY191" s="98" t="str">
        <f t="shared" si="77"/>
        <v>-</v>
      </c>
      <c r="CD191" s="79"/>
      <c r="CE191" s="80"/>
      <c r="CF191" s="81"/>
      <c r="CL191" s="77">
        <v>1</v>
      </c>
    </row>
    <row r="192" spans="1:90" ht="17.45" customHeight="1">
      <c r="A192" s="58">
        <v>188</v>
      </c>
      <c r="B192" s="59" t="str">
        <f>'A Div'!A192 &amp; " " &amp; 'A Div'!B192</f>
        <v xml:space="preserve"> </v>
      </c>
      <c r="C192" s="59">
        <f>'A Div'!E192</f>
        <v>0</v>
      </c>
      <c r="D192" s="60"/>
      <c r="E192" s="60"/>
      <c r="F192" s="60"/>
      <c r="G192" s="60"/>
      <c r="H192" s="60"/>
      <c r="I192" s="60"/>
      <c r="J192" s="60"/>
      <c r="K192" s="60"/>
      <c r="L192" s="60"/>
      <c r="M192" s="74" t="str">
        <f t="shared" si="52"/>
        <v>-</v>
      </c>
      <c r="N192" s="60"/>
      <c r="O192" s="60"/>
      <c r="P192" s="60"/>
      <c r="Q192" s="60"/>
      <c r="R192" s="60"/>
      <c r="S192" s="60"/>
      <c r="T192" s="60"/>
      <c r="U192" s="60"/>
      <c r="V192" s="60"/>
      <c r="W192" s="74" t="str">
        <f t="shared" si="53"/>
        <v>-</v>
      </c>
      <c r="X192" s="148" t="str">
        <f t="shared" si="54"/>
        <v>-</v>
      </c>
      <c r="Y192" s="74" t="str">
        <f t="shared" si="55"/>
        <v>-</v>
      </c>
      <c r="AA192" s="60"/>
      <c r="AB192" s="60"/>
      <c r="AC192" s="60"/>
      <c r="AD192" s="60"/>
      <c r="AE192" s="60"/>
      <c r="AF192" s="60"/>
      <c r="AG192" s="60"/>
      <c r="AH192" s="60"/>
      <c r="AI192" s="60"/>
      <c r="AJ192" s="74" t="str">
        <f t="shared" si="56"/>
        <v>-</v>
      </c>
      <c r="AK192" s="60"/>
      <c r="AL192" s="60"/>
      <c r="AM192" s="60"/>
      <c r="AN192" s="60"/>
      <c r="AO192" s="60"/>
      <c r="AP192" s="60"/>
      <c r="AQ192" s="60"/>
      <c r="AR192" s="60"/>
      <c r="AS192" s="60"/>
      <c r="AT192" s="74" t="str">
        <f>IF(COUNTIF(AK192:AS192,"&lt;&gt;"&amp;"")=9,SUM(AK192:AS192),"-")</f>
        <v>-</v>
      </c>
      <c r="AU192" s="148" t="str">
        <f>IF(AND(ISNUMBER(AJ192),ISNUMBER(AT192)),AJ192+AT192,"-")</f>
        <v>-</v>
      </c>
      <c r="AV192" s="74" t="str">
        <f>IF(ISNUMBER(AU192),AU192-C192,"-")</f>
        <v>-</v>
      </c>
      <c r="AX192" s="59" t="str">
        <f t="shared" si="57"/>
        <v>-</v>
      </c>
      <c r="AY192" s="59" t="str">
        <f t="shared" si="58"/>
        <v>-</v>
      </c>
      <c r="AZ192" s="59" t="str">
        <f t="shared" si="59"/>
        <v>-</v>
      </c>
      <c r="BA192" s="59" t="str">
        <f t="shared" si="60"/>
        <v>-</v>
      </c>
      <c r="BB192" s="59" t="str">
        <f t="shared" si="61"/>
        <v>-</v>
      </c>
      <c r="BC192" s="59" t="str">
        <f t="shared" si="62"/>
        <v>-</v>
      </c>
      <c r="BD192" s="59" t="str">
        <f t="shared" si="63"/>
        <v>-</v>
      </c>
      <c r="BE192" s="59" t="str">
        <f t="shared" si="64"/>
        <v>-</v>
      </c>
      <c r="BF192" s="59" t="str">
        <f t="shared" si="65"/>
        <v>-</v>
      </c>
      <c r="BG192" s="59" t="str">
        <f t="shared" si="66"/>
        <v>-</v>
      </c>
      <c r="BH192" s="59" t="str">
        <f t="shared" si="67"/>
        <v>-</v>
      </c>
      <c r="BI192" s="59" t="str">
        <f t="shared" si="68"/>
        <v>-</v>
      </c>
      <c r="BJ192" s="59" t="str">
        <f t="shared" si="69"/>
        <v>-</v>
      </c>
      <c r="BK192" s="59" t="str">
        <f t="shared" si="70"/>
        <v>-</v>
      </c>
      <c r="BL192" s="59" t="str">
        <f>IF(AND(R192&gt;0,AO192&gt;0),MIN(R192,AO192),"-")</f>
        <v>-</v>
      </c>
      <c r="BM192" s="59" t="str">
        <f>IF(AND(S192&gt;0,AP192&gt;0),MIN(S192,AP192),"-")</f>
        <v>-</v>
      </c>
      <c r="BN192" s="59" t="str">
        <f>IF(AND(T192&gt;0,AQ192&gt;0),MIN(T192,AQ192),"-")</f>
        <v>-</v>
      </c>
      <c r="BO192" s="59" t="str">
        <f>IF(AND(U192&gt;0,AR192&gt;0),MIN(U192,AR192),"-")</f>
        <v>-</v>
      </c>
      <c r="BP192" s="59" t="str">
        <f>IF(AND(V192&gt;0,AS192&gt;0),MIN(V192,AS192),"-")</f>
        <v>-</v>
      </c>
      <c r="BQ192" s="59" t="str">
        <f t="shared" si="71"/>
        <v>-</v>
      </c>
      <c r="BR192" s="59" t="str">
        <f t="shared" si="72"/>
        <v>-</v>
      </c>
      <c r="BS192" s="59" t="str">
        <f t="shared" si="73"/>
        <v>-</v>
      </c>
      <c r="BT192" s="98" t="str">
        <f>IF(ISNUMBER(BS192),BS192-(C192*Rules!$P$9/100),"-")</f>
        <v>-</v>
      </c>
      <c r="BU192" s="59" t="e">
        <f>RANK($BT192,$BT$5:$BT$106,1)+COUNTIF(BT$5:BT192,BT192)-1</f>
        <v>#VALUE!</v>
      </c>
      <c r="BV192" s="59" t="e">
        <f t="shared" si="74"/>
        <v>#VALUE!</v>
      </c>
      <c r="BW192" s="59" t="str">
        <f t="shared" si="75"/>
        <v xml:space="preserve"> </v>
      </c>
      <c r="BX192" s="59">
        <f t="shared" si="76"/>
        <v>0</v>
      </c>
      <c r="BY192" s="98" t="str">
        <f t="shared" si="77"/>
        <v>-</v>
      </c>
      <c r="CD192" s="79"/>
      <c r="CE192" s="80"/>
      <c r="CF192" s="81"/>
      <c r="CL192" s="77">
        <v>1</v>
      </c>
    </row>
    <row r="193" spans="1:90" ht="17.45" customHeight="1">
      <c r="A193" s="58">
        <v>189</v>
      </c>
      <c r="B193" s="59" t="str">
        <f>'A Div'!A193 &amp; " " &amp; 'A Div'!B193</f>
        <v xml:space="preserve"> </v>
      </c>
      <c r="C193" s="59">
        <f>'A Div'!E193</f>
        <v>0</v>
      </c>
      <c r="D193" s="60"/>
      <c r="E193" s="60"/>
      <c r="F193" s="60"/>
      <c r="G193" s="60"/>
      <c r="H193" s="60"/>
      <c r="I193" s="60"/>
      <c r="J193" s="60"/>
      <c r="K193" s="60"/>
      <c r="L193" s="60"/>
      <c r="M193" s="74" t="str">
        <f t="shared" si="52"/>
        <v>-</v>
      </c>
      <c r="N193" s="60"/>
      <c r="O193" s="60"/>
      <c r="P193" s="60"/>
      <c r="Q193" s="60"/>
      <c r="R193" s="60"/>
      <c r="S193" s="60"/>
      <c r="T193" s="60"/>
      <c r="U193" s="60"/>
      <c r="V193" s="60"/>
      <c r="W193" s="74" t="str">
        <f t="shared" si="53"/>
        <v>-</v>
      </c>
      <c r="X193" s="148" t="str">
        <f t="shared" si="54"/>
        <v>-</v>
      </c>
      <c r="Y193" s="74" t="str">
        <f t="shared" si="55"/>
        <v>-</v>
      </c>
      <c r="AA193" s="60"/>
      <c r="AB193" s="60"/>
      <c r="AC193" s="60"/>
      <c r="AD193" s="60"/>
      <c r="AE193" s="60"/>
      <c r="AF193" s="60"/>
      <c r="AG193" s="60"/>
      <c r="AH193" s="60"/>
      <c r="AI193" s="60"/>
      <c r="AJ193" s="74" t="str">
        <f t="shared" si="56"/>
        <v>-</v>
      </c>
      <c r="AK193" s="60"/>
      <c r="AL193" s="60"/>
      <c r="AM193" s="60"/>
      <c r="AN193" s="60"/>
      <c r="AO193" s="60"/>
      <c r="AP193" s="60"/>
      <c r="AQ193" s="60"/>
      <c r="AR193" s="60"/>
      <c r="AS193" s="60"/>
      <c r="AT193" s="74" t="str">
        <f>IF(COUNTIF(AK193:AS193,"&lt;&gt;"&amp;"")=9,SUM(AK193:AS193),"-")</f>
        <v>-</v>
      </c>
      <c r="AU193" s="148" t="str">
        <f>IF(AND(ISNUMBER(AJ193),ISNUMBER(AT193)),AJ193+AT193,"-")</f>
        <v>-</v>
      </c>
      <c r="AV193" s="74" t="str">
        <f>IF(ISNUMBER(AU193),AU193-C193,"-")</f>
        <v>-</v>
      </c>
      <c r="AX193" s="59" t="str">
        <f t="shared" si="57"/>
        <v>-</v>
      </c>
      <c r="AY193" s="59" t="str">
        <f t="shared" si="58"/>
        <v>-</v>
      </c>
      <c r="AZ193" s="59" t="str">
        <f t="shared" si="59"/>
        <v>-</v>
      </c>
      <c r="BA193" s="59" t="str">
        <f t="shared" si="60"/>
        <v>-</v>
      </c>
      <c r="BB193" s="59" t="str">
        <f t="shared" si="61"/>
        <v>-</v>
      </c>
      <c r="BC193" s="59" t="str">
        <f t="shared" si="62"/>
        <v>-</v>
      </c>
      <c r="BD193" s="59" t="str">
        <f t="shared" si="63"/>
        <v>-</v>
      </c>
      <c r="BE193" s="59" t="str">
        <f t="shared" si="64"/>
        <v>-</v>
      </c>
      <c r="BF193" s="59" t="str">
        <f t="shared" si="65"/>
        <v>-</v>
      </c>
      <c r="BG193" s="59" t="str">
        <f t="shared" si="66"/>
        <v>-</v>
      </c>
      <c r="BH193" s="59" t="str">
        <f t="shared" si="67"/>
        <v>-</v>
      </c>
      <c r="BI193" s="59" t="str">
        <f t="shared" si="68"/>
        <v>-</v>
      </c>
      <c r="BJ193" s="59" t="str">
        <f t="shared" si="69"/>
        <v>-</v>
      </c>
      <c r="BK193" s="59" t="str">
        <f t="shared" si="70"/>
        <v>-</v>
      </c>
      <c r="BL193" s="59" t="str">
        <f>IF(AND(R193&gt;0,AO193&gt;0),MIN(R193,AO193),"-")</f>
        <v>-</v>
      </c>
      <c r="BM193" s="59" t="str">
        <f>IF(AND(S193&gt;0,AP193&gt;0),MIN(S193,AP193),"-")</f>
        <v>-</v>
      </c>
      <c r="BN193" s="59" t="str">
        <f>IF(AND(T193&gt;0,AQ193&gt;0),MIN(T193,AQ193),"-")</f>
        <v>-</v>
      </c>
      <c r="BO193" s="59" t="str">
        <f>IF(AND(U193&gt;0,AR193&gt;0),MIN(U193,AR193),"-")</f>
        <v>-</v>
      </c>
      <c r="BP193" s="59" t="str">
        <f>IF(AND(V193&gt;0,AS193&gt;0),MIN(V193,AS193),"-")</f>
        <v>-</v>
      </c>
      <c r="BQ193" s="59" t="str">
        <f t="shared" si="71"/>
        <v>-</v>
      </c>
      <c r="BR193" s="59" t="str">
        <f t="shared" si="72"/>
        <v>-</v>
      </c>
      <c r="BS193" s="59" t="str">
        <f t="shared" si="73"/>
        <v>-</v>
      </c>
      <c r="BT193" s="98" t="str">
        <f>IF(ISNUMBER(BS193),BS193-(C193*Rules!$P$9/100),"-")</f>
        <v>-</v>
      </c>
      <c r="BU193" s="59" t="e">
        <f>RANK($BT193,$BT$5:$BT$106,1)+COUNTIF(BT$5:BT193,BT193)-1</f>
        <v>#VALUE!</v>
      </c>
      <c r="BV193" s="59" t="e">
        <f t="shared" si="74"/>
        <v>#VALUE!</v>
      </c>
      <c r="BW193" s="59" t="str">
        <f t="shared" si="75"/>
        <v xml:space="preserve"> </v>
      </c>
      <c r="BX193" s="59">
        <f t="shared" si="76"/>
        <v>0</v>
      </c>
      <c r="BY193" s="98" t="str">
        <f t="shared" si="77"/>
        <v>-</v>
      </c>
      <c r="CD193" s="79"/>
      <c r="CE193" s="80"/>
      <c r="CF193" s="81"/>
      <c r="CL193" s="77">
        <v>1</v>
      </c>
    </row>
    <row r="194" spans="1:90" ht="17.45" customHeight="1">
      <c r="A194" s="58">
        <v>190</v>
      </c>
      <c r="B194" s="59" t="str">
        <f>'A Div'!A194 &amp; " " &amp; 'A Div'!B194</f>
        <v xml:space="preserve"> </v>
      </c>
      <c r="C194" s="59">
        <f>'A Div'!E194</f>
        <v>0</v>
      </c>
      <c r="D194" s="60"/>
      <c r="E194" s="60"/>
      <c r="F194" s="60"/>
      <c r="G194" s="60"/>
      <c r="H194" s="60"/>
      <c r="I194" s="60"/>
      <c r="J194" s="60"/>
      <c r="K194" s="60"/>
      <c r="L194" s="60"/>
      <c r="M194" s="74" t="str">
        <f t="shared" si="52"/>
        <v>-</v>
      </c>
      <c r="N194" s="60"/>
      <c r="O194" s="60"/>
      <c r="P194" s="60"/>
      <c r="Q194" s="60"/>
      <c r="R194" s="60"/>
      <c r="S194" s="60"/>
      <c r="T194" s="60"/>
      <c r="U194" s="60"/>
      <c r="V194" s="60"/>
      <c r="W194" s="74" t="str">
        <f t="shared" si="53"/>
        <v>-</v>
      </c>
      <c r="X194" s="148" t="str">
        <f t="shared" si="54"/>
        <v>-</v>
      </c>
      <c r="Y194" s="74" t="str">
        <f t="shared" si="55"/>
        <v>-</v>
      </c>
      <c r="AA194" s="60"/>
      <c r="AB194" s="60"/>
      <c r="AC194" s="60"/>
      <c r="AD194" s="60"/>
      <c r="AE194" s="60"/>
      <c r="AF194" s="60"/>
      <c r="AG194" s="60"/>
      <c r="AH194" s="60"/>
      <c r="AI194" s="60"/>
      <c r="AJ194" s="74" t="str">
        <f t="shared" si="56"/>
        <v>-</v>
      </c>
      <c r="AK194" s="60"/>
      <c r="AL194" s="60"/>
      <c r="AM194" s="60"/>
      <c r="AN194" s="60"/>
      <c r="AO194" s="60"/>
      <c r="AP194" s="60"/>
      <c r="AQ194" s="60"/>
      <c r="AR194" s="60"/>
      <c r="AS194" s="60"/>
      <c r="AT194" s="74" t="str">
        <f>IF(COUNTIF(AK194:AS194,"&lt;&gt;"&amp;"")=9,SUM(AK194:AS194),"-")</f>
        <v>-</v>
      </c>
      <c r="AU194" s="148" t="str">
        <f>IF(AND(ISNUMBER(AJ194),ISNUMBER(AT194)),AJ194+AT194,"-")</f>
        <v>-</v>
      </c>
      <c r="AV194" s="74" t="str">
        <f>IF(ISNUMBER(AU194),AU194-C194,"-")</f>
        <v>-</v>
      </c>
      <c r="AX194" s="59" t="str">
        <f t="shared" si="57"/>
        <v>-</v>
      </c>
      <c r="AY194" s="59" t="str">
        <f t="shared" si="58"/>
        <v>-</v>
      </c>
      <c r="AZ194" s="59" t="str">
        <f t="shared" si="59"/>
        <v>-</v>
      </c>
      <c r="BA194" s="59" t="str">
        <f t="shared" si="60"/>
        <v>-</v>
      </c>
      <c r="BB194" s="59" t="str">
        <f t="shared" si="61"/>
        <v>-</v>
      </c>
      <c r="BC194" s="59" t="str">
        <f t="shared" si="62"/>
        <v>-</v>
      </c>
      <c r="BD194" s="59" t="str">
        <f t="shared" si="63"/>
        <v>-</v>
      </c>
      <c r="BE194" s="59" t="str">
        <f t="shared" si="64"/>
        <v>-</v>
      </c>
      <c r="BF194" s="59" t="str">
        <f t="shared" si="65"/>
        <v>-</v>
      </c>
      <c r="BG194" s="59" t="str">
        <f t="shared" si="66"/>
        <v>-</v>
      </c>
      <c r="BH194" s="59" t="str">
        <f t="shared" si="67"/>
        <v>-</v>
      </c>
      <c r="BI194" s="59" t="str">
        <f t="shared" si="68"/>
        <v>-</v>
      </c>
      <c r="BJ194" s="59" t="str">
        <f t="shared" si="69"/>
        <v>-</v>
      </c>
      <c r="BK194" s="59" t="str">
        <f t="shared" si="70"/>
        <v>-</v>
      </c>
      <c r="BL194" s="59" t="str">
        <f>IF(AND(R194&gt;0,AO194&gt;0),MIN(R194,AO194),"-")</f>
        <v>-</v>
      </c>
      <c r="BM194" s="59" t="str">
        <f>IF(AND(S194&gt;0,AP194&gt;0),MIN(S194,AP194),"-")</f>
        <v>-</v>
      </c>
      <c r="BN194" s="59" t="str">
        <f>IF(AND(T194&gt;0,AQ194&gt;0),MIN(T194,AQ194),"-")</f>
        <v>-</v>
      </c>
      <c r="BO194" s="59" t="str">
        <f>IF(AND(U194&gt;0,AR194&gt;0),MIN(U194,AR194),"-")</f>
        <v>-</v>
      </c>
      <c r="BP194" s="59" t="str">
        <f>IF(AND(V194&gt;0,AS194&gt;0),MIN(V194,AS194),"-")</f>
        <v>-</v>
      </c>
      <c r="BQ194" s="59" t="str">
        <f t="shared" si="71"/>
        <v>-</v>
      </c>
      <c r="BR194" s="59" t="str">
        <f t="shared" si="72"/>
        <v>-</v>
      </c>
      <c r="BS194" s="59" t="str">
        <f t="shared" si="73"/>
        <v>-</v>
      </c>
      <c r="BT194" s="98" t="str">
        <f>IF(ISNUMBER(BS194),BS194-(C194*Rules!$P$9/100),"-")</f>
        <v>-</v>
      </c>
      <c r="BU194" s="59" t="e">
        <f>RANK($BT194,$BT$5:$BT$106,1)+COUNTIF(BT$5:BT194,BT194)-1</f>
        <v>#VALUE!</v>
      </c>
      <c r="BV194" s="59" t="e">
        <f t="shared" si="74"/>
        <v>#VALUE!</v>
      </c>
      <c r="BW194" s="59" t="str">
        <f t="shared" si="75"/>
        <v xml:space="preserve"> </v>
      </c>
      <c r="BX194" s="59">
        <f t="shared" si="76"/>
        <v>0</v>
      </c>
      <c r="BY194" s="98" t="str">
        <f t="shared" si="77"/>
        <v>-</v>
      </c>
      <c r="CD194" s="79"/>
      <c r="CE194" s="80"/>
      <c r="CF194" s="81"/>
      <c r="CL194" s="77">
        <v>1</v>
      </c>
    </row>
    <row r="195" spans="1:90" ht="17.45" customHeight="1">
      <c r="A195" s="58">
        <v>191</v>
      </c>
      <c r="B195" s="59" t="str">
        <f>'A Div'!A195 &amp; " " &amp; 'A Div'!B195</f>
        <v xml:space="preserve"> </v>
      </c>
      <c r="C195" s="59">
        <f>'A Div'!E195</f>
        <v>0</v>
      </c>
      <c r="D195" s="60"/>
      <c r="E195" s="60"/>
      <c r="F195" s="60"/>
      <c r="G195" s="60"/>
      <c r="H195" s="60"/>
      <c r="I195" s="60"/>
      <c r="J195" s="60"/>
      <c r="K195" s="60"/>
      <c r="L195" s="60"/>
      <c r="M195" s="74" t="str">
        <f t="shared" si="52"/>
        <v>-</v>
      </c>
      <c r="N195" s="60"/>
      <c r="O195" s="60"/>
      <c r="P195" s="60"/>
      <c r="Q195" s="60"/>
      <c r="R195" s="60"/>
      <c r="S195" s="60"/>
      <c r="T195" s="60"/>
      <c r="U195" s="60"/>
      <c r="V195" s="60"/>
      <c r="W195" s="74" t="str">
        <f t="shared" si="53"/>
        <v>-</v>
      </c>
      <c r="X195" s="148" t="str">
        <f t="shared" si="54"/>
        <v>-</v>
      </c>
      <c r="Y195" s="74" t="str">
        <f t="shared" si="55"/>
        <v>-</v>
      </c>
      <c r="AA195" s="60"/>
      <c r="AB195" s="60"/>
      <c r="AC195" s="60"/>
      <c r="AD195" s="60"/>
      <c r="AE195" s="60"/>
      <c r="AF195" s="60"/>
      <c r="AG195" s="60"/>
      <c r="AH195" s="60"/>
      <c r="AI195" s="60"/>
      <c r="AJ195" s="74" t="str">
        <f t="shared" si="56"/>
        <v>-</v>
      </c>
      <c r="AK195" s="60"/>
      <c r="AL195" s="60"/>
      <c r="AM195" s="60"/>
      <c r="AN195" s="60"/>
      <c r="AO195" s="60"/>
      <c r="AP195" s="60"/>
      <c r="AQ195" s="60"/>
      <c r="AR195" s="60"/>
      <c r="AS195" s="60"/>
      <c r="AT195" s="74" t="str">
        <f>IF(COUNTIF(AK195:AS195,"&lt;&gt;"&amp;"")=9,SUM(AK195:AS195),"-")</f>
        <v>-</v>
      </c>
      <c r="AU195" s="148" t="str">
        <f>IF(AND(ISNUMBER(AJ195),ISNUMBER(AT195)),AJ195+AT195,"-")</f>
        <v>-</v>
      </c>
      <c r="AV195" s="74" t="str">
        <f>IF(ISNUMBER(AU195),AU195-C195,"-")</f>
        <v>-</v>
      </c>
      <c r="AX195" s="59" t="str">
        <f t="shared" si="57"/>
        <v>-</v>
      </c>
      <c r="AY195" s="59" t="str">
        <f t="shared" si="58"/>
        <v>-</v>
      </c>
      <c r="AZ195" s="59" t="str">
        <f t="shared" si="59"/>
        <v>-</v>
      </c>
      <c r="BA195" s="59" t="str">
        <f t="shared" si="60"/>
        <v>-</v>
      </c>
      <c r="BB195" s="59" t="str">
        <f t="shared" si="61"/>
        <v>-</v>
      </c>
      <c r="BC195" s="59" t="str">
        <f t="shared" si="62"/>
        <v>-</v>
      </c>
      <c r="BD195" s="59" t="str">
        <f t="shared" si="63"/>
        <v>-</v>
      </c>
      <c r="BE195" s="59" t="str">
        <f t="shared" si="64"/>
        <v>-</v>
      </c>
      <c r="BF195" s="59" t="str">
        <f t="shared" si="65"/>
        <v>-</v>
      </c>
      <c r="BG195" s="59" t="str">
        <f t="shared" si="66"/>
        <v>-</v>
      </c>
      <c r="BH195" s="59" t="str">
        <f t="shared" si="67"/>
        <v>-</v>
      </c>
      <c r="BI195" s="59" t="str">
        <f t="shared" si="68"/>
        <v>-</v>
      </c>
      <c r="BJ195" s="59" t="str">
        <f t="shared" si="69"/>
        <v>-</v>
      </c>
      <c r="BK195" s="59" t="str">
        <f t="shared" si="70"/>
        <v>-</v>
      </c>
      <c r="BL195" s="59" t="str">
        <f>IF(AND(R195&gt;0,AO195&gt;0),MIN(R195,AO195),"-")</f>
        <v>-</v>
      </c>
      <c r="BM195" s="59" t="str">
        <f>IF(AND(S195&gt;0,AP195&gt;0),MIN(S195,AP195),"-")</f>
        <v>-</v>
      </c>
      <c r="BN195" s="59" t="str">
        <f>IF(AND(T195&gt;0,AQ195&gt;0),MIN(T195,AQ195),"-")</f>
        <v>-</v>
      </c>
      <c r="BO195" s="59" t="str">
        <f>IF(AND(U195&gt;0,AR195&gt;0),MIN(U195,AR195),"-")</f>
        <v>-</v>
      </c>
      <c r="BP195" s="59" t="str">
        <f>IF(AND(V195&gt;0,AS195&gt;0),MIN(V195,AS195),"-")</f>
        <v>-</v>
      </c>
      <c r="BQ195" s="59" t="str">
        <f t="shared" si="71"/>
        <v>-</v>
      </c>
      <c r="BR195" s="59" t="str">
        <f t="shared" si="72"/>
        <v>-</v>
      </c>
      <c r="BS195" s="59" t="str">
        <f t="shared" si="73"/>
        <v>-</v>
      </c>
      <c r="BT195" s="98" t="str">
        <f>IF(ISNUMBER(BS195),BS195-(C195*Rules!$P$9/100),"-")</f>
        <v>-</v>
      </c>
      <c r="BU195" s="59" t="e">
        <f>RANK($BT195,$BT$5:$BT$106,1)+COUNTIF(BT$5:BT195,BT195)-1</f>
        <v>#VALUE!</v>
      </c>
      <c r="BV195" s="59" t="e">
        <f t="shared" si="74"/>
        <v>#VALUE!</v>
      </c>
      <c r="BW195" s="59" t="str">
        <f t="shared" si="75"/>
        <v xml:space="preserve"> </v>
      </c>
      <c r="BX195" s="59">
        <f t="shared" si="76"/>
        <v>0</v>
      </c>
      <c r="BY195" s="98" t="str">
        <f t="shared" si="77"/>
        <v>-</v>
      </c>
      <c r="CD195" s="79"/>
      <c r="CE195" s="80"/>
      <c r="CF195" s="81"/>
      <c r="CL195" s="77">
        <v>1</v>
      </c>
    </row>
    <row r="196" spans="1:90" ht="17.45" customHeight="1">
      <c r="A196" s="58">
        <v>192</v>
      </c>
      <c r="B196" s="59" t="str">
        <f>'A Div'!A196 &amp; " " &amp; 'A Div'!B196</f>
        <v xml:space="preserve"> </v>
      </c>
      <c r="C196" s="59">
        <f>'A Div'!E196</f>
        <v>0</v>
      </c>
      <c r="D196" s="60"/>
      <c r="E196" s="60"/>
      <c r="F196" s="60"/>
      <c r="G196" s="60"/>
      <c r="H196" s="60"/>
      <c r="I196" s="60"/>
      <c r="J196" s="60"/>
      <c r="K196" s="60"/>
      <c r="L196" s="60"/>
      <c r="M196" s="74" t="str">
        <f t="shared" si="52"/>
        <v>-</v>
      </c>
      <c r="N196" s="60"/>
      <c r="O196" s="60"/>
      <c r="P196" s="60"/>
      <c r="Q196" s="60"/>
      <c r="R196" s="60"/>
      <c r="S196" s="60"/>
      <c r="T196" s="60"/>
      <c r="U196" s="60"/>
      <c r="V196" s="60"/>
      <c r="W196" s="74" t="str">
        <f t="shared" si="53"/>
        <v>-</v>
      </c>
      <c r="X196" s="148" t="str">
        <f t="shared" si="54"/>
        <v>-</v>
      </c>
      <c r="Y196" s="74" t="str">
        <f t="shared" si="55"/>
        <v>-</v>
      </c>
      <c r="AA196" s="60"/>
      <c r="AB196" s="60"/>
      <c r="AC196" s="60"/>
      <c r="AD196" s="60"/>
      <c r="AE196" s="60"/>
      <c r="AF196" s="60"/>
      <c r="AG196" s="60"/>
      <c r="AH196" s="60"/>
      <c r="AI196" s="60"/>
      <c r="AJ196" s="74" t="str">
        <f t="shared" si="56"/>
        <v>-</v>
      </c>
      <c r="AK196" s="60"/>
      <c r="AL196" s="60"/>
      <c r="AM196" s="60"/>
      <c r="AN196" s="60"/>
      <c r="AO196" s="60"/>
      <c r="AP196" s="60"/>
      <c r="AQ196" s="60"/>
      <c r="AR196" s="60"/>
      <c r="AS196" s="60"/>
      <c r="AT196" s="74" t="str">
        <f>IF(COUNTIF(AK196:AS196,"&lt;&gt;"&amp;"")=9,SUM(AK196:AS196),"-")</f>
        <v>-</v>
      </c>
      <c r="AU196" s="148" t="str">
        <f>IF(AND(ISNUMBER(AJ196),ISNUMBER(AT196)),AJ196+AT196,"-")</f>
        <v>-</v>
      </c>
      <c r="AV196" s="74" t="str">
        <f>IF(ISNUMBER(AU196),AU196-C196,"-")</f>
        <v>-</v>
      </c>
      <c r="AX196" s="59" t="str">
        <f t="shared" si="57"/>
        <v>-</v>
      </c>
      <c r="AY196" s="59" t="str">
        <f t="shared" si="58"/>
        <v>-</v>
      </c>
      <c r="AZ196" s="59" t="str">
        <f t="shared" si="59"/>
        <v>-</v>
      </c>
      <c r="BA196" s="59" t="str">
        <f t="shared" si="60"/>
        <v>-</v>
      </c>
      <c r="BB196" s="59" t="str">
        <f t="shared" si="61"/>
        <v>-</v>
      </c>
      <c r="BC196" s="59" t="str">
        <f t="shared" si="62"/>
        <v>-</v>
      </c>
      <c r="BD196" s="59" t="str">
        <f t="shared" si="63"/>
        <v>-</v>
      </c>
      <c r="BE196" s="59" t="str">
        <f t="shared" si="64"/>
        <v>-</v>
      </c>
      <c r="BF196" s="59" t="str">
        <f t="shared" si="65"/>
        <v>-</v>
      </c>
      <c r="BG196" s="59" t="str">
        <f t="shared" si="66"/>
        <v>-</v>
      </c>
      <c r="BH196" s="59" t="str">
        <f t="shared" si="67"/>
        <v>-</v>
      </c>
      <c r="BI196" s="59" t="str">
        <f t="shared" si="68"/>
        <v>-</v>
      </c>
      <c r="BJ196" s="59" t="str">
        <f t="shared" si="69"/>
        <v>-</v>
      </c>
      <c r="BK196" s="59" t="str">
        <f t="shared" si="70"/>
        <v>-</v>
      </c>
      <c r="BL196" s="59" t="str">
        <f>IF(AND(R196&gt;0,AO196&gt;0),MIN(R196,AO196),"-")</f>
        <v>-</v>
      </c>
      <c r="BM196" s="59" t="str">
        <f>IF(AND(S196&gt;0,AP196&gt;0),MIN(S196,AP196),"-")</f>
        <v>-</v>
      </c>
      <c r="BN196" s="59" t="str">
        <f>IF(AND(T196&gt;0,AQ196&gt;0),MIN(T196,AQ196),"-")</f>
        <v>-</v>
      </c>
      <c r="BO196" s="59" t="str">
        <f>IF(AND(U196&gt;0,AR196&gt;0),MIN(U196,AR196),"-")</f>
        <v>-</v>
      </c>
      <c r="BP196" s="59" t="str">
        <f>IF(AND(V196&gt;0,AS196&gt;0),MIN(V196,AS196),"-")</f>
        <v>-</v>
      </c>
      <c r="BQ196" s="59" t="str">
        <f t="shared" si="71"/>
        <v>-</v>
      </c>
      <c r="BR196" s="59" t="str">
        <f t="shared" si="72"/>
        <v>-</v>
      </c>
      <c r="BS196" s="59" t="str">
        <f t="shared" si="73"/>
        <v>-</v>
      </c>
      <c r="BT196" s="98" t="str">
        <f>IF(ISNUMBER(BS196),BS196-(C196*Rules!$P$9/100),"-")</f>
        <v>-</v>
      </c>
      <c r="BU196" s="59" t="e">
        <f>RANK($BT196,$BT$5:$BT$106,1)+COUNTIF(BT$5:BT196,BT196)-1</f>
        <v>#VALUE!</v>
      </c>
      <c r="BV196" s="59" t="e">
        <f t="shared" si="74"/>
        <v>#VALUE!</v>
      </c>
      <c r="BW196" s="59" t="str">
        <f t="shared" si="75"/>
        <v xml:space="preserve"> </v>
      </c>
      <c r="BX196" s="59">
        <f t="shared" si="76"/>
        <v>0</v>
      </c>
      <c r="BY196" s="98" t="str">
        <f t="shared" si="77"/>
        <v>-</v>
      </c>
      <c r="CD196" s="79"/>
      <c r="CE196" s="80"/>
      <c r="CF196" s="81"/>
      <c r="CL196" s="77">
        <v>1</v>
      </c>
    </row>
    <row r="197" spans="1:90" ht="17.45" customHeight="1">
      <c r="A197" s="58">
        <v>193</v>
      </c>
      <c r="B197" s="59" t="str">
        <f>'A Div'!A197 &amp; " " &amp; 'A Div'!B197</f>
        <v xml:space="preserve"> </v>
      </c>
      <c r="C197" s="59">
        <f>'A Div'!E197</f>
        <v>0</v>
      </c>
      <c r="D197" s="60"/>
      <c r="E197" s="60"/>
      <c r="F197" s="60"/>
      <c r="G197" s="60"/>
      <c r="H197" s="60"/>
      <c r="I197" s="60"/>
      <c r="J197" s="60"/>
      <c r="K197" s="60"/>
      <c r="L197" s="60"/>
      <c r="M197" s="74" t="str">
        <f t="shared" si="52"/>
        <v>-</v>
      </c>
      <c r="N197" s="60"/>
      <c r="O197" s="60"/>
      <c r="P197" s="60"/>
      <c r="Q197" s="60"/>
      <c r="R197" s="60"/>
      <c r="S197" s="60"/>
      <c r="T197" s="60"/>
      <c r="U197" s="60"/>
      <c r="V197" s="60"/>
      <c r="W197" s="74" t="str">
        <f t="shared" si="53"/>
        <v>-</v>
      </c>
      <c r="X197" s="148" t="str">
        <f t="shared" si="54"/>
        <v>-</v>
      </c>
      <c r="Y197" s="74" t="str">
        <f t="shared" si="55"/>
        <v>-</v>
      </c>
      <c r="AA197" s="60"/>
      <c r="AB197" s="60"/>
      <c r="AC197" s="60"/>
      <c r="AD197" s="60"/>
      <c r="AE197" s="60"/>
      <c r="AF197" s="60"/>
      <c r="AG197" s="60"/>
      <c r="AH197" s="60"/>
      <c r="AI197" s="60"/>
      <c r="AJ197" s="74" t="str">
        <f t="shared" si="56"/>
        <v>-</v>
      </c>
      <c r="AK197" s="60"/>
      <c r="AL197" s="60"/>
      <c r="AM197" s="60"/>
      <c r="AN197" s="60"/>
      <c r="AO197" s="60"/>
      <c r="AP197" s="60"/>
      <c r="AQ197" s="60"/>
      <c r="AR197" s="60"/>
      <c r="AS197" s="60"/>
      <c r="AT197" s="74" t="str">
        <f>IF(COUNTIF(AK197:AS197,"&lt;&gt;"&amp;"")=9,SUM(AK197:AS197),"-")</f>
        <v>-</v>
      </c>
      <c r="AU197" s="148" t="str">
        <f>IF(AND(ISNUMBER(AJ197),ISNUMBER(AT197)),AJ197+AT197,"-")</f>
        <v>-</v>
      </c>
      <c r="AV197" s="74" t="str">
        <f>IF(ISNUMBER(AU197),AU197-C197,"-")</f>
        <v>-</v>
      </c>
      <c r="AX197" s="59" t="str">
        <f t="shared" si="57"/>
        <v>-</v>
      </c>
      <c r="AY197" s="59" t="str">
        <f t="shared" si="58"/>
        <v>-</v>
      </c>
      <c r="AZ197" s="59" t="str">
        <f t="shared" si="59"/>
        <v>-</v>
      </c>
      <c r="BA197" s="59" t="str">
        <f t="shared" si="60"/>
        <v>-</v>
      </c>
      <c r="BB197" s="59" t="str">
        <f t="shared" si="61"/>
        <v>-</v>
      </c>
      <c r="BC197" s="59" t="str">
        <f t="shared" si="62"/>
        <v>-</v>
      </c>
      <c r="BD197" s="59" t="str">
        <f t="shared" si="63"/>
        <v>-</v>
      </c>
      <c r="BE197" s="59" t="str">
        <f t="shared" si="64"/>
        <v>-</v>
      </c>
      <c r="BF197" s="59" t="str">
        <f t="shared" si="65"/>
        <v>-</v>
      </c>
      <c r="BG197" s="59" t="str">
        <f t="shared" si="66"/>
        <v>-</v>
      </c>
      <c r="BH197" s="59" t="str">
        <f t="shared" si="67"/>
        <v>-</v>
      </c>
      <c r="BI197" s="59" t="str">
        <f t="shared" si="68"/>
        <v>-</v>
      </c>
      <c r="BJ197" s="59" t="str">
        <f t="shared" si="69"/>
        <v>-</v>
      </c>
      <c r="BK197" s="59" t="str">
        <f t="shared" si="70"/>
        <v>-</v>
      </c>
      <c r="BL197" s="59" t="str">
        <f>IF(AND(R197&gt;0,AO197&gt;0),MIN(R197,AO197),"-")</f>
        <v>-</v>
      </c>
      <c r="BM197" s="59" t="str">
        <f>IF(AND(S197&gt;0,AP197&gt;0),MIN(S197,AP197),"-")</f>
        <v>-</v>
      </c>
      <c r="BN197" s="59" t="str">
        <f>IF(AND(T197&gt;0,AQ197&gt;0),MIN(T197,AQ197),"-")</f>
        <v>-</v>
      </c>
      <c r="BO197" s="59" t="str">
        <f>IF(AND(U197&gt;0,AR197&gt;0),MIN(U197,AR197),"-")</f>
        <v>-</v>
      </c>
      <c r="BP197" s="59" t="str">
        <f>IF(AND(V197&gt;0,AS197&gt;0),MIN(V197,AS197),"-")</f>
        <v>-</v>
      </c>
      <c r="BQ197" s="59" t="str">
        <f t="shared" si="71"/>
        <v>-</v>
      </c>
      <c r="BR197" s="59" t="str">
        <f t="shared" si="72"/>
        <v>-</v>
      </c>
      <c r="BS197" s="59" t="str">
        <f t="shared" si="73"/>
        <v>-</v>
      </c>
      <c r="BT197" s="98" t="str">
        <f>IF(ISNUMBER(BS197),BS197-(C197*Rules!$P$9/100),"-")</f>
        <v>-</v>
      </c>
      <c r="BU197" s="59" t="e">
        <f>RANK($BT197,$BT$5:$BT$106,1)+COUNTIF(BT$5:BT197,BT197)-1</f>
        <v>#VALUE!</v>
      </c>
      <c r="BV197" s="59" t="e">
        <f t="shared" si="74"/>
        <v>#VALUE!</v>
      </c>
      <c r="BW197" s="59" t="str">
        <f t="shared" si="75"/>
        <v xml:space="preserve"> </v>
      </c>
      <c r="BX197" s="59">
        <f t="shared" si="76"/>
        <v>0</v>
      </c>
      <c r="BY197" s="98" t="str">
        <f t="shared" si="77"/>
        <v>-</v>
      </c>
      <c r="CD197" s="79"/>
      <c r="CE197" s="80"/>
      <c r="CF197" s="81"/>
      <c r="CL197" s="77">
        <v>1</v>
      </c>
    </row>
    <row r="198" spans="1:90" ht="17.45" customHeight="1">
      <c r="A198" s="58">
        <v>194</v>
      </c>
      <c r="B198" s="59" t="str">
        <f>'A Div'!A198 &amp; " " &amp; 'A Div'!B198</f>
        <v xml:space="preserve"> </v>
      </c>
      <c r="C198" s="59">
        <f>'A Div'!E198</f>
        <v>0</v>
      </c>
      <c r="D198" s="60"/>
      <c r="E198" s="60"/>
      <c r="F198" s="60"/>
      <c r="G198" s="60"/>
      <c r="H198" s="60"/>
      <c r="I198" s="60"/>
      <c r="J198" s="60"/>
      <c r="K198" s="60"/>
      <c r="L198" s="60"/>
      <c r="M198" s="74" t="str">
        <f t="shared" ref="M198:M215" si="78">IF(COUNTIF(D198:L198,"&lt;&gt;"&amp;"")=9,SUM(D198:L198),"-")</f>
        <v>-</v>
      </c>
      <c r="N198" s="60"/>
      <c r="O198" s="60"/>
      <c r="P198" s="60"/>
      <c r="Q198" s="60"/>
      <c r="R198" s="60"/>
      <c r="S198" s="60"/>
      <c r="T198" s="60"/>
      <c r="U198" s="60"/>
      <c r="V198" s="60"/>
      <c r="W198" s="74" t="str">
        <f t="shared" ref="W198:W215" si="79">IF(COUNTIF(N198:V198,"&lt;&gt;"&amp;"")=9,SUM(N198:V198),"-")</f>
        <v>-</v>
      </c>
      <c r="X198" s="148" t="str">
        <f t="shared" ref="X198:X215" si="80">IF(AND(ISNUMBER(M198),ISNUMBER(W198)),M198+W198,"-")</f>
        <v>-</v>
      </c>
      <c r="Y198" s="74" t="str">
        <f t="shared" ref="Y198:Y215" si="81">IF(ISNUMBER(X198),X198-C198,"-")</f>
        <v>-</v>
      </c>
      <c r="AA198" s="60"/>
      <c r="AB198" s="60"/>
      <c r="AC198" s="60"/>
      <c r="AD198" s="60"/>
      <c r="AE198" s="60"/>
      <c r="AF198" s="60"/>
      <c r="AG198" s="60"/>
      <c r="AH198" s="60"/>
      <c r="AI198" s="60"/>
      <c r="AJ198" s="74" t="str">
        <f t="shared" ref="AJ198:AJ215" si="82">IF(COUNTIF(AA198:AI198,"&lt;&gt;"&amp;"")=9,SUM(AA198:AI198),"-")</f>
        <v>-</v>
      </c>
      <c r="AK198" s="60"/>
      <c r="AL198" s="60"/>
      <c r="AM198" s="60"/>
      <c r="AN198" s="60"/>
      <c r="AO198" s="60"/>
      <c r="AP198" s="60"/>
      <c r="AQ198" s="60"/>
      <c r="AR198" s="60"/>
      <c r="AS198" s="60"/>
      <c r="AT198" s="74" t="str">
        <f>IF(COUNTIF(AK198:AS198,"&lt;&gt;"&amp;"")=9,SUM(AK198:AS198),"-")</f>
        <v>-</v>
      </c>
      <c r="AU198" s="148" t="str">
        <f>IF(AND(ISNUMBER(AJ198),ISNUMBER(AT198)),AJ198+AT198,"-")</f>
        <v>-</v>
      </c>
      <c r="AV198" s="74" t="str">
        <f>IF(ISNUMBER(AU198),AU198-C198,"-")</f>
        <v>-</v>
      </c>
      <c r="AX198" s="59" t="str">
        <f t="shared" ref="AX198:AX215" si="83">IF(AND(D198&gt;0,AA198&gt;0),MIN(D198,AA198),"-")</f>
        <v>-</v>
      </c>
      <c r="AY198" s="59" t="str">
        <f t="shared" ref="AY198:AY215" si="84">IF(AND(E198&gt;0,AB198&gt;0),MIN(E198,AB198),"-")</f>
        <v>-</v>
      </c>
      <c r="AZ198" s="59" t="str">
        <f t="shared" ref="AZ198:AZ215" si="85">IF(AND(F198&gt;0,AC198&gt;0),MIN(F198,AC198),"-")</f>
        <v>-</v>
      </c>
      <c r="BA198" s="59" t="str">
        <f t="shared" ref="BA198:BA215" si="86">IF(AND(G198&gt;0,AD198&gt;0),MIN(G198,AD198),"-")</f>
        <v>-</v>
      </c>
      <c r="BB198" s="59" t="str">
        <f t="shared" ref="BB198:BB215" si="87">IF(AND(H198&gt;0,AE198&gt;0),MIN(H198,AE198),"-")</f>
        <v>-</v>
      </c>
      <c r="BC198" s="59" t="str">
        <f t="shared" ref="BC198:BC215" si="88">IF(AND(I198&gt;0,AF198&gt;0),MIN(I198,AF198),"-")</f>
        <v>-</v>
      </c>
      <c r="BD198" s="59" t="str">
        <f t="shared" ref="BD198:BD215" si="89">IF(AND(J198&gt;0,AG198&gt;0),MIN(J198,AG198),"-")</f>
        <v>-</v>
      </c>
      <c r="BE198" s="59" t="str">
        <f t="shared" ref="BE198:BE215" si="90">IF(AND(K198&gt;0,AH198&gt;0),MIN(K198,AH198),"-")</f>
        <v>-</v>
      </c>
      <c r="BF198" s="59" t="str">
        <f t="shared" ref="BF198:BF215" si="91">IF(AND(L198&gt;0,AI198&gt;0),MIN(L198,AI198),"-")</f>
        <v>-</v>
      </c>
      <c r="BG198" s="59" t="str">
        <f t="shared" ref="BG198:BG215" si="92">IF(COUNTIF(AX198:BF198,"&lt;&gt;-")=9,SUM(AX198:BF198),"-")</f>
        <v>-</v>
      </c>
      <c r="BH198" s="59" t="str">
        <f t="shared" ref="BH198:BH215" si="93">IF(AND(N198&gt;0,AK198&gt;0),MIN(N198,AK198),"-")</f>
        <v>-</v>
      </c>
      <c r="BI198" s="59" t="str">
        <f t="shared" ref="BI198:BI215" si="94">IF(AND(O198&gt;0,AL198&gt;0),MIN(O198,AL198),"-")</f>
        <v>-</v>
      </c>
      <c r="BJ198" s="59" t="str">
        <f t="shared" ref="BJ198:BJ215" si="95">IF(AND(P198&gt;0,AM198&gt;0),MIN(P198,AM198),"-")</f>
        <v>-</v>
      </c>
      <c r="BK198" s="59" t="str">
        <f t="shared" ref="BK198:BK215" si="96">IF(AND(Q198&gt;0,AN198&gt;0),MIN(Q198,AN198),"-")</f>
        <v>-</v>
      </c>
      <c r="BL198" s="59" t="str">
        <f>IF(AND(R198&gt;0,AO198&gt;0),MIN(R198,AO198),"-")</f>
        <v>-</v>
      </c>
      <c r="BM198" s="59" t="str">
        <f>IF(AND(S198&gt;0,AP198&gt;0),MIN(S198,AP198),"-")</f>
        <v>-</v>
      </c>
      <c r="BN198" s="59" t="str">
        <f>IF(AND(T198&gt;0,AQ198&gt;0),MIN(T198,AQ198),"-")</f>
        <v>-</v>
      </c>
      <c r="BO198" s="59" t="str">
        <f>IF(AND(U198&gt;0,AR198&gt;0),MIN(U198,AR198),"-")</f>
        <v>-</v>
      </c>
      <c r="BP198" s="59" t="str">
        <f>IF(AND(V198&gt;0,AS198&gt;0),MIN(V198,AS198),"-")</f>
        <v>-</v>
      </c>
      <c r="BQ198" s="59" t="str">
        <f t="shared" ref="BQ198:BQ215" si="97">IF(COUNTIF(BH198:BP198,"&lt;&gt;-")=9,SUM(BH198:BP198),"-")</f>
        <v>-</v>
      </c>
      <c r="BR198" s="59" t="str">
        <f t="shared" ref="BR198:BR215" si="98">BG198</f>
        <v>-</v>
      </c>
      <c r="BS198" s="59" t="str">
        <f t="shared" ref="BS198:BS215" si="99">IF(COUNTIF(BQ198:BR198,"&lt;&gt;-")=2,SUM(BQ198:BR198),"-")</f>
        <v>-</v>
      </c>
      <c r="BT198" s="98" t="str">
        <f>IF(ISNUMBER(BS198),BS198-(C198*Rules!$P$9/100),"-")</f>
        <v>-</v>
      </c>
      <c r="BU198" s="59" t="e">
        <f>RANK($BT198,$BT$5:$BT$106,1)+COUNTIF(BT$5:BT198,BT198)-1</f>
        <v>#VALUE!</v>
      </c>
      <c r="BV198" s="59" t="e">
        <f t="shared" ref="BV198:BV215" si="100">RANK(BT198,$BT$5:$BT$215,1)</f>
        <v>#VALUE!</v>
      </c>
      <c r="BW198" s="59" t="str">
        <f t="shared" ref="BW198:BW215" si="101">B198</f>
        <v xml:space="preserve"> </v>
      </c>
      <c r="BX198" s="59">
        <f t="shared" ref="BX198:BX215" si="102">C198</f>
        <v>0</v>
      </c>
      <c r="BY198" s="98" t="str">
        <f t="shared" ref="BY198:BY215" si="103">BT198</f>
        <v>-</v>
      </c>
      <c r="CD198" s="79"/>
      <c r="CE198" s="80"/>
      <c r="CF198" s="81"/>
      <c r="CL198" s="77">
        <v>1</v>
      </c>
    </row>
    <row r="199" spans="1:90" ht="17.45" customHeight="1">
      <c r="A199" s="58">
        <v>195</v>
      </c>
      <c r="B199" s="59" t="str">
        <f>'A Div'!A199 &amp; " " &amp; 'A Div'!B199</f>
        <v xml:space="preserve"> </v>
      </c>
      <c r="C199" s="59">
        <f>'A Div'!E199</f>
        <v>0</v>
      </c>
      <c r="D199" s="60"/>
      <c r="E199" s="60"/>
      <c r="F199" s="60"/>
      <c r="G199" s="60"/>
      <c r="H199" s="60"/>
      <c r="I199" s="60"/>
      <c r="J199" s="60"/>
      <c r="K199" s="60"/>
      <c r="L199" s="60"/>
      <c r="M199" s="74" t="str">
        <f t="shared" si="78"/>
        <v>-</v>
      </c>
      <c r="N199" s="60"/>
      <c r="O199" s="60"/>
      <c r="P199" s="60"/>
      <c r="Q199" s="60"/>
      <c r="R199" s="60"/>
      <c r="S199" s="60"/>
      <c r="T199" s="60"/>
      <c r="U199" s="60"/>
      <c r="V199" s="60"/>
      <c r="W199" s="74" t="str">
        <f t="shared" si="79"/>
        <v>-</v>
      </c>
      <c r="X199" s="148" t="str">
        <f t="shared" si="80"/>
        <v>-</v>
      </c>
      <c r="Y199" s="74" t="str">
        <f t="shared" si="81"/>
        <v>-</v>
      </c>
      <c r="AA199" s="60"/>
      <c r="AB199" s="60"/>
      <c r="AC199" s="60"/>
      <c r="AD199" s="60"/>
      <c r="AE199" s="60"/>
      <c r="AF199" s="60"/>
      <c r="AG199" s="60"/>
      <c r="AH199" s="60"/>
      <c r="AI199" s="60"/>
      <c r="AJ199" s="74" t="str">
        <f t="shared" si="82"/>
        <v>-</v>
      </c>
      <c r="AK199" s="60"/>
      <c r="AL199" s="60"/>
      <c r="AM199" s="60"/>
      <c r="AN199" s="60"/>
      <c r="AO199" s="60"/>
      <c r="AP199" s="60"/>
      <c r="AQ199" s="60"/>
      <c r="AR199" s="60"/>
      <c r="AS199" s="60"/>
      <c r="AT199" s="74" t="str">
        <f>IF(COUNTIF(AK199:AS199,"&lt;&gt;"&amp;"")=9,SUM(AK199:AS199),"-")</f>
        <v>-</v>
      </c>
      <c r="AU199" s="148" t="str">
        <f>IF(AND(ISNUMBER(AJ199),ISNUMBER(AT199)),AJ199+AT199,"-")</f>
        <v>-</v>
      </c>
      <c r="AV199" s="74" t="str">
        <f>IF(ISNUMBER(AU199),AU199-C199,"-")</f>
        <v>-</v>
      </c>
      <c r="AX199" s="59" t="str">
        <f t="shared" si="83"/>
        <v>-</v>
      </c>
      <c r="AY199" s="59" t="str">
        <f t="shared" si="84"/>
        <v>-</v>
      </c>
      <c r="AZ199" s="59" t="str">
        <f t="shared" si="85"/>
        <v>-</v>
      </c>
      <c r="BA199" s="59" t="str">
        <f t="shared" si="86"/>
        <v>-</v>
      </c>
      <c r="BB199" s="59" t="str">
        <f t="shared" si="87"/>
        <v>-</v>
      </c>
      <c r="BC199" s="59" t="str">
        <f t="shared" si="88"/>
        <v>-</v>
      </c>
      <c r="BD199" s="59" t="str">
        <f t="shared" si="89"/>
        <v>-</v>
      </c>
      <c r="BE199" s="59" t="str">
        <f t="shared" si="90"/>
        <v>-</v>
      </c>
      <c r="BF199" s="59" t="str">
        <f t="shared" si="91"/>
        <v>-</v>
      </c>
      <c r="BG199" s="59" t="str">
        <f t="shared" si="92"/>
        <v>-</v>
      </c>
      <c r="BH199" s="59" t="str">
        <f t="shared" si="93"/>
        <v>-</v>
      </c>
      <c r="BI199" s="59" t="str">
        <f t="shared" si="94"/>
        <v>-</v>
      </c>
      <c r="BJ199" s="59" t="str">
        <f t="shared" si="95"/>
        <v>-</v>
      </c>
      <c r="BK199" s="59" t="str">
        <f t="shared" si="96"/>
        <v>-</v>
      </c>
      <c r="BL199" s="59" t="str">
        <f>IF(AND(R199&gt;0,AO199&gt;0),MIN(R199,AO199),"-")</f>
        <v>-</v>
      </c>
      <c r="BM199" s="59" t="str">
        <f>IF(AND(S199&gt;0,AP199&gt;0),MIN(S199,AP199),"-")</f>
        <v>-</v>
      </c>
      <c r="BN199" s="59" t="str">
        <f>IF(AND(T199&gt;0,AQ199&gt;0),MIN(T199,AQ199),"-")</f>
        <v>-</v>
      </c>
      <c r="BO199" s="59" t="str">
        <f>IF(AND(U199&gt;0,AR199&gt;0),MIN(U199,AR199),"-")</f>
        <v>-</v>
      </c>
      <c r="BP199" s="59" t="str">
        <f>IF(AND(V199&gt;0,AS199&gt;0),MIN(V199,AS199),"-")</f>
        <v>-</v>
      </c>
      <c r="BQ199" s="59" t="str">
        <f t="shared" si="97"/>
        <v>-</v>
      </c>
      <c r="BR199" s="59" t="str">
        <f t="shared" si="98"/>
        <v>-</v>
      </c>
      <c r="BS199" s="59" t="str">
        <f t="shared" si="99"/>
        <v>-</v>
      </c>
      <c r="BT199" s="98" t="str">
        <f>IF(ISNUMBER(BS199),BS199-(C199*Rules!$P$9/100),"-")</f>
        <v>-</v>
      </c>
      <c r="BU199" s="59" t="e">
        <f>RANK($BT199,$BT$5:$BT$106,1)+COUNTIF(BT$5:BT199,BT199)-1</f>
        <v>#VALUE!</v>
      </c>
      <c r="BV199" s="59" t="e">
        <f t="shared" si="100"/>
        <v>#VALUE!</v>
      </c>
      <c r="BW199" s="59" t="str">
        <f t="shared" si="101"/>
        <v xml:space="preserve"> </v>
      </c>
      <c r="BX199" s="59">
        <f t="shared" si="102"/>
        <v>0</v>
      </c>
      <c r="BY199" s="98" t="str">
        <f t="shared" si="103"/>
        <v>-</v>
      </c>
      <c r="CD199" s="79"/>
      <c r="CE199" s="80"/>
      <c r="CF199" s="81"/>
      <c r="CL199" s="77">
        <v>1</v>
      </c>
    </row>
    <row r="200" spans="1:90" ht="17.45" customHeight="1">
      <c r="A200" s="58">
        <v>196</v>
      </c>
      <c r="B200" s="59" t="str">
        <f>'A Div'!A200 &amp; " " &amp; 'A Div'!B200</f>
        <v xml:space="preserve"> </v>
      </c>
      <c r="C200" s="59">
        <f>'A Div'!E200</f>
        <v>0</v>
      </c>
      <c r="D200" s="60"/>
      <c r="E200" s="60"/>
      <c r="F200" s="60"/>
      <c r="G200" s="60"/>
      <c r="H200" s="60"/>
      <c r="I200" s="60"/>
      <c r="J200" s="60"/>
      <c r="K200" s="60"/>
      <c r="L200" s="60"/>
      <c r="M200" s="74" t="str">
        <f t="shared" si="78"/>
        <v>-</v>
      </c>
      <c r="N200" s="60"/>
      <c r="O200" s="60"/>
      <c r="P200" s="60"/>
      <c r="Q200" s="60"/>
      <c r="R200" s="60"/>
      <c r="S200" s="60"/>
      <c r="T200" s="60"/>
      <c r="U200" s="60"/>
      <c r="V200" s="60"/>
      <c r="W200" s="74" t="str">
        <f t="shared" si="79"/>
        <v>-</v>
      </c>
      <c r="X200" s="148" t="str">
        <f t="shared" si="80"/>
        <v>-</v>
      </c>
      <c r="Y200" s="74" t="str">
        <f t="shared" si="81"/>
        <v>-</v>
      </c>
      <c r="AA200" s="60"/>
      <c r="AB200" s="60"/>
      <c r="AC200" s="60"/>
      <c r="AD200" s="60"/>
      <c r="AE200" s="60"/>
      <c r="AF200" s="60"/>
      <c r="AG200" s="60"/>
      <c r="AH200" s="60"/>
      <c r="AI200" s="60"/>
      <c r="AJ200" s="74" t="str">
        <f t="shared" si="82"/>
        <v>-</v>
      </c>
      <c r="AK200" s="60"/>
      <c r="AL200" s="60"/>
      <c r="AM200" s="60"/>
      <c r="AN200" s="60"/>
      <c r="AO200" s="60"/>
      <c r="AP200" s="60"/>
      <c r="AQ200" s="60"/>
      <c r="AR200" s="60"/>
      <c r="AS200" s="60"/>
      <c r="AT200" s="74" t="str">
        <f>IF(COUNTIF(AK200:AS200,"&lt;&gt;"&amp;"")=9,SUM(AK200:AS200),"-")</f>
        <v>-</v>
      </c>
      <c r="AU200" s="148" t="str">
        <f>IF(AND(ISNUMBER(AJ200),ISNUMBER(AT200)),AJ200+AT200,"-")</f>
        <v>-</v>
      </c>
      <c r="AV200" s="74" t="str">
        <f>IF(ISNUMBER(AU200),AU200-C200,"-")</f>
        <v>-</v>
      </c>
      <c r="AX200" s="59" t="str">
        <f t="shared" si="83"/>
        <v>-</v>
      </c>
      <c r="AY200" s="59" t="str">
        <f t="shared" si="84"/>
        <v>-</v>
      </c>
      <c r="AZ200" s="59" t="str">
        <f t="shared" si="85"/>
        <v>-</v>
      </c>
      <c r="BA200" s="59" t="str">
        <f t="shared" si="86"/>
        <v>-</v>
      </c>
      <c r="BB200" s="59" t="str">
        <f t="shared" si="87"/>
        <v>-</v>
      </c>
      <c r="BC200" s="59" t="str">
        <f t="shared" si="88"/>
        <v>-</v>
      </c>
      <c r="BD200" s="59" t="str">
        <f t="shared" si="89"/>
        <v>-</v>
      </c>
      <c r="BE200" s="59" t="str">
        <f t="shared" si="90"/>
        <v>-</v>
      </c>
      <c r="BF200" s="59" t="str">
        <f t="shared" si="91"/>
        <v>-</v>
      </c>
      <c r="BG200" s="59" t="str">
        <f t="shared" si="92"/>
        <v>-</v>
      </c>
      <c r="BH200" s="59" t="str">
        <f t="shared" si="93"/>
        <v>-</v>
      </c>
      <c r="BI200" s="59" t="str">
        <f t="shared" si="94"/>
        <v>-</v>
      </c>
      <c r="BJ200" s="59" t="str">
        <f t="shared" si="95"/>
        <v>-</v>
      </c>
      <c r="BK200" s="59" t="str">
        <f t="shared" si="96"/>
        <v>-</v>
      </c>
      <c r="BL200" s="59" t="str">
        <f>IF(AND(R200&gt;0,AO200&gt;0),MIN(R200,AO200),"-")</f>
        <v>-</v>
      </c>
      <c r="BM200" s="59" t="str">
        <f>IF(AND(S200&gt;0,AP200&gt;0),MIN(S200,AP200),"-")</f>
        <v>-</v>
      </c>
      <c r="BN200" s="59" t="str">
        <f>IF(AND(T200&gt;0,AQ200&gt;0),MIN(T200,AQ200),"-")</f>
        <v>-</v>
      </c>
      <c r="BO200" s="59" t="str">
        <f>IF(AND(U200&gt;0,AR200&gt;0),MIN(U200,AR200),"-")</f>
        <v>-</v>
      </c>
      <c r="BP200" s="59" t="str">
        <f>IF(AND(V200&gt;0,AS200&gt;0),MIN(V200,AS200),"-")</f>
        <v>-</v>
      </c>
      <c r="BQ200" s="59" t="str">
        <f t="shared" si="97"/>
        <v>-</v>
      </c>
      <c r="BR200" s="59" t="str">
        <f t="shared" si="98"/>
        <v>-</v>
      </c>
      <c r="BS200" s="59" t="str">
        <f t="shared" si="99"/>
        <v>-</v>
      </c>
      <c r="BT200" s="98" t="str">
        <f>IF(ISNUMBER(BS200),BS200-(C200*Rules!$P$9/100),"-")</f>
        <v>-</v>
      </c>
      <c r="BU200" s="59" t="e">
        <f>RANK($BT200,$BT$5:$BT$106,1)+COUNTIF(BT$5:BT200,BT200)-1</f>
        <v>#VALUE!</v>
      </c>
      <c r="BV200" s="59" t="e">
        <f t="shared" si="100"/>
        <v>#VALUE!</v>
      </c>
      <c r="BW200" s="59" t="str">
        <f t="shared" si="101"/>
        <v xml:space="preserve"> </v>
      </c>
      <c r="BX200" s="59">
        <f t="shared" si="102"/>
        <v>0</v>
      </c>
      <c r="BY200" s="98" t="str">
        <f t="shared" si="103"/>
        <v>-</v>
      </c>
      <c r="CD200" s="79"/>
      <c r="CE200" s="80"/>
      <c r="CF200" s="81"/>
      <c r="CL200" s="77">
        <v>1</v>
      </c>
    </row>
    <row r="201" spans="1:90" ht="17.45" customHeight="1">
      <c r="A201" s="58">
        <v>197</v>
      </c>
      <c r="B201" s="59" t="str">
        <f>'A Div'!A201 &amp; " " &amp; 'A Div'!B201</f>
        <v xml:space="preserve"> </v>
      </c>
      <c r="C201" s="59">
        <f>'A Div'!E201</f>
        <v>0</v>
      </c>
      <c r="D201" s="60"/>
      <c r="E201" s="60"/>
      <c r="F201" s="60"/>
      <c r="G201" s="60"/>
      <c r="H201" s="60"/>
      <c r="I201" s="60"/>
      <c r="J201" s="60"/>
      <c r="K201" s="60"/>
      <c r="L201" s="60"/>
      <c r="M201" s="74" t="str">
        <f t="shared" si="78"/>
        <v>-</v>
      </c>
      <c r="N201" s="60"/>
      <c r="O201" s="60"/>
      <c r="P201" s="60"/>
      <c r="Q201" s="60"/>
      <c r="R201" s="60"/>
      <c r="S201" s="60"/>
      <c r="T201" s="60"/>
      <c r="U201" s="60"/>
      <c r="V201" s="60"/>
      <c r="W201" s="74" t="str">
        <f t="shared" si="79"/>
        <v>-</v>
      </c>
      <c r="X201" s="148" t="str">
        <f t="shared" si="80"/>
        <v>-</v>
      </c>
      <c r="Y201" s="74" t="str">
        <f t="shared" si="81"/>
        <v>-</v>
      </c>
      <c r="AA201" s="60"/>
      <c r="AB201" s="60"/>
      <c r="AC201" s="60"/>
      <c r="AD201" s="60"/>
      <c r="AE201" s="60"/>
      <c r="AF201" s="60"/>
      <c r="AG201" s="60"/>
      <c r="AH201" s="60"/>
      <c r="AI201" s="60"/>
      <c r="AJ201" s="74" t="str">
        <f t="shared" si="82"/>
        <v>-</v>
      </c>
      <c r="AK201" s="60"/>
      <c r="AL201" s="60"/>
      <c r="AM201" s="60"/>
      <c r="AN201" s="60"/>
      <c r="AO201" s="60"/>
      <c r="AP201" s="60"/>
      <c r="AQ201" s="60"/>
      <c r="AR201" s="60"/>
      <c r="AS201" s="60"/>
      <c r="AT201" s="74" t="str">
        <f>IF(COUNTIF(AK201:AS201,"&lt;&gt;"&amp;"")=9,SUM(AK201:AS201),"-")</f>
        <v>-</v>
      </c>
      <c r="AU201" s="148" t="str">
        <f>IF(AND(ISNUMBER(AJ201),ISNUMBER(AT201)),AJ201+AT201,"-")</f>
        <v>-</v>
      </c>
      <c r="AV201" s="74" t="str">
        <f>IF(ISNUMBER(AU201),AU201-C201,"-")</f>
        <v>-</v>
      </c>
      <c r="AX201" s="59" t="str">
        <f t="shared" si="83"/>
        <v>-</v>
      </c>
      <c r="AY201" s="59" t="str">
        <f t="shared" si="84"/>
        <v>-</v>
      </c>
      <c r="AZ201" s="59" t="str">
        <f t="shared" si="85"/>
        <v>-</v>
      </c>
      <c r="BA201" s="59" t="str">
        <f t="shared" si="86"/>
        <v>-</v>
      </c>
      <c r="BB201" s="59" t="str">
        <f t="shared" si="87"/>
        <v>-</v>
      </c>
      <c r="BC201" s="59" t="str">
        <f t="shared" si="88"/>
        <v>-</v>
      </c>
      <c r="BD201" s="59" t="str">
        <f t="shared" si="89"/>
        <v>-</v>
      </c>
      <c r="BE201" s="59" t="str">
        <f t="shared" si="90"/>
        <v>-</v>
      </c>
      <c r="BF201" s="59" t="str">
        <f t="shared" si="91"/>
        <v>-</v>
      </c>
      <c r="BG201" s="59" t="str">
        <f t="shared" si="92"/>
        <v>-</v>
      </c>
      <c r="BH201" s="59" t="str">
        <f t="shared" si="93"/>
        <v>-</v>
      </c>
      <c r="BI201" s="59" t="str">
        <f t="shared" si="94"/>
        <v>-</v>
      </c>
      <c r="BJ201" s="59" t="str">
        <f t="shared" si="95"/>
        <v>-</v>
      </c>
      <c r="BK201" s="59" t="str">
        <f t="shared" si="96"/>
        <v>-</v>
      </c>
      <c r="BL201" s="59" t="str">
        <f>IF(AND(R201&gt;0,AO201&gt;0),MIN(R201,AO201),"-")</f>
        <v>-</v>
      </c>
      <c r="BM201" s="59" t="str">
        <f>IF(AND(S201&gt;0,AP201&gt;0),MIN(S201,AP201),"-")</f>
        <v>-</v>
      </c>
      <c r="BN201" s="59" t="str">
        <f>IF(AND(T201&gt;0,AQ201&gt;0),MIN(T201,AQ201),"-")</f>
        <v>-</v>
      </c>
      <c r="BO201" s="59" t="str">
        <f>IF(AND(U201&gt;0,AR201&gt;0),MIN(U201,AR201),"-")</f>
        <v>-</v>
      </c>
      <c r="BP201" s="59" t="str">
        <f>IF(AND(V201&gt;0,AS201&gt;0),MIN(V201,AS201),"-")</f>
        <v>-</v>
      </c>
      <c r="BQ201" s="59" t="str">
        <f t="shared" si="97"/>
        <v>-</v>
      </c>
      <c r="BR201" s="59" t="str">
        <f t="shared" si="98"/>
        <v>-</v>
      </c>
      <c r="BS201" s="59" t="str">
        <f t="shared" si="99"/>
        <v>-</v>
      </c>
      <c r="BT201" s="98" t="str">
        <f>IF(ISNUMBER(BS201),BS201-(C201*Rules!$P$9/100),"-")</f>
        <v>-</v>
      </c>
      <c r="BU201" s="59" t="e">
        <f>RANK($BT201,$BT$5:$BT$106,1)+COUNTIF(BT$5:BT201,BT201)-1</f>
        <v>#VALUE!</v>
      </c>
      <c r="BV201" s="59" t="e">
        <f t="shared" si="100"/>
        <v>#VALUE!</v>
      </c>
      <c r="BW201" s="59" t="str">
        <f t="shared" si="101"/>
        <v xml:space="preserve"> </v>
      </c>
      <c r="BX201" s="59">
        <f t="shared" si="102"/>
        <v>0</v>
      </c>
      <c r="BY201" s="98" t="str">
        <f t="shared" si="103"/>
        <v>-</v>
      </c>
      <c r="CD201" s="79"/>
      <c r="CE201" s="80"/>
      <c r="CF201" s="81"/>
      <c r="CL201" s="77">
        <v>1</v>
      </c>
    </row>
    <row r="202" spans="1:90" ht="17.45" customHeight="1">
      <c r="A202" s="58">
        <v>198</v>
      </c>
      <c r="B202" s="59" t="str">
        <f>'A Div'!A202 &amp; " " &amp; 'A Div'!B202</f>
        <v xml:space="preserve"> </v>
      </c>
      <c r="C202" s="59">
        <f>'A Div'!E202</f>
        <v>0</v>
      </c>
      <c r="D202" s="60"/>
      <c r="E202" s="60"/>
      <c r="F202" s="60"/>
      <c r="G202" s="60"/>
      <c r="H202" s="60"/>
      <c r="I202" s="60"/>
      <c r="J202" s="60"/>
      <c r="K202" s="60"/>
      <c r="L202" s="60"/>
      <c r="M202" s="74" t="str">
        <f t="shared" si="78"/>
        <v>-</v>
      </c>
      <c r="N202" s="60"/>
      <c r="O202" s="60"/>
      <c r="P202" s="60"/>
      <c r="Q202" s="60"/>
      <c r="R202" s="60"/>
      <c r="S202" s="60"/>
      <c r="T202" s="60"/>
      <c r="U202" s="60"/>
      <c r="V202" s="60"/>
      <c r="W202" s="74" t="str">
        <f t="shared" si="79"/>
        <v>-</v>
      </c>
      <c r="X202" s="148" t="str">
        <f t="shared" si="80"/>
        <v>-</v>
      </c>
      <c r="Y202" s="74" t="str">
        <f t="shared" si="81"/>
        <v>-</v>
      </c>
      <c r="AA202" s="60"/>
      <c r="AB202" s="60"/>
      <c r="AC202" s="60"/>
      <c r="AD202" s="60"/>
      <c r="AE202" s="60"/>
      <c r="AF202" s="60"/>
      <c r="AG202" s="60"/>
      <c r="AH202" s="60"/>
      <c r="AI202" s="60"/>
      <c r="AJ202" s="74" t="str">
        <f t="shared" si="82"/>
        <v>-</v>
      </c>
      <c r="AK202" s="60"/>
      <c r="AL202" s="60"/>
      <c r="AM202" s="60"/>
      <c r="AN202" s="60"/>
      <c r="AO202" s="60"/>
      <c r="AP202" s="60"/>
      <c r="AQ202" s="60"/>
      <c r="AR202" s="60"/>
      <c r="AS202" s="60"/>
      <c r="AT202" s="74" t="str">
        <f>IF(COUNTIF(AK202:AS202,"&lt;&gt;"&amp;"")=9,SUM(AK202:AS202),"-")</f>
        <v>-</v>
      </c>
      <c r="AU202" s="148" t="str">
        <f>IF(AND(ISNUMBER(AJ202),ISNUMBER(AT202)),AJ202+AT202,"-")</f>
        <v>-</v>
      </c>
      <c r="AV202" s="74" t="str">
        <f>IF(ISNUMBER(AU202),AU202-C202,"-")</f>
        <v>-</v>
      </c>
      <c r="AX202" s="59" t="str">
        <f t="shared" si="83"/>
        <v>-</v>
      </c>
      <c r="AY202" s="59" t="str">
        <f t="shared" si="84"/>
        <v>-</v>
      </c>
      <c r="AZ202" s="59" t="str">
        <f t="shared" si="85"/>
        <v>-</v>
      </c>
      <c r="BA202" s="59" t="str">
        <f t="shared" si="86"/>
        <v>-</v>
      </c>
      <c r="BB202" s="59" t="str">
        <f t="shared" si="87"/>
        <v>-</v>
      </c>
      <c r="BC202" s="59" t="str">
        <f t="shared" si="88"/>
        <v>-</v>
      </c>
      <c r="BD202" s="59" t="str">
        <f t="shared" si="89"/>
        <v>-</v>
      </c>
      <c r="BE202" s="59" t="str">
        <f t="shared" si="90"/>
        <v>-</v>
      </c>
      <c r="BF202" s="59" t="str">
        <f t="shared" si="91"/>
        <v>-</v>
      </c>
      <c r="BG202" s="59" t="str">
        <f t="shared" si="92"/>
        <v>-</v>
      </c>
      <c r="BH202" s="59" t="str">
        <f t="shared" si="93"/>
        <v>-</v>
      </c>
      <c r="BI202" s="59" t="str">
        <f t="shared" si="94"/>
        <v>-</v>
      </c>
      <c r="BJ202" s="59" t="str">
        <f t="shared" si="95"/>
        <v>-</v>
      </c>
      <c r="BK202" s="59" t="str">
        <f t="shared" si="96"/>
        <v>-</v>
      </c>
      <c r="BL202" s="59" t="str">
        <f>IF(AND(R202&gt;0,AO202&gt;0),MIN(R202,AO202),"-")</f>
        <v>-</v>
      </c>
      <c r="BM202" s="59" t="str">
        <f>IF(AND(S202&gt;0,AP202&gt;0),MIN(S202,AP202),"-")</f>
        <v>-</v>
      </c>
      <c r="BN202" s="59" t="str">
        <f>IF(AND(T202&gt;0,AQ202&gt;0),MIN(T202,AQ202),"-")</f>
        <v>-</v>
      </c>
      <c r="BO202" s="59" t="str">
        <f>IF(AND(U202&gt;0,AR202&gt;0),MIN(U202,AR202),"-")</f>
        <v>-</v>
      </c>
      <c r="BP202" s="59" t="str">
        <f>IF(AND(V202&gt;0,AS202&gt;0),MIN(V202,AS202),"-")</f>
        <v>-</v>
      </c>
      <c r="BQ202" s="59" t="str">
        <f t="shared" si="97"/>
        <v>-</v>
      </c>
      <c r="BR202" s="59" t="str">
        <f t="shared" si="98"/>
        <v>-</v>
      </c>
      <c r="BS202" s="59" t="str">
        <f t="shared" si="99"/>
        <v>-</v>
      </c>
      <c r="BT202" s="98" t="str">
        <f>IF(ISNUMBER(BS202),BS202-(C202*Rules!$P$9/100),"-")</f>
        <v>-</v>
      </c>
      <c r="BU202" s="59" t="e">
        <f>RANK($BT202,$BT$5:$BT$106,1)+COUNTIF(BT$5:BT202,BT202)-1</f>
        <v>#VALUE!</v>
      </c>
      <c r="BV202" s="59" t="e">
        <f t="shared" si="100"/>
        <v>#VALUE!</v>
      </c>
      <c r="BW202" s="59" t="str">
        <f t="shared" si="101"/>
        <v xml:space="preserve"> </v>
      </c>
      <c r="BX202" s="59">
        <f t="shared" si="102"/>
        <v>0</v>
      </c>
      <c r="BY202" s="98" t="str">
        <f t="shared" si="103"/>
        <v>-</v>
      </c>
      <c r="CD202" s="79"/>
      <c r="CE202" s="80"/>
      <c r="CF202" s="81"/>
      <c r="CL202" s="77">
        <v>1</v>
      </c>
    </row>
    <row r="203" spans="1:90" ht="17.45" customHeight="1">
      <c r="A203" s="58">
        <v>199</v>
      </c>
      <c r="B203" s="59" t="str">
        <f>'A Div'!A203 &amp; " " &amp; 'A Div'!B203</f>
        <v xml:space="preserve"> </v>
      </c>
      <c r="C203" s="59">
        <f>'A Div'!E203</f>
        <v>0</v>
      </c>
      <c r="D203" s="60"/>
      <c r="E203" s="60"/>
      <c r="F203" s="60"/>
      <c r="G203" s="60"/>
      <c r="H203" s="60"/>
      <c r="I203" s="60"/>
      <c r="J203" s="60"/>
      <c r="K203" s="60"/>
      <c r="L203" s="60"/>
      <c r="M203" s="74" t="str">
        <f t="shared" si="78"/>
        <v>-</v>
      </c>
      <c r="N203" s="60"/>
      <c r="O203" s="60"/>
      <c r="P203" s="60"/>
      <c r="Q203" s="60"/>
      <c r="R203" s="60"/>
      <c r="S203" s="60"/>
      <c r="T203" s="60"/>
      <c r="U203" s="60"/>
      <c r="V203" s="60"/>
      <c r="W203" s="74" t="str">
        <f t="shared" si="79"/>
        <v>-</v>
      </c>
      <c r="X203" s="148" t="str">
        <f t="shared" si="80"/>
        <v>-</v>
      </c>
      <c r="Y203" s="74" t="str">
        <f t="shared" si="81"/>
        <v>-</v>
      </c>
      <c r="AA203" s="60"/>
      <c r="AB203" s="60"/>
      <c r="AC203" s="60"/>
      <c r="AD203" s="60"/>
      <c r="AE203" s="60"/>
      <c r="AF203" s="60"/>
      <c r="AG203" s="60"/>
      <c r="AH203" s="60"/>
      <c r="AI203" s="60"/>
      <c r="AJ203" s="74" t="str">
        <f t="shared" si="82"/>
        <v>-</v>
      </c>
      <c r="AK203" s="60"/>
      <c r="AL203" s="60"/>
      <c r="AM203" s="60"/>
      <c r="AN203" s="60"/>
      <c r="AO203" s="60"/>
      <c r="AP203" s="60"/>
      <c r="AQ203" s="60"/>
      <c r="AR203" s="60"/>
      <c r="AS203" s="60"/>
      <c r="AT203" s="74" t="str">
        <f>IF(COUNTIF(AK203:AS203,"&lt;&gt;"&amp;"")=9,SUM(AK203:AS203),"-")</f>
        <v>-</v>
      </c>
      <c r="AU203" s="148" t="str">
        <f>IF(AND(ISNUMBER(AJ203),ISNUMBER(AT203)),AJ203+AT203,"-")</f>
        <v>-</v>
      </c>
      <c r="AV203" s="74" t="str">
        <f>IF(ISNUMBER(AU203),AU203-C203,"-")</f>
        <v>-</v>
      </c>
      <c r="AX203" s="59" t="str">
        <f t="shared" si="83"/>
        <v>-</v>
      </c>
      <c r="AY203" s="59" t="str">
        <f t="shared" si="84"/>
        <v>-</v>
      </c>
      <c r="AZ203" s="59" t="str">
        <f t="shared" si="85"/>
        <v>-</v>
      </c>
      <c r="BA203" s="59" t="str">
        <f t="shared" si="86"/>
        <v>-</v>
      </c>
      <c r="BB203" s="59" t="str">
        <f t="shared" si="87"/>
        <v>-</v>
      </c>
      <c r="BC203" s="59" t="str">
        <f t="shared" si="88"/>
        <v>-</v>
      </c>
      <c r="BD203" s="59" t="str">
        <f t="shared" si="89"/>
        <v>-</v>
      </c>
      <c r="BE203" s="59" t="str">
        <f t="shared" si="90"/>
        <v>-</v>
      </c>
      <c r="BF203" s="59" t="str">
        <f t="shared" si="91"/>
        <v>-</v>
      </c>
      <c r="BG203" s="59" t="str">
        <f t="shared" si="92"/>
        <v>-</v>
      </c>
      <c r="BH203" s="59" t="str">
        <f t="shared" si="93"/>
        <v>-</v>
      </c>
      <c r="BI203" s="59" t="str">
        <f t="shared" si="94"/>
        <v>-</v>
      </c>
      <c r="BJ203" s="59" t="str">
        <f t="shared" si="95"/>
        <v>-</v>
      </c>
      <c r="BK203" s="59" t="str">
        <f t="shared" si="96"/>
        <v>-</v>
      </c>
      <c r="BL203" s="59" t="str">
        <f>IF(AND(R203&gt;0,AO203&gt;0),MIN(R203,AO203),"-")</f>
        <v>-</v>
      </c>
      <c r="BM203" s="59" t="str">
        <f>IF(AND(S203&gt;0,AP203&gt;0),MIN(S203,AP203),"-")</f>
        <v>-</v>
      </c>
      <c r="BN203" s="59" t="str">
        <f>IF(AND(T203&gt;0,AQ203&gt;0),MIN(T203,AQ203),"-")</f>
        <v>-</v>
      </c>
      <c r="BO203" s="59" t="str">
        <f>IF(AND(U203&gt;0,AR203&gt;0),MIN(U203,AR203),"-")</f>
        <v>-</v>
      </c>
      <c r="BP203" s="59" t="str">
        <f>IF(AND(V203&gt;0,AS203&gt;0),MIN(V203,AS203),"-")</f>
        <v>-</v>
      </c>
      <c r="BQ203" s="59" t="str">
        <f t="shared" si="97"/>
        <v>-</v>
      </c>
      <c r="BR203" s="59" t="str">
        <f t="shared" si="98"/>
        <v>-</v>
      </c>
      <c r="BS203" s="59" t="str">
        <f t="shared" si="99"/>
        <v>-</v>
      </c>
      <c r="BT203" s="98" t="str">
        <f>IF(ISNUMBER(BS203),BS203-(C203*Rules!$P$9/100),"-")</f>
        <v>-</v>
      </c>
      <c r="BU203" s="59" t="e">
        <f>RANK($BT203,$BT$5:$BT$106,1)+COUNTIF(BT$5:BT203,BT203)-1</f>
        <v>#VALUE!</v>
      </c>
      <c r="BV203" s="59" t="e">
        <f t="shared" si="100"/>
        <v>#VALUE!</v>
      </c>
      <c r="BW203" s="59" t="str">
        <f t="shared" si="101"/>
        <v xml:space="preserve"> </v>
      </c>
      <c r="BX203" s="59">
        <f t="shared" si="102"/>
        <v>0</v>
      </c>
      <c r="BY203" s="98" t="str">
        <f t="shared" si="103"/>
        <v>-</v>
      </c>
      <c r="CD203" s="79"/>
      <c r="CE203" s="80"/>
      <c r="CF203" s="81"/>
      <c r="CL203" s="77">
        <v>1</v>
      </c>
    </row>
    <row r="204" spans="1:90" ht="17.45" customHeight="1">
      <c r="A204" s="58">
        <v>200</v>
      </c>
      <c r="B204" s="59" t="str">
        <f>'A Div'!A204 &amp; " " &amp; 'A Div'!B204</f>
        <v xml:space="preserve"> </v>
      </c>
      <c r="C204" s="59">
        <f>'A Div'!E204</f>
        <v>0</v>
      </c>
      <c r="D204" s="60"/>
      <c r="E204" s="60"/>
      <c r="F204" s="60"/>
      <c r="G204" s="60"/>
      <c r="H204" s="60"/>
      <c r="I204" s="60"/>
      <c r="J204" s="60"/>
      <c r="K204" s="60"/>
      <c r="L204" s="60"/>
      <c r="M204" s="74" t="str">
        <f t="shared" si="78"/>
        <v>-</v>
      </c>
      <c r="N204" s="60"/>
      <c r="O204" s="60"/>
      <c r="P204" s="60"/>
      <c r="Q204" s="60"/>
      <c r="R204" s="60"/>
      <c r="S204" s="60"/>
      <c r="T204" s="60"/>
      <c r="U204" s="60"/>
      <c r="V204" s="60"/>
      <c r="W204" s="74" t="str">
        <f t="shared" si="79"/>
        <v>-</v>
      </c>
      <c r="X204" s="148" t="str">
        <f t="shared" si="80"/>
        <v>-</v>
      </c>
      <c r="Y204" s="74" t="str">
        <f t="shared" si="81"/>
        <v>-</v>
      </c>
      <c r="AA204" s="60"/>
      <c r="AB204" s="60"/>
      <c r="AC204" s="60"/>
      <c r="AD204" s="60"/>
      <c r="AE204" s="60"/>
      <c r="AF204" s="60"/>
      <c r="AG204" s="60"/>
      <c r="AH204" s="60"/>
      <c r="AI204" s="60"/>
      <c r="AJ204" s="74" t="str">
        <f t="shared" si="82"/>
        <v>-</v>
      </c>
      <c r="AK204" s="60"/>
      <c r="AL204" s="60"/>
      <c r="AM204" s="60"/>
      <c r="AN204" s="60"/>
      <c r="AO204" s="60"/>
      <c r="AP204" s="60"/>
      <c r="AQ204" s="60"/>
      <c r="AR204" s="60"/>
      <c r="AS204" s="60"/>
      <c r="AT204" s="74" t="str">
        <f>IF(COUNTIF(AK204:AS204,"&lt;&gt;"&amp;"")=9,SUM(AK204:AS204),"-")</f>
        <v>-</v>
      </c>
      <c r="AU204" s="148" t="str">
        <f>IF(AND(ISNUMBER(AJ204),ISNUMBER(AT204)),AJ204+AT204,"-")</f>
        <v>-</v>
      </c>
      <c r="AV204" s="74" t="str">
        <f>IF(ISNUMBER(AU204),AU204-C204,"-")</f>
        <v>-</v>
      </c>
      <c r="AX204" s="59" t="str">
        <f t="shared" si="83"/>
        <v>-</v>
      </c>
      <c r="AY204" s="59" t="str">
        <f t="shared" si="84"/>
        <v>-</v>
      </c>
      <c r="AZ204" s="59" t="str">
        <f t="shared" si="85"/>
        <v>-</v>
      </c>
      <c r="BA204" s="59" t="str">
        <f t="shared" si="86"/>
        <v>-</v>
      </c>
      <c r="BB204" s="59" t="str">
        <f t="shared" si="87"/>
        <v>-</v>
      </c>
      <c r="BC204" s="59" t="str">
        <f t="shared" si="88"/>
        <v>-</v>
      </c>
      <c r="BD204" s="59" t="str">
        <f t="shared" si="89"/>
        <v>-</v>
      </c>
      <c r="BE204" s="59" t="str">
        <f t="shared" si="90"/>
        <v>-</v>
      </c>
      <c r="BF204" s="59" t="str">
        <f t="shared" si="91"/>
        <v>-</v>
      </c>
      <c r="BG204" s="59" t="str">
        <f t="shared" si="92"/>
        <v>-</v>
      </c>
      <c r="BH204" s="59" t="str">
        <f t="shared" si="93"/>
        <v>-</v>
      </c>
      <c r="BI204" s="59" t="str">
        <f t="shared" si="94"/>
        <v>-</v>
      </c>
      <c r="BJ204" s="59" t="str">
        <f t="shared" si="95"/>
        <v>-</v>
      </c>
      <c r="BK204" s="59" t="str">
        <f t="shared" si="96"/>
        <v>-</v>
      </c>
      <c r="BL204" s="59" t="str">
        <f>IF(AND(R204&gt;0,AO204&gt;0),MIN(R204,AO204),"-")</f>
        <v>-</v>
      </c>
      <c r="BM204" s="59" t="str">
        <f>IF(AND(S204&gt;0,AP204&gt;0),MIN(S204,AP204),"-")</f>
        <v>-</v>
      </c>
      <c r="BN204" s="59" t="str">
        <f>IF(AND(T204&gt;0,AQ204&gt;0),MIN(T204,AQ204),"-")</f>
        <v>-</v>
      </c>
      <c r="BO204" s="59" t="str">
        <f>IF(AND(U204&gt;0,AR204&gt;0),MIN(U204,AR204),"-")</f>
        <v>-</v>
      </c>
      <c r="BP204" s="59" t="str">
        <f>IF(AND(V204&gt;0,AS204&gt;0),MIN(V204,AS204),"-")</f>
        <v>-</v>
      </c>
      <c r="BQ204" s="59" t="str">
        <f t="shared" si="97"/>
        <v>-</v>
      </c>
      <c r="BR204" s="59" t="str">
        <f t="shared" si="98"/>
        <v>-</v>
      </c>
      <c r="BS204" s="59" t="str">
        <f t="shared" si="99"/>
        <v>-</v>
      </c>
      <c r="BT204" s="98" t="str">
        <f>IF(ISNUMBER(BS204),BS204-(C204*Rules!$P$9/100),"-")</f>
        <v>-</v>
      </c>
      <c r="BU204" s="59" t="e">
        <f>RANK($BT204,$BT$5:$BT$106,1)+COUNTIF(BT$5:BT204,BT204)-1</f>
        <v>#VALUE!</v>
      </c>
      <c r="BV204" s="59" t="e">
        <f t="shared" si="100"/>
        <v>#VALUE!</v>
      </c>
      <c r="BW204" s="59" t="str">
        <f t="shared" si="101"/>
        <v xml:space="preserve"> </v>
      </c>
      <c r="BX204" s="59">
        <f t="shared" si="102"/>
        <v>0</v>
      </c>
      <c r="BY204" s="98" t="str">
        <f t="shared" si="103"/>
        <v>-</v>
      </c>
      <c r="CD204" s="79"/>
      <c r="CE204" s="80"/>
      <c r="CF204" s="81"/>
      <c r="CL204" s="77">
        <v>1</v>
      </c>
    </row>
    <row r="205" spans="1:90" ht="17.45" customHeight="1">
      <c r="A205" s="58">
        <v>201</v>
      </c>
      <c r="B205" s="59" t="str">
        <f>'A Div'!A205 &amp; " " &amp; 'A Div'!B205</f>
        <v xml:space="preserve"> </v>
      </c>
      <c r="C205" s="59">
        <f>'A Div'!E205</f>
        <v>0</v>
      </c>
      <c r="D205" s="60"/>
      <c r="E205" s="60"/>
      <c r="F205" s="60"/>
      <c r="G205" s="60"/>
      <c r="H205" s="60"/>
      <c r="I205" s="60"/>
      <c r="J205" s="60"/>
      <c r="K205" s="60"/>
      <c r="L205" s="60"/>
      <c r="M205" s="74" t="str">
        <f t="shared" si="78"/>
        <v>-</v>
      </c>
      <c r="N205" s="60"/>
      <c r="O205" s="60"/>
      <c r="P205" s="60"/>
      <c r="Q205" s="60"/>
      <c r="R205" s="60"/>
      <c r="S205" s="60"/>
      <c r="T205" s="60"/>
      <c r="U205" s="60"/>
      <c r="V205" s="60"/>
      <c r="W205" s="74" t="str">
        <f t="shared" si="79"/>
        <v>-</v>
      </c>
      <c r="X205" s="148" t="str">
        <f t="shared" si="80"/>
        <v>-</v>
      </c>
      <c r="Y205" s="74" t="str">
        <f t="shared" si="81"/>
        <v>-</v>
      </c>
      <c r="AA205" s="60"/>
      <c r="AB205" s="60"/>
      <c r="AC205" s="60"/>
      <c r="AD205" s="60"/>
      <c r="AE205" s="60"/>
      <c r="AF205" s="60"/>
      <c r="AG205" s="60"/>
      <c r="AH205" s="60"/>
      <c r="AI205" s="60"/>
      <c r="AJ205" s="74" t="str">
        <f t="shared" si="82"/>
        <v>-</v>
      </c>
      <c r="AK205" s="60"/>
      <c r="AL205" s="60"/>
      <c r="AM205" s="60"/>
      <c r="AN205" s="60"/>
      <c r="AO205" s="60"/>
      <c r="AP205" s="60"/>
      <c r="AQ205" s="60"/>
      <c r="AR205" s="60"/>
      <c r="AS205" s="60"/>
      <c r="AT205" s="74" t="str">
        <f>IF(COUNTIF(AK205:AS205,"&lt;&gt;"&amp;"")=9,SUM(AK205:AS205),"-")</f>
        <v>-</v>
      </c>
      <c r="AU205" s="148" t="str">
        <f>IF(AND(ISNUMBER(AJ205),ISNUMBER(AT205)),AJ205+AT205,"-")</f>
        <v>-</v>
      </c>
      <c r="AV205" s="74" t="str">
        <f>IF(ISNUMBER(AU205),AU205-C205,"-")</f>
        <v>-</v>
      </c>
      <c r="AX205" s="59" t="str">
        <f t="shared" si="83"/>
        <v>-</v>
      </c>
      <c r="AY205" s="59" t="str">
        <f t="shared" si="84"/>
        <v>-</v>
      </c>
      <c r="AZ205" s="59" t="str">
        <f t="shared" si="85"/>
        <v>-</v>
      </c>
      <c r="BA205" s="59" t="str">
        <f t="shared" si="86"/>
        <v>-</v>
      </c>
      <c r="BB205" s="59" t="str">
        <f t="shared" si="87"/>
        <v>-</v>
      </c>
      <c r="BC205" s="59" t="str">
        <f t="shared" si="88"/>
        <v>-</v>
      </c>
      <c r="BD205" s="59" t="str">
        <f t="shared" si="89"/>
        <v>-</v>
      </c>
      <c r="BE205" s="59" t="str">
        <f t="shared" si="90"/>
        <v>-</v>
      </c>
      <c r="BF205" s="59" t="str">
        <f t="shared" si="91"/>
        <v>-</v>
      </c>
      <c r="BG205" s="59" t="str">
        <f t="shared" si="92"/>
        <v>-</v>
      </c>
      <c r="BH205" s="59" t="str">
        <f t="shared" si="93"/>
        <v>-</v>
      </c>
      <c r="BI205" s="59" t="str">
        <f t="shared" si="94"/>
        <v>-</v>
      </c>
      <c r="BJ205" s="59" t="str">
        <f t="shared" si="95"/>
        <v>-</v>
      </c>
      <c r="BK205" s="59" t="str">
        <f t="shared" si="96"/>
        <v>-</v>
      </c>
      <c r="BL205" s="59" t="str">
        <f>IF(AND(R205&gt;0,AO205&gt;0),MIN(R205,AO205),"-")</f>
        <v>-</v>
      </c>
      <c r="BM205" s="59" t="str">
        <f>IF(AND(S205&gt;0,AP205&gt;0),MIN(S205,AP205),"-")</f>
        <v>-</v>
      </c>
      <c r="BN205" s="59" t="str">
        <f>IF(AND(T205&gt;0,AQ205&gt;0),MIN(T205,AQ205),"-")</f>
        <v>-</v>
      </c>
      <c r="BO205" s="59" t="str">
        <f>IF(AND(U205&gt;0,AR205&gt;0),MIN(U205,AR205),"-")</f>
        <v>-</v>
      </c>
      <c r="BP205" s="59" t="str">
        <f>IF(AND(V205&gt;0,AS205&gt;0),MIN(V205,AS205),"-")</f>
        <v>-</v>
      </c>
      <c r="BQ205" s="59" t="str">
        <f t="shared" si="97"/>
        <v>-</v>
      </c>
      <c r="BR205" s="59" t="str">
        <f t="shared" si="98"/>
        <v>-</v>
      </c>
      <c r="BS205" s="59" t="str">
        <f t="shared" si="99"/>
        <v>-</v>
      </c>
      <c r="BT205" s="98" t="str">
        <f>IF(ISNUMBER(BS205),BS205-(C205*Rules!$P$9/100),"-")</f>
        <v>-</v>
      </c>
      <c r="BU205" s="59" t="e">
        <f>RANK($BT205,$BT$5:$BT$106,1)+COUNTIF(BT$5:BT205,BT205)-1</f>
        <v>#VALUE!</v>
      </c>
      <c r="BV205" s="59" t="e">
        <f t="shared" si="100"/>
        <v>#VALUE!</v>
      </c>
      <c r="BW205" s="59" t="str">
        <f t="shared" si="101"/>
        <v xml:space="preserve"> </v>
      </c>
      <c r="BX205" s="59">
        <f t="shared" si="102"/>
        <v>0</v>
      </c>
      <c r="BY205" s="98" t="str">
        <f t="shared" si="103"/>
        <v>-</v>
      </c>
      <c r="CD205" s="79"/>
      <c r="CE205" s="80"/>
      <c r="CF205" s="81"/>
      <c r="CL205" s="77">
        <v>1</v>
      </c>
    </row>
    <row r="206" spans="1:90" ht="17.45" customHeight="1">
      <c r="A206" s="58">
        <v>202</v>
      </c>
      <c r="B206" s="59" t="str">
        <f>'A Div'!A206 &amp; " " &amp; 'A Div'!B206</f>
        <v xml:space="preserve"> </v>
      </c>
      <c r="C206" s="59">
        <f>'A Div'!E206</f>
        <v>0</v>
      </c>
      <c r="D206" s="60"/>
      <c r="E206" s="60"/>
      <c r="F206" s="60"/>
      <c r="G206" s="60"/>
      <c r="H206" s="60"/>
      <c r="I206" s="60"/>
      <c r="J206" s="60"/>
      <c r="K206" s="60"/>
      <c r="L206" s="60"/>
      <c r="M206" s="74" t="str">
        <f t="shared" si="78"/>
        <v>-</v>
      </c>
      <c r="N206" s="60"/>
      <c r="O206" s="60"/>
      <c r="P206" s="60"/>
      <c r="Q206" s="60"/>
      <c r="R206" s="60"/>
      <c r="S206" s="60"/>
      <c r="T206" s="60"/>
      <c r="U206" s="60"/>
      <c r="V206" s="60"/>
      <c r="W206" s="74" t="str">
        <f t="shared" si="79"/>
        <v>-</v>
      </c>
      <c r="X206" s="148" t="str">
        <f t="shared" si="80"/>
        <v>-</v>
      </c>
      <c r="Y206" s="74" t="str">
        <f t="shared" si="81"/>
        <v>-</v>
      </c>
      <c r="AA206" s="60"/>
      <c r="AB206" s="60"/>
      <c r="AC206" s="60"/>
      <c r="AD206" s="60"/>
      <c r="AE206" s="60"/>
      <c r="AF206" s="60"/>
      <c r="AG206" s="60"/>
      <c r="AH206" s="60"/>
      <c r="AI206" s="60"/>
      <c r="AJ206" s="74" t="str">
        <f t="shared" si="82"/>
        <v>-</v>
      </c>
      <c r="AK206" s="60"/>
      <c r="AL206" s="60"/>
      <c r="AM206" s="60"/>
      <c r="AN206" s="60"/>
      <c r="AO206" s="60"/>
      <c r="AP206" s="60"/>
      <c r="AQ206" s="60"/>
      <c r="AR206" s="60"/>
      <c r="AS206" s="60"/>
      <c r="AT206" s="74" t="str">
        <f>IF(COUNTIF(AK206:AS206,"&lt;&gt;"&amp;"")=9,SUM(AK206:AS206),"-")</f>
        <v>-</v>
      </c>
      <c r="AU206" s="148" t="str">
        <f>IF(AND(ISNUMBER(AJ206),ISNUMBER(AT206)),AJ206+AT206,"-")</f>
        <v>-</v>
      </c>
      <c r="AV206" s="74" t="str">
        <f>IF(ISNUMBER(AU206),AU206-C206,"-")</f>
        <v>-</v>
      </c>
      <c r="AX206" s="59" t="str">
        <f t="shared" si="83"/>
        <v>-</v>
      </c>
      <c r="AY206" s="59" t="str">
        <f t="shared" si="84"/>
        <v>-</v>
      </c>
      <c r="AZ206" s="59" t="str">
        <f t="shared" si="85"/>
        <v>-</v>
      </c>
      <c r="BA206" s="59" t="str">
        <f t="shared" si="86"/>
        <v>-</v>
      </c>
      <c r="BB206" s="59" t="str">
        <f t="shared" si="87"/>
        <v>-</v>
      </c>
      <c r="BC206" s="59" t="str">
        <f t="shared" si="88"/>
        <v>-</v>
      </c>
      <c r="BD206" s="59" t="str">
        <f t="shared" si="89"/>
        <v>-</v>
      </c>
      <c r="BE206" s="59" t="str">
        <f t="shared" si="90"/>
        <v>-</v>
      </c>
      <c r="BF206" s="59" t="str">
        <f t="shared" si="91"/>
        <v>-</v>
      </c>
      <c r="BG206" s="59" t="str">
        <f t="shared" si="92"/>
        <v>-</v>
      </c>
      <c r="BH206" s="59" t="str">
        <f t="shared" si="93"/>
        <v>-</v>
      </c>
      <c r="BI206" s="59" t="str">
        <f t="shared" si="94"/>
        <v>-</v>
      </c>
      <c r="BJ206" s="59" t="str">
        <f t="shared" si="95"/>
        <v>-</v>
      </c>
      <c r="BK206" s="59" t="str">
        <f t="shared" si="96"/>
        <v>-</v>
      </c>
      <c r="BL206" s="59" t="str">
        <f>IF(AND(R206&gt;0,AO206&gt;0),MIN(R206,AO206),"-")</f>
        <v>-</v>
      </c>
      <c r="BM206" s="59" t="str">
        <f>IF(AND(S206&gt;0,AP206&gt;0),MIN(S206,AP206),"-")</f>
        <v>-</v>
      </c>
      <c r="BN206" s="59" t="str">
        <f>IF(AND(T206&gt;0,AQ206&gt;0),MIN(T206,AQ206),"-")</f>
        <v>-</v>
      </c>
      <c r="BO206" s="59" t="str">
        <f>IF(AND(U206&gt;0,AR206&gt;0),MIN(U206,AR206),"-")</f>
        <v>-</v>
      </c>
      <c r="BP206" s="59" t="str">
        <f>IF(AND(V206&gt;0,AS206&gt;0),MIN(V206,AS206),"-")</f>
        <v>-</v>
      </c>
      <c r="BQ206" s="59" t="str">
        <f t="shared" si="97"/>
        <v>-</v>
      </c>
      <c r="BR206" s="59" t="str">
        <f t="shared" si="98"/>
        <v>-</v>
      </c>
      <c r="BS206" s="59" t="str">
        <f t="shared" si="99"/>
        <v>-</v>
      </c>
      <c r="BT206" s="98" t="str">
        <f>IF(ISNUMBER(BS206),BS206-(C206*Rules!$P$9/100),"-")</f>
        <v>-</v>
      </c>
      <c r="BU206" s="59" t="e">
        <f>RANK($BT206,$BT$5:$BT$106,1)+COUNTIF(BT$5:BT206,BT206)-1</f>
        <v>#VALUE!</v>
      </c>
      <c r="BV206" s="59" t="e">
        <f t="shared" si="100"/>
        <v>#VALUE!</v>
      </c>
      <c r="BW206" s="59" t="str">
        <f t="shared" si="101"/>
        <v xml:space="preserve"> </v>
      </c>
      <c r="BX206" s="59">
        <f t="shared" si="102"/>
        <v>0</v>
      </c>
      <c r="BY206" s="98" t="str">
        <f t="shared" si="103"/>
        <v>-</v>
      </c>
      <c r="CD206" s="79"/>
      <c r="CE206" s="80"/>
      <c r="CF206" s="81"/>
      <c r="CL206" s="77">
        <v>1</v>
      </c>
    </row>
    <row r="207" spans="1:90" ht="17.45" customHeight="1">
      <c r="A207" s="58">
        <v>203</v>
      </c>
      <c r="B207" s="59" t="str">
        <f>'A Div'!A207 &amp; " " &amp; 'A Div'!B207</f>
        <v xml:space="preserve"> </v>
      </c>
      <c r="C207" s="59">
        <f>'A Div'!E207</f>
        <v>0</v>
      </c>
      <c r="D207" s="60"/>
      <c r="E207" s="60"/>
      <c r="F207" s="60"/>
      <c r="G207" s="60"/>
      <c r="H207" s="60"/>
      <c r="I207" s="60"/>
      <c r="J207" s="60"/>
      <c r="K207" s="60"/>
      <c r="L207" s="60"/>
      <c r="M207" s="74" t="str">
        <f t="shared" si="78"/>
        <v>-</v>
      </c>
      <c r="N207" s="60"/>
      <c r="O207" s="60"/>
      <c r="P207" s="60"/>
      <c r="Q207" s="60"/>
      <c r="R207" s="60"/>
      <c r="S207" s="60"/>
      <c r="T207" s="60"/>
      <c r="U207" s="60"/>
      <c r="V207" s="60"/>
      <c r="W207" s="74" t="str">
        <f t="shared" si="79"/>
        <v>-</v>
      </c>
      <c r="X207" s="148" t="str">
        <f t="shared" si="80"/>
        <v>-</v>
      </c>
      <c r="Y207" s="74" t="str">
        <f t="shared" si="81"/>
        <v>-</v>
      </c>
      <c r="AA207" s="60"/>
      <c r="AB207" s="60"/>
      <c r="AC207" s="60"/>
      <c r="AD207" s="60"/>
      <c r="AE207" s="60"/>
      <c r="AF207" s="60"/>
      <c r="AG207" s="60"/>
      <c r="AH207" s="60"/>
      <c r="AI207" s="60"/>
      <c r="AJ207" s="74" t="str">
        <f t="shared" si="82"/>
        <v>-</v>
      </c>
      <c r="AK207" s="60"/>
      <c r="AL207" s="60"/>
      <c r="AM207" s="60"/>
      <c r="AN207" s="60"/>
      <c r="AO207" s="60"/>
      <c r="AP207" s="60"/>
      <c r="AQ207" s="60"/>
      <c r="AR207" s="60"/>
      <c r="AS207" s="60"/>
      <c r="AT207" s="74" t="str">
        <f>IF(COUNTIF(AK207:AS207,"&lt;&gt;"&amp;"")=9,SUM(AK207:AS207),"-")</f>
        <v>-</v>
      </c>
      <c r="AU207" s="148" t="str">
        <f>IF(AND(ISNUMBER(AJ207),ISNUMBER(AT207)),AJ207+AT207,"-")</f>
        <v>-</v>
      </c>
      <c r="AV207" s="74" t="str">
        <f>IF(ISNUMBER(AU207),AU207-C207,"-")</f>
        <v>-</v>
      </c>
      <c r="AX207" s="59" t="str">
        <f t="shared" si="83"/>
        <v>-</v>
      </c>
      <c r="AY207" s="59" t="str">
        <f t="shared" si="84"/>
        <v>-</v>
      </c>
      <c r="AZ207" s="59" t="str">
        <f t="shared" si="85"/>
        <v>-</v>
      </c>
      <c r="BA207" s="59" t="str">
        <f t="shared" si="86"/>
        <v>-</v>
      </c>
      <c r="BB207" s="59" t="str">
        <f t="shared" si="87"/>
        <v>-</v>
      </c>
      <c r="BC207" s="59" t="str">
        <f t="shared" si="88"/>
        <v>-</v>
      </c>
      <c r="BD207" s="59" t="str">
        <f t="shared" si="89"/>
        <v>-</v>
      </c>
      <c r="BE207" s="59" t="str">
        <f t="shared" si="90"/>
        <v>-</v>
      </c>
      <c r="BF207" s="59" t="str">
        <f t="shared" si="91"/>
        <v>-</v>
      </c>
      <c r="BG207" s="59" t="str">
        <f t="shared" si="92"/>
        <v>-</v>
      </c>
      <c r="BH207" s="59" t="str">
        <f t="shared" si="93"/>
        <v>-</v>
      </c>
      <c r="BI207" s="59" t="str">
        <f t="shared" si="94"/>
        <v>-</v>
      </c>
      <c r="BJ207" s="59" t="str">
        <f t="shared" si="95"/>
        <v>-</v>
      </c>
      <c r="BK207" s="59" t="str">
        <f t="shared" si="96"/>
        <v>-</v>
      </c>
      <c r="BL207" s="59" t="str">
        <f>IF(AND(R207&gt;0,AO207&gt;0),MIN(R207,AO207),"-")</f>
        <v>-</v>
      </c>
      <c r="BM207" s="59" t="str">
        <f>IF(AND(S207&gt;0,AP207&gt;0),MIN(S207,AP207),"-")</f>
        <v>-</v>
      </c>
      <c r="BN207" s="59" t="str">
        <f>IF(AND(T207&gt;0,AQ207&gt;0),MIN(T207,AQ207),"-")</f>
        <v>-</v>
      </c>
      <c r="BO207" s="59" t="str">
        <f>IF(AND(U207&gt;0,AR207&gt;0),MIN(U207,AR207),"-")</f>
        <v>-</v>
      </c>
      <c r="BP207" s="59" t="str">
        <f>IF(AND(V207&gt;0,AS207&gt;0),MIN(V207,AS207),"-")</f>
        <v>-</v>
      </c>
      <c r="BQ207" s="59" t="str">
        <f t="shared" si="97"/>
        <v>-</v>
      </c>
      <c r="BR207" s="59" t="str">
        <f t="shared" si="98"/>
        <v>-</v>
      </c>
      <c r="BS207" s="59" t="str">
        <f t="shared" si="99"/>
        <v>-</v>
      </c>
      <c r="BT207" s="98" t="str">
        <f>IF(ISNUMBER(BS207),BS207-(C207*Rules!$P$9/100),"-")</f>
        <v>-</v>
      </c>
      <c r="BU207" s="59" t="e">
        <f>RANK($BT207,$BT$5:$BT$106,1)+COUNTIF(BT$5:BT207,BT207)-1</f>
        <v>#VALUE!</v>
      </c>
      <c r="BV207" s="59" t="e">
        <f t="shared" si="100"/>
        <v>#VALUE!</v>
      </c>
      <c r="BW207" s="59" t="str">
        <f t="shared" si="101"/>
        <v xml:space="preserve"> </v>
      </c>
      <c r="BX207" s="59">
        <f t="shared" si="102"/>
        <v>0</v>
      </c>
      <c r="BY207" s="98" t="str">
        <f t="shared" si="103"/>
        <v>-</v>
      </c>
      <c r="CD207" s="79"/>
      <c r="CE207" s="80"/>
      <c r="CF207" s="81"/>
      <c r="CL207" s="77">
        <v>1</v>
      </c>
    </row>
    <row r="208" spans="1:90" ht="17.45" customHeight="1">
      <c r="A208" s="58">
        <v>204</v>
      </c>
      <c r="B208" s="59" t="str">
        <f>'A Div'!A208 &amp; " " &amp; 'A Div'!B208</f>
        <v xml:space="preserve"> </v>
      </c>
      <c r="C208" s="59">
        <f>'A Div'!E208</f>
        <v>0</v>
      </c>
      <c r="D208" s="60"/>
      <c r="E208" s="60"/>
      <c r="F208" s="60"/>
      <c r="G208" s="60"/>
      <c r="H208" s="60"/>
      <c r="I208" s="60"/>
      <c r="J208" s="60"/>
      <c r="K208" s="60"/>
      <c r="L208" s="60"/>
      <c r="M208" s="74" t="str">
        <f t="shared" si="78"/>
        <v>-</v>
      </c>
      <c r="N208" s="60"/>
      <c r="O208" s="60"/>
      <c r="P208" s="60"/>
      <c r="Q208" s="60"/>
      <c r="R208" s="60"/>
      <c r="S208" s="60"/>
      <c r="T208" s="60"/>
      <c r="U208" s="60"/>
      <c r="V208" s="60"/>
      <c r="W208" s="74" t="str">
        <f t="shared" si="79"/>
        <v>-</v>
      </c>
      <c r="X208" s="148" t="str">
        <f t="shared" si="80"/>
        <v>-</v>
      </c>
      <c r="Y208" s="74" t="str">
        <f t="shared" si="81"/>
        <v>-</v>
      </c>
      <c r="AA208" s="60"/>
      <c r="AB208" s="60"/>
      <c r="AC208" s="60"/>
      <c r="AD208" s="60"/>
      <c r="AE208" s="60"/>
      <c r="AF208" s="60"/>
      <c r="AG208" s="60"/>
      <c r="AH208" s="60"/>
      <c r="AI208" s="60"/>
      <c r="AJ208" s="74" t="str">
        <f t="shared" si="82"/>
        <v>-</v>
      </c>
      <c r="AK208" s="60"/>
      <c r="AL208" s="60"/>
      <c r="AM208" s="60"/>
      <c r="AN208" s="60"/>
      <c r="AO208" s="60"/>
      <c r="AP208" s="60"/>
      <c r="AQ208" s="60"/>
      <c r="AR208" s="60"/>
      <c r="AS208" s="60"/>
      <c r="AT208" s="74" t="str">
        <f>IF(COUNTIF(AK208:AS208,"&lt;&gt;"&amp;"")=9,SUM(AK208:AS208),"-")</f>
        <v>-</v>
      </c>
      <c r="AU208" s="148" t="str">
        <f>IF(AND(ISNUMBER(AJ208),ISNUMBER(AT208)),AJ208+AT208,"-")</f>
        <v>-</v>
      </c>
      <c r="AV208" s="74" t="str">
        <f>IF(ISNUMBER(AU208),AU208-C208,"-")</f>
        <v>-</v>
      </c>
      <c r="AX208" s="59" t="str">
        <f t="shared" si="83"/>
        <v>-</v>
      </c>
      <c r="AY208" s="59" t="str">
        <f t="shared" si="84"/>
        <v>-</v>
      </c>
      <c r="AZ208" s="59" t="str">
        <f t="shared" si="85"/>
        <v>-</v>
      </c>
      <c r="BA208" s="59" t="str">
        <f t="shared" si="86"/>
        <v>-</v>
      </c>
      <c r="BB208" s="59" t="str">
        <f t="shared" si="87"/>
        <v>-</v>
      </c>
      <c r="BC208" s="59" t="str">
        <f t="shared" si="88"/>
        <v>-</v>
      </c>
      <c r="BD208" s="59" t="str">
        <f t="shared" si="89"/>
        <v>-</v>
      </c>
      <c r="BE208" s="59" t="str">
        <f t="shared" si="90"/>
        <v>-</v>
      </c>
      <c r="BF208" s="59" t="str">
        <f t="shared" si="91"/>
        <v>-</v>
      </c>
      <c r="BG208" s="59" t="str">
        <f t="shared" si="92"/>
        <v>-</v>
      </c>
      <c r="BH208" s="59" t="str">
        <f t="shared" si="93"/>
        <v>-</v>
      </c>
      <c r="BI208" s="59" t="str">
        <f t="shared" si="94"/>
        <v>-</v>
      </c>
      <c r="BJ208" s="59" t="str">
        <f t="shared" si="95"/>
        <v>-</v>
      </c>
      <c r="BK208" s="59" t="str">
        <f t="shared" si="96"/>
        <v>-</v>
      </c>
      <c r="BL208" s="59" t="str">
        <f>IF(AND(R208&gt;0,AO208&gt;0),MIN(R208,AO208),"-")</f>
        <v>-</v>
      </c>
      <c r="BM208" s="59" t="str">
        <f>IF(AND(S208&gt;0,AP208&gt;0),MIN(S208,AP208),"-")</f>
        <v>-</v>
      </c>
      <c r="BN208" s="59" t="str">
        <f>IF(AND(T208&gt;0,AQ208&gt;0),MIN(T208,AQ208),"-")</f>
        <v>-</v>
      </c>
      <c r="BO208" s="59" t="str">
        <f>IF(AND(U208&gt;0,AR208&gt;0),MIN(U208,AR208),"-")</f>
        <v>-</v>
      </c>
      <c r="BP208" s="59" t="str">
        <f>IF(AND(V208&gt;0,AS208&gt;0),MIN(V208,AS208),"-")</f>
        <v>-</v>
      </c>
      <c r="BQ208" s="59" t="str">
        <f t="shared" si="97"/>
        <v>-</v>
      </c>
      <c r="BR208" s="59" t="str">
        <f t="shared" si="98"/>
        <v>-</v>
      </c>
      <c r="BS208" s="59" t="str">
        <f t="shared" si="99"/>
        <v>-</v>
      </c>
      <c r="BT208" s="98" t="str">
        <f>IF(ISNUMBER(BS208),BS208-(C208*Rules!$P$9/100),"-")</f>
        <v>-</v>
      </c>
      <c r="BU208" s="59" t="e">
        <f>RANK($BT208,$BT$5:$BT$106,1)+COUNTIF(BT$5:BT208,BT208)-1</f>
        <v>#VALUE!</v>
      </c>
      <c r="BV208" s="59" t="e">
        <f t="shared" si="100"/>
        <v>#VALUE!</v>
      </c>
      <c r="BW208" s="59" t="str">
        <f t="shared" si="101"/>
        <v xml:space="preserve"> </v>
      </c>
      <c r="BX208" s="59">
        <f t="shared" si="102"/>
        <v>0</v>
      </c>
      <c r="BY208" s="98" t="str">
        <f t="shared" si="103"/>
        <v>-</v>
      </c>
      <c r="CD208" s="79"/>
      <c r="CE208" s="80"/>
      <c r="CF208" s="81"/>
      <c r="CL208" s="77">
        <v>1</v>
      </c>
    </row>
    <row r="209" spans="1:90" ht="17.45" customHeight="1">
      <c r="A209" s="58">
        <v>205</v>
      </c>
      <c r="B209" s="59" t="str">
        <f>'A Div'!A209 &amp; " " &amp; 'A Div'!B209</f>
        <v xml:space="preserve"> </v>
      </c>
      <c r="C209" s="59">
        <f>'A Div'!E209</f>
        <v>0</v>
      </c>
      <c r="D209" s="60"/>
      <c r="E209" s="60"/>
      <c r="F209" s="60"/>
      <c r="G209" s="60"/>
      <c r="H209" s="60"/>
      <c r="I209" s="60"/>
      <c r="J209" s="60"/>
      <c r="K209" s="60"/>
      <c r="L209" s="60"/>
      <c r="M209" s="74" t="str">
        <f t="shared" si="78"/>
        <v>-</v>
      </c>
      <c r="N209" s="60"/>
      <c r="O209" s="60"/>
      <c r="P209" s="60"/>
      <c r="Q209" s="60"/>
      <c r="R209" s="60"/>
      <c r="S209" s="60"/>
      <c r="T209" s="60"/>
      <c r="U209" s="60"/>
      <c r="V209" s="60"/>
      <c r="W209" s="74" t="str">
        <f t="shared" si="79"/>
        <v>-</v>
      </c>
      <c r="X209" s="148" t="str">
        <f t="shared" si="80"/>
        <v>-</v>
      </c>
      <c r="Y209" s="74" t="str">
        <f t="shared" si="81"/>
        <v>-</v>
      </c>
      <c r="AA209" s="60"/>
      <c r="AB209" s="60"/>
      <c r="AC209" s="60"/>
      <c r="AD209" s="60"/>
      <c r="AE209" s="60"/>
      <c r="AF209" s="60"/>
      <c r="AG209" s="60"/>
      <c r="AH209" s="60"/>
      <c r="AI209" s="60"/>
      <c r="AJ209" s="74" t="str">
        <f t="shared" si="82"/>
        <v>-</v>
      </c>
      <c r="AK209" s="60"/>
      <c r="AL209" s="60"/>
      <c r="AM209" s="60"/>
      <c r="AN209" s="60"/>
      <c r="AO209" s="60"/>
      <c r="AP209" s="60"/>
      <c r="AQ209" s="60"/>
      <c r="AR209" s="60"/>
      <c r="AS209" s="60"/>
      <c r="AT209" s="74" t="str">
        <f>IF(COUNTIF(AK209:AS209,"&lt;&gt;"&amp;"")=9,SUM(AK209:AS209),"-")</f>
        <v>-</v>
      </c>
      <c r="AU209" s="148" t="str">
        <f>IF(AND(ISNUMBER(AJ209),ISNUMBER(AT209)),AJ209+AT209,"-")</f>
        <v>-</v>
      </c>
      <c r="AV209" s="74" t="str">
        <f>IF(ISNUMBER(AU209),AU209-C209,"-")</f>
        <v>-</v>
      </c>
      <c r="AX209" s="59" t="str">
        <f t="shared" si="83"/>
        <v>-</v>
      </c>
      <c r="AY209" s="59" t="str">
        <f t="shared" si="84"/>
        <v>-</v>
      </c>
      <c r="AZ209" s="59" t="str">
        <f t="shared" si="85"/>
        <v>-</v>
      </c>
      <c r="BA209" s="59" t="str">
        <f t="shared" si="86"/>
        <v>-</v>
      </c>
      <c r="BB209" s="59" t="str">
        <f t="shared" si="87"/>
        <v>-</v>
      </c>
      <c r="BC209" s="59" t="str">
        <f t="shared" si="88"/>
        <v>-</v>
      </c>
      <c r="BD209" s="59" t="str">
        <f t="shared" si="89"/>
        <v>-</v>
      </c>
      <c r="BE209" s="59" t="str">
        <f t="shared" si="90"/>
        <v>-</v>
      </c>
      <c r="BF209" s="59" t="str">
        <f t="shared" si="91"/>
        <v>-</v>
      </c>
      <c r="BG209" s="59" t="str">
        <f t="shared" si="92"/>
        <v>-</v>
      </c>
      <c r="BH209" s="59" t="str">
        <f t="shared" si="93"/>
        <v>-</v>
      </c>
      <c r="BI209" s="59" t="str">
        <f t="shared" si="94"/>
        <v>-</v>
      </c>
      <c r="BJ209" s="59" t="str">
        <f t="shared" si="95"/>
        <v>-</v>
      </c>
      <c r="BK209" s="59" t="str">
        <f t="shared" si="96"/>
        <v>-</v>
      </c>
      <c r="BL209" s="59" t="str">
        <f>IF(AND(R209&gt;0,AO209&gt;0),MIN(R209,AO209),"-")</f>
        <v>-</v>
      </c>
      <c r="BM209" s="59" t="str">
        <f>IF(AND(S209&gt;0,AP209&gt;0),MIN(S209,AP209),"-")</f>
        <v>-</v>
      </c>
      <c r="BN209" s="59" t="str">
        <f>IF(AND(T209&gt;0,AQ209&gt;0),MIN(T209,AQ209),"-")</f>
        <v>-</v>
      </c>
      <c r="BO209" s="59" t="str">
        <f>IF(AND(U209&gt;0,AR209&gt;0),MIN(U209,AR209),"-")</f>
        <v>-</v>
      </c>
      <c r="BP209" s="59" t="str">
        <f>IF(AND(V209&gt;0,AS209&gt;0),MIN(V209,AS209),"-")</f>
        <v>-</v>
      </c>
      <c r="BQ209" s="59" t="str">
        <f t="shared" si="97"/>
        <v>-</v>
      </c>
      <c r="BR209" s="59" t="str">
        <f t="shared" si="98"/>
        <v>-</v>
      </c>
      <c r="BS209" s="59" t="str">
        <f t="shared" si="99"/>
        <v>-</v>
      </c>
      <c r="BT209" s="98" t="str">
        <f>IF(ISNUMBER(BS209),BS209-(C209*Rules!$P$9/100),"-")</f>
        <v>-</v>
      </c>
      <c r="BU209" s="59" t="e">
        <f>RANK($BT209,$BT$5:$BT$106,1)+COUNTIF(BT$5:BT209,BT209)-1</f>
        <v>#VALUE!</v>
      </c>
      <c r="BV209" s="59" t="e">
        <f t="shared" si="100"/>
        <v>#VALUE!</v>
      </c>
      <c r="BW209" s="59" t="str">
        <f t="shared" si="101"/>
        <v xml:space="preserve"> </v>
      </c>
      <c r="BX209" s="59">
        <f t="shared" si="102"/>
        <v>0</v>
      </c>
      <c r="BY209" s="98" t="str">
        <f t="shared" si="103"/>
        <v>-</v>
      </c>
      <c r="CD209" s="79"/>
      <c r="CE209" s="80"/>
      <c r="CF209" s="81"/>
      <c r="CL209" s="77">
        <v>1</v>
      </c>
    </row>
    <row r="210" spans="1:90" ht="17.45" customHeight="1">
      <c r="A210" s="58">
        <v>206</v>
      </c>
      <c r="B210" s="59" t="str">
        <f>'A Div'!A210 &amp; " " &amp; 'A Div'!B210</f>
        <v xml:space="preserve"> </v>
      </c>
      <c r="C210" s="59">
        <f>'A Div'!E210</f>
        <v>0</v>
      </c>
      <c r="D210" s="60"/>
      <c r="E210" s="60"/>
      <c r="F210" s="60"/>
      <c r="G210" s="60"/>
      <c r="H210" s="60"/>
      <c r="I210" s="60"/>
      <c r="J210" s="60"/>
      <c r="K210" s="60"/>
      <c r="L210" s="60"/>
      <c r="M210" s="74" t="str">
        <f t="shared" si="78"/>
        <v>-</v>
      </c>
      <c r="N210" s="60"/>
      <c r="O210" s="60"/>
      <c r="P210" s="60"/>
      <c r="Q210" s="60"/>
      <c r="R210" s="60"/>
      <c r="S210" s="60"/>
      <c r="T210" s="60"/>
      <c r="U210" s="60"/>
      <c r="V210" s="60"/>
      <c r="W210" s="74" t="str">
        <f t="shared" si="79"/>
        <v>-</v>
      </c>
      <c r="X210" s="148" t="str">
        <f t="shared" si="80"/>
        <v>-</v>
      </c>
      <c r="Y210" s="74" t="str">
        <f t="shared" si="81"/>
        <v>-</v>
      </c>
      <c r="AA210" s="60"/>
      <c r="AB210" s="60"/>
      <c r="AC210" s="60"/>
      <c r="AD210" s="60"/>
      <c r="AE210" s="60"/>
      <c r="AF210" s="60"/>
      <c r="AG210" s="60"/>
      <c r="AH210" s="60"/>
      <c r="AI210" s="60"/>
      <c r="AJ210" s="74" t="str">
        <f t="shared" si="82"/>
        <v>-</v>
      </c>
      <c r="AK210" s="60"/>
      <c r="AL210" s="60"/>
      <c r="AM210" s="60"/>
      <c r="AN210" s="60"/>
      <c r="AO210" s="60"/>
      <c r="AP210" s="60"/>
      <c r="AQ210" s="60"/>
      <c r="AR210" s="60"/>
      <c r="AS210" s="60"/>
      <c r="AT210" s="74" t="str">
        <f>IF(COUNTIF(AK210:AS210,"&lt;&gt;"&amp;"")=9,SUM(AK210:AS210),"-")</f>
        <v>-</v>
      </c>
      <c r="AU210" s="148" t="str">
        <f>IF(AND(ISNUMBER(AJ210),ISNUMBER(AT210)),AJ210+AT210,"-")</f>
        <v>-</v>
      </c>
      <c r="AV210" s="74" t="str">
        <f>IF(ISNUMBER(AU210),AU210-C210,"-")</f>
        <v>-</v>
      </c>
      <c r="AX210" s="59" t="str">
        <f t="shared" si="83"/>
        <v>-</v>
      </c>
      <c r="AY210" s="59" t="str">
        <f t="shared" si="84"/>
        <v>-</v>
      </c>
      <c r="AZ210" s="59" t="str">
        <f t="shared" si="85"/>
        <v>-</v>
      </c>
      <c r="BA210" s="59" t="str">
        <f t="shared" si="86"/>
        <v>-</v>
      </c>
      <c r="BB210" s="59" t="str">
        <f t="shared" si="87"/>
        <v>-</v>
      </c>
      <c r="BC210" s="59" t="str">
        <f t="shared" si="88"/>
        <v>-</v>
      </c>
      <c r="BD210" s="59" t="str">
        <f t="shared" si="89"/>
        <v>-</v>
      </c>
      <c r="BE210" s="59" t="str">
        <f t="shared" si="90"/>
        <v>-</v>
      </c>
      <c r="BF210" s="59" t="str">
        <f t="shared" si="91"/>
        <v>-</v>
      </c>
      <c r="BG210" s="59" t="str">
        <f t="shared" si="92"/>
        <v>-</v>
      </c>
      <c r="BH210" s="59" t="str">
        <f t="shared" si="93"/>
        <v>-</v>
      </c>
      <c r="BI210" s="59" t="str">
        <f t="shared" si="94"/>
        <v>-</v>
      </c>
      <c r="BJ210" s="59" t="str">
        <f t="shared" si="95"/>
        <v>-</v>
      </c>
      <c r="BK210" s="59" t="str">
        <f t="shared" si="96"/>
        <v>-</v>
      </c>
      <c r="BL210" s="59" t="str">
        <f>IF(AND(R210&gt;0,AO210&gt;0),MIN(R210,AO210),"-")</f>
        <v>-</v>
      </c>
      <c r="BM210" s="59" t="str">
        <f>IF(AND(S210&gt;0,AP210&gt;0),MIN(S210,AP210),"-")</f>
        <v>-</v>
      </c>
      <c r="BN210" s="59" t="str">
        <f>IF(AND(T210&gt;0,AQ210&gt;0),MIN(T210,AQ210),"-")</f>
        <v>-</v>
      </c>
      <c r="BO210" s="59" t="str">
        <f>IF(AND(U210&gt;0,AR210&gt;0),MIN(U210,AR210),"-")</f>
        <v>-</v>
      </c>
      <c r="BP210" s="59" t="str">
        <f>IF(AND(V210&gt;0,AS210&gt;0),MIN(V210,AS210),"-")</f>
        <v>-</v>
      </c>
      <c r="BQ210" s="59" t="str">
        <f t="shared" si="97"/>
        <v>-</v>
      </c>
      <c r="BR210" s="59" t="str">
        <f t="shared" si="98"/>
        <v>-</v>
      </c>
      <c r="BS210" s="59" t="str">
        <f t="shared" si="99"/>
        <v>-</v>
      </c>
      <c r="BT210" s="98" t="str">
        <f>IF(ISNUMBER(BS210),BS210-(C210*Rules!$P$9/100),"-")</f>
        <v>-</v>
      </c>
      <c r="BU210" s="59" t="e">
        <f>RANK($BT210,$BT$5:$BT$106,1)+COUNTIF(BT$5:BT210,BT210)-1</f>
        <v>#VALUE!</v>
      </c>
      <c r="BV210" s="59" t="e">
        <f t="shared" si="100"/>
        <v>#VALUE!</v>
      </c>
      <c r="BW210" s="59" t="str">
        <f t="shared" si="101"/>
        <v xml:space="preserve"> </v>
      </c>
      <c r="BX210" s="59">
        <f t="shared" si="102"/>
        <v>0</v>
      </c>
      <c r="BY210" s="98" t="str">
        <f t="shared" si="103"/>
        <v>-</v>
      </c>
      <c r="CD210" s="79"/>
      <c r="CE210" s="80"/>
      <c r="CF210" s="81"/>
      <c r="CL210" s="77">
        <v>1</v>
      </c>
    </row>
    <row r="211" spans="1:90" ht="17.45" customHeight="1">
      <c r="A211" s="58">
        <v>207</v>
      </c>
      <c r="B211" s="59" t="str">
        <f>'A Div'!A211 &amp; " " &amp; 'A Div'!B211</f>
        <v xml:space="preserve"> </v>
      </c>
      <c r="C211" s="59">
        <f>'A Div'!E211</f>
        <v>0</v>
      </c>
      <c r="D211" s="60"/>
      <c r="E211" s="60"/>
      <c r="F211" s="60"/>
      <c r="G211" s="60"/>
      <c r="H211" s="60"/>
      <c r="I211" s="60"/>
      <c r="J211" s="60"/>
      <c r="K211" s="60"/>
      <c r="L211" s="60"/>
      <c r="M211" s="74" t="str">
        <f t="shared" si="78"/>
        <v>-</v>
      </c>
      <c r="N211" s="60"/>
      <c r="O211" s="60"/>
      <c r="P211" s="60"/>
      <c r="Q211" s="60"/>
      <c r="R211" s="60"/>
      <c r="S211" s="60"/>
      <c r="T211" s="60"/>
      <c r="U211" s="60"/>
      <c r="V211" s="60"/>
      <c r="W211" s="74" t="str">
        <f t="shared" si="79"/>
        <v>-</v>
      </c>
      <c r="X211" s="148" t="str">
        <f t="shared" si="80"/>
        <v>-</v>
      </c>
      <c r="Y211" s="74" t="str">
        <f t="shared" si="81"/>
        <v>-</v>
      </c>
      <c r="AA211" s="60"/>
      <c r="AB211" s="60"/>
      <c r="AC211" s="60"/>
      <c r="AD211" s="60"/>
      <c r="AE211" s="60"/>
      <c r="AF211" s="60"/>
      <c r="AG211" s="60"/>
      <c r="AH211" s="60"/>
      <c r="AI211" s="60"/>
      <c r="AJ211" s="74" t="str">
        <f t="shared" si="82"/>
        <v>-</v>
      </c>
      <c r="AK211" s="60"/>
      <c r="AL211" s="60"/>
      <c r="AM211" s="60"/>
      <c r="AN211" s="60"/>
      <c r="AO211" s="60"/>
      <c r="AP211" s="60"/>
      <c r="AQ211" s="60"/>
      <c r="AR211" s="60"/>
      <c r="AS211" s="60"/>
      <c r="AT211" s="74" t="str">
        <f>IF(COUNTIF(AK211:AS211,"&lt;&gt;"&amp;"")=9,SUM(AK211:AS211),"-")</f>
        <v>-</v>
      </c>
      <c r="AU211" s="148" t="str">
        <f>IF(AND(ISNUMBER(AJ211),ISNUMBER(AT211)),AJ211+AT211,"-")</f>
        <v>-</v>
      </c>
      <c r="AV211" s="74" t="str">
        <f>IF(ISNUMBER(AU211),AU211-C211,"-")</f>
        <v>-</v>
      </c>
      <c r="AX211" s="59" t="str">
        <f t="shared" si="83"/>
        <v>-</v>
      </c>
      <c r="AY211" s="59" t="str">
        <f t="shared" si="84"/>
        <v>-</v>
      </c>
      <c r="AZ211" s="59" t="str">
        <f t="shared" si="85"/>
        <v>-</v>
      </c>
      <c r="BA211" s="59" t="str">
        <f t="shared" si="86"/>
        <v>-</v>
      </c>
      <c r="BB211" s="59" t="str">
        <f t="shared" si="87"/>
        <v>-</v>
      </c>
      <c r="BC211" s="59" t="str">
        <f t="shared" si="88"/>
        <v>-</v>
      </c>
      <c r="BD211" s="59" t="str">
        <f t="shared" si="89"/>
        <v>-</v>
      </c>
      <c r="BE211" s="59" t="str">
        <f t="shared" si="90"/>
        <v>-</v>
      </c>
      <c r="BF211" s="59" t="str">
        <f t="shared" si="91"/>
        <v>-</v>
      </c>
      <c r="BG211" s="59" t="str">
        <f t="shared" si="92"/>
        <v>-</v>
      </c>
      <c r="BH211" s="59" t="str">
        <f t="shared" si="93"/>
        <v>-</v>
      </c>
      <c r="BI211" s="59" t="str">
        <f t="shared" si="94"/>
        <v>-</v>
      </c>
      <c r="BJ211" s="59" t="str">
        <f t="shared" si="95"/>
        <v>-</v>
      </c>
      <c r="BK211" s="59" t="str">
        <f t="shared" si="96"/>
        <v>-</v>
      </c>
      <c r="BL211" s="59" t="str">
        <f>IF(AND(R211&gt;0,AO211&gt;0),MIN(R211,AO211),"-")</f>
        <v>-</v>
      </c>
      <c r="BM211" s="59" t="str">
        <f>IF(AND(S211&gt;0,AP211&gt;0),MIN(S211,AP211),"-")</f>
        <v>-</v>
      </c>
      <c r="BN211" s="59" t="str">
        <f>IF(AND(T211&gt;0,AQ211&gt;0),MIN(T211,AQ211),"-")</f>
        <v>-</v>
      </c>
      <c r="BO211" s="59" t="str">
        <f>IF(AND(U211&gt;0,AR211&gt;0),MIN(U211,AR211),"-")</f>
        <v>-</v>
      </c>
      <c r="BP211" s="59" t="str">
        <f>IF(AND(V211&gt;0,AS211&gt;0),MIN(V211,AS211),"-")</f>
        <v>-</v>
      </c>
      <c r="BQ211" s="59" t="str">
        <f t="shared" si="97"/>
        <v>-</v>
      </c>
      <c r="BR211" s="59" t="str">
        <f t="shared" si="98"/>
        <v>-</v>
      </c>
      <c r="BS211" s="59" t="str">
        <f t="shared" si="99"/>
        <v>-</v>
      </c>
      <c r="BT211" s="98" t="str">
        <f>IF(ISNUMBER(BS211),BS211-(C211*Rules!$P$9/100),"-")</f>
        <v>-</v>
      </c>
      <c r="BU211" s="59" t="e">
        <f>RANK($BT211,$BT$5:$BT$106,1)+COUNTIF(BT$5:BT211,BT211)-1</f>
        <v>#VALUE!</v>
      </c>
      <c r="BV211" s="59" t="e">
        <f t="shared" si="100"/>
        <v>#VALUE!</v>
      </c>
      <c r="BW211" s="59" t="str">
        <f t="shared" si="101"/>
        <v xml:space="preserve"> </v>
      </c>
      <c r="BX211" s="59">
        <f t="shared" si="102"/>
        <v>0</v>
      </c>
      <c r="BY211" s="98" t="str">
        <f t="shared" si="103"/>
        <v>-</v>
      </c>
      <c r="CD211" s="79"/>
      <c r="CE211" s="80"/>
      <c r="CF211" s="81"/>
      <c r="CL211" s="77">
        <v>1</v>
      </c>
    </row>
    <row r="212" spans="1:90" ht="17.45" customHeight="1">
      <c r="A212" s="58">
        <v>208</v>
      </c>
      <c r="B212" s="59" t="str">
        <f>'A Div'!A212 &amp; " " &amp; 'A Div'!B212</f>
        <v xml:space="preserve"> </v>
      </c>
      <c r="C212" s="59">
        <f>'A Div'!E212</f>
        <v>0</v>
      </c>
      <c r="D212" s="60"/>
      <c r="E212" s="60"/>
      <c r="F212" s="60"/>
      <c r="G212" s="60"/>
      <c r="H212" s="60"/>
      <c r="I212" s="60"/>
      <c r="J212" s="60"/>
      <c r="K212" s="60"/>
      <c r="L212" s="60"/>
      <c r="M212" s="74" t="str">
        <f t="shared" si="78"/>
        <v>-</v>
      </c>
      <c r="N212" s="60"/>
      <c r="O212" s="60"/>
      <c r="P212" s="60"/>
      <c r="Q212" s="60"/>
      <c r="R212" s="60"/>
      <c r="S212" s="60"/>
      <c r="T212" s="60"/>
      <c r="U212" s="60"/>
      <c r="V212" s="60"/>
      <c r="W212" s="74" t="str">
        <f t="shared" si="79"/>
        <v>-</v>
      </c>
      <c r="X212" s="148" t="str">
        <f t="shared" si="80"/>
        <v>-</v>
      </c>
      <c r="Y212" s="74" t="str">
        <f t="shared" si="81"/>
        <v>-</v>
      </c>
      <c r="AA212" s="60"/>
      <c r="AB212" s="60"/>
      <c r="AC212" s="60"/>
      <c r="AD212" s="60"/>
      <c r="AE212" s="60"/>
      <c r="AF212" s="60"/>
      <c r="AG212" s="60"/>
      <c r="AH212" s="60"/>
      <c r="AI212" s="60"/>
      <c r="AJ212" s="74" t="str">
        <f t="shared" si="82"/>
        <v>-</v>
      </c>
      <c r="AK212" s="60"/>
      <c r="AL212" s="60"/>
      <c r="AM212" s="60"/>
      <c r="AN212" s="60"/>
      <c r="AO212" s="60"/>
      <c r="AP212" s="60"/>
      <c r="AQ212" s="60"/>
      <c r="AR212" s="60"/>
      <c r="AS212" s="60"/>
      <c r="AT212" s="74" t="str">
        <f>IF(COUNTIF(AK212:AS212,"&lt;&gt;"&amp;"")=9,SUM(AK212:AS212),"-")</f>
        <v>-</v>
      </c>
      <c r="AU212" s="148" t="str">
        <f>IF(AND(ISNUMBER(AJ212),ISNUMBER(AT212)),AJ212+AT212,"-")</f>
        <v>-</v>
      </c>
      <c r="AV212" s="74" t="str">
        <f>IF(ISNUMBER(AU212),AU212-C212,"-")</f>
        <v>-</v>
      </c>
      <c r="AX212" s="59" t="str">
        <f t="shared" si="83"/>
        <v>-</v>
      </c>
      <c r="AY212" s="59" t="str">
        <f t="shared" si="84"/>
        <v>-</v>
      </c>
      <c r="AZ212" s="59" t="str">
        <f t="shared" si="85"/>
        <v>-</v>
      </c>
      <c r="BA212" s="59" t="str">
        <f t="shared" si="86"/>
        <v>-</v>
      </c>
      <c r="BB212" s="59" t="str">
        <f t="shared" si="87"/>
        <v>-</v>
      </c>
      <c r="BC212" s="59" t="str">
        <f t="shared" si="88"/>
        <v>-</v>
      </c>
      <c r="BD212" s="59" t="str">
        <f t="shared" si="89"/>
        <v>-</v>
      </c>
      <c r="BE212" s="59" t="str">
        <f t="shared" si="90"/>
        <v>-</v>
      </c>
      <c r="BF212" s="59" t="str">
        <f t="shared" si="91"/>
        <v>-</v>
      </c>
      <c r="BG212" s="59" t="str">
        <f t="shared" si="92"/>
        <v>-</v>
      </c>
      <c r="BH212" s="59" t="str">
        <f t="shared" si="93"/>
        <v>-</v>
      </c>
      <c r="BI212" s="59" t="str">
        <f t="shared" si="94"/>
        <v>-</v>
      </c>
      <c r="BJ212" s="59" t="str">
        <f t="shared" si="95"/>
        <v>-</v>
      </c>
      <c r="BK212" s="59" t="str">
        <f t="shared" si="96"/>
        <v>-</v>
      </c>
      <c r="BL212" s="59" t="str">
        <f>IF(AND(R212&gt;0,AO212&gt;0),MIN(R212,AO212),"-")</f>
        <v>-</v>
      </c>
      <c r="BM212" s="59" t="str">
        <f>IF(AND(S212&gt;0,AP212&gt;0),MIN(S212,AP212),"-")</f>
        <v>-</v>
      </c>
      <c r="BN212" s="59" t="str">
        <f>IF(AND(T212&gt;0,AQ212&gt;0),MIN(T212,AQ212),"-")</f>
        <v>-</v>
      </c>
      <c r="BO212" s="59" t="str">
        <f>IF(AND(U212&gt;0,AR212&gt;0),MIN(U212,AR212),"-")</f>
        <v>-</v>
      </c>
      <c r="BP212" s="59" t="str">
        <f>IF(AND(V212&gt;0,AS212&gt;0),MIN(V212,AS212),"-")</f>
        <v>-</v>
      </c>
      <c r="BQ212" s="59" t="str">
        <f t="shared" si="97"/>
        <v>-</v>
      </c>
      <c r="BR212" s="59" t="str">
        <f t="shared" si="98"/>
        <v>-</v>
      </c>
      <c r="BS212" s="59" t="str">
        <f t="shared" si="99"/>
        <v>-</v>
      </c>
      <c r="BT212" s="98" t="str">
        <f>IF(ISNUMBER(BS212),BS212-(C212*Rules!$P$9/100),"-")</f>
        <v>-</v>
      </c>
      <c r="BU212" s="59" t="e">
        <f>RANK($BT212,$BT$5:$BT$106,1)+COUNTIF(BT$5:BT212,BT212)-1</f>
        <v>#VALUE!</v>
      </c>
      <c r="BV212" s="59" t="e">
        <f t="shared" si="100"/>
        <v>#VALUE!</v>
      </c>
      <c r="BW212" s="59" t="str">
        <f t="shared" si="101"/>
        <v xml:space="preserve"> </v>
      </c>
      <c r="BX212" s="59">
        <f t="shared" si="102"/>
        <v>0</v>
      </c>
      <c r="BY212" s="98" t="str">
        <f t="shared" si="103"/>
        <v>-</v>
      </c>
      <c r="CD212" s="79"/>
      <c r="CE212" s="80"/>
      <c r="CF212" s="81"/>
      <c r="CL212" s="77">
        <v>1</v>
      </c>
    </row>
    <row r="213" spans="1:90" ht="17.45" customHeight="1">
      <c r="A213" s="58">
        <v>209</v>
      </c>
      <c r="B213" s="59" t="str">
        <f>'A Div'!A213 &amp; " " &amp; 'A Div'!B213</f>
        <v xml:space="preserve"> </v>
      </c>
      <c r="C213" s="59">
        <f>'A Div'!E213</f>
        <v>0</v>
      </c>
      <c r="D213" s="60"/>
      <c r="E213" s="60"/>
      <c r="F213" s="60"/>
      <c r="G213" s="60"/>
      <c r="H213" s="60"/>
      <c r="I213" s="60"/>
      <c r="J213" s="60"/>
      <c r="K213" s="60"/>
      <c r="L213" s="60"/>
      <c r="M213" s="74" t="str">
        <f t="shared" si="78"/>
        <v>-</v>
      </c>
      <c r="N213" s="60"/>
      <c r="O213" s="60"/>
      <c r="P213" s="60"/>
      <c r="Q213" s="60"/>
      <c r="R213" s="60"/>
      <c r="S213" s="60"/>
      <c r="T213" s="60"/>
      <c r="U213" s="60"/>
      <c r="V213" s="60"/>
      <c r="W213" s="74" t="str">
        <f t="shared" si="79"/>
        <v>-</v>
      </c>
      <c r="X213" s="148" t="str">
        <f t="shared" si="80"/>
        <v>-</v>
      </c>
      <c r="Y213" s="74" t="str">
        <f t="shared" si="81"/>
        <v>-</v>
      </c>
      <c r="AA213" s="60"/>
      <c r="AB213" s="60"/>
      <c r="AC213" s="60"/>
      <c r="AD213" s="60"/>
      <c r="AE213" s="60"/>
      <c r="AF213" s="60"/>
      <c r="AG213" s="60"/>
      <c r="AH213" s="60"/>
      <c r="AI213" s="60"/>
      <c r="AJ213" s="74" t="str">
        <f t="shared" si="82"/>
        <v>-</v>
      </c>
      <c r="AK213" s="60"/>
      <c r="AL213" s="60"/>
      <c r="AM213" s="60"/>
      <c r="AN213" s="60"/>
      <c r="AO213" s="60"/>
      <c r="AP213" s="60"/>
      <c r="AQ213" s="60"/>
      <c r="AR213" s="60"/>
      <c r="AS213" s="60"/>
      <c r="AT213" s="74" t="str">
        <f>IF(COUNTIF(AK213:AS213,"&lt;&gt;"&amp;"")=9,SUM(AK213:AS213),"-")</f>
        <v>-</v>
      </c>
      <c r="AU213" s="148" t="str">
        <f>IF(AND(ISNUMBER(AJ213),ISNUMBER(AT213)),AJ213+AT213,"-")</f>
        <v>-</v>
      </c>
      <c r="AV213" s="74" t="str">
        <f>IF(ISNUMBER(AU213),AU213-C213,"-")</f>
        <v>-</v>
      </c>
      <c r="AX213" s="59" t="str">
        <f t="shared" si="83"/>
        <v>-</v>
      </c>
      <c r="AY213" s="59" t="str">
        <f t="shared" si="84"/>
        <v>-</v>
      </c>
      <c r="AZ213" s="59" t="str">
        <f t="shared" si="85"/>
        <v>-</v>
      </c>
      <c r="BA213" s="59" t="str">
        <f t="shared" si="86"/>
        <v>-</v>
      </c>
      <c r="BB213" s="59" t="str">
        <f t="shared" si="87"/>
        <v>-</v>
      </c>
      <c r="BC213" s="59" t="str">
        <f t="shared" si="88"/>
        <v>-</v>
      </c>
      <c r="BD213" s="59" t="str">
        <f t="shared" si="89"/>
        <v>-</v>
      </c>
      <c r="BE213" s="59" t="str">
        <f t="shared" si="90"/>
        <v>-</v>
      </c>
      <c r="BF213" s="59" t="str">
        <f t="shared" si="91"/>
        <v>-</v>
      </c>
      <c r="BG213" s="59" t="str">
        <f t="shared" si="92"/>
        <v>-</v>
      </c>
      <c r="BH213" s="59" t="str">
        <f t="shared" si="93"/>
        <v>-</v>
      </c>
      <c r="BI213" s="59" t="str">
        <f t="shared" si="94"/>
        <v>-</v>
      </c>
      <c r="BJ213" s="59" t="str">
        <f t="shared" si="95"/>
        <v>-</v>
      </c>
      <c r="BK213" s="59" t="str">
        <f t="shared" si="96"/>
        <v>-</v>
      </c>
      <c r="BL213" s="59" t="str">
        <f>IF(AND(R213&gt;0,AO213&gt;0),MIN(R213,AO213),"-")</f>
        <v>-</v>
      </c>
      <c r="BM213" s="59" t="str">
        <f>IF(AND(S213&gt;0,AP213&gt;0),MIN(S213,AP213),"-")</f>
        <v>-</v>
      </c>
      <c r="BN213" s="59" t="str">
        <f>IF(AND(T213&gt;0,AQ213&gt;0),MIN(T213,AQ213),"-")</f>
        <v>-</v>
      </c>
      <c r="BO213" s="59" t="str">
        <f>IF(AND(U213&gt;0,AR213&gt;0),MIN(U213,AR213),"-")</f>
        <v>-</v>
      </c>
      <c r="BP213" s="59" t="str">
        <f>IF(AND(V213&gt;0,AS213&gt;0),MIN(V213,AS213),"-")</f>
        <v>-</v>
      </c>
      <c r="BQ213" s="59" t="str">
        <f t="shared" si="97"/>
        <v>-</v>
      </c>
      <c r="BR213" s="59" t="str">
        <f t="shared" si="98"/>
        <v>-</v>
      </c>
      <c r="BS213" s="59" t="str">
        <f t="shared" si="99"/>
        <v>-</v>
      </c>
      <c r="BT213" s="98" t="str">
        <f>IF(ISNUMBER(BS213),BS213-(C213*Rules!$P$9/100),"-")</f>
        <v>-</v>
      </c>
      <c r="BU213" s="59" t="e">
        <f>RANK($BT213,$BT$5:$BT$106,1)+COUNTIF(BT$5:BT213,BT213)-1</f>
        <v>#VALUE!</v>
      </c>
      <c r="BV213" s="59" t="e">
        <f t="shared" si="100"/>
        <v>#VALUE!</v>
      </c>
      <c r="BW213" s="59" t="str">
        <f t="shared" si="101"/>
        <v xml:space="preserve"> </v>
      </c>
      <c r="BX213" s="59">
        <f t="shared" si="102"/>
        <v>0</v>
      </c>
      <c r="BY213" s="98" t="str">
        <f t="shared" si="103"/>
        <v>-</v>
      </c>
      <c r="CD213" s="79"/>
      <c r="CE213" s="80"/>
      <c r="CF213" s="81"/>
      <c r="CL213" s="77">
        <v>1</v>
      </c>
    </row>
    <row r="214" spans="1:90" ht="17.45" customHeight="1">
      <c r="A214" s="58">
        <v>210</v>
      </c>
      <c r="B214" s="59" t="str">
        <f>'A Div'!A214 &amp; " " &amp; 'A Div'!B214</f>
        <v xml:space="preserve"> </v>
      </c>
      <c r="C214" s="59">
        <f>'A Div'!E214</f>
        <v>0</v>
      </c>
      <c r="D214" s="60"/>
      <c r="E214" s="60"/>
      <c r="F214" s="60"/>
      <c r="G214" s="60"/>
      <c r="H214" s="60"/>
      <c r="I214" s="60"/>
      <c r="J214" s="60"/>
      <c r="K214" s="60"/>
      <c r="L214" s="60"/>
      <c r="M214" s="74" t="str">
        <f t="shared" si="78"/>
        <v>-</v>
      </c>
      <c r="N214" s="60"/>
      <c r="O214" s="60"/>
      <c r="P214" s="60"/>
      <c r="Q214" s="60"/>
      <c r="R214" s="60"/>
      <c r="S214" s="60"/>
      <c r="T214" s="60"/>
      <c r="U214" s="60"/>
      <c r="V214" s="60"/>
      <c r="W214" s="74" t="str">
        <f t="shared" si="79"/>
        <v>-</v>
      </c>
      <c r="X214" s="148" t="str">
        <f t="shared" si="80"/>
        <v>-</v>
      </c>
      <c r="Y214" s="74" t="str">
        <f t="shared" si="81"/>
        <v>-</v>
      </c>
      <c r="AA214" s="60"/>
      <c r="AB214" s="60"/>
      <c r="AC214" s="60"/>
      <c r="AD214" s="60"/>
      <c r="AE214" s="60"/>
      <c r="AF214" s="60"/>
      <c r="AG214" s="60"/>
      <c r="AH214" s="60"/>
      <c r="AI214" s="60"/>
      <c r="AJ214" s="74" t="str">
        <f t="shared" si="82"/>
        <v>-</v>
      </c>
      <c r="AK214" s="60"/>
      <c r="AL214" s="60"/>
      <c r="AM214" s="60"/>
      <c r="AN214" s="60"/>
      <c r="AO214" s="60"/>
      <c r="AP214" s="60"/>
      <c r="AQ214" s="60"/>
      <c r="AR214" s="60"/>
      <c r="AS214" s="60"/>
      <c r="AT214" s="74" t="str">
        <f>IF(COUNTIF(AK214:AS214,"&lt;&gt;"&amp;"")=9,SUM(AK214:AS214),"-")</f>
        <v>-</v>
      </c>
      <c r="AU214" s="148" t="str">
        <f>IF(AND(ISNUMBER(AJ214),ISNUMBER(AT214)),AJ214+AT214,"-")</f>
        <v>-</v>
      </c>
      <c r="AV214" s="74" t="str">
        <f>IF(ISNUMBER(AU214),AU214-C214,"-")</f>
        <v>-</v>
      </c>
      <c r="AX214" s="59" t="str">
        <f t="shared" si="83"/>
        <v>-</v>
      </c>
      <c r="AY214" s="59" t="str">
        <f t="shared" si="84"/>
        <v>-</v>
      </c>
      <c r="AZ214" s="59" t="str">
        <f t="shared" si="85"/>
        <v>-</v>
      </c>
      <c r="BA214" s="59" t="str">
        <f t="shared" si="86"/>
        <v>-</v>
      </c>
      <c r="BB214" s="59" t="str">
        <f t="shared" si="87"/>
        <v>-</v>
      </c>
      <c r="BC214" s="59" t="str">
        <f t="shared" si="88"/>
        <v>-</v>
      </c>
      <c r="BD214" s="59" t="str">
        <f t="shared" si="89"/>
        <v>-</v>
      </c>
      <c r="BE214" s="59" t="str">
        <f t="shared" si="90"/>
        <v>-</v>
      </c>
      <c r="BF214" s="59" t="str">
        <f t="shared" si="91"/>
        <v>-</v>
      </c>
      <c r="BG214" s="59" t="str">
        <f t="shared" si="92"/>
        <v>-</v>
      </c>
      <c r="BH214" s="59" t="str">
        <f t="shared" si="93"/>
        <v>-</v>
      </c>
      <c r="BI214" s="59" t="str">
        <f t="shared" si="94"/>
        <v>-</v>
      </c>
      <c r="BJ214" s="59" t="str">
        <f t="shared" si="95"/>
        <v>-</v>
      </c>
      <c r="BK214" s="59" t="str">
        <f t="shared" si="96"/>
        <v>-</v>
      </c>
      <c r="BL214" s="59" t="str">
        <f>IF(AND(R214&gt;0,AO214&gt;0),MIN(R214,AO214),"-")</f>
        <v>-</v>
      </c>
      <c r="BM214" s="59" t="str">
        <f>IF(AND(S214&gt;0,AP214&gt;0),MIN(S214,AP214),"-")</f>
        <v>-</v>
      </c>
      <c r="BN214" s="59" t="str">
        <f>IF(AND(T214&gt;0,AQ214&gt;0),MIN(T214,AQ214),"-")</f>
        <v>-</v>
      </c>
      <c r="BO214" s="59" t="str">
        <f>IF(AND(U214&gt;0,AR214&gt;0),MIN(U214,AR214),"-")</f>
        <v>-</v>
      </c>
      <c r="BP214" s="59" t="str">
        <f>IF(AND(V214&gt;0,AS214&gt;0),MIN(V214,AS214),"-")</f>
        <v>-</v>
      </c>
      <c r="BQ214" s="59" t="str">
        <f t="shared" si="97"/>
        <v>-</v>
      </c>
      <c r="BR214" s="59" t="str">
        <f t="shared" si="98"/>
        <v>-</v>
      </c>
      <c r="BS214" s="59" t="str">
        <f t="shared" si="99"/>
        <v>-</v>
      </c>
      <c r="BT214" s="98" t="str">
        <f>IF(ISNUMBER(BS214),BS214-(C214*Rules!$P$9/100),"-")</f>
        <v>-</v>
      </c>
      <c r="BU214" s="59" t="e">
        <f>RANK($BT214,$BT$5:$BT$106,1)+COUNTIF(BT$5:BT214,BT214)-1</f>
        <v>#VALUE!</v>
      </c>
      <c r="BV214" s="59" t="e">
        <f t="shared" si="100"/>
        <v>#VALUE!</v>
      </c>
      <c r="BW214" s="59" t="str">
        <f t="shared" si="101"/>
        <v xml:space="preserve"> </v>
      </c>
      <c r="BX214" s="59">
        <f t="shared" si="102"/>
        <v>0</v>
      </c>
      <c r="BY214" s="98" t="str">
        <f t="shared" si="103"/>
        <v>-</v>
      </c>
      <c r="CD214" s="79"/>
      <c r="CE214" s="80"/>
      <c r="CF214" s="81"/>
      <c r="CL214" s="77">
        <v>1</v>
      </c>
    </row>
    <row r="215" spans="1:90" ht="17.45" customHeight="1">
      <c r="A215" s="58">
        <v>211</v>
      </c>
      <c r="B215" s="59" t="str">
        <f>'A Div'!A215 &amp; " " &amp; 'A Div'!B215</f>
        <v xml:space="preserve"> </v>
      </c>
      <c r="C215" s="59">
        <f>'A Div'!E215</f>
        <v>0</v>
      </c>
      <c r="D215" s="60"/>
      <c r="E215" s="60"/>
      <c r="F215" s="60"/>
      <c r="G215" s="60"/>
      <c r="H215" s="60"/>
      <c r="I215" s="60"/>
      <c r="J215" s="60"/>
      <c r="K215" s="60"/>
      <c r="L215" s="60"/>
      <c r="M215" s="74" t="str">
        <f t="shared" si="78"/>
        <v>-</v>
      </c>
      <c r="N215" s="60"/>
      <c r="O215" s="60"/>
      <c r="P215" s="60"/>
      <c r="Q215" s="60"/>
      <c r="R215" s="60"/>
      <c r="S215" s="60"/>
      <c r="T215" s="60"/>
      <c r="U215" s="60"/>
      <c r="V215" s="60"/>
      <c r="W215" s="74" t="str">
        <f t="shared" si="79"/>
        <v>-</v>
      </c>
      <c r="X215" s="148" t="str">
        <f t="shared" si="80"/>
        <v>-</v>
      </c>
      <c r="Y215" s="74" t="str">
        <f t="shared" si="81"/>
        <v>-</v>
      </c>
      <c r="AA215" s="60"/>
      <c r="AB215" s="60"/>
      <c r="AC215" s="60"/>
      <c r="AD215" s="60"/>
      <c r="AE215" s="60"/>
      <c r="AF215" s="60"/>
      <c r="AG215" s="60"/>
      <c r="AH215" s="60"/>
      <c r="AI215" s="60"/>
      <c r="AJ215" s="74" t="str">
        <f t="shared" si="82"/>
        <v>-</v>
      </c>
      <c r="AK215" s="60"/>
      <c r="AL215" s="60"/>
      <c r="AM215" s="60"/>
      <c r="AN215" s="60"/>
      <c r="AO215" s="60"/>
      <c r="AP215" s="60"/>
      <c r="AQ215" s="60"/>
      <c r="AR215" s="60"/>
      <c r="AS215" s="60"/>
      <c r="AT215" s="74" t="str">
        <f>IF(COUNTIF(AK215:AS215,"&lt;&gt;"&amp;"")=9,SUM(AK215:AS215),"-")</f>
        <v>-</v>
      </c>
      <c r="AU215" s="148" t="str">
        <f>IF(AND(ISNUMBER(AJ215),ISNUMBER(AT215)),AJ215+AT215,"-")</f>
        <v>-</v>
      </c>
      <c r="AV215" s="74" t="str">
        <f>IF(ISNUMBER(AU215),AU215-C215,"-")</f>
        <v>-</v>
      </c>
      <c r="AX215" s="59" t="str">
        <f t="shared" si="83"/>
        <v>-</v>
      </c>
      <c r="AY215" s="59" t="str">
        <f t="shared" si="84"/>
        <v>-</v>
      </c>
      <c r="AZ215" s="59" t="str">
        <f t="shared" si="85"/>
        <v>-</v>
      </c>
      <c r="BA215" s="59" t="str">
        <f t="shared" si="86"/>
        <v>-</v>
      </c>
      <c r="BB215" s="59" t="str">
        <f t="shared" si="87"/>
        <v>-</v>
      </c>
      <c r="BC215" s="59" t="str">
        <f t="shared" si="88"/>
        <v>-</v>
      </c>
      <c r="BD215" s="59" t="str">
        <f t="shared" si="89"/>
        <v>-</v>
      </c>
      <c r="BE215" s="59" t="str">
        <f t="shared" si="90"/>
        <v>-</v>
      </c>
      <c r="BF215" s="59" t="str">
        <f t="shared" si="91"/>
        <v>-</v>
      </c>
      <c r="BG215" s="59" t="str">
        <f t="shared" si="92"/>
        <v>-</v>
      </c>
      <c r="BH215" s="59" t="str">
        <f t="shared" si="93"/>
        <v>-</v>
      </c>
      <c r="BI215" s="59" t="str">
        <f t="shared" si="94"/>
        <v>-</v>
      </c>
      <c r="BJ215" s="59" t="str">
        <f t="shared" si="95"/>
        <v>-</v>
      </c>
      <c r="BK215" s="59" t="str">
        <f t="shared" si="96"/>
        <v>-</v>
      </c>
      <c r="BL215" s="59" t="str">
        <f>IF(AND(R215&gt;0,AO215&gt;0),MIN(R215,AO215),"-")</f>
        <v>-</v>
      </c>
      <c r="BM215" s="59" t="str">
        <f>IF(AND(S215&gt;0,AP215&gt;0),MIN(S215,AP215),"-")</f>
        <v>-</v>
      </c>
      <c r="BN215" s="59" t="str">
        <f>IF(AND(T215&gt;0,AQ215&gt;0),MIN(T215,AQ215),"-")</f>
        <v>-</v>
      </c>
      <c r="BO215" s="59" t="str">
        <f>IF(AND(U215&gt;0,AR215&gt;0),MIN(U215,AR215),"-")</f>
        <v>-</v>
      </c>
      <c r="BP215" s="59" t="str">
        <f>IF(AND(V215&gt;0,AS215&gt;0),MIN(V215,AS215),"-")</f>
        <v>-</v>
      </c>
      <c r="BQ215" s="59" t="str">
        <f t="shared" si="97"/>
        <v>-</v>
      </c>
      <c r="BR215" s="59" t="str">
        <f t="shared" si="98"/>
        <v>-</v>
      </c>
      <c r="BS215" s="59" t="str">
        <f t="shared" si="99"/>
        <v>-</v>
      </c>
      <c r="BT215" s="98" t="str">
        <f>IF(ISNUMBER(BS215),BS215-(C215*Rules!$P$9/100),"-")</f>
        <v>-</v>
      </c>
      <c r="BU215" s="59" t="e">
        <f>RANK($BT215,$BT$5:$BT$106,1)+COUNTIF(BT$5:BT215,BT215)-1</f>
        <v>#VALUE!</v>
      </c>
      <c r="BV215" s="59" t="e">
        <f t="shared" si="100"/>
        <v>#VALUE!</v>
      </c>
      <c r="BW215" s="59" t="str">
        <f t="shared" si="101"/>
        <v xml:space="preserve"> </v>
      </c>
      <c r="BX215" s="59">
        <f t="shared" si="102"/>
        <v>0</v>
      </c>
      <c r="BY215" s="98" t="str">
        <f t="shared" si="103"/>
        <v>-</v>
      </c>
      <c r="CD215" s="79"/>
      <c r="CE215" s="80"/>
      <c r="CF215" s="81"/>
      <c r="CL215" s="77">
        <v>1</v>
      </c>
    </row>
  </sheetData>
  <sheetProtection sheet="1" objects="1" scenarios="1"/>
  <protectedRanges>
    <protectedRange sqref="D21:L215" name="Range1"/>
    <protectedRange sqref="N21:V215" name="Range2"/>
    <protectedRange sqref="AA21:AI215" name="Range3"/>
    <protectedRange sqref="AK21:AS215" name="Range4"/>
    <protectedRange sqref="D5:L9" name="Range1_1_1"/>
    <protectedRange sqref="N5:V9" name="Range2_1_1"/>
    <protectedRange sqref="AA5:AI9" name="Range3_1_1"/>
    <protectedRange sqref="AK5:AS9" name="Range4_1"/>
    <protectedRange sqref="D10:L20" name="Range1_2"/>
    <protectedRange sqref="N10:V20" name="Range2_1_2"/>
    <protectedRange sqref="AA10:AI20" name="Range3_1_2"/>
    <protectedRange sqref="AK10:AS20" name="Range4_1_1"/>
  </protectedRanges>
  <mergeCells count="4">
    <mergeCell ref="D3:W3"/>
    <mergeCell ref="AA3:AT3"/>
    <mergeCell ref="CD3:CF3"/>
    <mergeCell ref="CD2:CF2"/>
  </mergeCells>
  <conditionalFormatting sqref="CC3 CC4:CF104">
    <cfRule type="expression" dxfId="39" priority="2" stopIfTrue="1">
      <formula>ISNA(CC3)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D215"/>
  <sheetViews>
    <sheetView zoomScale="115" zoomScaleNormal="115" workbookViewId="0">
      <pane xSplit="3" ySplit="4" topLeftCell="D5" activePane="bottomRight" state="frozen"/>
      <selection pane="bottomRight" activeCell="BT5" sqref="BT5"/>
      <selection pane="bottomLeft" activeCell="A5" sqref="A5"/>
      <selection pane="topRight" activeCell="D3" sqref="D3"/>
    </sheetView>
  </sheetViews>
  <sheetFormatPr defaultColWidth="8.85546875" defaultRowHeight="17.45" customHeight="1"/>
  <cols>
    <col min="1" max="1" width="3.42578125" style="55" customWidth="1"/>
    <col min="2" max="2" width="19.5703125" style="56" bestFit="1" customWidth="1"/>
    <col min="3" max="3" width="3.42578125" style="56" customWidth="1"/>
    <col min="4" max="23" width="3.7109375" style="56" customWidth="1"/>
    <col min="24" max="24" width="7" style="56" customWidth="1"/>
    <col min="25" max="25" width="5.7109375" style="56" customWidth="1"/>
    <col min="26" max="26" width="3.7109375" style="76" customWidth="1"/>
    <col min="27" max="46" width="3.7109375" style="56" customWidth="1"/>
    <col min="47" max="47" width="7.85546875" style="56" bestFit="1" customWidth="1"/>
    <col min="48" max="48" width="4.85546875" style="56" bestFit="1" customWidth="1"/>
    <col min="49" max="49" width="3.7109375" style="76" customWidth="1"/>
    <col min="50" max="69" width="3.7109375" style="56" customWidth="1"/>
    <col min="70" max="70" width="4.85546875" style="56" bestFit="1" customWidth="1"/>
    <col min="71" max="71" width="6.28515625" style="56" bestFit="1" customWidth="1"/>
    <col min="72" max="72" width="8.7109375" style="99" bestFit="1" customWidth="1"/>
    <col min="73" max="79" width="3.7109375" style="56" hidden="1" customWidth="1"/>
    <col min="80" max="80" width="3.7109375" style="5" customWidth="1"/>
    <col min="81" max="81" width="3.7109375" style="5" hidden="1" customWidth="1"/>
    <col min="82" max="82" width="3.7109375" style="5" customWidth="1"/>
    <col min="83" max="83" width="23" style="24" bestFit="1" customWidth="1"/>
    <col min="84" max="84" width="6.85546875" style="105" bestFit="1" customWidth="1"/>
    <col min="85" max="108" width="8.85546875" style="76"/>
    <col min="109" max="16384" width="8.85546875" style="56"/>
  </cols>
  <sheetData>
    <row r="1" spans="1:90" s="76" customFormat="1" ht="17.45" customHeight="1">
      <c r="A1" s="75"/>
      <c r="BT1" s="95"/>
      <c r="CB1" s="12"/>
      <c r="CC1" s="32"/>
      <c r="CD1" s="32"/>
      <c r="CE1" s="33"/>
      <c r="CF1" s="100"/>
    </row>
    <row r="2" spans="1:90" s="76" customFormat="1" ht="27.6" customHeight="1">
      <c r="A2" s="75"/>
      <c r="BT2" s="95"/>
      <c r="CB2" s="12"/>
      <c r="CC2" s="12"/>
      <c r="CD2" s="169" t="s">
        <v>60</v>
      </c>
      <c r="CE2" s="170"/>
      <c r="CF2" s="170"/>
    </row>
    <row r="3" spans="1:90" ht="17.45" customHeight="1">
      <c r="A3" s="75"/>
      <c r="B3" s="76"/>
      <c r="C3" s="76"/>
      <c r="D3" s="165" t="s">
        <v>61</v>
      </c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47"/>
      <c r="Y3" s="147"/>
      <c r="AA3" s="165" t="s">
        <v>62</v>
      </c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5"/>
      <c r="AP3" s="165"/>
      <c r="AQ3" s="165"/>
      <c r="AR3" s="165"/>
      <c r="AS3" s="165"/>
      <c r="AT3" s="165"/>
      <c r="AU3" s="147"/>
      <c r="AV3" s="147"/>
      <c r="AX3" s="61" t="s">
        <v>63</v>
      </c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96"/>
      <c r="BU3" s="61"/>
      <c r="BV3" s="61"/>
      <c r="BW3" s="61"/>
      <c r="BX3" s="61"/>
      <c r="BY3" s="61"/>
      <c r="CB3" s="12"/>
      <c r="CC3" s="32"/>
      <c r="CD3" s="171" t="s">
        <v>78</v>
      </c>
      <c r="CE3" s="167"/>
      <c r="CF3" s="168"/>
    </row>
    <row r="4" spans="1:90" ht="17.45" customHeight="1">
      <c r="A4" s="57" t="s">
        <v>65</v>
      </c>
      <c r="B4" s="57" t="s">
        <v>66</v>
      </c>
      <c r="C4" s="57" t="s">
        <v>67</v>
      </c>
      <c r="D4" s="57">
        <v>1</v>
      </c>
      <c r="E4" s="57">
        <v>2</v>
      </c>
      <c r="F4" s="57">
        <v>3</v>
      </c>
      <c r="G4" s="57">
        <v>4</v>
      </c>
      <c r="H4" s="57">
        <v>5</v>
      </c>
      <c r="I4" s="57">
        <v>6</v>
      </c>
      <c r="J4" s="57">
        <v>7</v>
      </c>
      <c r="K4" s="57">
        <v>8</v>
      </c>
      <c r="L4" s="57">
        <v>9</v>
      </c>
      <c r="M4" s="57" t="s">
        <v>68</v>
      </c>
      <c r="N4" s="57">
        <v>10</v>
      </c>
      <c r="O4" s="57">
        <v>11</v>
      </c>
      <c r="P4" s="57">
        <v>12</v>
      </c>
      <c r="Q4" s="57">
        <v>13</v>
      </c>
      <c r="R4" s="57">
        <v>14</v>
      </c>
      <c r="S4" s="57">
        <v>15</v>
      </c>
      <c r="T4" s="57">
        <v>16</v>
      </c>
      <c r="U4" s="57">
        <v>17</v>
      </c>
      <c r="V4" s="57">
        <v>18</v>
      </c>
      <c r="W4" s="57" t="s">
        <v>69</v>
      </c>
      <c r="X4" s="57" t="s">
        <v>70</v>
      </c>
      <c r="Y4" s="57" t="s">
        <v>71</v>
      </c>
      <c r="AA4" s="57">
        <v>1</v>
      </c>
      <c r="AB4" s="57">
        <v>2</v>
      </c>
      <c r="AC4" s="57">
        <v>3</v>
      </c>
      <c r="AD4" s="57">
        <v>4</v>
      </c>
      <c r="AE4" s="57">
        <v>5</v>
      </c>
      <c r="AF4" s="57">
        <v>6</v>
      </c>
      <c r="AG4" s="57">
        <v>7</v>
      </c>
      <c r="AH4" s="57">
        <v>8</v>
      </c>
      <c r="AI4" s="57">
        <v>9</v>
      </c>
      <c r="AJ4" s="57" t="s">
        <v>68</v>
      </c>
      <c r="AK4" s="57">
        <v>10</v>
      </c>
      <c r="AL4" s="57">
        <v>11</v>
      </c>
      <c r="AM4" s="57">
        <v>12</v>
      </c>
      <c r="AN4" s="57">
        <v>13</v>
      </c>
      <c r="AO4" s="57">
        <v>14</v>
      </c>
      <c r="AP4" s="57">
        <v>15</v>
      </c>
      <c r="AQ4" s="57">
        <v>16</v>
      </c>
      <c r="AR4" s="57">
        <v>17</v>
      </c>
      <c r="AS4" s="57">
        <v>18</v>
      </c>
      <c r="AT4" s="57" t="s">
        <v>69</v>
      </c>
      <c r="AU4" s="57" t="s">
        <v>70</v>
      </c>
      <c r="AV4" s="57" t="s">
        <v>71</v>
      </c>
      <c r="AX4" s="57">
        <v>1</v>
      </c>
      <c r="AY4" s="57">
        <v>2</v>
      </c>
      <c r="AZ4" s="57">
        <v>3</v>
      </c>
      <c r="BA4" s="57">
        <v>4</v>
      </c>
      <c r="BB4" s="57">
        <v>5</v>
      </c>
      <c r="BC4" s="57">
        <v>6</v>
      </c>
      <c r="BD4" s="57">
        <v>7</v>
      </c>
      <c r="BE4" s="57">
        <v>8</v>
      </c>
      <c r="BF4" s="57">
        <v>9</v>
      </c>
      <c r="BG4" s="57" t="s">
        <v>68</v>
      </c>
      <c r="BH4" s="57">
        <v>10</v>
      </c>
      <c r="BI4" s="57">
        <v>11</v>
      </c>
      <c r="BJ4" s="57">
        <v>12</v>
      </c>
      <c r="BK4" s="57">
        <v>13</v>
      </c>
      <c r="BL4" s="57">
        <v>14</v>
      </c>
      <c r="BM4" s="57">
        <v>15</v>
      </c>
      <c r="BN4" s="57">
        <v>16</v>
      </c>
      <c r="BO4" s="57">
        <v>17</v>
      </c>
      <c r="BP4" s="57">
        <v>18</v>
      </c>
      <c r="BQ4" s="57" t="s">
        <v>69</v>
      </c>
      <c r="BR4" s="57" t="s">
        <v>68</v>
      </c>
      <c r="BS4" s="57" t="s">
        <v>72</v>
      </c>
      <c r="BT4" s="97" t="s">
        <v>73</v>
      </c>
      <c r="BU4" s="57" t="s">
        <v>74</v>
      </c>
      <c r="BV4" s="57" t="s">
        <v>75</v>
      </c>
      <c r="BW4" s="57" t="s">
        <v>76</v>
      </c>
      <c r="BX4" s="57" t="s">
        <v>67</v>
      </c>
      <c r="BY4" s="57" t="s">
        <v>73</v>
      </c>
      <c r="CB4" s="19"/>
      <c r="CC4" s="20"/>
      <c r="CD4" s="16" t="s">
        <v>77</v>
      </c>
      <c r="CE4" s="16" t="s">
        <v>66</v>
      </c>
      <c r="CF4" s="102" t="s">
        <v>73</v>
      </c>
    </row>
    <row r="5" spans="1:90" ht="17.45" customHeight="1">
      <c r="A5" s="58">
        <v>1</v>
      </c>
      <c r="B5" s="59" t="str">
        <f>'B Div'!A5 &amp; " " &amp; 'B Div'!B5</f>
        <v>KAY DUNKLEY</v>
      </c>
      <c r="C5" s="59">
        <f>'B Div'!E5</f>
        <v>16</v>
      </c>
      <c r="D5" s="60">
        <v>6</v>
      </c>
      <c r="E5" s="60">
        <v>5</v>
      </c>
      <c r="F5" s="60">
        <v>6</v>
      </c>
      <c r="G5" s="60">
        <v>6</v>
      </c>
      <c r="H5" s="60">
        <v>5</v>
      </c>
      <c r="I5" s="60">
        <v>3</v>
      </c>
      <c r="J5" s="60">
        <v>6</v>
      </c>
      <c r="K5" s="60">
        <v>5</v>
      </c>
      <c r="L5" s="60">
        <v>5</v>
      </c>
      <c r="M5" s="74">
        <f>IF(COUNTIF(D5:L5,"&lt;&gt;"&amp;"")=9,SUM(D5:L5),"-")</f>
        <v>47</v>
      </c>
      <c r="N5" s="60">
        <v>7</v>
      </c>
      <c r="O5" s="60">
        <v>4</v>
      </c>
      <c r="P5" s="60">
        <v>4</v>
      </c>
      <c r="Q5" s="60">
        <v>4</v>
      </c>
      <c r="R5" s="60">
        <v>4</v>
      </c>
      <c r="S5" s="60">
        <v>5</v>
      </c>
      <c r="T5" s="60">
        <v>4</v>
      </c>
      <c r="U5" s="60">
        <v>5</v>
      </c>
      <c r="V5" s="60">
        <v>7</v>
      </c>
      <c r="W5" s="74">
        <f>IF(COUNTIF(N5:V5,"&lt;&gt;"&amp;"")=9,SUM(N5:V5),"-")</f>
        <v>44</v>
      </c>
      <c r="X5" s="74">
        <f>IF(AND(ISNUMBER(M5),ISNUMBER(W5)),M5+W5,"-")</f>
        <v>91</v>
      </c>
      <c r="Y5" s="74">
        <f>IF(ISNUMBER(X5),X5-C5,"-")</f>
        <v>75</v>
      </c>
      <c r="AA5" s="60">
        <v>5</v>
      </c>
      <c r="AB5" s="60">
        <v>4</v>
      </c>
      <c r="AC5" s="60">
        <v>5</v>
      </c>
      <c r="AD5" s="60">
        <v>5</v>
      </c>
      <c r="AE5" s="60">
        <v>7</v>
      </c>
      <c r="AF5" s="60">
        <v>4</v>
      </c>
      <c r="AG5" s="60">
        <v>5</v>
      </c>
      <c r="AH5" s="60">
        <v>5</v>
      </c>
      <c r="AI5" s="60">
        <v>5</v>
      </c>
      <c r="AJ5" s="74">
        <f>IF(COUNTIF(AA5:AI5,"&lt;&gt;"&amp;"")=9,SUM(AA5:AI5),"-")</f>
        <v>45</v>
      </c>
      <c r="AK5" s="60">
        <v>6</v>
      </c>
      <c r="AL5" s="60">
        <v>8</v>
      </c>
      <c r="AM5" s="60">
        <v>3</v>
      </c>
      <c r="AN5" s="60">
        <v>6</v>
      </c>
      <c r="AO5" s="60">
        <v>4</v>
      </c>
      <c r="AP5" s="60">
        <v>6</v>
      </c>
      <c r="AQ5" s="60">
        <v>4</v>
      </c>
      <c r="AR5" s="60">
        <v>6</v>
      </c>
      <c r="AS5" s="60">
        <v>7</v>
      </c>
      <c r="AT5" s="74">
        <f>IF(COUNTIF(AK5:AS5,"&lt;&gt;"&amp;"")=9,SUM(AK5:AS5),"-")</f>
        <v>50</v>
      </c>
      <c r="AU5" s="74">
        <f>IF(AND(ISNUMBER(AJ5),ISNUMBER(AT5)),AJ5+AT5,"-")</f>
        <v>95</v>
      </c>
      <c r="AV5" s="74">
        <f>IF(ISNUMBER(AU5),AU5-C5,"-")</f>
        <v>79</v>
      </c>
      <c r="AX5" s="59">
        <f>IF(AND(D5&gt;0,AA5&gt;0),MIN(D5,AA5),"-")</f>
        <v>5</v>
      </c>
      <c r="AY5" s="59">
        <f>IF(AND(E5&gt;0,AB5&gt;0),MIN(E5,AB5),"-")</f>
        <v>4</v>
      </c>
      <c r="AZ5" s="59">
        <f>IF(AND(F5&gt;0,AC5&gt;0),MIN(F5,AC5),"-")</f>
        <v>5</v>
      </c>
      <c r="BA5" s="59">
        <f>IF(AND(G5&gt;0,AD5&gt;0),MIN(G5,AD5),"-")</f>
        <v>5</v>
      </c>
      <c r="BB5" s="59">
        <f>IF(AND(H5&gt;0,AE5&gt;0),MIN(H5,AE5),"-")</f>
        <v>5</v>
      </c>
      <c r="BC5" s="59">
        <f>IF(AND(I5&gt;0,AF5&gt;0),MIN(I5,AF5),"-")</f>
        <v>3</v>
      </c>
      <c r="BD5" s="59">
        <f>IF(AND(J5&gt;0,AG5&gt;0),MIN(J5,AG5),"-")</f>
        <v>5</v>
      </c>
      <c r="BE5" s="59">
        <f>IF(AND(K5&gt;0,AH5&gt;0),MIN(K5,AH5),"-")</f>
        <v>5</v>
      </c>
      <c r="BF5" s="59">
        <f>IF(AND(L5&gt;0,AI5&gt;0),MIN(L5,AI5),"-")</f>
        <v>5</v>
      </c>
      <c r="BG5" s="59">
        <f>IF(COUNTIF(AX5:BF5,"&lt;&gt;-")=9,SUM(AX5:BF5),"-")</f>
        <v>42</v>
      </c>
      <c r="BH5" s="59">
        <f>IF(AND(N5&gt;0,AK5&gt;0),MIN(N5,AK5),"-")</f>
        <v>6</v>
      </c>
      <c r="BI5" s="59">
        <f>IF(AND(O5&gt;0,AL5&gt;0),MIN(O5,AL5),"-")</f>
        <v>4</v>
      </c>
      <c r="BJ5" s="59">
        <f>IF(AND(P5&gt;0,AM5&gt;0),MIN(P5,AM5),"-")</f>
        <v>3</v>
      </c>
      <c r="BK5" s="59">
        <f>IF(AND(Q5&gt;0,AN5&gt;0),MIN(Q5,AN5),"-")</f>
        <v>4</v>
      </c>
      <c r="BL5" s="59">
        <f>IF(AND(R5&gt;0,AO5&gt;0),MIN(R5,AO5),"-")</f>
        <v>4</v>
      </c>
      <c r="BM5" s="59">
        <f>IF(AND(S5&gt;0,AP5&gt;0),MIN(S5,AP5),"-")</f>
        <v>5</v>
      </c>
      <c r="BN5" s="59">
        <f>IF(AND(T5&gt;0,AQ5&gt;0),MIN(T5,AQ5),"-")</f>
        <v>4</v>
      </c>
      <c r="BO5" s="59">
        <f>IF(AND(U5&gt;0,AR5&gt;0),MIN(U5,AR5),"-")</f>
        <v>5</v>
      </c>
      <c r="BP5" s="59">
        <f>IF(AND(V5&gt;0,AS5&gt;0),MIN(V5,AS5),"-")</f>
        <v>7</v>
      </c>
      <c r="BQ5" s="59">
        <f>IF(COUNTIF(BH5:BP5,"&lt;&gt;-")=9,SUM(BH5:BP5),"-")</f>
        <v>42</v>
      </c>
      <c r="BR5" s="59">
        <f>BG5</f>
        <v>42</v>
      </c>
      <c r="BS5" s="59">
        <f>IF(COUNTIF(BQ5:BR5,"&lt;&gt;-")=2,SUM(BQ5:BR5),"-")</f>
        <v>84</v>
      </c>
      <c r="BT5" s="98">
        <f>IF(ISNUMBER(BS5),BS5-(C5*Rules!$P$9/100),"-")</f>
        <v>80</v>
      </c>
      <c r="BU5" s="59">
        <f>RANK($BT5,$BT$5:$BT$106,1)+COUNTIF(BT$5:BT5,BT5)-1</f>
        <v>3</v>
      </c>
      <c r="BV5" s="59">
        <f>RANK(BT5,$BT$5:$BT$215,1)</f>
        <v>3</v>
      </c>
      <c r="BW5" s="59" t="str">
        <f>B5</f>
        <v>KAY DUNKLEY</v>
      </c>
      <c r="BX5" s="59">
        <f>C5</f>
        <v>16</v>
      </c>
      <c r="BY5" s="59">
        <f>BT5</f>
        <v>80</v>
      </c>
      <c r="CC5" s="4">
        <v>1</v>
      </c>
      <c r="CD5" s="2">
        <f>VLOOKUP(CC5,$BV$5:BY$215,1,FALSE)</f>
        <v>1</v>
      </c>
      <c r="CE5" s="6" t="str">
        <f>VLOOKUP(CC5,$BV$5:BY$215,2,FALSE)</f>
        <v>TARA SMITH</v>
      </c>
      <c r="CF5" s="103">
        <f>VLOOKUP(CC5,$BV$5:BY$215,4,FALSE)</f>
        <v>70.5</v>
      </c>
      <c r="CL5" s="77">
        <v>1</v>
      </c>
    </row>
    <row r="6" spans="1:90" ht="17.45" customHeight="1">
      <c r="A6" s="58">
        <v>2</v>
      </c>
      <c r="B6" s="59" t="str">
        <f>'B Div'!A6 &amp; " " &amp; 'B Div'!B6</f>
        <v>ALIDA HOOPER</v>
      </c>
      <c r="C6" s="59">
        <f>'B Div'!E6</f>
        <v>15</v>
      </c>
      <c r="D6" s="60">
        <v>5</v>
      </c>
      <c r="E6" s="60">
        <v>3</v>
      </c>
      <c r="F6" s="60">
        <v>6</v>
      </c>
      <c r="G6" s="60">
        <v>4</v>
      </c>
      <c r="H6" s="60">
        <v>5</v>
      </c>
      <c r="I6" s="60">
        <v>4</v>
      </c>
      <c r="J6" s="60">
        <v>4</v>
      </c>
      <c r="K6" s="60">
        <v>6</v>
      </c>
      <c r="L6" s="60">
        <v>5</v>
      </c>
      <c r="M6" s="74">
        <f t="shared" ref="M6:M69" si="0">IF(COUNTIF(D6:L6,"&lt;&gt;"&amp;"")=9,SUM(D6:L6),"-")</f>
        <v>42</v>
      </c>
      <c r="N6" s="60">
        <v>6</v>
      </c>
      <c r="O6" s="60">
        <v>6</v>
      </c>
      <c r="P6" s="60">
        <v>6</v>
      </c>
      <c r="Q6" s="60">
        <v>8</v>
      </c>
      <c r="R6" s="60">
        <v>3</v>
      </c>
      <c r="S6" s="60">
        <v>6</v>
      </c>
      <c r="T6" s="60">
        <v>6</v>
      </c>
      <c r="U6" s="60">
        <v>7</v>
      </c>
      <c r="V6" s="60">
        <v>7</v>
      </c>
      <c r="W6" s="74">
        <f t="shared" ref="W6:W69" si="1">IF(COUNTIF(N6:V6,"&lt;&gt;"&amp;"")=9,SUM(N6:V6),"-")</f>
        <v>55</v>
      </c>
      <c r="X6" s="74">
        <f t="shared" ref="X6:X69" si="2">IF(AND(ISNUMBER(M6),ISNUMBER(W6)),M6+W6,"-")</f>
        <v>97</v>
      </c>
      <c r="Y6" s="74">
        <f t="shared" ref="Y6:Y69" si="3">IF(ISNUMBER(X6),X6-C6,"-")</f>
        <v>82</v>
      </c>
      <c r="AA6" s="60">
        <v>4</v>
      </c>
      <c r="AB6" s="60">
        <v>4</v>
      </c>
      <c r="AC6" s="60">
        <v>5</v>
      </c>
      <c r="AD6" s="60">
        <v>5</v>
      </c>
      <c r="AE6" s="60">
        <v>6</v>
      </c>
      <c r="AF6" s="60">
        <v>4</v>
      </c>
      <c r="AG6" s="60">
        <v>6</v>
      </c>
      <c r="AH6" s="60">
        <v>5</v>
      </c>
      <c r="AI6" s="60">
        <v>5</v>
      </c>
      <c r="AJ6" s="74">
        <f t="shared" ref="AJ6:AJ69" si="4">IF(COUNTIF(AA6:AI6,"&lt;&gt;"&amp;"")=9,SUM(AA6:AI6),"-")</f>
        <v>44</v>
      </c>
      <c r="AK6" s="60">
        <v>5</v>
      </c>
      <c r="AL6" s="60">
        <v>5</v>
      </c>
      <c r="AM6" s="60">
        <v>6</v>
      </c>
      <c r="AN6" s="60">
        <v>6</v>
      </c>
      <c r="AO6" s="60">
        <v>4</v>
      </c>
      <c r="AP6" s="60">
        <v>5</v>
      </c>
      <c r="AQ6" s="60">
        <v>4</v>
      </c>
      <c r="AR6" s="60">
        <v>6</v>
      </c>
      <c r="AS6" s="60">
        <v>6</v>
      </c>
      <c r="AT6" s="74">
        <f t="shared" ref="AT6:AT69" si="5">IF(COUNTIF(AK6:AS6,"&lt;&gt;"&amp;"")=9,SUM(AK6:AS6),"-")</f>
        <v>47</v>
      </c>
      <c r="AU6" s="74">
        <f t="shared" ref="AU6:AU69" si="6">IF(AND(ISNUMBER(AJ6),ISNUMBER(AT6)),AJ6+AT6,"-")</f>
        <v>91</v>
      </c>
      <c r="AV6" s="74">
        <f t="shared" ref="AV6:AV69" si="7">IF(ISNUMBER(AU6),AU6-C6,"-")</f>
        <v>76</v>
      </c>
      <c r="AX6" s="59">
        <f>IF(AND(D6&gt;0,AA6&gt;0),MIN(D6,AA6),"-")</f>
        <v>4</v>
      </c>
      <c r="AY6" s="59">
        <f>IF(AND(E6&gt;0,AB6&gt;0),MIN(E6,AB6),"-")</f>
        <v>3</v>
      </c>
      <c r="AZ6" s="59">
        <f>IF(AND(F6&gt;0,AC6&gt;0),MIN(F6,AC6),"-")</f>
        <v>5</v>
      </c>
      <c r="BA6" s="59">
        <f>IF(AND(G6&gt;0,AD6&gt;0),MIN(G6,AD6),"-")</f>
        <v>4</v>
      </c>
      <c r="BB6" s="59">
        <f>IF(AND(H6&gt;0,AE6&gt;0),MIN(H6,AE6),"-")</f>
        <v>5</v>
      </c>
      <c r="BC6" s="59">
        <f>IF(AND(I6&gt;0,AF6&gt;0),MIN(I6,AF6),"-")</f>
        <v>4</v>
      </c>
      <c r="BD6" s="59">
        <f>IF(AND(J6&gt;0,AG6&gt;0),MIN(J6,AG6),"-")</f>
        <v>4</v>
      </c>
      <c r="BE6" s="59">
        <f>IF(AND(K6&gt;0,AH6&gt;0),MIN(K6,AH6),"-")</f>
        <v>5</v>
      </c>
      <c r="BF6" s="59">
        <f>IF(AND(L6&gt;0,AI6&gt;0),MIN(L6,AI6),"-")</f>
        <v>5</v>
      </c>
      <c r="BG6" s="59">
        <f t="shared" ref="BG6:BG69" si="8">IF(COUNTIF(AX6:BF6,"&lt;&gt;-")=9,SUM(AX6:BF6),"-")</f>
        <v>39</v>
      </c>
      <c r="BH6" s="59">
        <f>IF(AND(N6&gt;0,AK6&gt;0),MIN(N6,AK6),"-")</f>
        <v>5</v>
      </c>
      <c r="BI6" s="59">
        <f>IF(AND(O6&gt;0,AL6&gt;0),MIN(O6,AL6),"-")</f>
        <v>5</v>
      </c>
      <c r="BJ6" s="59">
        <f>IF(AND(P6&gt;0,AM6&gt;0),MIN(P6,AM6),"-")</f>
        <v>6</v>
      </c>
      <c r="BK6" s="59">
        <f>IF(AND(Q6&gt;0,AN6&gt;0),MIN(Q6,AN6),"-")</f>
        <v>6</v>
      </c>
      <c r="BL6" s="59">
        <f>IF(AND(R6&gt;0,AO6&gt;0),MIN(R6,AO6),"-")</f>
        <v>3</v>
      </c>
      <c r="BM6" s="59">
        <f>IF(AND(S6&gt;0,AP6&gt;0),MIN(S6,AP6),"-")</f>
        <v>5</v>
      </c>
      <c r="BN6" s="59">
        <f>IF(AND(T6&gt;0,AQ6&gt;0),MIN(T6,AQ6),"-")</f>
        <v>4</v>
      </c>
      <c r="BO6" s="59">
        <f>IF(AND(U6&gt;0,AR6&gt;0),MIN(U6,AR6),"-")</f>
        <v>6</v>
      </c>
      <c r="BP6" s="59">
        <f>IF(AND(V6&gt;0,AS6&gt;0),MIN(V6,AS6),"-")</f>
        <v>6</v>
      </c>
      <c r="BQ6" s="59">
        <f t="shared" ref="BQ6:BQ69" si="9">IF(COUNTIF(BH6:BP6,"&lt;&gt;-")=9,SUM(BH6:BP6),"-")</f>
        <v>46</v>
      </c>
      <c r="BR6" s="59">
        <f t="shared" ref="BR6:BR69" si="10">BG6</f>
        <v>39</v>
      </c>
      <c r="BS6" s="59">
        <f t="shared" ref="BS6:BS69" si="11">IF(COUNTIF(BQ6:BR6,"&lt;&gt;-")=2,SUM(BQ6:BR6),"-")</f>
        <v>85</v>
      </c>
      <c r="BT6" s="98">
        <f>IF(ISNUMBER(BS6),BS6-(C6*Rules!$P$9/100),"-")</f>
        <v>81.25</v>
      </c>
      <c r="BU6" s="59">
        <f>RANK($BT6,$BT$5:$BT$106,1)+COUNTIF(BT$5:BT6,BT6)-1</f>
        <v>5</v>
      </c>
      <c r="BV6" s="59">
        <f t="shared" ref="BV6:BV69" si="12">RANK(BT6,$BT$5:$BT$215,1)</f>
        <v>5</v>
      </c>
      <c r="BW6" s="59" t="str">
        <f t="shared" ref="BW6:BX69" si="13">B6</f>
        <v>ALIDA HOOPER</v>
      </c>
      <c r="BX6" s="59">
        <f t="shared" si="13"/>
        <v>15</v>
      </c>
      <c r="BY6" s="59">
        <f t="shared" ref="BY6:BY69" si="14">BT6</f>
        <v>81.25</v>
      </c>
      <c r="CC6" s="4">
        <v>2</v>
      </c>
      <c r="CD6" s="2">
        <f>VLOOKUP(CC6,$BV$5:BY$215,1,FALSE)</f>
        <v>2</v>
      </c>
      <c r="CE6" s="6" t="str">
        <f>VLOOKUP(CC6,$BV$5:BY$215,2,FALSE)</f>
        <v>ANITA VAN DER LINDE</v>
      </c>
      <c r="CF6" s="103">
        <f>VLOOKUP(CC6,$BV$5:BY$215,4,FALSE)</f>
        <v>79</v>
      </c>
      <c r="CL6" s="77">
        <v>1</v>
      </c>
    </row>
    <row r="7" spans="1:90" ht="17.45" customHeight="1">
      <c r="A7" s="58">
        <v>3</v>
      </c>
      <c r="B7" s="59" t="str">
        <f>'B Div'!A7 &amp; " " &amp; 'B Div'!B7</f>
        <v>SONJA HOPCROFT</v>
      </c>
      <c r="C7" s="59">
        <f>'B Div'!E7</f>
        <v>13</v>
      </c>
      <c r="D7" s="60">
        <v>6</v>
      </c>
      <c r="E7" s="60">
        <v>3</v>
      </c>
      <c r="F7" s="60">
        <v>6</v>
      </c>
      <c r="G7" s="60">
        <v>4</v>
      </c>
      <c r="H7" s="60">
        <v>5</v>
      </c>
      <c r="I7" s="60">
        <v>6</v>
      </c>
      <c r="J7" s="60">
        <v>6</v>
      </c>
      <c r="K7" s="60">
        <v>5</v>
      </c>
      <c r="L7" s="60">
        <v>4</v>
      </c>
      <c r="M7" s="74">
        <f t="shared" si="0"/>
        <v>45</v>
      </c>
      <c r="N7" s="60">
        <v>7</v>
      </c>
      <c r="O7" s="60">
        <v>5</v>
      </c>
      <c r="P7" s="60">
        <v>4</v>
      </c>
      <c r="Q7" s="60">
        <v>6</v>
      </c>
      <c r="R7" s="60">
        <v>3</v>
      </c>
      <c r="S7" s="60">
        <v>6</v>
      </c>
      <c r="T7" s="60">
        <v>5</v>
      </c>
      <c r="U7" s="60">
        <v>5</v>
      </c>
      <c r="V7" s="60">
        <v>7</v>
      </c>
      <c r="W7" s="74">
        <f t="shared" si="1"/>
        <v>48</v>
      </c>
      <c r="X7" s="74">
        <f t="shared" si="2"/>
        <v>93</v>
      </c>
      <c r="Y7" s="74">
        <f t="shared" si="3"/>
        <v>80</v>
      </c>
      <c r="AA7" s="60">
        <v>5</v>
      </c>
      <c r="AB7" s="60">
        <v>4</v>
      </c>
      <c r="AC7" s="60">
        <v>6</v>
      </c>
      <c r="AD7" s="60">
        <v>4</v>
      </c>
      <c r="AE7" s="60">
        <v>6</v>
      </c>
      <c r="AF7" s="60">
        <v>6</v>
      </c>
      <c r="AG7" s="60">
        <v>5</v>
      </c>
      <c r="AH7" s="60">
        <v>5</v>
      </c>
      <c r="AI7" s="60">
        <v>7</v>
      </c>
      <c r="AJ7" s="74">
        <f t="shared" si="4"/>
        <v>48</v>
      </c>
      <c r="AK7" s="60">
        <v>5</v>
      </c>
      <c r="AL7" s="60">
        <v>7</v>
      </c>
      <c r="AM7" s="60">
        <v>3</v>
      </c>
      <c r="AN7" s="60">
        <v>5</v>
      </c>
      <c r="AO7" s="60">
        <v>5</v>
      </c>
      <c r="AP7" s="60">
        <v>6</v>
      </c>
      <c r="AQ7" s="60">
        <v>4</v>
      </c>
      <c r="AR7" s="60">
        <v>5</v>
      </c>
      <c r="AS7" s="60">
        <v>5</v>
      </c>
      <c r="AT7" s="74">
        <f t="shared" si="5"/>
        <v>45</v>
      </c>
      <c r="AU7" s="74">
        <f t="shared" si="6"/>
        <v>93</v>
      </c>
      <c r="AV7" s="74">
        <f t="shared" si="7"/>
        <v>80</v>
      </c>
      <c r="AX7" s="59">
        <f>IF(AND(D7&gt;0,AA7&gt;0),MIN(D7,AA7),"-")</f>
        <v>5</v>
      </c>
      <c r="AY7" s="59">
        <f>IF(AND(E7&gt;0,AB7&gt;0),MIN(E7,AB7),"-")</f>
        <v>3</v>
      </c>
      <c r="AZ7" s="59">
        <f>IF(AND(F7&gt;0,AC7&gt;0),MIN(F7,AC7),"-")</f>
        <v>6</v>
      </c>
      <c r="BA7" s="59">
        <f>IF(AND(G7&gt;0,AD7&gt;0),MIN(G7,AD7),"-")</f>
        <v>4</v>
      </c>
      <c r="BB7" s="59">
        <f>IF(AND(H7&gt;0,AE7&gt;0),MIN(H7,AE7),"-")</f>
        <v>5</v>
      </c>
      <c r="BC7" s="59">
        <f>IF(AND(I7&gt;0,AF7&gt;0),MIN(I7,AF7),"-")</f>
        <v>6</v>
      </c>
      <c r="BD7" s="59">
        <f>IF(AND(J7&gt;0,AG7&gt;0),MIN(J7,AG7),"-")</f>
        <v>5</v>
      </c>
      <c r="BE7" s="59">
        <f>IF(AND(K7&gt;0,AH7&gt;0),MIN(K7,AH7),"-")</f>
        <v>5</v>
      </c>
      <c r="BF7" s="59">
        <f>IF(AND(L7&gt;0,AI7&gt;0),MIN(L7,AI7),"-")</f>
        <v>4</v>
      </c>
      <c r="BG7" s="59">
        <f t="shared" si="8"/>
        <v>43</v>
      </c>
      <c r="BH7" s="59">
        <f>IF(AND(N7&gt;0,AK7&gt;0),MIN(N7,AK7),"-")</f>
        <v>5</v>
      </c>
      <c r="BI7" s="59">
        <f>IF(AND(O7&gt;0,AL7&gt;0),MIN(O7,AL7),"-")</f>
        <v>5</v>
      </c>
      <c r="BJ7" s="59">
        <f>IF(AND(P7&gt;0,AM7&gt;0),MIN(P7,AM7),"-")</f>
        <v>3</v>
      </c>
      <c r="BK7" s="59">
        <f>IF(AND(Q7&gt;0,AN7&gt;0),MIN(Q7,AN7),"-")</f>
        <v>5</v>
      </c>
      <c r="BL7" s="59">
        <f>IF(AND(R7&gt;0,AO7&gt;0),MIN(R7,AO7),"-")</f>
        <v>3</v>
      </c>
      <c r="BM7" s="59">
        <f>IF(AND(S7&gt;0,AP7&gt;0),MIN(S7,AP7),"-")</f>
        <v>6</v>
      </c>
      <c r="BN7" s="59">
        <f>IF(AND(T7&gt;0,AQ7&gt;0),MIN(T7,AQ7),"-")</f>
        <v>4</v>
      </c>
      <c r="BO7" s="59">
        <f>IF(AND(U7&gt;0,AR7&gt;0),MIN(U7,AR7),"-")</f>
        <v>5</v>
      </c>
      <c r="BP7" s="59">
        <f>IF(AND(V7&gt;0,AS7&gt;0),MIN(V7,AS7),"-")</f>
        <v>5</v>
      </c>
      <c r="BQ7" s="59">
        <f t="shared" si="9"/>
        <v>41</v>
      </c>
      <c r="BR7" s="59">
        <f t="shared" si="10"/>
        <v>43</v>
      </c>
      <c r="BS7" s="59">
        <f t="shared" si="11"/>
        <v>84</v>
      </c>
      <c r="BT7" s="98">
        <f>IF(ISNUMBER(BS7),BS7-(C7*Rules!$P$9/100),"-")</f>
        <v>80.75</v>
      </c>
      <c r="BU7" s="59">
        <f>RANK($BT7,$BT$5:$BT$106,1)+COUNTIF(BT$5:BT7,BT7)-1</f>
        <v>4</v>
      </c>
      <c r="BV7" s="59">
        <f t="shared" si="12"/>
        <v>4</v>
      </c>
      <c r="BW7" s="59" t="str">
        <f t="shared" si="13"/>
        <v>SONJA HOPCROFT</v>
      </c>
      <c r="BX7" s="59">
        <f t="shared" si="13"/>
        <v>13</v>
      </c>
      <c r="BY7" s="59">
        <f t="shared" si="14"/>
        <v>80.75</v>
      </c>
      <c r="CC7" s="4">
        <v>3</v>
      </c>
      <c r="CD7" s="2">
        <f>VLOOKUP(CC7,$BV$5:BY$215,1,FALSE)</f>
        <v>3</v>
      </c>
      <c r="CE7" s="6" t="str">
        <f>VLOOKUP(CC7,$BV$5:BY$215,2,FALSE)</f>
        <v>KAY DUNKLEY</v>
      </c>
      <c r="CF7" s="103">
        <f>VLOOKUP(CC7,$BV$5:BY$215,4,FALSE)</f>
        <v>80</v>
      </c>
      <c r="CL7" s="77">
        <v>1</v>
      </c>
    </row>
    <row r="8" spans="1:90" ht="17.45" customHeight="1">
      <c r="A8" s="58">
        <v>4</v>
      </c>
      <c r="B8" s="59" t="str">
        <f>'B Div'!A8 &amp; " " &amp; 'B Div'!B8</f>
        <v>TARA SMITH</v>
      </c>
      <c r="C8" s="59">
        <f>'B Div'!E8</f>
        <v>2</v>
      </c>
      <c r="D8" s="60">
        <v>4</v>
      </c>
      <c r="E8" s="60">
        <v>3</v>
      </c>
      <c r="F8" s="60">
        <v>4</v>
      </c>
      <c r="G8" s="60">
        <v>4</v>
      </c>
      <c r="H8" s="60">
        <v>5</v>
      </c>
      <c r="I8" s="60">
        <v>3</v>
      </c>
      <c r="J8" s="60">
        <v>4</v>
      </c>
      <c r="K8" s="60">
        <v>4</v>
      </c>
      <c r="L8" s="60">
        <v>3</v>
      </c>
      <c r="M8" s="74">
        <f t="shared" si="0"/>
        <v>34</v>
      </c>
      <c r="N8" s="60">
        <v>4</v>
      </c>
      <c r="O8" s="60">
        <v>4</v>
      </c>
      <c r="P8" s="60">
        <v>3</v>
      </c>
      <c r="Q8" s="60">
        <v>4</v>
      </c>
      <c r="R8" s="60">
        <v>4</v>
      </c>
      <c r="S8" s="60">
        <v>5</v>
      </c>
      <c r="T8" s="60">
        <v>4</v>
      </c>
      <c r="U8" s="60">
        <v>5</v>
      </c>
      <c r="V8" s="60">
        <v>5</v>
      </c>
      <c r="W8" s="74">
        <f t="shared" si="1"/>
        <v>38</v>
      </c>
      <c r="X8" s="74">
        <f t="shared" si="2"/>
        <v>72</v>
      </c>
      <c r="Y8" s="74">
        <f t="shared" si="3"/>
        <v>70</v>
      </c>
      <c r="AA8" s="60">
        <v>4</v>
      </c>
      <c r="AB8" s="60">
        <v>4</v>
      </c>
      <c r="AC8" s="60">
        <v>4</v>
      </c>
      <c r="AD8" s="60">
        <v>5</v>
      </c>
      <c r="AE8" s="60">
        <v>7</v>
      </c>
      <c r="AF8" s="60">
        <v>5</v>
      </c>
      <c r="AG8" s="60">
        <v>4</v>
      </c>
      <c r="AH8" s="60">
        <v>4</v>
      </c>
      <c r="AI8" s="60">
        <v>3</v>
      </c>
      <c r="AJ8" s="74">
        <f t="shared" si="4"/>
        <v>40</v>
      </c>
      <c r="AK8" s="60">
        <v>5</v>
      </c>
      <c r="AL8" s="60">
        <v>4</v>
      </c>
      <c r="AM8" s="60">
        <v>4</v>
      </c>
      <c r="AN8" s="60">
        <v>4</v>
      </c>
      <c r="AO8" s="60">
        <v>6</v>
      </c>
      <c r="AP8" s="60">
        <v>4</v>
      </c>
      <c r="AQ8" s="60">
        <v>5</v>
      </c>
      <c r="AR8" s="60">
        <v>5</v>
      </c>
      <c r="AS8" s="60">
        <v>5</v>
      </c>
      <c r="AT8" s="74">
        <f t="shared" si="5"/>
        <v>42</v>
      </c>
      <c r="AU8" s="74">
        <f t="shared" si="6"/>
        <v>82</v>
      </c>
      <c r="AV8" s="74">
        <f t="shared" si="7"/>
        <v>80</v>
      </c>
      <c r="AX8" s="59">
        <f>IF(AND(D8&gt;0,AA8&gt;0),MIN(D8,AA8),"-")</f>
        <v>4</v>
      </c>
      <c r="AY8" s="59">
        <f>IF(AND(E8&gt;0,AB8&gt;0),MIN(E8,AB8),"-")</f>
        <v>3</v>
      </c>
      <c r="AZ8" s="59">
        <f>IF(AND(F8&gt;0,AC8&gt;0),MIN(F8,AC8),"-")</f>
        <v>4</v>
      </c>
      <c r="BA8" s="59">
        <f>IF(AND(G8&gt;0,AD8&gt;0),MIN(G8,AD8),"-")</f>
        <v>4</v>
      </c>
      <c r="BB8" s="59">
        <f>IF(AND(H8&gt;0,AE8&gt;0),MIN(H8,AE8),"-")</f>
        <v>5</v>
      </c>
      <c r="BC8" s="59">
        <f>IF(AND(I8&gt;0,AF8&gt;0),MIN(I8,AF8),"-")</f>
        <v>3</v>
      </c>
      <c r="BD8" s="59">
        <f>IF(AND(J8&gt;0,AG8&gt;0),MIN(J8,AG8),"-")</f>
        <v>4</v>
      </c>
      <c r="BE8" s="59">
        <f>IF(AND(K8&gt;0,AH8&gt;0),MIN(K8,AH8),"-")</f>
        <v>4</v>
      </c>
      <c r="BF8" s="59">
        <f>IF(AND(L8&gt;0,AI8&gt;0),MIN(L8,AI8),"-")</f>
        <v>3</v>
      </c>
      <c r="BG8" s="59">
        <f t="shared" si="8"/>
        <v>34</v>
      </c>
      <c r="BH8" s="59">
        <f>IF(AND(N8&gt;0,AK8&gt;0),MIN(N8,AK8),"-")</f>
        <v>4</v>
      </c>
      <c r="BI8" s="59">
        <f>IF(AND(O8&gt;0,AL8&gt;0),MIN(O8,AL8),"-")</f>
        <v>4</v>
      </c>
      <c r="BJ8" s="59">
        <f>IF(AND(P8&gt;0,AM8&gt;0),MIN(P8,AM8),"-")</f>
        <v>3</v>
      </c>
      <c r="BK8" s="59">
        <f>IF(AND(Q8&gt;0,AN8&gt;0),MIN(Q8,AN8),"-")</f>
        <v>4</v>
      </c>
      <c r="BL8" s="59">
        <f>IF(AND(R8&gt;0,AO8&gt;0),MIN(R8,AO8),"-")</f>
        <v>4</v>
      </c>
      <c r="BM8" s="59">
        <f>IF(AND(S8&gt;0,AP8&gt;0),MIN(S8,AP8),"-")</f>
        <v>4</v>
      </c>
      <c r="BN8" s="59">
        <f>IF(AND(T8&gt;0,AQ8&gt;0),MIN(T8,AQ8),"-")</f>
        <v>4</v>
      </c>
      <c r="BO8" s="59">
        <f>IF(AND(U8&gt;0,AR8&gt;0),MIN(U8,AR8),"-")</f>
        <v>5</v>
      </c>
      <c r="BP8" s="59">
        <f>IF(AND(V8&gt;0,AS8&gt;0),MIN(V8,AS8),"-")</f>
        <v>5</v>
      </c>
      <c r="BQ8" s="59">
        <f t="shared" si="9"/>
        <v>37</v>
      </c>
      <c r="BR8" s="59">
        <f t="shared" si="10"/>
        <v>34</v>
      </c>
      <c r="BS8" s="59">
        <f t="shared" si="11"/>
        <v>71</v>
      </c>
      <c r="BT8" s="98">
        <f>IF(ISNUMBER(BS8),BS8-(C8*Rules!$P$9/100),"-")</f>
        <v>70.5</v>
      </c>
      <c r="BU8" s="59">
        <f>RANK($BT8,$BT$5:$BT$106,1)+COUNTIF(BT$5:BT8,BT8)-1</f>
        <v>1</v>
      </c>
      <c r="BV8" s="59">
        <f t="shared" si="12"/>
        <v>1</v>
      </c>
      <c r="BW8" s="59" t="str">
        <f t="shared" si="13"/>
        <v>TARA SMITH</v>
      </c>
      <c r="BX8" s="59">
        <f t="shared" si="13"/>
        <v>2</v>
      </c>
      <c r="BY8" s="59">
        <f t="shared" si="14"/>
        <v>70.5</v>
      </c>
      <c r="CC8" s="4">
        <v>4</v>
      </c>
      <c r="CD8" s="2">
        <f>VLOOKUP(CC8,$BV$5:BY$215,1,FALSE)</f>
        <v>4</v>
      </c>
      <c r="CE8" s="6" t="str">
        <f>VLOOKUP(CC8,$BV$5:BY$215,2,FALSE)</f>
        <v>SONJA HOPCROFT</v>
      </c>
      <c r="CF8" s="103">
        <f>VLOOKUP(CC8,$BV$5:BY$215,4,FALSE)</f>
        <v>80.75</v>
      </c>
      <c r="CL8" s="77">
        <v>1</v>
      </c>
    </row>
    <row r="9" spans="1:90" ht="17.45" customHeight="1">
      <c r="A9" s="58">
        <v>5</v>
      </c>
      <c r="B9" s="59" t="str">
        <f>'B Div'!A9 &amp; " " &amp; 'B Div'!B9</f>
        <v>ANITA VAN DER LINDE</v>
      </c>
      <c r="C9" s="59">
        <f>'B Div'!E9</f>
        <v>16</v>
      </c>
      <c r="D9" s="60">
        <v>6</v>
      </c>
      <c r="E9" s="60">
        <v>3</v>
      </c>
      <c r="F9" s="60">
        <v>6</v>
      </c>
      <c r="G9" s="60">
        <v>7</v>
      </c>
      <c r="H9" s="60">
        <v>5</v>
      </c>
      <c r="I9" s="60">
        <v>3</v>
      </c>
      <c r="J9" s="60">
        <v>5</v>
      </c>
      <c r="K9" s="60">
        <v>6</v>
      </c>
      <c r="L9" s="60">
        <v>4</v>
      </c>
      <c r="M9" s="74">
        <f t="shared" si="0"/>
        <v>45</v>
      </c>
      <c r="N9" s="60">
        <v>8</v>
      </c>
      <c r="O9" s="60">
        <v>4</v>
      </c>
      <c r="P9" s="60">
        <v>4</v>
      </c>
      <c r="Q9" s="60">
        <v>6</v>
      </c>
      <c r="R9" s="60">
        <v>4</v>
      </c>
      <c r="S9" s="60">
        <v>6</v>
      </c>
      <c r="T9" s="60">
        <v>3</v>
      </c>
      <c r="U9" s="60">
        <v>6</v>
      </c>
      <c r="V9" s="60">
        <v>7</v>
      </c>
      <c r="W9" s="74">
        <f t="shared" si="1"/>
        <v>48</v>
      </c>
      <c r="X9" s="74">
        <f t="shared" si="2"/>
        <v>93</v>
      </c>
      <c r="Y9" s="74">
        <f t="shared" si="3"/>
        <v>77</v>
      </c>
      <c r="AA9" s="60">
        <v>5</v>
      </c>
      <c r="AB9" s="60">
        <v>3</v>
      </c>
      <c r="AC9" s="60">
        <v>5</v>
      </c>
      <c r="AD9" s="60">
        <v>5</v>
      </c>
      <c r="AE9" s="60">
        <v>7</v>
      </c>
      <c r="AF9" s="60">
        <v>3</v>
      </c>
      <c r="AG9" s="60">
        <v>6</v>
      </c>
      <c r="AH9" s="60">
        <v>5</v>
      </c>
      <c r="AI9" s="60">
        <v>4</v>
      </c>
      <c r="AJ9" s="74">
        <f t="shared" si="4"/>
        <v>43</v>
      </c>
      <c r="AK9" s="60">
        <v>7</v>
      </c>
      <c r="AL9" s="60">
        <v>4</v>
      </c>
      <c r="AM9" s="60">
        <v>3</v>
      </c>
      <c r="AN9" s="60">
        <v>6</v>
      </c>
      <c r="AO9" s="60">
        <v>3</v>
      </c>
      <c r="AP9" s="60">
        <v>6</v>
      </c>
      <c r="AQ9" s="60">
        <v>5</v>
      </c>
      <c r="AR9" s="60">
        <v>6</v>
      </c>
      <c r="AS9" s="60">
        <v>5</v>
      </c>
      <c r="AT9" s="74">
        <f t="shared" si="5"/>
        <v>45</v>
      </c>
      <c r="AU9" s="74">
        <f t="shared" si="6"/>
        <v>88</v>
      </c>
      <c r="AV9" s="74">
        <f t="shared" si="7"/>
        <v>72</v>
      </c>
      <c r="AX9" s="59">
        <f>IF(AND(D9&gt;0,AA9&gt;0),MIN(D9,AA9),"-")</f>
        <v>5</v>
      </c>
      <c r="AY9" s="59">
        <f>IF(AND(E9&gt;0,AB9&gt;0),MIN(E9,AB9),"-")</f>
        <v>3</v>
      </c>
      <c r="AZ9" s="59">
        <f>IF(AND(F9&gt;0,AC9&gt;0),MIN(F9,AC9),"-")</f>
        <v>5</v>
      </c>
      <c r="BA9" s="59">
        <f>IF(AND(G9&gt;0,AD9&gt;0),MIN(G9,AD9),"-")</f>
        <v>5</v>
      </c>
      <c r="BB9" s="59">
        <f>IF(AND(H9&gt;0,AE9&gt;0),MIN(H9,AE9),"-")</f>
        <v>5</v>
      </c>
      <c r="BC9" s="59">
        <f>IF(AND(I9&gt;0,AF9&gt;0),MIN(I9,AF9),"-")</f>
        <v>3</v>
      </c>
      <c r="BD9" s="59">
        <f>IF(AND(J9&gt;0,AG9&gt;0),MIN(J9,AG9),"-")</f>
        <v>5</v>
      </c>
      <c r="BE9" s="59">
        <f>IF(AND(K9&gt;0,AH9&gt;0),MIN(K9,AH9),"-")</f>
        <v>5</v>
      </c>
      <c r="BF9" s="59">
        <f>IF(AND(L9&gt;0,AI9&gt;0),MIN(L9,AI9),"-")</f>
        <v>4</v>
      </c>
      <c r="BG9" s="59">
        <f t="shared" si="8"/>
        <v>40</v>
      </c>
      <c r="BH9" s="59">
        <f>IF(AND(N9&gt;0,AK9&gt;0),MIN(N9,AK9),"-")</f>
        <v>7</v>
      </c>
      <c r="BI9" s="59">
        <f>IF(AND(O9&gt;0,AL9&gt;0),MIN(O9,AL9),"-")</f>
        <v>4</v>
      </c>
      <c r="BJ9" s="59">
        <f>IF(AND(P9&gt;0,AM9&gt;0),MIN(P9,AM9),"-")</f>
        <v>3</v>
      </c>
      <c r="BK9" s="59">
        <f>IF(AND(Q9&gt;0,AN9&gt;0),MIN(Q9,AN9),"-")</f>
        <v>6</v>
      </c>
      <c r="BL9" s="59">
        <f>IF(AND(R9&gt;0,AO9&gt;0),MIN(R9,AO9),"-")</f>
        <v>3</v>
      </c>
      <c r="BM9" s="59">
        <f>IF(AND(S9&gt;0,AP9&gt;0),MIN(S9,AP9),"-")</f>
        <v>6</v>
      </c>
      <c r="BN9" s="59">
        <f>IF(AND(T9&gt;0,AQ9&gt;0),MIN(T9,AQ9),"-")</f>
        <v>3</v>
      </c>
      <c r="BO9" s="59">
        <f>IF(AND(U9&gt;0,AR9&gt;0),MIN(U9,AR9),"-")</f>
        <v>6</v>
      </c>
      <c r="BP9" s="59">
        <f>IF(AND(V9&gt;0,AS9&gt;0),MIN(V9,AS9),"-")</f>
        <v>5</v>
      </c>
      <c r="BQ9" s="59">
        <f t="shared" si="9"/>
        <v>43</v>
      </c>
      <c r="BR9" s="59">
        <f t="shared" si="10"/>
        <v>40</v>
      </c>
      <c r="BS9" s="59">
        <f t="shared" si="11"/>
        <v>83</v>
      </c>
      <c r="BT9" s="98">
        <f>IF(ISNUMBER(BS9),BS9-(C9*Rules!$P$9/100),"-")</f>
        <v>79</v>
      </c>
      <c r="BU9" s="59">
        <f>RANK($BT9,$BT$5:$BT$106,1)+COUNTIF(BT$5:BT9,BT9)-1</f>
        <v>2</v>
      </c>
      <c r="BV9" s="59">
        <f t="shared" si="12"/>
        <v>2</v>
      </c>
      <c r="BW9" s="59" t="str">
        <f t="shared" si="13"/>
        <v>ANITA VAN DER LINDE</v>
      </c>
      <c r="BX9" s="59">
        <f t="shared" si="13"/>
        <v>16</v>
      </c>
      <c r="BY9" s="59">
        <f t="shared" si="14"/>
        <v>79</v>
      </c>
      <c r="CC9" s="4">
        <v>5</v>
      </c>
      <c r="CD9" s="2">
        <f>VLOOKUP(CC9,$BV$5:BY$215,1,FALSE)</f>
        <v>5</v>
      </c>
      <c r="CE9" s="6" t="str">
        <f>VLOOKUP(CC9,$BV$5:BY$215,2,FALSE)</f>
        <v>ALIDA HOOPER</v>
      </c>
      <c r="CF9" s="103">
        <f>VLOOKUP(CC9,$BV$5:BY$215,4,FALSE)</f>
        <v>81.25</v>
      </c>
      <c r="CL9" s="77">
        <v>1</v>
      </c>
    </row>
    <row r="10" spans="1:90" ht="17.45" customHeight="1">
      <c r="A10" s="58">
        <v>6</v>
      </c>
      <c r="B10" s="59" t="str">
        <f>'B Div'!A10 &amp; " " &amp; 'B Div'!B10</f>
        <v xml:space="preserve"> </v>
      </c>
      <c r="C10" s="59" t="str">
        <f>'B Div'!E10</f>
        <v>-</v>
      </c>
      <c r="D10" s="60"/>
      <c r="E10" s="60"/>
      <c r="F10" s="60"/>
      <c r="G10" s="60"/>
      <c r="H10" s="60"/>
      <c r="I10" s="60"/>
      <c r="J10" s="60"/>
      <c r="K10" s="60"/>
      <c r="L10" s="60"/>
      <c r="M10" s="74" t="str">
        <f t="shared" si="0"/>
        <v>-</v>
      </c>
      <c r="N10" s="60"/>
      <c r="O10" s="60"/>
      <c r="P10" s="60"/>
      <c r="Q10" s="60"/>
      <c r="R10" s="60"/>
      <c r="S10" s="60"/>
      <c r="T10" s="60"/>
      <c r="U10" s="60"/>
      <c r="V10" s="60"/>
      <c r="W10" s="74" t="str">
        <f t="shared" si="1"/>
        <v>-</v>
      </c>
      <c r="X10" s="74" t="str">
        <f t="shared" si="2"/>
        <v>-</v>
      </c>
      <c r="Y10" s="74" t="str">
        <f t="shared" si="3"/>
        <v>-</v>
      </c>
      <c r="AA10" s="60"/>
      <c r="AB10" s="60"/>
      <c r="AC10" s="60"/>
      <c r="AD10" s="60"/>
      <c r="AE10" s="60"/>
      <c r="AF10" s="60"/>
      <c r="AG10" s="60"/>
      <c r="AH10" s="60"/>
      <c r="AI10" s="60"/>
      <c r="AJ10" s="74" t="str">
        <f t="shared" si="4"/>
        <v>-</v>
      </c>
      <c r="AK10" s="60"/>
      <c r="AL10" s="60"/>
      <c r="AM10" s="60"/>
      <c r="AN10" s="60"/>
      <c r="AO10" s="60"/>
      <c r="AP10" s="60"/>
      <c r="AQ10" s="60"/>
      <c r="AR10" s="60"/>
      <c r="AS10" s="60"/>
      <c r="AT10" s="74" t="str">
        <f t="shared" si="5"/>
        <v>-</v>
      </c>
      <c r="AU10" s="74" t="str">
        <f t="shared" si="6"/>
        <v>-</v>
      </c>
      <c r="AV10" s="74" t="str">
        <f t="shared" si="7"/>
        <v>-</v>
      </c>
      <c r="AX10" s="59" t="str">
        <f>IF(AND(D10&gt;0,AA10&gt;0),MIN(D10,AA10),"-")</f>
        <v>-</v>
      </c>
      <c r="AY10" s="59" t="str">
        <f>IF(AND(E10&gt;0,AB10&gt;0),MIN(E10,AB10),"-")</f>
        <v>-</v>
      </c>
      <c r="AZ10" s="59" t="str">
        <f>IF(AND(F10&gt;0,AC10&gt;0),MIN(F10,AC10),"-")</f>
        <v>-</v>
      </c>
      <c r="BA10" s="59" t="str">
        <f>IF(AND(G10&gt;0,AD10&gt;0),MIN(G10,AD10),"-")</f>
        <v>-</v>
      </c>
      <c r="BB10" s="59" t="str">
        <f>IF(AND(H10&gt;0,AE10&gt;0),MIN(H10,AE10),"-")</f>
        <v>-</v>
      </c>
      <c r="BC10" s="59" t="str">
        <f>IF(AND(I10&gt;0,AF10&gt;0),MIN(I10,AF10),"-")</f>
        <v>-</v>
      </c>
      <c r="BD10" s="59" t="str">
        <f>IF(AND(J10&gt;0,AG10&gt;0),MIN(J10,AG10),"-")</f>
        <v>-</v>
      </c>
      <c r="BE10" s="59" t="str">
        <f>IF(AND(K10&gt;0,AH10&gt;0),MIN(K10,AH10),"-")</f>
        <v>-</v>
      </c>
      <c r="BF10" s="59" t="str">
        <f>IF(AND(L10&gt;0,AI10&gt;0),MIN(L10,AI10),"-")</f>
        <v>-</v>
      </c>
      <c r="BG10" s="59" t="str">
        <f t="shared" si="8"/>
        <v>-</v>
      </c>
      <c r="BH10" s="59" t="str">
        <f>IF(AND(N10&gt;0,AK10&gt;0),MIN(N10,AK10),"-")</f>
        <v>-</v>
      </c>
      <c r="BI10" s="59" t="str">
        <f>IF(AND(O10&gt;0,AL10&gt;0),MIN(O10,AL10),"-")</f>
        <v>-</v>
      </c>
      <c r="BJ10" s="59" t="str">
        <f>IF(AND(P10&gt;0,AM10&gt;0),MIN(P10,AM10),"-")</f>
        <v>-</v>
      </c>
      <c r="BK10" s="59" t="str">
        <f>IF(AND(Q10&gt;0,AN10&gt;0),MIN(Q10,AN10),"-")</f>
        <v>-</v>
      </c>
      <c r="BL10" s="59" t="str">
        <f>IF(AND(R10&gt;0,AO10&gt;0),MIN(R10,AO10),"-")</f>
        <v>-</v>
      </c>
      <c r="BM10" s="59" t="str">
        <f>IF(AND(S10&gt;0,AP10&gt;0),MIN(S10,AP10),"-")</f>
        <v>-</v>
      </c>
      <c r="BN10" s="59" t="str">
        <f>IF(AND(T10&gt;0,AQ10&gt;0),MIN(T10,AQ10),"-")</f>
        <v>-</v>
      </c>
      <c r="BO10" s="59" t="str">
        <f>IF(AND(U10&gt;0,AR10&gt;0),MIN(U10,AR10),"-")</f>
        <v>-</v>
      </c>
      <c r="BP10" s="59" t="str">
        <f>IF(AND(V10&gt;0,AS10&gt;0),MIN(V10,AS10),"-")</f>
        <v>-</v>
      </c>
      <c r="BQ10" s="59" t="str">
        <f t="shared" si="9"/>
        <v>-</v>
      </c>
      <c r="BR10" s="59" t="str">
        <f t="shared" si="10"/>
        <v>-</v>
      </c>
      <c r="BS10" s="59" t="str">
        <f t="shared" si="11"/>
        <v>-</v>
      </c>
      <c r="BT10" s="98" t="str">
        <f>IF(ISNUMBER(BS10),BS10-(C10*Rules!$P$9/100),"-")</f>
        <v>-</v>
      </c>
      <c r="BU10" s="59" t="e">
        <f>RANK($BT10,$BT$5:$BT$106,1)+COUNTIF(BT$5:BT10,BT10)-1</f>
        <v>#VALUE!</v>
      </c>
      <c r="BV10" s="59" t="e">
        <f t="shared" si="12"/>
        <v>#VALUE!</v>
      </c>
      <c r="BW10" s="59" t="str">
        <f t="shared" si="13"/>
        <v xml:space="preserve"> </v>
      </c>
      <c r="BX10" s="59" t="str">
        <f t="shared" si="13"/>
        <v>-</v>
      </c>
      <c r="BY10" s="59" t="str">
        <f t="shared" si="14"/>
        <v>-</v>
      </c>
      <c r="CC10" s="4">
        <v>6</v>
      </c>
      <c r="CD10" s="2" t="e">
        <f>VLOOKUP(CC10,$BV$5:BY$215,1,FALSE)</f>
        <v>#N/A</v>
      </c>
      <c r="CE10" s="6" t="e">
        <f>VLOOKUP(CC10,$BV$5:BY$215,2,FALSE)</f>
        <v>#N/A</v>
      </c>
      <c r="CF10" s="103" t="e">
        <f>VLOOKUP(CC10,$BV$5:BY$215,4,FALSE)</f>
        <v>#N/A</v>
      </c>
      <c r="CL10" s="77">
        <v>1</v>
      </c>
    </row>
    <row r="11" spans="1:90" ht="17.45" customHeight="1">
      <c r="A11" s="58">
        <v>7</v>
      </c>
      <c r="B11" s="59" t="str">
        <f>'B Div'!A11 &amp; " " &amp; 'B Div'!B11</f>
        <v xml:space="preserve"> </v>
      </c>
      <c r="C11" s="59" t="str">
        <f>'B Div'!E11</f>
        <v>-</v>
      </c>
      <c r="D11" s="60"/>
      <c r="E11" s="60"/>
      <c r="F11" s="60"/>
      <c r="G11" s="60"/>
      <c r="H11" s="60"/>
      <c r="I11" s="60"/>
      <c r="J11" s="60"/>
      <c r="K11" s="60"/>
      <c r="L11" s="60"/>
      <c r="M11" s="74" t="str">
        <f t="shared" si="0"/>
        <v>-</v>
      </c>
      <c r="N11" s="60"/>
      <c r="O11" s="60"/>
      <c r="P11" s="60"/>
      <c r="Q11" s="60"/>
      <c r="R11" s="60"/>
      <c r="S11" s="60"/>
      <c r="T11" s="60"/>
      <c r="U11" s="60"/>
      <c r="V11" s="60"/>
      <c r="W11" s="74" t="str">
        <f t="shared" si="1"/>
        <v>-</v>
      </c>
      <c r="X11" s="74" t="str">
        <f t="shared" si="2"/>
        <v>-</v>
      </c>
      <c r="Y11" s="74" t="str">
        <f t="shared" si="3"/>
        <v>-</v>
      </c>
      <c r="AA11" s="60"/>
      <c r="AB11" s="60"/>
      <c r="AC11" s="60"/>
      <c r="AD11" s="60"/>
      <c r="AE11" s="60"/>
      <c r="AF11" s="60"/>
      <c r="AG11" s="60"/>
      <c r="AH11" s="60"/>
      <c r="AI11" s="60"/>
      <c r="AJ11" s="74" t="str">
        <f t="shared" si="4"/>
        <v>-</v>
      </c>
      <c r="AK11" s="60"/>
      <c r="AL11" s="60"/>
      <c r="AM11" s="60"/>
      <c r="AN11" s="60"/>
      <c r="AO11" s="60"/>
      <c r="AP11" s="60"/>
      <c r="AQ11" s="60"/>
      <c r="AR11" s="60"/>
      <c r="AS11" s="60"/>
      <c r="AT11" s="74" t="str">
        <f t="shared" si="5"/>
        <v>-</v>
      </c>
      <c r="AU11" s="74" t="str">
        <f t="shared" si="6"/>
        <v>-</v>
      </c>
      <c r="AV11" s="74" t="str">
        <f t="shared" si="7"/>
        <v>-</v>
      </c>
      <c r="AX11" s="59" t="str">
        <f>IF(AND(D11&gt;0,AA11&gt;0),MIN(D11,AA11),"-")</f>
        <v>-</v>
      </c>
      <c r="AY11" s="59" t="str">
        <f>IF(AND(E11&gt;0,AB11&gt;0),MIN(E11,AB11),"-")</f>
        <v>-</v>
      </c>
      <c r="AZ11" s="59" t="str">
        <f>IF(AND(F11&gt;0,AC11&gt;0),MIN(F11,AC11),"-")</f>
        <v>-</v>
      </c>
      <c r="BA11" s="59" t="str">
        <f>IF(AND(G11&gt;0,AD11&gt;0),MIN(G11,AD11),"-")</f>
        <v>-</v>
      </c>
      <c r="BB11" s="59" t="str">
        <f>IF(AND(H11&gt;0,AE11&gt;0),MIN(H11,AE11),"-")</f>
        <v>-</v>
      </c>
      <c r="BC11" s="59" t="str">
        <f>IF(AND(I11&gt;0,AF11&gt;0),MIN(I11,AF11),"-")</f>
        <v>-</v>
      </c>
      <c r="BD11" s="59" t="str">
        <f>IF(AND(J11&gt;0,AG11&gt;0),MIN(J11,AG11),"-")</f>
        <v>-</v>
      </c>
      <c r="BE11" s="59" t="str">
        <f>IF(AND(K11&gt;0,AH11&gt;0),MIN(K11,AH11),"-")</f>
        <v>-</v>
      </c>
      <c r="BF11" s="59" t="str">
        <f>IF(AND(L11&gt;0,AI11&gt;0),MIN(L11,AI11),"-")</f>
        <v>-</v>
      </c>
      <c r="BG11" s="59" t="str">
        <f t="shared" si="8"/>
        <v>-</v>
      </c>
      <c r="BH11" s="59" t="str">
        <f>IF(AND(N11&gt;0,AK11&gt;0),MIN(N11,AK11),"-")</f>
        <v>-</v>
      </c>
      <c r="BI11" s="59" t="str">
        <f>IF(AND(O11&gt;0,AL11&gt;0),MIN(O11,AL11),"-")</f>
        <v>-</v>
      </c>
      <c r="BJ11" s="59" t="str">
        <f>IF(AND(P11&gt;0,AM11&gt;0),MIN(P11,AM11),"-")</f>
        <v>-</v>
      </c>
      <c r="BK11" s="59" t="str">
        <f>IF(AND(Q11&gt;0,AN11&gt;0),MIN(Q11,AN11),"-")</f>
        <v>-</v>
      </c>
      <c r="BL11" s="59" t="str">
        <f>IF(AND(R11&gt;0,AO11&gt;0),MIN(R11,AO11),"-")</f>
        <v>-</v>
      </c>
      <c r="BM11" s="59" t="str">
        <f>IF(AND(S11&gt;0,AP11&gt;0),MIN(S11,AP11),"-")</f>
        <v>-</v>
      </c>
      <c r="BN11" s="59" t="str">
        <f>IF(AND(T11&gt;0,AQ11&gt;0),MIN(T11,AQ11),"-")</f>
        <v>-</v>
      </c>
      <c r="BO11" s="59" t="str">
        <f>IF(AND(U11&gt;0,AR11&gt;0),MIN(U11,AR11),"-")</f>
        <v>-</v>
      </c>
      <c r="BP11" s="59" t="str">
        <f>IF(AND(V11&gt;0,AS11&gt;0),MIN(V11,AS11),"-")</f>
        <v>-</v>
      </c>
      <c r="BQ11" s="59" t="str">
        <f t="shared" si="9"/>
        <v>-</v>
      </c>
      <c r="BR11" s="59" t="str">
        <f t="shared" si="10"/>
        <v>-</v>
      </c>
      <c r="BS11" s="59" t="str">
        <f t="shared" si="11"/>
        <v>-</v>
      </c>
      <c r="BT11" s="98" t="str">
        <f>IF(ISNUMBER(BS11),BS11-(C11*Rules!$P$9/100),"-")</f>
        <v>-</v>
      </c>
      <c r="BU11" s="59" t="e">
        <f>RANK($BT11,$BT$5:$BT$106,1)+COUNTIF(BT$5:BT11,BT11)-1</f>
        <v>#VALUE!</v>
      </c>
      <c r="BV11" s="59" t="e">
        <f t="shared" si="12"/>
        <v>#VALUE!</v>
      </c>
      <c r="BW11" s="59" t="str">
        <f t="shared" si="13"/>
        <v xml:space="preserve"> </v>
      </c>
      <c r="BX11" s="59" t="str">
        <f t="shared" si="13"/>
        <v>-</v>
      </c>
      <c r="BY11" s="59" t="str">
        <f t="shared" si="14"/>
        <v>-</v>
      </c>
      <c r="CC11" s="4">
        <v>7</v>
      </c>
      <c r="CD11" s="2" t="e">
        <f>VLOOKUP(CC11,$BV$5:BY$215,1,FALSE)</f>
        <v>#N/A</v>
      </c>
      <c r="CE11" s="6" t="e">
        <f>VLOOKUP(CC11,$BV$5:BY$215,2,FALSE)</f>
        <v>#N/A</v>
      </c>
      <c r="CF11" s="103" t="e">
        <f>VLOOKUP(CC11,$BV$5:BY$215,4,FALSE)</f>
        <v>#N/A</v>
      </c>
      <c r="CL11" s="77">
        <v>1</v>
      </c>
    </row>
    <row r="12" spans="1:90" ht="17.45" customHeight="1">
      <c r="A12" s="58">
        <v>8</v>
      </c>
      <c r="B12" s="59" t="str">
        <f>'B Div'!A12 &amp; " " &amp; 'B Div'!B12</f>
        <v xml:space="preserve"> </v>
      </c>
      <c r="C12" s="59" t="str">
        <f>'B Div'!E12</f>
        <v>-</v>
      </c>
      <c r="D12" s="60"/>
      <c r="E12" s="60"/>
      <c r="F12" s="60"/>
      <c r="G12" s="60"/>
      <c r="H12" s="60"/>
      <c r="I12" s="60"/>
      <c r="J12" s="60"/>
      <c r="K12" s="60"/>
      <c r="L12" s="60"/>
      <c r="M12" s="74" t="str">
        <f t="shared" si="0"/>
        <v>-</v>
      </c>
      <c r="N12" s="60"/>
      <c r="O12" s="60"/>
      <c r="P12" s="60"/>
      <c r="Q12" s="60"/>
      <c r="R12" s="60"/>
      <c r="S12" s="60"/>
      <c r="T12" s="60"/>
      <c r="U12" s="60"/>
      <c r="V12" s="60"/>
      <c r="W12" s="74" t="str">
        <f t="shared" si="1"/>
        <v>-</v>
      </c>
      <c r="X12" s="74" t="str">
        <f t="shared" si="2"/>
        <v>-</v>
      </c>
      <c r="Y12" s="74" t="str">
        <f t="shared" si="3"/>
        <v>-</v>
      </c>
      <c r="AA12" s="60"/>
      <c r="AB12" s="60"/>
      <c r="AC12" s="60"/>
      <c r="AD12" s="60"/>
      <c r="AE12" s="60"/>
      <c r="AF12" s="60"/>
      <c r="AG12" s="60"/>
      <c r="AH12" s="60"/>
      <c r="AI12" s="60"/>
      <c r="AJ12" s="74" t="str">
        <f t="shared" si="4"/>
        <v>-</v>
      </c>
      <c r="AK12" s="60"/>
      <c r="AL12" s="60"/>
      <c r="AM12" s="60"/>
      <c r="AN12" s="60"/>
      <c r="AO12" s="60"/>
      <c r="AP12" s="60"/>
      <c r="AQ12" s="60"/>
      <c r="AR12" s="60"/>
      <c r="AS12" s="60"/>
      <c r="AT12" s="74" t="str">
        <f t="shared" si="5"/>
        <v>-</v>
      </c>
      <c r="AU12" s="74" t="str">
        <f t="shared" si="6"/>
        <v>-</v>
      </c>
      <c r="AV12" s="74" t="str">
        <f t="shared" si="7"/>
        <v>-</v>
      </c>
      <c r="AX12" s="59" t="str">
        <f>IF(AND(D12&gt;0,AA12&gt;0),MIN(D12,AA12),"-")</f>
        <v>-</v>
      </c>
      <c r="AY12" s="59" t="str">
        <f>IF(AND(E12&gt;0,AB12&gt;0),MIN(E12,AB12),"-")</f>
        <v>-</v>
      </c>
      <c r="AZ12" s="59" t="str">
        <f>IF(AND(F12&gt;0,AC12&gt;0),MIN(F12,AC12),"-")</f>
        <v>-</v>
      </c>
      <c r="BA12" s="59" t="str">
        <f>IF(AND(G12&gt;0,AD12&gt;0),MIN(G12,AD12),"-")</f>
        <v>-</v>
      </c>
      <c r="BB12" s="59" t="str">
        <f>IF(AND(H12&gt;0,AE12&gt;0),MIN(H12,AE12),"-")</f>
        <v>-</v>
      </c>
      <c r="BC12" s="59" t="str">
        <f>IF(AND(I12&gt;0,AF12&gt;0),MIN(I12,AF12),"-")</f>
        <v>-</v>
      </c>
      <c r="BD12" s="59" t="str">
        <f>IF(AND(J12&gt;0,AG12&gt;0),MIN(J12,AG12),"-")</f>
        <v>-</v>
      </c>
      <c r="BE12" s="59" t="str">
        <f>IF(AND(K12&gt;0,AH12&gt;0),MIN(K12,AH12),"-")</f>
        <v>-</v>
      </c>
      <c r="BF12" s="59" t="str">
        <f>IF(AND(L12&gt;0,AI12&gt;0),MIN(L12,AI12),"-")</f>
        <v>-</v>
      </c>
      <c r="BG12" s="59" t="str">
        <f t="shared" si="8"/>
        <v>-</v>
      </c>
      <c r="BH12" s="59" t="str">
        <f>IF(AND(N12&gt;0,AK12&gt;0),MIN(N12,AK12),"-")</f>
        <v>-</v>
      </c>
      <c r="BI12" s="59" t="str">
        <f>IF(AND(O12&gt;0,AL12&gt;0),MIN(O12,AL12),"-")</f>
        <v>-</v>
      </c>
      <c r="BJ12" s="59" t="str">
        <f>IF(AND(P12&gt;0,AM12&gt;0),MIN(P12,AM12),"-")</f>
        <v>-</v>
      </c>
      <c r="BK12" s="59" t="str">
        <f>IF(AND(Q12&gt;0,AN12&gt;0),MIN(Q12,AN12),"-")</f>
        <v>-</v>
      </c>
      <c r="BL12" s="59" t="str">
        <f>IF(AND(R12&gt;0,AO12&gt;0),MIN(R12,AO12),"-")</f>
        <v>-</v>
      </c>
      <c r="BM12" s="59" t="str">
        <f>IF(AND(S12&gt;0,AP12&gt;0),MIN(S12,AP12),"-")</f>
        <v>-</v>
      </c>
      <c r="BN12" s="59" t="str">
        <f>IF(AND(T12&gt;0,AQ12&gt;0),MIN(T12,AQ12),"-")</f>
        <v>-</v>
      </c>
      <c r="BO12" s="59" t="str">
        <f>IF(AND(U12&gt;0,AR12&gt;0),MIN(U12,AR12),"-")</f>
        <v>-</v>
      </c>
      <c r="BP12" s="59" t="str">
        <f>IF(AND(V12&gt;0,AS12&gt;0),MIN(V12,AS12),"-")</f>
        <v>-</v>
      </c>
      <c r="BQ12" s="59" t="str">
        <f t="shared" si="9"/>
        <v>-</v>
      </c>
      <c r="BR12" s="59" t="str">
        <f t="shared" si="10"/>
        <v>-</v>
      </c>
      <c r="BS12" s="59" t="str">
        <f t="shared" si="11"/>
        <v>-</v>
      </c>
      <c r="BT12" s="98" t="str">
        <f>IF(ISNUMBER(BS12),BS12-(C12*Rules!$P$9/100),"-")</f>
        <v>-</v>
      </c>
      <c r="BU12" s="59" t="e">
        <f>RANK($BT12,$BT$5:$BT$106,1)+COUNTIF(BT$5:BT12,BT12)-1</f>
        <v>#VALUE!</v>
      </c>
      <c r="BV12" s="59" t="e">
        <f t="shared" si="12"/>
        <v>#VALUE!</v>
      </c>
      <c r="BW12" s="59" t="str">
        <f t="shared" si="13"/>
        <v xml:space="preserve"> </v>
      </c>
      <c r="BX12" s="59" t="str">
        <f t="shared" si="13"/>
        <v>-</v>
      </c>
      <c r="BY12" s="59" t="str">
        <f t="shared" si="14"/>
        <v>-</v>
      </c>
      <c r="CC12" s="4">
        <v>8</v>
      </c>
      <c r="CD12" s="2" t="e">
        <f>VLOOKUP(CC12,$BV$5:BY$215,1,FALSE)</f>
        <v>#N/A</v>
      </c>
      <c r="CE12" s="6" t="e">
        <f>VLOOKUP(CC12,$BV$5:BY$215,2,FALSE)</f>
        <v>#N/A</v>
      </c>
      <c r="CF12" s="103" t="e">
        <f>VLOOKUP(CC12,$BV$5:BY$215,4,FALSE)</f>
        <v>#N/A</v>
      </c>
      <c r="CL12" s="77">
        <v>1</v>
      </c>
    </row>
    <row r="13" spans="1:90" ht="17.45" customHeight="1">
      <c r="A13" s="58">
        <v>9</v>
      </c>
      <c r="B13" s="59" t="str">
        <f>'B Div'!A13 &amp; " " &amp; 'B Div'!B13</f>
        <v xml:space="preserve"> </v>
      </c>
      <c r="C13" s="59" t="str">
        <f>'B Div'!E13</f>
        <v>-</v>
      </c>
      <c r="D13" s="60"/>
      <c r="E13" s="60"/>
      <c r="F13" s="60"/>
      <c r="G13" s="60"/>
      <c r="H13" s="60"/>
      <c r="I13" s="60"/>
      <c r="J13" s="60"/>
      <c r="K13" s="60"/>
      <c r="L13" s="60"/>
      <c r="M13" s="74" t="str">
        <f t="shared" si="0"/>
        <v>-</v>
      </c>
      <c r="N13" s="60"/>
      <c r="O13" s="60"/>
      <c r="P13" s="60"/>
      <c r="Q13" s="60"/>
      <c r="R13" s="60"/>
      <c r="S13" s="60"/>
      <c r="T13" s="60"/>
      <c r="U13" s="60"/>
      <c r="V13" s="60"/>
      <c r="W13" s="74" t="str">
        <f t="shared" si="1"/>
        <v>-</v>
      </c>
      <c r="X13" s="74" t="str">
        <f t="shared" si="2"/>
        <v>-</v>
      </c>
      <c r="Y13" s="74" t="str">
        <f t="shared" si="3"/>
        <v>-</v>
      </c>
      <c r="AA13" s="60"/>
      <c r="AB13" s="60"/>
      <c r="AC13" s="60"/>
      <c r="AD13" s="60"/>
      <c r="AE13" s="60"/>
      <c r="AF13" s="60"/>
      <c r="AG13" s="60"/>
      <c r="AH13" s="60"/>
      <c r="AI13" s="60"/>
      <c r="AJ13" s="74" t="str">
        <f t="shared" si="4"/>
        <v>-</v>
      </c>
      <c r="AK13" s="60"/>
      <c r="AL13" s="60"/>
      <c r="AM13" s="60"/>
      <c r="AN13" s="60"/>
      <c r="AO13" s="60"/>
      <c r="AP13" s="60"/>
      <c r="AQ13" s="60"/>
      <c r="AR13" s="60"/>
      <c r="AS13" s="60"/>
      <c r="AT13" s="74" t="str">
        <f t="shared" si="5"/>
        <v>-</v>
      </c>
      <c r="AU13" s="74" t="str">
        <f t="shared" si="6"/>
        <v>-</v>
      </c>
      <c r="AV13" s="74" t="str">
        <f t="shared" si="7"/>
        <v>-</v>
      </c>
      <c r="AX13" s="59" t="str">
        <f>IF(AND(D13&gt;0,AA13&gt;0),MIN(D13,AA13),"-")</f>
        <v>-</v>
      </c>
      <c r="AY13" s="59" t="str">
        <f>IF(AND(E13&gt;0,AB13&gt;0),MIN(E13,AB13),"-")</f>
        <v>-</v>
      </c>
      <c r="AZ13" s="59" t="str">
        <f>IF(AND(F13&gt;0,AC13&gt;0),MIN(F13,AC13),"-")</f>
        <v>-</v>
      </c>
      <c r="BA13" s="59" t="str">
        <f>IF(AND(G13&gt;0,AD13&gt;0),MIN(G13,AD13),"-")</f>
        <v>-</v>
      </c>
      <c r="BB13" s="59" t="str">
        <f>IF(AND(H13&gt;0,AE13&gt;0),MIN(H13,AE13),"-")</f>
        <v>-</v>
      </c>
      <c r="BC13" s="59" t="str">
        <f>IF(AND(I13&gt;0,AF13&gt;0),MIN(I13,AF13),"-")</f>
        <v>-</v>
      </c>
      <c r="BD13" s="59" t="str">
        <f>IF(AND(J13&gt;0,AG13&gt;0),MIN(J13,AG13),"-")</f>
        <v>-</v>
      </c>
      <c r="BE13" s="59" t="str">
        <f>IF(AND(K13&gt;0,AH13&gt;0),MIN(K13,AH13),"-")</f>
        <v>-</v>
      </c>
      <c r="BF13" s="59" t="str">
        <f>IF(AND(L13&gt;0,AI13&gt;0),MIN(L13,AI13),"-")</f>
        <v>-</v>
      </c>
      <c r="BG13" s="59" t="str">
        <f t="shared" si="8"/>
        <v>-</v>
      </c>
      <c r="BH13" s="59" t="str">
        <f>IF(AND(N13&gt;0,AK13&gt;0),MIN(N13,AK13),"-")</f>
        <v>-</v>
      </c>
      <c r="BI13" s="59" t="str">
        <f>IF(AND(O13&gt;0,AL13&gt;0),MIN(O13,AL13),"-")</f>
        <v>-</v>
      </c>
      <c r="BJ13" s="59" t="str">
        <f>IF(AND(P13&gt;0,AM13&gt;0),MIN(P13,AM13),"-")</f>
        <v>-</v>
      </c>
      <c r="BK13" s="59" t="str">
        <f>IF(AND(Q13&gt;0,AN13&gt;0),MIN(Q13,AN13),"-")</f>
        <v>-</v>
      </c>
      <c r="BL13" s="59" t="str">
        <f>IF(AND(R13&gt;0,AO13&gt;0),MIN(R13,AO13),"-")</f>
        <v>-</v>
      </c>
      <c r="BM13" s="59" t="str">
        <f>IF(AND(S13&gt;0,AP13&gt;0),MIN(S13,AP13),"-")</f>
        <v>-</v>
      </c>
      <c r="BN13" s="59" t="str">
        <f>IF(AND(T13&gt;0,AQ13&gt;0),MIN(T13,AQ13),"-")</f>
        <v>-</v>
      </c>
      <c r="BO13" s="59" t="str">
        <f>IF(AND(U13&gt;0,AR13&gt;0),MIN(U13,AR13),"-")</f>
        <v>-</v>
      </c>
      <c r="BP13" s="59" t="str">
        <f>IF(AND(V13&gt;0,AS13&gt;0),MIN(V13,AS13),"-")</f>
        <v>-</v>
      </c>
      <c r="BQ13" s="59" t="str">
        <f t="shared" si="9"/>
        <v>-</v>
      </c>
      <c r="BR13" s="59" t="str">
        <f t="shared" si="10"/>
        <v>-</v>
      </c>
      <c r="BS13" s="59" t="str">
        <f t="shared" si="11"/>
        <v>-</v>
      </c>
      <c r="BT13" s="98" t="str">
        <f>IF(ISNUMBER(BS13),BS13-(C13*Rules!$P$9/100),"-")</f>
        <v>-</v>
      </c>
      <c r="BU13" s="59" t="e">
        <f>RANK($BT13,$BT$5:$BT$106,1)+COUNTIF(BT$5:BT13,BT13)-1</f>
        <v>#VALUE!</v>
      </c>
      <c r="BV13" s="59" t="e">
        <f t="shared" si="12"/>
        <v>#VALUE!</v>
      </c>
      <c r="BW13" s="59" t="str">
        <f t="shared" si="13"/>
        <v xml:space="preserve"> </v>
      </c>
      <c r="BX13" s="59" t="str">
        <f t="shared" si="13"/>
        <v>-</v>
      </c>
      <c r="BY13" s="59" t="str">
        <f t="shared" si="14"/>
        <v>-</v>
      </c>
      <c r="CC13" s="4">
        <v>9</v>
      </c>
      <c r="CD13" s="2" t="e">
        <f>VLOOKUP(CC13,$BV$5:BY$215,1,FALSE)</f>
        <v>#N/A</v>
      </c>
      <c r="CE13" s="6" t="e">
        <f>VLOOKUP(CC13,$BV$5:BY$215,2,FALSE)</f>
        <v>#N/A</v>
      </c>
      <c r="CF13" s="103" t="e">
        <f>VLOOKUP(CC13,$BV$5:BY$215,4,FALSE)</f>
        <v>#N/A</v>
      </c>
      <c r="CL13" s="77">
        <v>1</v>
      </c>
    </row>
    <row r="14" spans="1:90" ht="17.45" customHeight="1">
      <c r="A14" s="58">
        <v>10</v>
      </c>
      <c r="B14" s="59" t="str">
        <f>'B Div'!A14 &amp; " " &amp; 'B Div'!B14</f>
        <v xml:space="preserve"> </v>
      </c>
      <c r="C14" s="59" t="str">
        <f>'B Div'!E14</f>
        <v>-</v>
      </c>
      <c r="D14" s="60"/>
      <c r="E14" s="60"/>
      <c r="F14" s="60"/>
      <c r="G14" s="60"/>
      <c r="H14" s="60"/>
      <c r="I14" s="60"/>
      <c r="J14" s="60"/>
      <c r="K14" s="60"/>
      <c r="L14" s="60"/>
      <c r="M14" s="74" t="str">
        <f t="shared" si="0"/>
        <v>-</v>
      </c>
      <c r="N14" s="60"/>
      <c r="O14" s="60"/>
      <c r="P14" s="60"/>
      <c r="Q14" s="60"/>
      <c r="R14" s="60"/>
      <c r="S14" s="60"/>
      <c r="T14" s="60"/>
      <c r="U14" s="60"/>
      <c r="V14" s="60"/>
      <c r="W14" s="74" t="str">
        <f t="shared" si="1"/>
        <v>-</v>
      </c>
      <c r="X14" s="74" t="str">
        <f t="shared" si="2"/>
        <v>-</v>
      </c>
      <c r="Y14" s="74" t="str">
        <f t="shared" si="3"/>
        <v>-</v>
      </c>
      <c r="AA14" s="60"/>
      <c r="AB14" s="60"/>
      <c r="AC14" s="60"/>
      <c r="AD14" s="60"/>
      <c r="AE14" s="60"/>
      <c r="AF14" s="60"/>
      <c r="AG14" s="60"/>
      <c r="AH14" s="60"/>
      <c r="AI14" s="60"/>
      <c r="AJ14" s="74" t="str">
        <f t="shared" si="4"/>
        <v>-</v>
      </c>
      <c r="AK14" s="60"/>
      <c r="AL14" s="60"/>
      <c r="AM14" s="60"/>
      <c r="AN14" s="60"/>
      <c r="AO14" s="60"/>
      <c r="AP14" s="60"/>
      <c r="AQ14" s="60"/>
      <c r="AR14" s="60"/>
      <c r="AS14" s="60"/>
      <c r="AT14" s="74" t="str">
        <f t="shared" si="5"/>
        <v>-</v>
      </c>
      <c r="AU14" s="74" t="str">
        <f t="shared" si="6"/>
        <v>-</v>
      </c>
      <c r="AV14" s="74" t="str">
        <f t="shared" si="7"/>
        <v>-</v>
      </c>
      <c r="AX14" s="59" t="str">
        <f>IF(AND(D14&gt;0,AA14&gt;0),MIN(D14,AA14),"-")</f>
        <v>-</v>
      </c>
      <c r="AY14" s="59" t="str">
        <f>IF(AND(E14&gt;0,AB14&gt;0),MIN(E14,AB14),"-")</f>
        <v>-</v>
      </c>
      <c r="AZ14" s="59" t="str">
        <f>IF(AND(F14&gt;0,AC14&gt;0),MIN(F14,AC14),"-")</f>
        <v>-</v>
      </c>
      <c r="BA14" s="59" t="str">
        <f>IF(AND(G14&gt;0,AD14&gt;0),MIN(G14,AD14),"-")</f>
        <v>-</v>
      </c>
      <c r="BB14" s="59" t="str">
        <f>IF(AND(H14&gt;0,AE14&gt;0),MIN(H14,AE14),"-")</f>
        <v>-</v>
      </c>
      <c r="BC14" s="59" t="str">
        <f>IF(AND(I14&gt;0,AF14&gt;0),MIN(I14,AF14),"-")</f>
        <v>-</v>
      </c>
      <c r="BD14" s="59" t="str">
        <f>IF(AND(J14&gt;0,AG14&gt;0),MIN(J14,AG14),"-")</f>
        <v>-</v>
      </c>
      <c r="BE14" s="59" t="str">
        <f>IF(AND(K14&gt;0,AH14&gt;0),MIN(K14,AH14),"-")</f>
        <v>-</v>
      </c>
      <c r="BF14" s="59" t="str">
        <f>IF(AND(L14&gt;0,AI14&gt;0),MIN(L14,AI14),"-")</f>
        <v>-</v>
      </c>
      <c r="BG14" s="59" t="str">
        <f t="shared" si="8"/>
        <v>-</v>
      </c>
      <c r="BH14" s="59" t="str">
        <f>IF(AND(N14&gt;0,AK14&gt;0),MIN(N14,AK14),"-")</f>
        <v>-</v>
      </c>
      <c r="BI14" s="59" t="str">
        <f>IF(AND(O14&gt;0,AL14&gt;0),MIN(O14,AL14),"-")</f>
        <v>-</v>
      </c>
      <c r="BJ14" s="59" t="str">
        <f>IF(AND(P14&gt;0,AM14&gt;0),MIN(P14,AM14),"-")</f>
        <v>-</v>
      </c>
      <c r="BK14" s="59" t="str">
        <f>IF(AND(Q14&gt;0,AN14&gt;0),MIN(Q14,AN14),"-")</f>
        <v>-</v>
      </c>
      <c r="BL14" s="59" t="str">
        <f>IF(AND(R14&gt;0,AO14&gt;0),MIN(R14,AO14),"-")</f>
        <v>-</v>
      </c>
      <c r="BM14" s="59" t="str">
        <f>IF(AND(S14&gt;0,AP14&gt;0),MIN(S14,AP14),"-")</f>
        <v>-</v>
      </c>
      <c r="BN14" s="59" t="str">
        <f>IF(AND(T14&gt;0,AQ14&gt;0),MIN(T14,AQ14),"-")</f>
        <v>-</v>
      </c>
      <c r="BO14" s="59" t="str">
        <f>IF(AND(U14&gt;0,AR14&gt;0),MIN(U14,AR14),"-")</f>
        <v>-</v>
      </c>
      <c r="BP14" s="59" t="str">
        <f>IF(AND(V14&gt;0,AS14&gt;0),MIN(V14,AS14),"-")</f>
        <v>-</v>
      </c>
      <c r="BQ14" s="59" t="str">
        <f t="shared" si="9"/>
        <v>-</v>
      </c>
      <c r="BR14" s="59" t="str">
        <f t="shared" si="10"/>
        <v>-</v>
      </c>
      <c r="BS14" s="59" t="str">
        <f t="shared" si="11"/>
        <v>-</v>
      </c>
      <c r="BT14" s="98" t="str">
        <f>IF(ISNUMBER(BS14),BS14-(C14*Rules!$P$9/100),"-")</f>
        <v>-</v>
      </c>
      <c r="BU14" s="59" t="e">
        <f>RANK($BT14,$BT$5:$BT$106,1)+COUNTIF(BT$5:BT14,BT14)-1</f>
        <v>#VALUE!</v>
      </c>
      <c r="BV14" s="59" t="e">
        <f t="shared" si="12"/>
        <v>#VALUE!</v>
      </c>
      <c r="BW14" s="59" t="str">
        <f t="shared" si="13"/>
        <v xml:space="preserve"> </v>
      </c>
      <c r="BX14" s="59" t="str">
        <f t="shared" si="13"/>
        <v>-</v>
      </c>
      <c r="BY14" s="59" t="str">
        <f t="shared" si="14"/>
        <v>-</v>
      </c>
      <c r="CC14" s="4">
        <v>10</v>
      </c>
      <c r="CD14" s="2" t="e">
        <f>VLOOKUP(CC14,$BV$5:BY$215,1,FALSE)</f>
        <v>#N/A</v>
      </c>
      <c r="CE14" s="6" t="e">
        <f>VLOOKUP(CC14,$BV$5:BY$215,2,FALSE)</f>
        <v>#N/A</v>
      </c>
      <c r="CF14" s="103" t="e">
        <f>VLOOKUP(CC14,$BV$5:BY$215,4,FALSE)</f>
        <v>#N/A</v>
      </c>
      <c r="CL14" s="77">
        <v>1</v>
      </c>
    </row>
    <row r="15" spans="1:90" ht="17.45" customHeight="1">
      <c r="A15" s="58">
        <v>11</v>
      </c>
      <c r="B15" s="59" t="str">
        <f>'B Div'!A15 &amp; " " &amp; 'B Div'!B15</f>
        <v xml:space="preserve"> </v>
      </c>
      <c r="C15" s="59" t="str">
        <f>'B Div'!E15</f>
        <v>-</v>
      </c>
      <c r="D15" s="60"/>
      <c r="E15" s="60"/>
      <c r="F15" s="60"/>
      <c r="G15" s="60"/>
      <c r="H15" s="60"/>
      <c r="I15" s="60"/>
      <c r="J15" s="60"/>
      <c r="K15" s="60"/>
      <c r="L15" s="60"/>
      <c r="M15" s="74" t="str">
        <f t="shared" si="0"/>
        <v>-</v>
      </c>
      <c r="N15" s="60"/>
      <c r="O15" s="60"/>
      <c r="P15" s="60"/>
      <c r="Q15" s="60"/>
      <c r="R15" s="60"/>
      <c r="S15" s="60"/>
      <c r="T15" s="60"/>
      <c r="U15" s="60"/>
      <c r="V15" s="60"/>
      <c r="W15" s="74" t="str">
        <f t="shared" si="1"/>
        <v>-</v>
      </c>
      <c r="X15" s="74" t="str">
        <f t="shared" si="2"/>
        <v>-</v>
      </c>
      <c r="Y15" s="74" t="str">
        <f t="shared" si="3"/>
        <v>-</v>
      </c>
      <c r="AA15" s="60"/>
      <c r="AB15" s="60"/>
      <c r="AC15" s="60"/>
      <c r="AD15" s="60"/>
      <c r="AE15" s="60"/>
      <c r="AF15" s="60"/>
      <c r="AG15" s="60"/>
      <c r="AH15" s="60"/>
      <c r="AI15" s="60"/>
      <c r="AJ15" s="74" t="str">
        <f t="shared" si="4"/>
        <v>-</v>
      </c>
      <c r="AK15" s="60"/>
      <c r="AL15" s="60"/>
      <c r="AM15" s="60"/>
      <c r="AN15" s="60"/>
      <c r="AO15" s="60"/>
      <c r="AP15" s="60"/>
      <c r="AQ15" s="60"/>
      <c r="AR15" s="60"/>
      <c r="AS15" s="60"/>
      <c r="AT15" s="74" t="str">
        <f t="shared" si="5"/>
        <v>-</v>
      </c>
      <c r="AU15" s="74" t="str">
        <f t="shared" si="6"/>
        <v>-</v>
      </c>
      <c r="AV15" s="74" t="str">
        <f t="shared" si="7"/>
        <v>-</v>
      </c>
      <c r="AX15" s="59" t="str">
        <f>IF(AND(D15&gt;0,AA15&gt;0),MIN(D15,AA15),"-")</f>
        <v>-</v>
      </c>
      <c r="AY15" s="59" t="str">
        <f>IF(AND(E15&gt;0,AB15&gt;0),MIN(E15,AB15),"-")</f>
        <v>-</v>
      </c>
      <c r="AZ15" s="59" t="str">
        <f>IF(AND(F15&gt;0,AC15&gt;0),MIN(F15,AC15),"-")</f>
        <v>-</v>
      </c>
      <c r="BA15" s="59" t="str">
        <f>IF(AND(G15&gt;0,AD15&gt;0),MIN(G15,AD15),"-")</f>
        <v>-</v>
      </c>
      <c r="BB15" s="59" t="str">
        <f>IF(AND(H15&gt;0,AE15&gt;0),MIN(H15,AE15),"-")</f>
        <v>-</v>
      </c>
      <c r="BC15" s="59" t="str">
        <f>IF(AND(I15&gt;0,AF15&gt;0),MIN(I15,AF15),"-")</f>
        <v>-</v>
      </c>
      <c r="BD15" s="59" t="str">
        <f>IF(AND(J15&gt;0,AG15&gt;0),MIN(J15,AG15),"-")</f>
        <v>-</v>
      </c>
      <c r="BE15" s="59" t="str">
        <f>IF(AND(K15&gt;0,AH15&gt;0),MIN(K15,AH15),"-")</f>
        <v>-</v>
      </c>
      <c r="BF15" s="59" t="str">
        <f>IF(AND(L15&gt;0,AI15&gt;0),MIN(L15,AI15),"-")</f>
        <v>-</v>
      </c>
      <c r="BG15" s="59" t="str">
        <f t="shared" si="8"/>
        <v>-</v>
      </c>
      <c r="BH15" s="59" t="str">
        <f>IF(AND(N15&gt;0,AK15&gt;0),MIN(N15,AK15),"-")</f>
        <v>-</v>
      </c>
      <c r="BI15" s="59" t="str">
        <f>IF(AND(O15&gt;0,AL15&gt;0),MIN(O15,AL15),"-")</f>
        <v>-</v>
      </c>
      <c r="BJ15" s="59" t="str">
        <f>IF(AND(P15&gt;0,AM15&gt;0),MIN(P15,AM15),"-")</f>
        <v>-</v>
      </c>
      <c r="BK15" s="59" t="str">
        <f>IF(AND(Q15&gt;0,AN15&gt;0),MIN(Q15,AN15),"-")</f>
        <v>-</v>
      </c>
      <c r="BL15" s="59" t="str">
        <f>IF(AND(R15&gt;0,AO15&gt;0),MIN(R15,AO15),"-")</f>
        <v>-</v>
      </c>
      <c r="BM15" s="59" t="str">
        <f>IF(AND(S15&gt;0,AP15&gt;0),MIN(S15,AP15),"-")</f>
        <v>-</v>
      </c>
      <c r="BN15" s="59" t="str">
        <f>IF(AND(T15&gt;0,AQ15&gt;0),MIN(T15,AQ15),"-")</f>
        <v>-</v>
      </c>
      <c r="BO15" s="59" t="str">
        <f>IF(AND(U15&gt;0,AR15&gt;0),MIN(U15,AR15),"-")</f>
        <v>-</v>
      </c>
      <c r="BP15" s="59" t="str">
        <f>IF(AND(V15&gt;0,AS15&gt;0),MIN(V15,AS15),"-")</f>
        <v>-</v>
      </c>
      <c r="BQ15" s="59" t="str">
        <f t="shared" si="9"/>
        <v>-</v>
      </c>
      <c r="BR15" s="59" t="str">
        <f t="shared" si="10"/>
        <v>-</v>
      </c>
      <c r="BS15" s="59" t="str">
        <f t="shared" si="11"/>
        <v>-</v>
      </c>
      <c r="BT15" s="98" t="str">
        <f>IF(ISNUMBER(BS15),BS15-(C15*Rules!$P$9/100),"-")</f>
        <v>-</v>
      </c>
      <c r="BU15" s="59" t="e">
        <f>RANK($BT15,$BT$5:$BT$106,1)+COUNTIF(BT$5:BT15,BT15)-1</f>
        <v>#VALUE!</v>
      </c>
      <c r="BV15" s="59" t="e">
        <f t="shared" si="12"/>
        <v>#VALUE!</v>
      </c>
      <c r="BW15" s="59" t="str">
        <f t="shared" si="13"/>
        <v xml:space="preserve"> </v>
      </c>
      <c r="BX15" s="59" t="str">
        <f t="shared" si="13"/>
        <v>-</v>
      </c>
      <c r="BY15" s="59" t="str">
        <f t="shared" si="14"/>
        <v>-</v>
      </c>
      <c r="CC15" s="4">
        <v>11</v>
      </c>
      <c r="CD15" s="2" t="e">
        <f>VLOOKUP(CC15,$BV$5:BY$215,1,FALSE)</f>
        <v>#N/A</v>
      </c>
      <c r="CE15" s="6" t="e">
        <f>VLOOKUP(CC15,$BV$5:BY$215,2,FALSE)</f>
        <v>#N/A</v>
      </c>
      <c r="CF15" s="103" t="e">
        <f>VLOOKUP(CC15,$BV$5:BY$215,4,FALSE)</f>
        <v>#N/A</v>
      </c>
      <c r="CL15" s="77">
        <v>1</v>
      </c>
    </row>
    <row r="16" spans="1:90" ht="17.45" customHeight="1">
      <c r="A16" s="58">
        <v>12</v>
      </c>
      <c r="B16" s="59" t="str">
        <f>'B Div'!A16 &amp; " " &amp; 'B Div'!B16</f>
        <v xml:space="preserve"> </v>
      </c>
      <c r="C16" s="59" t="str">
        <f>'B Div'!E16</f>
        <v>-</v>
      </c>
      <c r="D16" s="60"/>
      <c r="E16" s="60"/>
      <c r="F16" s="60"/>
      <c r="G16" s="60"/>
      <c r="H16" s="60"/>
      <c r="I16" s="60"/>
      <c r="J16" s="60"/>
      <c r="K16" s="60"/>
      <c r="L16" s="60"/>
      <c r="M16" s="74" t="str">
        <f t="shared" si="0"/>
        <v>-</v>
      </c>
      <c r="N16" s="60"/>
      <c r="O16" s="60"/>
      <c r="P16" s="60"/>
      <c r="Q16" s="60"/>
      <c r="R16" s="60"/>
      <c r="S16" s="60"/>
      <c r="T16" s="60"/>
      <c r="U16" s="60"/>
      <c r="V16" s="60"/>
      <c r="W16" s="74" t="str">
        <f t="shared" si="1"/>
        <v>-</v>
      </c>
      <c r="X16" s="74" t="str">
        <f t="shared" si="2"/>
        <v>-</v>
      </c>
      <c r="Y16" s="74" t="str">
        <f t="shared" si="3"/>
        <v>-</v>
      </c>
      <c r="AA16" s="60"/>
      <c r="AB16" s="60"/>
      <c r="AC16" s="60"/>
      <c r="AD16" s="60"/>
      <c r="AE16" s="60"/>
      <c r="AF16" s="60"/>
      <c r="AG16" s="60"/>
      <c r="AH16" s="60"/>
      <c r="AI16" s="60"/>
      <c r="AJ16" s="74" t="str">
        <f t="shared" si="4"/>
        <v>-</v>
      </c>
      <c r="AK16" s="60"/>
      <c r="AL16" s="60"/>
      <c r="AM16" s="60"/>
      <c r="AN16" s="60"/>
      <c r="AO16" s="60"/>
      <c r="AP16" s="60"/>
      <c r="AQ16" s="60"/>
      <c r="AR16" s="60"/>
      <c r="AS16" s="60"/>
      <c r="AT16" s="74" t="str">
        <f t="shared" si="5"/>
        <v>-</v>
      </c>
      <c r="AU16" s="74" t="str">
        <f t="shared" si="6"/>
        <v>-</v>
      </c>
      <c r="AV16" s="74" t="str">
        <f t="shared" si="7"/>
        <v>-</v>
      </c>
      <c r="AX16" s="59" t="str">
        <f>IF(AND(D16&gt;0,AA16&gt;0),MIN(D16,AA16),"-")</f>
        <v>-</v>
      </c>
      <c r="AY16" s="59" t="str">
        <f>IF(AND(E16&gt;0,AB16&gt;0),MIN(E16,AB16),"-")</f>
        <v>-</v>
      </c>
      <c r="AZ16" s="59" t="str">
        <f>IF(AND(F16&gt;0,AC16&gt;0),MIN(F16,AC16),"-")</f>
        <v>-</v>
      </c>
      <c r="BA16" s="59" t="str">
        <f>IF(AND(G16&gt;0,AD16&gt;0),MIN(G16,AD16),"-")</f>
        <v>-</v>
      </c>
      <c r="BB16" s="59" t="str">
        <f>IF(AND(H16&gt;0,AE16&gt;0),MIN(H16,AE16),"-")</f>
        <v>-</v>
      </c>
      <c r="BC16" s="59" t="str">
        <f>IF(AND(I16&gt;0,AF16&gt;0),MIN(I16,AF16),"-")</f>
        <v>-</v>
      </c>
      <c r="BD16" s="59" t="str">
        <f>IF(AND(J16&gt;0,AG16&gt;0),MIN(J16,AG16),"-")</f>
        <v>-</v>
      </c>
      <c r="BE16" s="59" t="str">
        <f>IF(AND(K16&gt;0,AH16&gt;0),MIN(K16,AH16),"-")</f>
        <v>-</v>
      </c>
      <c r="BF16" s="59" t="str">
        <f>IF(AND(L16&gt;0,AI16&gt;0),MIN(L16,AI16),"-")</f>
        <v>-</v>
      </c>
      <c r="BG16" s="59" t="str">
        <f t="shared" si="8"/>
        <v>-</v>
      </c>
      <c r="BH16" s="59" t="str">
        <f>IF(AND(N16&gt;0,AK16&gt;0),MIN(N16,AK16),"-")</f>
        <v>-</v>
      </c>
      <c r="BI16" s="59" t="str">
        <f>IF(AND(O16&gt;0,AL16&gt;0),MIN(O16,AL16),"-")</f>
        <v>-</v>
      </c>
      <c r="BJ16" s="59" t="str">
        <f>IF(AND(P16&gt;0,AM16&gt;0),MIN(P16,AM16),"-")</f>
        <v>-</v>
      </c>
      <c r="BK16" s="59" t="str">
        <f>IF(AND(Q16&gt;0,AN16&gt;0),MIN(Q16,AN16),"-")</f>
        <v>-</v>
      </c>
      <c r="BL16" s="59" t="str">
        <f>IF(AND(R16&gt;0,AO16&gt;0),MIN(R16,AO16),"-")</f>
        <v>-</v>
      </c>
      <c r="BM16" s="59" t="str">
        <f>IF(AND(S16&gt;0,AP16&gt;0),MIN(S16,AP16),"-")</f>
        <v>-</v>
      </c>
      <c r="BN16" s="59" t="str">
        <f>IF(AND(T16&gt;0,AQ16&gt;0),MIN(T16,AQ16),"-")</f>
        <v>-</v>
      </c>
      <c r="BO16" s="59" t="str">
        <f>IF(AND(U16&gt;0,AR16&gt;0),MIN(U16,AR16),"-")</f>
        <v>-</v>
      </c>
      <c r="BP16" s="59" t="str">
        <f>IF(AND(V16&gt;0,AS16&gt;0),MIN(V16,AS16),"-")</f>
        <v>-</v>
      </c>
      <c r="BQ16" s="59" t="str">
        <f t="shared" si="9"/>
        <v>-</v>
      </c>
      <c r="BR16" s="59" t="str">
        <f t="shared" si="10"/>
        <v>-</v>
      </c>
      <c r="BS16" s="59" t="str">
        <f t="shared" si="11"/>
        <v>-</v>
      </c>
      <c r="BT16" s="98" t="str">
        <f>IF(ISNUMBER(BS16),BS16-(C16*Rules!$P$9/100),"-")</f>
        <v>-</v>
      </c>
      <c r="BU16" s="59" t="e">
        <f>RANK($BT16,$BT$5:$BT$106,1)+COUNTIF(BT$5:BT16,BT16)-1</f>
        <v>#VALUE!</v>
      </c>
      <c r="BV16" s="59" t="e">
        <f t="shared" si="12"/>
        <v>#VALUE!</v>
      </c>
      <c r="BW16" s="59" t="str">
        <f t="shared" si="13"/>
        <v xml:space="preserve"> </v>
      </c>
      <c r="BX16" s="59" t="str">
        <f t="shared" si="13"/>
        <v>-</v>
      </c>
      <c r="BY16" s="59" t="str">
        <f t="shared" si="14"/>
        <v>-</v>
      </c>
      <c r="CC16" s="4">
        <v>12</v>
      </c>
      <c r="CD16" s="2" t="e">
        <f>VLOOKUP(CC16,$BV$5:BY$215,1,FALSE)</f>
        <v>#N/A</v>
      </c>
      <c r="CE16" s="6" t="e">
        <f>VLOOKUP(CC16,$BV$5:BY$215,2,FALSE)</f>
        <v>#N/A</v>
      </c>
      <c r="CF16" s="103" t="e">
        <f>VLOOKUP(CC16,$BV$5:BY$215,4,FALSE)</f>
        <v>#N/A</v>
      </c>
      <c r="CL16" s="77">
        <v>1</v>
      </c>
    </row>
    <row r="17" spans="1:90" ht="17.45" customHeight="1">
      <c r="A17" s="58">
        <v>13</v>
      </c>
      <c r="B17" s="59" t="str">
        <f>'B Div'!A17 &amp; " " &amp; 'B Div'!B17</f>
        <v xml:space="preserve"> </v>
      </c>
      <c r="C17" s="59" t="str">
        <f>'B Div'!E17</f>
        <v>-</v>
      </c>
      <c r="D17" s="60"/>
      <c r="E17" s="60"/>
      <c r="F17" s="60"/>
      <c r="G17" s="60"/>
      <c r="H17" s="60"/>
      <c r="I17" s="60"/>
      <c r="J17" s="60"/>
      <c r="K17" s="60"/>
      <c r="L17" s="60"/>
      <c r="M17" s="74" t="str">
        <f t="shared" si="0"/>
        <v>-</v>
      </c>
      <c r="N17" s="60"/>
      <c r="O17" s="60"/>
      <c r="P17" s="60"/>
      <c r="Q17" s="60"/>
      <c r="R17" s="60"/>
      <c r="S17" s="60"/>
      <c r="T17" s="60"/>
      <c r="U17" s="60"/>
      <c r="V17" s="60"/>
      <c r="W17" s="74" t="str">
        <f t="shared" si="1"/>
        <v>-</v>
      </c>
      <c r="X17" s="74" t="str">
        <f t="shared" si="2"/>
        <v>-</v>
      </c>
      <c r="Y17" s="74" t="str">
        <f t="shared" si="3"/>
        <v>-</v>
      </c>
      <c r="AA17" s="60"/>
      <c r="AB17" s="60"/>
      <c r="AC17" s="60"/>
      <c r="AD17" s="60"/>
      <c r="AE17" s="60"/>
      <c r="AF17" s="60"/>
      <c r="AG17" s="60"/>
      <c r="AH17" s="60"/>
      <c r="AI17" s="60"/>
      <c r="AJ17" s="74" t="str">
        <f t="shared" si="4"/>
        <v>-</v>
      </c>
      <c r="AK17" s="60"/>
      <c r="AL17" s="60"/>
      <c r="AM17" s="60"/>
      <c r="AN17" s="60"/>
      <c r="AO17" s="60"/>
      <c r="AP17" s="60"/>
      <c r="AQ17" s="60"/>
      <c r="AR17" s="60"/>
      <c r="AS17" s="60"/>
      <c r="AT17" s="74" t="str">
        <f t="shared" si="5"/>
        <v>-</v>
      </c>
      <c r="AU17" s="74" t="str">
        <f t="shared" si="6"/>
        <v>-</v>
      </c>
      <c r="AV17" s="74" t="str">
        <f t="shared" si="7"/>
        <v>-</v>
      </c>
      <c r="AX17" s="59" t="str">
        <f>IF(AND(D17&gt;0,AA17&gt;0),MIN(D17,AA17),"-")</f>
        <v>-</v>
      </c>
      <c r="AY17" s="59" t="str">
        <f>IF(AND(E17&gt;0,AB17&gt;0),MIN(E17,AB17),"-")</f>
        <v>-</v>
      </c>
      <c r="AZ17" s="59" t="str">
        <f>IF(AND(F17&gt;0,AC17&gt;0),MIN(F17,AC17),"-")</f>
        <v>-</v>
      </c>
      <c r="BA17" s="59" t="str">
        <f>IF(AND(G17&gt;0,AD17&gt;0),MIN(G17,AD17),"-")</f>
        <v>-</v>
      </c>
      <c r="BB17" s="59" t="str">
        <f>IF(AND(H17&gt;0,AE17&gt;0),MIN(H17,AE17),"-")</f>
        <v>-</v>
      </c>
      <c r="BC17" s="59" t="str">
        <f>IF(AND(I17&gt;0,AF17&gt;0),MIN(I17,AF17),"-")</f>
        <v>-</v>
      </c>
      <c r="BD17" s="59" t="str">
        <f>IF(AND(J17&gt;0,AG17&gt;0),MIN(J17,AG17),"-")</f>
        <v>-</v>
      </c>
      <c r="BE17" s="59" t="str">
        <f>IF(AND(K17&gt;0,AH17&gt;0),MIN(K17,AH17),"-")</f>
        <v>-</v>
      </c>
      <c r="BF17" s="59" t="str">
        <f>IF(AND(L17&gt;0,AI17&gt;0),MIN(L17,AI17),"-")</f>
        <v>-</v>
      </c>
      <c r="BG17" s="59" t="str">
        <f t="shared" si="8"/>
        <v>-</v>
      </c>
      <c r="BH17" s="59" t="str">
        <f>IF(AND(N17&gt;0,AK17&gt;0),MIN(N17,AK17),"-")</f>
        <v>-</v>
      </c>
      <c r="BI17" s="59" t="str">
        <f>IF(AND(O17&gt;0,AL17&gt;0),MIN(O17,AL17),"-")</f>
        <v>-</v>
      </c>
      <c r="BJ17" s="59" t="str">
        <f>IF(AND(P17&gt;0,AM17&gt;0),MIN(P17,AM17),"-")</f>
        <v>-</v>
      </c>
      <c r="BK17" s="59" t="str">
        <f>IF(AND(Q17&gt;0,AN17&gt;0),MIN(Q17,AN17),"-")</f>
        <v>-</v>
      </c>
      <c r="BL17" s="59" t="str">
        <f>IF(AND(R17&gt;0,AO17&gt;0),MIN(R17,AO17),"-")</f>
        <v>-</v>
      </c>
      <c r="BM17" s="59" t="str">
        <f>IF(AND(S17&gt;0,AP17&gt;0),MIN(S17,AP17),"-")</f>
        <v>-</v>
      </c>
      <c r="BN17" s="59" t="str">
        <f>IF(AND(T17&gt;0,AQ17&gt;0),MIN(T17,AQ17),"-")</f>
        <v>-</v>
      </c>
      <c r="BO17" s="59" t="str">
        <f>IF(AND(U17&gt;0,AR17&gt;0),MIN(U17,AR17),"-")</f>
        <v>-</v>
      </c>
      <c r="BP17" s="59" t="str">
        <f>IF(AND(V17&gt;0,AS17&gt;0),MIN(V17,AS17),"-")</f>
        <v>-</v>
      </c>
      <c r="BQ17" s="59" t="str">
        <f t="shared" si="9"/>
        <v>-</v>
      </c>
      <c r="BR17" s="59" t="str">
        <f t="shared" si="10"/>
        <v>-</v>
      </c>
      <c r="BS17" s="59" t="str">
        <f t="shared" si="11"/>
        <v>-</v>
      </c>
      <c r="BT17" s="98" t="str">
        <f>IF(ISNUMBER(BS17),BS17-(C17*Rules!$P$9/100),"-")</f>
        <v>-</v>
      </c>
      <c r="BU17" s="59" t="e">
        <f>RANK($BT17,$BT$5:$BT$106,1)+COUNTIF(BT$5:BT17,BT17)-1</f>
        <v>#VALUE!</v>
      </c>
      <c r="BV17" s="59" t="e">
        <f t="shared" si="12"/>
        <v>#VALUE!</v>
      </c>
      <c r="BW17" s="59" t="str">
        <f t="shared" si="13"/>
        <v xml:space="preserve"> </v>
      </c>
      <c r="BX17" s="59" t="str">
        <f t="shared" si="13"/>
        <v>-</v>
      </c>
      <c r="BY17" s="59" t="str">
        <f t="shared" si="14"/>
        <v>-</v>
      </c>
      <c r="CC17" s="4">
        <v>13</v>
      </c>
      <c r="CD17" s="2" t="e">
        <f>VLOOKUP(CC17,$BV$5:BY$215,1,FALSE)</f>
        <v>#N/A</v>
      </c>
      <c r="CE17" s="6" t="e">
        <f>VLOOKUP(CC17,$BV$5:BY$215,2,FALSE)</f>
        <v>#N/A</v>
      </c>
      <c r="CF17" s="103" t="e">
        <f>VLOOKUP(CC17,$BV$5:BY$215,4,FALSE)</f>
        <v>#N/A</v>
      </c>
      <c r="CL17" s="77">
        <v>1</v>
      </c>
    </row>
    <row r="18" spans="1:90" ht="17.45" customHeight="1">
      <c r="A18" s="58">
        <v>14</v>
      </c>
      <c r="B18" s="59" t="str">
        <f>'B Div'!A18 &amp; " " &amp; 'B Div'!B18</f>
        <v xml:space="preserve"> </v>
      </c>
      <c r="C18" s="59" t="str">
        <f>'B Div'!E18</f>
        <v>-</v>
      </c>
      <c r="D18" s="60"/>
      <c r="E18" s="60"/>
      <c r="F18" s="60"/>
      <c r="G18" s="60"/>
      <c r="H18" s="60"/>
      <c r="I18" s="60"/>
      <c r="J18" s="60"/>
      <c r="K18" s="60"/>
      <c r="L18" s="60"/>
      <c r="M18" s="74" t="str">
        <f t="shared" si="0"/>
        <v>-</v>
      </c>
      <c r="N18" s="60"/>
      <c r="O18" s="60"/>
      <c r="P18" s="60"/>
      <c r="Q18" s="60"/>
      <c r="R18" s="60"/>
      <c r="S18" s="60"/>
      <c r="T18" s="60"/>
      <c r="U18" s="60"/>
      <c r="V18" s="60"/>
      <c r="W18" s="74" t="str">
        <f t="shared" si="1"/>
        <v>-</v>
      </c>
      <c r="X18" s="74" t="str">
        <f t="shared" si="2"/>
        <v>-</v>
      </c>
      <c r="Y18" s="74" t="str">
        <f t="shared" si="3"/>
        <v>-</v>
      </c>
      <c r="AA18" s="60"/>
      <c r="AB18" s="60"/>
      <c r="AC18" s="60"/>
      <c r="AD18" s="60"/>
      <c r="AE18" s="60"/>
      <c r="AF18" s="60"/>
      <c r="AG18" s="60"/>
      <c r="AH18" s="60"/>
      <c r="AI18" s="60"/>
      <c r="AJ18" s="74" t="str">
        <f t="shared" si="4"/>
        <v>-</v>
      </c>
      <c r="AK18" s="60"/>
      <c r="AL18" s="60"/>
      <c r="AM18" s="60"/>
      <c r="AN18" s="60"/>
      <c r="AO18" s="60"/>
      <c r="AP18" s="60"/>
      <c r="AQ18" s="60"/>
      <c r="AR18" s="60"/>
      <c r="AS18" s="60"/>
      <c r="AT18" s="74" t="str">
        <f t="shared" si="5"/>
        <v>-</v>
      </c>
      <c r="AU18" s="74" t="str">
        <f t="shared" si="6"/>
        <v>-</v>
      </c>
      <c r="AV18" s="74" t="str">
        <f t="shared" si="7"/>
        <v>-</v>
      </c>
      <c r="AX18" s="59" t="str">
        <f>IF(AND(D18&gt;0,AA18&gt;0),MIN(D18,AA18),"-")</f>
        <v>-</v>
      </c>
      <c r="AY18" s="59" t="str">
        <f>IF(AND(E18&gt;0,AB18&gt;0),MIN(E18,AB18),"-")</f>
        <v>-</v>
      </c>
      <c r="AZ18" s="59" t="str">
        <f>IF(AND(F18&gt;0,AC18&gt;0),MIN(F18,AC18),"-")</f>
        <v>-</v>
      </c>
      <c r="BA18" s="59" t="str">
        <f>IF(AND(G18&gt;0,AD18&gt;0),MIN(G18,AD18),"-")</f>
        <v>-</v>
      </c>
      <c r="BB18" s="59" t="str">
        <f>IF(AND(H18&gt;0,AE18&gt;0),MIN(H18,AE18),"-")</f>
        <v>-</v>
      </c>
      <c r="BC18" s="59" t="str">
        <f>IF(AND(I18&gt;0,AF18&gt;0),MIN(I18,AF18),"-")</f>
        <v>-</v>
      </c>
      <c r="BD18" s="59" t="str">
        <f>IF(AND(J18&gt;0,AG18&gt;0),MIN(J18,AG18),"-")</f>
        <v>-</v>
      </c>
      <c r="BE18" s="59" t="str">
        <f>IF(AND(K18&gt;0,AH18&gt;0),MIN(K18,AH18),"-")</f>
        <v>-</v>
      </c>
      <c r="BF18" s="59" t="str">
        <f>IF(AND(L18&gt;0,AI18&gt;0),MIN(L18,AI18),"-")</f>
        <v>-</v>
      </c>
      <c r="BG18" s="59" t="str">
        <f t="shared" si="8"/>
        <v>-</v>
      </c>
      <c r="BH18" s="59" t="str">
        <f>IF(AND(N18&gt;0,AK18&gt;0),MIN(N18,AK18),"-")</f>
        <v>-</v>
      </c>
      <c r="BI18" s="59" t="str">
        <f>IF(AND(O18&gt;0,AL18&gt;0),MIN(O18,AL18),"-")</f>
        <v>-</v>
      </c>
      <c r="BJ18" s="59" t="str">
        <f>IF(AND(P18&gt;0,AM18&gt;0),MIN(P18,AM18),"-")</f>
        <v>-</v>
      </c>
      <c r="BK18" s="59" t="str">
        <f>IF(AND(Q18&gt;0,AN18&gt;0),MIN(Q18,AN18),"-")</f>
        <v>-</v>
      </c>
      <c r="BL18" s="59" t="str">
        <f>IF(AND(R18&gt;0,AO18&gt;0),MIN(R18,AO18),"-")</f>
        <v>-</v>
      </c>
      <c r="BM18" s="59" t="str">
        <f>IF(AND(S18&gt;0,AP18&gt;0),MIN(S18,AP18),"-")</f>
        <v>-</v>
      </c>
      <c r="BN18" s="59" t="str">
        <f>IF(AND(T18&gt;0,AQ18&gt;0),MIN(T18,AQ18),"-")</f>
        <v>-</v>
      </c>
      <c r="BO18" s="59" t="str">
        <f>IF(AND(U18&gt;0,AR18&gt;0),MIN(U18,AR18),"-")</f>
        <v>-</v>
      </c>
      <c r="BP18" s="59" t="str">
        <f>IF(AND(V18&gt;0,AS18&gt;0),MIN(V18,AS18),"-")</f>
        <v>-</v>
      </c>
      <c r="BQ18" s="59" t="str">
        <f t="shared" si="9"/>
        <v>-</v>
      </c>
      <c r="BR18" s="59" t="str">
        <f t="shared" si="10"/>
        <v>-</v>
      </c>
      <c r="BS18" s="59" t="str">
        <f t="shared" si="11"/>
        <v>-</v>
      </c>
      <c r="BT18" s="98" t="str">
        <f>IF(ISNUMBER(BS18),BS18-(C18*Rules!$P$9/100),"-")</f>
        <v>-</v>
      </c>
      <c r="BU18" s="59" t="e">
        <f>RANK($BT18,$BT$5:$BT$106,1)+COUNTIF(BT$5:BT18,BT18)-1</f>
        <v>#VALUE!</v>
      </c>
      <c r="BV18" s="59" t="e">
        <f t="shared" si="12"/>
        <v>#VALUE!</v>
      </c>
      <c r="BW18" s="59" t="str">
        <f t="shared" si="13"/>
        <v xml:space="preserve"> </v>
      </c>
      <c r="BX18" s="59" t="str">
        <f t="shared" si="13"/>
        <v>-</v>
      </c>
      <c r="BY18" s="59" t="str">
        <f t="shared" si="14"/>
        <v>-</v>
      </c>
      <c r="CC18" s="4">
        <v>14</v>
      </c>
      <c r="CD18" s="2" t="e">
        <f>VLOOKUP(CC18,$BV$5:BY$215,1,FALSE)</f>
        <v>#N/A</v>
      </c>
      <c r="CE18" s="6" t="e">
        <f>VLOOKUP(CC18,$BV$5:BY$215,2,FALSE)</f>
        <v>#N/A</v>
      </c>
      <c r="CF18" s="103" t="e">
        <f>VLOOKUP(CC18,$BV$5:BY$215,4,FALSE)</f>
        <v>#N/A</v>
      </c>
      <c r="CL18" s="77">
        <v>1</v>
      </c>
    </row>
    <row r="19" spans="1:90" ht="17.45" customHeight="1">
      <c r="A19" s="58">
        <v>15</v>
      </c>
      <c r="B19" s="59" t="str">
        <f>'B Div'!A19 &amp; " " &amp; 'B Div'!B19</f>
        <v xml:space="preserve"> </v>
      </c>
      <c r="C19" s="59" t="str">
        <f>'B Div'!E19</f>
        <v>-</v>
      </c>
      <c r="D19" s="60"/>
      <c r="E19" s="60"/>
      <c r="F19" s="60"/>
      <c r="G19" s="60"/>
      <c r="H19" s="60"/>
      <c r="I19" s="60"/>
      <c r="J19" s="60"/>
      <c r="K19" s="60"/>
      <c r="L19" s="60"/>
      <c r="M19" s="74" t="str">
        <f t="shared" si="0"/>
        <v>-</v>
      </c>
      <c r="N19" s="60"/>
      <c r="O19" s="60"/>
      <c r="P19" s="60"/>
      <c r="Q19" s="60"/>
      <c r="R19" s="60"/>
      <c r="S19" s="60"/>
      <c r="T19" s="60"/>
      <c r="U19" s="60"/>
      <c r="V19" s="60"/>
      <c r="W19" s="74" t="str">
        <f t="shared" si="1"/>
        <v>-</v>
      </c>
      <c r="X19" s="74" t="str">
        <f t="shared" si="2"/>
        <v>-</v>
      </c>
      <c r="Y19" s="74" t="str">
        <f t="shared" si="3"/>
        <v>-</v>
      </c>
      <c r="AA19" s="60"/>
      <c r="AB19" s="60"/>
      <c r="AC19" s="60"/>
      <c r="AD19" s="60"/>
      <c r="AE19" s="60"/>
      <c r="AF19" s="60"/>
      <c r="AG19" s="60"/>
      <c r="AH19" s="60"/>
      <c r="AI19" s="60"/>
      <c r="AJ19" s="74" t="str">
        <f t="shared" si="4"/>
        <v>-</v>
      </c>
      <c r="AK19" s="60"/>
      <c r="AL19" s="60"/>
      <c r="AM19" s="60"/>
      <c r="AN19" s="60"/>
      <c r="AO19" s="60"/>
      <c r="AP19" s="60"/>
      <c r="AQ19" s="60"/>
      <c r="AR19" s="60"/>
      <c r="AS19" s="60"/>
      <c r="AT19" s="74" t="str">
        <f t="shared" si="5"/>
        <v>-</v>
      </c>
      <c r="AU19" s="74" t="str">
        <f t="shared" si="6"/>
        <v>-</v>
      </c>
      <c r="AV19" s="74" t="str">
        <f t="shared" si="7"/>
        <v>-</v>
      </c>
      <c r="AX19" s="59" t="str">
        <f>IF(AND(D19&gt;0,AA19&gt;0),MIN(D19,AA19),"-")</f>
        <v>-</v>
      </c>
      <c r="AY19" s="59" t="str">
        <f>IF(AND(E19&gt;0,AB19&gt;0),MIN(E19,AB19),"-")</f>
        <v>-</v>
      </c>
      <c r="AZ19" s="59" t="str">
        <f>IF(AND(F19&gt;0,AC19&gt;0),MIN(F19,AC19),"-")</f>
        <v>-</v>
      </c>
      <c r="BA19" s="59" t="str">
        <f>IF(AND(G19&gt;0,AD19&gt;0),MIN(G19,AD19),"-")</f>
        <v>-</v>
      </c>
      <c r="BB19" s="59" t="str">
        <f>IF(AND(H19&gt;0,AE19&gt;0),MIN(H19,AE19),"-")</f>
        <v>-</v>
      </c>
      <c r="BC19" s="59" t="str">
        <f>IF(AND(I19&gt;0,AF19&gt;0),MIN(I19,AF19),"-")</f>
        <v>-</v>
      </c>
      <c r="BD19" s="59" t="str">
        <f>IF(AND(J19&gt;0,AG19&gt;0),MIN(J19,AG19),"-")</f>
        <v>-</v>
      </c>
      <c r="BE19" s="59" t="str">
        <f>IF(AND(K19&gt;0,AH19&gt;0),MIN(K19,AH19),"-")</f>
        <v>-</v>
      </c>
      <c r="BF19" s="59" t="str">
        <f>IF(AND(L19&gt;0,AI19&gt;0),MIN(L19,AI19),"-")</f>
        <v>-</v>
      </c>
      <c r="BG19" s="59" t="str">
        <f t="shared" si="8"/>
        <v>-</v>
      </c>
      <c r="BH19" s="59" t="str">
        <f>IF(AND(N19&gt;0,AK19&gt;0),MIN(N19,AK19),"-")</f>
        <v>-</v>
      </c>
      <c r="BI19" s="59" t="str">
        <f>IF(AND(O19&gt;0,AL19&gt;0),MIN(O19,AL19),"-")</f>
        <v>-</v>
      </c>
      <c r="BJ19" s="59" t="str">
        <f>IF(AND(P19&gt;0,AM19&gt;0),MIN(P19,AM19),"-")</f>
        <v>-</v>
      </c>
      <c r="BK19" s="59" t="str">
        <f>IF(AND(Q19&gt;0,AN19&gt;0),MIN(Q19,AN19),"-")</f>
        <v>-</v>
      </c>
      <c r="BL19" s="59" t="str">
        <f>IF(AND(R19&gt;0,AO19&gt;0),MIN(R19,AO19),"-")</f>
        <v>-</v>
      </c>
      <c r="BM19" s="59" t="str">
        <f>IF(AND(S19&gt;0,AP19&gt;0),MIN(S19,AP19),"-")</f>
        <v>-</v>
      </c>
      <c r="BN19" s="59" t="str">
        <f>IF(AND(T19&gt;0,AQ19&gt;0),MIN(T19,AQ19),"-")</f>
        <v>-</v>
      </c>
      <c r="BO19" s="59" t="str">
        <f>IF(AND(U19&gt;0,AR19&gt;0),MIN(U19,AR19),"-")</f>
        <v>-</v>
      </c>
      <c r="BP19" s="59" t="str">
        <f>IF(AND(V19&gt;0,AS19&gt;0),MIN(V19,AS19),"-")</f>
        <v>-</v>
      </c>
      <c r="BQ19" s="59" t="str">
        <f t="shared" si="9"/>
        <v>-</v>
      </c>
      <c r="BR19" s="59" t="str">
        <f t="shared" si="10"/>
        <v>-</v>
      </c>
      <c r="BS19" s="59" t="str">
        <f t="shared" si="11"/>
        <v>-</v>
      </c>
      <c r="BT19" s="98" t="str">
        <f>IF(ISNUMBER(BS19),BS19-(C19*Rules!$P$9/100),"-")</f>
        <v>-</v>
      </c>
      <c r="BU19" s="59" t="e">
        <f>RANK($BT19,$BT$5:$BT$106,1)+COUNTIF(BT$5:BT19,BT19)-1</f>
        <v>#VALUE!</v>
      </c>
      <c r="BV19" s="59" t="e">
        <f t="shared" si="12"/>
        <v>#VALUE!</v>
      </c>
      <c r="BW19" s="59" t="str">
        <f t="shared" si="13"/>
        <v xml:space="preserve"> </v>
      </c>
      <c r="BX19" s="59" t="str">
        <f t="shared" si="13"/>
        <v>-</v>
      </c>
      <c r="BY19" s="59" t="str">
        <f t="shared" si="14"/>
        <v>-</v>
      </c>
      <c r="CC19" s="4">
        <v>15</v>
      </c>
      <c r="CD19" s="2" t="e">
        <f>VLOOKUP(CC19,$BV$5:BY$215,1,FALSE)</f>
        <v>#N/A</v>
      </c>
      <c r="CE19" s="6" t="e">
        <f>VLOOKUP(CC19,$BV$5:BY$215,2,FALSE)</f>
        <v>#N/A</v>
      </c>
      <c r="CF19" s="103" t="e">
        <f>VLOOKUP(CC19,$BV$5:BY$215,4,FALSE)</f>
        <v>#N/A</v>
      </c>
      <c r="CL19" s="77">
        <v>1</v>
      </c>
    </row>
    <row r="20" spans="1:90" ht="17.45" customHeight="1">
      <c r="A20" s="58">
        <v>16</v>
      </c>
      <c r="B20" s="59" t="str">
        <f>'B Div'!A20 &amp; " " &amp; 'B Div'!B20</f>
        <v xml:space="preserve"> </v>
      </c>
      <c r="C20" s="59" t="str">
        <f>'B Div'!E20</f>
        <v>-</v>
      </c>
      <c r="D20" s="60"/>
      <c r="E20" s="60"/>
      <c r="F20" s="60"/>
      <c r="G20" s="60"/>
      <c r="H20" s="60"/>
      <c r="I20" s="60"/>
      <c r="J20" s="60"/>
      <c r="K20" s="60"/>
      <c r="L20" s="60"/>
      <c r="M20" s="74" t="str">
        <f t="shared" si="0"/>
        <v>-</v>
      </c>
      <c r="N20" s="60"/>
      <c r="O20" s="60"/>
      <c r="P20" s="60"/>
      <c r="Q20" s="60"/>
      <c r="R20" s="60"/>
      <c r="S20" s="60"/>
      <c r="T20" s="60"/>
      <c r="U20" s="60"/>
      <c r="V20" s="60"/>
      <c r="W20" s="74" t="str">
        <f t="shared" si="1"/>
        <v>-</v>
      </c>
      <c r="X20" s="74" t="str">
        <f t="shared" si="2"/>
        <v>-</v>
      </c>
      <c r="Y20" s="74" t="str">
        <f t="shared" si="3"/>
        <v>-</v>
      </c>
      <c r="AA20" s="60"/>
      <c r="AB20" s="60"/>
      <c r="AC20" s="60"/>
      <c r="AD20" s="60"/>
      <c r="AE20" s="60"/>
      <c r="AF20" s="60"/>
      <c r="AG20" s="60"/>
      <c r="AH20" s="60"/>
      <c r="AI20" s="60"/>
      <c r="AJ20" s="74" t="str">
        <f t="shared" si="4"/>
        <v>-</v>
      </c>
      <c r="AK20" s="60"/>
      <c r="AL20" s="60"/>
      <c r="AM20" s="60"/>
      <c r="AN20" s="60"/>
      <c r="AO20" s="60"/>
      <c r="AP20" s="60"/>
      <c r="AQ20" s="60"/>
      <c r="AR20" s="60"/>
      <c r="AS20" s="60"/>
      <c r="AT20" s="74" t="str">
        <f t="shared" si="5"/>
        <v>-</v>
      </c>
      <c r="AU20" s="74" t="str">
        <f t="shared" si="6"/>
        <v>-</v>
      </c>
      <c r="AV20" s="74" t="str">
        <f t="shared" si="7"/>
        <v>-</v>
      </c>
      <c r="AX20" s="59" t="str">
        <f>IF(AND(D20&gt;0,AA20&gt;0),MIN(D20,AA20),"-")</f>
        <v>-</v>
      </c>
      <c r="AY20" s="59" t="str">
        <f>IF(AND(E20&gt;0,AB20&gt;0),MIN(E20,AB20),"-")</f>
        <v>-</v>
      </c>
      <c r="AZ20" s="59" t="str">
        <f>IF(AND(F20&gt;0,AC20&gt;0),MIN(F20,AC20),"-")</f>
        <v>-</v>
      </c>
      <c r="BA20" s="59" t="str">
        <f>IF(AND(G20&gt;0,AD20&gt;0),MIN(G20,AD20),"-")</f>
        <v>-</v>
      </c>
      <c r="BB20" s="59" t="str">
        <f>IF(AND(H20&gt;0,AE20&gt;0),MIN(H20,AE20),"-")</f>
        <v>-</v>
      </c>
      <c r="BC20" s="59" t="str">
        <f>IF(AND(I20&gt;0,AF20&gt;0),MIN(I20,AF20),"-")</f>
        <v>-</v>
      </c>
      <c r="BD20" s="59" t="str">
        <f>IF(AND(J20&gt;0,AG20&gt;0),MIN(J20,AG20),"-")</f>
        <v>-</v>
      </c>
      <c r="BE20" s="59" t="str">
        <f>IF(AND(K20&gt;0,AH20&gt;0),MIN(K20,AH20),"-")</f>
        <v>-</v>
      </c>
      <c r="BF20" s="59" t="str">
        <f>IF(AND(L20&gt;0,AI20&gt;0),MIN(L20,AI20),"-")</f>
        <v>-</v>
      </c>
      <c r="BG20" s="59" t="str">
        <f t="shared" si="8"/>
        <v>-</v>
      </c>
      <c r="BH20" s="59" t="str">
        <f>IF(AND(N20&gt;0,AK20&gt;0),MIN(N20,AK20),"-")</f>
        <v>-</v>
      </c>
      <c r="BI20" s="59" t="str">
        <f>IF(AND(O20&gt;0,AL20&gt;0),MIN(O20,AL20),"-")</f>
        <v>-</v>
      </c>
      <c r="BJ20" s="59" t="str">
        <f>IF(AND(P20&gt;0,AM20&gt;0),MIN(P20,AM20),"-")</f>
        <v>-</v>
      </c>
      <c r="BK20" s="59" t="str">
        <f>IF(AND(Q20&gt;0,AN20&gt;0),MIN(Q20,AN20),"-")</f>
        <v>-</v>
      </c>
      <c r="BL20" s="59" t="str">
        <f>IF(AND(R20&gt;0,AO20&gt;0),MIN(R20,AO20),"-")</f>
        <v>-</v>
      </c>
      <c r="BM20" s="59" t="str">
        <f>IF(AND(S20&gt;0,AP20&gt;0),MIN(S20,AP20),"-")</f>
        <v>-</v>
      </c>
      <c r="BN20" s="59" t="str">
        <f>IF(AND(T20&gt;0,AQ20&gt;0),MIN(T20,AQ20),"-")</f>
        <v>-</v>
      </c>
      <c r="BO20" s="59" t="str">
        <f>IF(AND(U20&gt;0,AR20&gt;0),MIN(U20,AR20),"-")</f>
        <v>-</v>
      </c>
      <c r="BP20" s="59" t="str">
        <f>IF(AND(V20&gt;0,AS20&gt;0),MIN(V20,AS20),"-")</f>
        <v>-</v>
      </c>
      <c r="BQ20" s="59" t="str">
        <f t="shared" si="9"/>
        <v>-</v>
      </c>
      <c r="BR20" s="59" t="str">
        <f t="shared" si="10"/>
        <v>-</v>
      </c>
      <c r="BS20" s="59" t="str">
        <f t="shared" si="11"/>
        <v>-</v>
      </c>
      <c r="BT20" s="98" t="str">
        <f>IF(ISNUMBER(BS20),BS20-(C20*Rules!$P$9/100),"-")</f>
        <v>-</v>
      </c>
      <c r="BU20" s="59" t="e">
        <f>RANK($BT20,$BT$5:$BT$106,1)+COUNTIF(BT$5:BT20,BT20)-1</f>
        <v>#VALUE!</v>
      </c>
      <c r="BV20" s="59" t="e">
        <f t="shared" si="12"/>
        <v>#VALUE!</v>
      </c>
      <c r="BW20" s="59" t="str">
        <f t="shared" si="13"/>
        <v xml:space="preserve"> </v>
      </c>
      <c r="BX20" s="59" t="str">
        <f t="shared" si="13"/>
        <v>-</v>
      </c>
      <c r="BY20" s="59" t="str">
        <f t="shared" si="14"/>
        <v>-</v>
      </c>
      <c r="CC20" s="4">
        <v>16</v>
      </c>
      <c r="CD20" s="2" t="e">
        <f>VLOOKUP(CC20,$BV$5:BY$215,1,FALSE)</f>
        <v>#N/A</v>
      </c>
      <c r="CE20" s="6" t="e">
        <f>VLOOKUP(CC20,$BV$5:BY$215,2,FALSE)</f>
        <v>#N/A</v>
      </c>
      <c r="CF20" s="103" t="e">
        <f>VLOOKUP(CC20,$BV$5:BY$215,4,FALSE)</f>
        <v>#N/A</v>
      </c>
      <c r="CL20" s="77">
        <v>1</v>
      </c>
    </row>
    <row r="21" spans="1:90" ht="17.45" customHeight="1">
      <c r="A21" s="58">
        <v>17</v>
      </c>
      <c r="B21" s="59" t="str">
        <f>'B Div'!A21 &amp; " " &amp; 'B Div'!B21</f>
        <v xml:space="preserve"> </v>
      </c>
      <c r="C21" s="59" t="str">
        <f>'B Div'!E21</f>
        <v>-</v>
      </c>
      <c r="D21" s="60"/>
      <c r="E21" s="60"/>
      <c r="F21" s="60"/>
      <c r="G21" s="60"/>
      <c r="H21" s="60"/>
      <c r="I21" s="60"/>
      <c r="J21" s="60"/>
      <c r="K21" s="60"/>
      <c r="L21" s="60"/>
      <c r="M21" s="74" t="str">
        <f t="shared" si="0"/>
        <v>-</v>
      </c>
      <c r="N21" s="60"/>
      <c r="O21" s="60"/>
      <c r="P21" s="60"/>
      <c r="Q21" s="60"/>
      <c r="R21" s="60"/>
      <c r="S21" s="60"/>
      <c r="T21" s="60"/>
      <c r="U21" s="60"/>
      <c r="V21" s="60"/>
      <c r="W21" s="74" t="str">
        <f t="shared" si="1"/>
        <v>-</v>
      </c>
      <c r="X21" s="74" t="str">
        <f t="shared" si="2"/>
        <v>-</v>
      </c>
      <c r="Y21" s="74" t="str">
        <f t="shared" si="3"/>
        <v>-</v>
      </c>
      <c r="AA21" s="60"/>
      <c r="AB21" s="60"/>
      <c r="AC21" s="60"/>
      <c r="AD21" s="60"/>
      <c r="AE21" s="60"/>
      <c r="AF21" s="60"/>
      <c r="AG21" s="60"/>
      <c r="AH21" s="60"/>
      <c r="AI21" s="60"/>
      <c r="AJ21" s="74" t="str">
        <f t="shared" si="4"/>
        <v>-</v>
      </c>
      <c r="AK21" s="60"/>
      <c r="AL21" s="60"/>
      <c r="AM21" s="60"/>
      <c r="AN21" s="60"/>
      <c r="AO21" s="60"/>
      <c r="AP21" s="60"/>
      <c r="AQ21" s="60"/>
      <c r="AR21" s="60"/>
      <c r="AS21" s="60"/>
      <c r="AT21" s="74" t="str">
        <f t="shared" si="5"/>
        <v>-</v>
      </c>
      <c r="AU21" s="74" t="str">
        <f t="shared" si="6"/>
        <v>-</v>
      </c>
      <c r="AV21" s="74" t="str">
        <f t="shared" si="7"/>
        <v>-</v>
      </c>
      <c r="AX21" s="59" t="str">
        <f>IF(AND(D21&gt;0,AA21&gt;0),MIN(D21,AA21),"-")</f>
        <v>-</v>
      </c>
      <c r="AY21" s="59" t="str">
        <f>IF(AND(E21&gt;0,AB21&gt;0),MIN(E21,AB21),"-")</f>
        <v>-</v>
      </c>
      <c r="AZ21" s="59" t="str">
        <f>IF(AND(F21&gt;0,AC21&gt;0),MIN(F21,AC21),"-")</f>
        <v>-</v>
      </c>
      <c r="BA21" s="59" t="str">
        <f>IF(AND(G21&gt;0,AD21&gt;0),MIN(G21,AD21),"-")</f>
        <v>-</v>
      </c>
      <c r="BB21" s="59" t="str">
        <f>IF(AND(H21&gt;0,AE21&gt;0),MIN(H21,AE21),"-")</f>
        <v>-</v>
      </c>
      <c r="BC21" s="59" t="str">
        <f>IF(AND(I21&gt;0,AF21&gt;0),MIN(I21,AF21),"-")</f>
        <v>-</v>
      </c>
      <c r="BD21" s="59" t="str">
        <f>IF(AND(J21&gt;0,AG21&gt;0),MIN(J21,AG21),"-")</f>
        <v>-</v>
      </c>
      <c r="BE21" s="59" t="str">
        <f>IF(AND(K21&gt;0,AH21&gt;0),MIN(K21,AH21),"-")</f>
        <v>-</v>
      </c>
      <c r="BF21" s="59" t="str">
        <f>IF(AND(L21&gt;0,AI21&gt;0),MIN(L21,AI21),"-")</f>
        <v>-</v>
      </c>
      <c r="BG21" s="59" t="str">
        <f t="shared" si="8"/>
        <v>-</v>
      </c>
      <c r="BH21" s="59" t="str">
        <f>IF(AND(N21&gt;0,AK21&gt;0),MIN(N21,AK21),"-")</f>
        <v>-</v>
      </c>
      <c r="BI21" s="59" t="str">
        <f>IF(AND(O21&gt;0,AL21&gt;0),MIN(O21,AL21),"-")</f>
        <v>-</v>
      </c>
      <c r="BJ21" s="59" t="str">
        <f>IF(AND(P21&gt;0,AM21&gt;0),MIN(P21,AM21),"-")</f>
        <v>-</v>
      </c>
      <c r="BK21" s="59" t="str">
        <f>IF(AND(Q21&gt;0,AN21&gt;0),MIN(Q21,AN21),"-")</f>
        <v>-</v>
      </c>
      <c r="BL21" s="59" t="str">
        <f>IF(AND(R21&gt;0,AO21&gt;0),MIN(R21,AO21),"-")</f>
        <v>-</v>
      </c>
      <c r="BM21" s="59" t="str">
        <f>IF(AND(S21&gt;0,AP21&gt;0),MIN(S21,AP21),"-")</f>
        <v>-</v>
      </c>
      <c r="BN21" s="59" t="str">
        <f>IF(AND(T21&gt;0,AQ21&gt;0),MIN(T21,AQ21),"-")</f>
        <v>-</v>
      </c>
      <c r="BO21" s="59" t="str">
        <f>IF(AND(U21&gt;0,AR21&gt;0),MIN(U21,AR21),"-")</f>
        <v>-</v>
      </c>
      <c r="BP21" s="59" t="str">
        <f>IF(AND(V21&gt;0,AS21&gt;0),MIN(V21,AS21),"-")</f>
        <v>-</v>
      </c>
      <c r="BQ21" s="59" t="str">
        <f t="shared" si="9"/>
        <v>-</v>
      </c>
      <c r="BR21" s="59" t="str">
        <f t="shared" si="10"/>
        <v>-</v>
      </c>
      <c r="BS21" s="59" t="str">
        <f t="shared" si="11"/>
        <v>-</v>
      </c>
      <c r="BT21" s="98" t="str">
        <f>IF(ISNUMBER(BS21),BS21-(C21*Rules!$P$9/100),"-")</f>
        <v>-</v>
      </c>
      <c r="BU21" s="59" t="e">
        <f>RANK($BT21,$BT$5:$BT$106,1)+COUNTIF(BT$5:BT21,BT21)-1</f>
        <v>#VALUE!</v>
      </c>
      <c r="BV21" s="59" t="e">
        <f t="shared" si="12"/>
        <v>#VALUE!</v>
      </c>
      <c r="BW21" s="59" t="str">
        <f t="shared" si="13"/>
        <v xml:space="preserve"> </v>
      </c>
      <c r="BX21" s="59" t="str">
        <f t="shared" si="13"/>
        <v>-</v>
      </c>
      <c r="BY21" s="59" t="str">
        <f t="shared" si="14"/>
        <v>-</v>
      </c>
      <c r="CC21" s="4">
        <v>17</v>
      </c>
      <c r="CD21" s="2" t="e">
        <f>VLOOKUP(CC21,$BV$5:BY$215,1,FALSE)</f>
        <v>#N/A</v>
      </c>
      <c r="CE21" s="6" t="e">
        <f>VLOOKUP(CC21,$BV$5:BY$215,2,FALSE)</f>
        <v>#N/A</v>
      </c>
      <c r="CF21" s="103" t="e">
        <f>VLOOKUP(CC21,$BV$5:BY$215,4,FALSE)</f>
        <v>#N/A</v>
      </c>
      <c r="CL21" s="77">
        <v>1</v>
      </c>
    </row>
    <row r="22" spans="1:90" ht="17.45" customHeight="1">
      <c r="A22" s="58">
        <v>18</v>
      </c>
      <c r="B22" s="59" t="str">
        <f>'B Div'!A22 &amp; " " &amp; 'B Div'!B22</f>
        <v xml:space="preserve"> </v>
      </c>
      <c r="C22" s="59" t="str">
        <f>'B Div'!E22</f>
        <v>-</v>
      </c>
      <c r="D22" s="60"/>
      <c r="E22" s="60"/>
      <c r="F22" s="60"/>
      <c r="G22" s="60"/>
      <c r="H22" s="60"/>
      <c r="I22" s="60"/>
      <c r="J22" s="60"/>
      <c r="K22" s="60"/>
      <c r="L22" s="60"/>
      <c r="M22" s="74" t="str">
        <f t="shared" si="0"/>
        <v>-</v>
      </c>
      <c r="N22" s="60"/>
      <c r="O22" s="60"/>
      <c r="P22" s="60"/>
      <c r="Q22" s="60"/>
      <c r="R22" s="60"/>
      <c r="S22" s="60"/>
      <c r="T22" s="60"/>
      <c r="U22" s="60"/>
      <c r="V22" s="60"/>
      <c r="W22" s="74" t="str">
        <f t="shared" si="1"/>
        <v>-</v>
      </c>
      <c r="X22" s="74" t="str">
        <f t="shared" si="2"/>
        <v>-</v>
      </c>
      <c r="Y22" s="74" t="str">
        <f t="shared" si="3"/>
        <v>-</v>
      </c>
      <c r="AA22" s="60"/>
      <c r="AB22" s="60"/>
      <c r="AC22" s="60"/>
      <c r="AD22" s="60"/>
      <c r="AE22" s="60"/>
      <c r="AF22" s="60"/>
      <c r="AG22" s="60"/>
      <c r="AH22" s="60"/>
      <c r="AI22" s="60"/>
      <c r="AJ22" s="74" t="str">
        <f t="shared" si="4"/>
        <v>-</v>
      </c>
      <c r="AK22" s="60"/>
      <c r="AL22" s="60"/>
      <c r="AM22" s="60"/>
      <c r="AN22" s="60"/>
      <c r="AO22" s="60"/>
      <c r="AP22" s="60"/>
      <c r="AQ22" s="60"/>
      <c r="AR22" s="60"/>
      <c r="AS22" s="60"/>
      <c r="AT22" s="74" t="str">
        <f t="shared" si="5"/>
        <v>-</v>
      </c>
      <c r="AU22" s="74" t="str">
        <f t="shared" si="6"/>
        <v>-</v>
      </c>
      <c r="AV22" s="74" t="str">
        <f t="shared" si="7"/>
        <v>-</v>
      </c>
      <c r="AX22" s="59" t="str">
        <f>IF(AND(D22&gt;0,AA22&gt;0),MIN(D22,AA22),"-")</f>
        <v>-</v>
      </c>
      <c r="AY22" s="59" t="str">
        <f>IF(AND(E22&gt;0,AB22&gt;0),MIN(E22,AB22),"-")</f>
        <v>-</v>
      </c>
      <c r="AZ22" s="59" t="str">
        <f>IF(AND(F22&gt;0,AC22&gt;0),MIN(F22,AC22),"-")</f>
        <v>-</v>
      </c>
      <c r="BA22" s="59" t="str">
        <f>IF(AND(G22&gt;0,AD22&gt;0),MIN(G22,AD22),"-")</f>
        <v>-</v>
      </c>
      <c r="BB22" s="59" t="str">
        <f>IF(AND(H22&gt;0,AE22&gt;0),MIN(H22,AE22),"-")</f>
        <v>-</v>
      </c>
      <c r="BC22" s="59" t="str">
        <f>IF(AND(I22&gt;0,AF22&gt;0),MIN(I22,AF22),"-")</f>
        <v>-</v>
      </c>
      <c r="BD22" s="59" t="str">
        <f>IF(AND(J22&gt;0,AG22&gt;0),MIN(J22,AG22),"-")</f>
        <v>-</v>
      </c>
      <c r="BE22" s="59" t="str">
        <f>IF(AND(K22&gt;0,AH22&gt;0),MIN(K22,AH22),"-")</f>
        <v>-</v>
      </c>
      <c r="BF22" s="59" t="str">
        <f>IF(AND(L22&gt;0,AI22&gt;0),MIN(L22,AI22),"-")</f>
        <v>-</v>
      </c>
      <c r="BG22" s="59" t="str">
        <f t="shared" si="8"/>
        <v>-</v>
      </c>
      <c r="BH22" s="59" t="str">
        <f>IF(AND(N22&gt;0,AK22&gt;0),MIN(N22,AK22),"-")</f>
        <v>-</v>
      </c>
      <c r="BI22" s="59" t="str">
        <f>IF(AND(O22&gt;0,AL22&gt;0),MIN(O22,AL22),"-")</f>
        <v>-</v>
      </c>
      <c r="BJ22" s="59" t="str">
        <f>IF(AND(P22&gt;0,AM22&gt;0),MIN(P22,AM22),"-")</f>
        <v>-</v>
      </c>
      <c r="BK22" s="59" t="str">
        <f>IF(AND(Q22&gt;0,AN22&gt;0),MIN(Q22,AN22),"-")</f>
        <v>-</v>
      </c>
      <c r="BL22" s="59" t="str">
        <f>IF(AND(R22&gt;0,AO22&gt;0),MIN(R22,AO22),"-")</f>
        <v>-</v>
      </c>
      <c r="BM22" s="59" t="str">
        <f>IF(AND(S22&gt;0,AP22&gt;0),MIN(S22,AP22),"-")</f>
        <v>-</v>
      </c>
      <c r="BN22" s="59" t="str">
        <f>IF(AND(T22&gt;0,AQ22&gt;0),MIN(T22,AQ22),"-")</f>
        <v>-</v>
      </c>
      <c r="BO22" s="59" t="str">
        <f>IF(AND(U22&gt;0,AR22&gt;0),MIN(U22,AR22),"-")</f>
        <v>-</v>
      </c>
      <c r="BP22" s="59" t="str">
        <f>IF(AND(V22&gt;0,AS22&gt;0),MIN(V22,AS22),"-")</f>
        <v>-</v>
      </c>
      <c r="BQ22" s="59" t="str">
        <f t="shared" si="9"/>
        <v>-</v>
      </c>
      <c r="BR22" s="59" t="str">
        <f t="shared" si="10"/>
        <v>-</v>
      </c>
      <c r="BS22" s="59" t="str">
        <f t="shared" si="11"/>
        <v>-</v>
      </c>
      <c r="BT22" s="98" t="str">
        <f>IF(ISNUMBER(BS22),BS22-(C22*Rules!$P$9/100),"-")</f>
        <v>-</v>
      </c>
      <c r="BU22" s="59" t="e">
        <f>RANK($BT22,$BT$5:$BT$106,1)+COUNTIF(BT$5:BT22,BT22)-1</f>
        <v>#VALUE!</v>
      </c>
      <c r="BV22" s="59" t="e">
        <f t="shared" si="12"/>
        <v>#VALUE!</v>
      </c>
      <c r="BW22" s="59" t="str">
        <f t="shared" si="13"/>
        <v xml:space="preserve"> </v>
      </c>
      <c r="BX22" s="59" t="str">
        <f t="shared" si="13"/>
        <v>-</v>
      </c>
      <c r="BY22" s="59" t="str">
        <f t="shared" si="14"/>
        <v>-</v>
      </c>
      <c r="CC22" s="4">
        <v>18</v>
      </c>
      <c r="CD22" s="2" t="e">
        <f>VLOOKUP(CC22,$BV$5:BY$215,1,FALSE)</f>
        <v>#N/A</v>
      </c>
      <c r="CE22" s="6" t="e">
        <f>VLOOKUP(CC22,$BV$5:BY$215,2,FALSE)</f>
        <v>#N/A</v>
      </c>
      <c r="CF22" s="103" t="e">
        <f>VLOOKUP(CC22,$BV$5:BY$215,4,FALSE)</f>
        <v>#N/A</v>
      </c>
      <c r="CL22" s="77">
        <v>1</v>
      </c>
    </row>
    <row r="23" spans="1:90" ht="17.45" customHeight="1">
      <c r="A23" s="58">
        <v>19</v>
      </c>
      <c r="B23" s="59" t="str">
        <f>'B Div'!A23 &amp; " " &amp; 'B Div'!B23</f>
        <v xml:space="preserve"> </v>
      </c>
      <c r="C23" s="59" t="str">
        <f>'B Div'!E23</f>
        <v>-</v>
      </c>
      <c r="D23" s="60"/>
      <c r="E23" s="60"/>
      <c r="F23" s="60"/>
      <c r="G23" s="60"/>
      <c r="H23" s="60"/>
      <c r="I23" s="60"/>
      <c r="J23" s="60"/>
      <c r="K23" s="60"/>
      <c r="L23" s="60"/>
      <c r="M23" s="74" t="str">
        <f t="shared" si="0"/>
        <v>-</v>
      </c>
      <c r="N23" s="60"/>
      <c r="O23" s="60"/>
      <c r="P23" s="60"/>
      <c r="Q23" s="60"/>
      <c r="R23" s="60"/>
      <c r="S23" s="60"/>
      <c r="T23" s="60"/>
      <c r="U23" s="60"/>
      <c r="V23" s="60"/>
      <c r="W23" s="74" t="str">
        <f t="shared" si="1"/>
        <v>-</v>
      </c>
      <c r="X23" s="74" t="str">
        <f t="shared" si="2"/>
        <v>-</v>
      </c>
      <c r="Y23" s="74" t="str">
        <f t="shared" si="3"/>
        <v>-</v>
      </c>
      <c r="AA23" s="60"/>
      <c r="AB23" s="60"/>
      <c r="AC23" s="60"/>
      <c r="AD23" s="60"/>
      <c r="AE23" s="60"/>
      <c r="AF23" s="60"/>
      <c r="AG23" s="60"/>
      <c r="AH23" s="60"/>
      <c r="AI23" s="60"/>
      <c r="AJ23" s="74" t="str">
        <f t="shared" si="4"/>
        <v>-</v>
      </c>
      <c r="AK23" s="60"/>
      <c r="AL23" s="60"/>
      <c r="AM23" s="60"/>
      <c r="AN23" s="60"/>
      <c r="AO23" s="60"/>
      <c r="AP23" s="60"/>
      <c r="AQ23" s="60"/>
      <c r="AR23" s="60"/>
      <c r="AS23" s="60"/>
      <c r="AT23" s="74" t="str">
        <f t="shared" si="5"/>
        <v>-</v>
      </c>
      <c r="AU23" s="74" t="str">
        <f t="shared" si="6"/>
        <v>-</v>
      </c>
      <c r="AV23" s="74" t="str">
        <f t="shared" si="7"/>
        <v>-</v>
      </c>
      <c r="AX23" s="59" t="str">
        <f>IF(AND(D23&gt;0,AA23&gt;0),MIN(D23,AA23),"-")</f>
        <v>-</v>
      </c>
      <c r="AY23" s="59" t="str">
        <f>IF(AND(E23&gt;0,AB23&gt;0),MIN(E23,AB23),"-")</f>
        <v>-</v>
      </c>
      <c r="AZ23" s="59" t="str">
        <f>IF(AND(F23&gt;0,AC23&gt;0),MIN(F23,AC23),"-")</f>
        <v>-</v>
      </c>
      <c r="BA23" s="59" t="str">
        <f>IF(AND(G23&gt;0,AD23&gt;0),MIN(G23,AD23),"-")</f>
        <v>-</v>
      </c>
      <c r="BB23" s="59" t="str">
        <f>IF(AND(H23&gt;0,AE23&gt;0),MIN(H23,AE23),"-")</f>
        <v>-</v>
      </c>
      <c r="BC23" s="59" t="str">
        <f>IF(AND(I23&gt;0,AF23&gt;0),MIN(I23,AF23),"-")</f>
        <v>-</v>
      </c>
      <c r="BD23" s="59" t="str">
        <f>IF(AND(J23&gt;0,AG23&gt;0),MIN(J23,AG23),"-")</f>
        <v>-</v>
      </c>
      <c r="BE23" s="59" t="str">
        <f>IF(AND(K23&gt;0,AH23&gt;0),MIN(K23,AH23),"-")</f>
        <v>-</v>
      </c>
      <c r="BF23" s="59" t="str">
        <f>IF(AND(L23&gt;0,AI23&gt;0),MIN(L23,AI23),"-")</f>
        <v>-</v>
      </c>
      <c r="BG23" s="59" t="str">
        <f t="shared" si="8"/>
        <v>-</v>
      </c>
      <c r="BH23" s="59" t="str">
        <f>IF(AND(N23&gt;0,AK23&gt;0),MIN(N23,AK23),"-")</f>
        <v>-</v>
      </c>
      <c r="BI23" s="59" t="str">
        <f>IF(AND(O23&gt;0,AL23&gt;0),MIN(O23,AL23),"-")</f>
        <v>-</v>
      </c>
      <c r="BJ23" s="59" t="str">
        <f>IF(AND(P23&gt;0,AM23&gt;0),MIN(P23,AM23),"-")</f>
        <v>-</v>
      </c>
      <c r="BK23" s="59" t="str">
        <f>IF(AND(Q23&gt;0,AN23&gt;0),MIN(Q23,AN23),"-")</f>
        <v>-</v>
      </c>
      <c r="BL23" s="59" t="str">
        <f>IF(AND(R23&gt;0,AO23&gt;0),MIN(R23,AO23),"-")</f>
        <v>-</v>
      </c>
      <c r="BM23" s="59" t="str">
        <f>IF(AND(S23&gt;0,AP23&gt;0),MIN(S23,AP23),"-")</f>
        <v>-</v>
      </c>
      <c r="BN23" s="59" t="str">
        <f>IF(AND(T23&gt;0,AQ23&gt;0),MIN(T23,AQ23),"-")</f>
        <v>-</v>
      </c>
      <c r="BO23" s="59" t="str">
        <f>IF(AND(U23&gt;0,AR23&gt;0),MIN(U23,AR23),"-")</f>
        <v>-</v>
      </c>
      <c r="BP23" s="59" t="str">
        <f>IF(AND(V23&gt;0,AS23&gt;0),MIN(V23,AS23),"-")</f>
        <v>-</v>
      </c>
      <c r="BQ23" s="59" t="str">
        <f t="shared" si="9"/>
        <v>-</v>
      </c>
      <c r="BR23" s="59" t="str">
        <f t="shared" si="10"/>
        <v>-</v>
      </c>
      <c r="BS23" s="59" t="str">
        <f t="shared" si="11"/>
        <v>-</v>
      </c>
      <c r="BT23" s="98" t="str">
        <f>IF(ISNUMBER(BS23),BS23-(C23*Rules!$P$9/100),"-")</f>
        <v>-</v>
      </c>
      <c r="BU23" s="59" t="e">
        <f>RANK($BT23,$BT$5:$BT$106,1)+COUNTIF(BT$5:BT23,BT23)-1</f>
        <v>#VALUE!</v>
      </c>
      <c r="BV23" s="59" t="e">
        <f t="shared" si="12"/>
        <v>#VALUE!</v>
      </c>
      <c r="BW23" s="59" t="str">
        <f t="shared" si="13"/>
        <v xml:space="preserve"> </v>
      </c>
      <c r="BX23" s="59" t="str">
        <f t="shared" si="13"/>
        <v>-</v>
      </c>
      <c r="BY23" s="59" t="str">
        <f t="shared" si="14"/>
        <v>-</v>
      </c>
      <c r="CC23" s="4">
        <v>19</v>
      </c>
      <c r="CD23" s="2" t="e">
        <f>VLOOKUP(CC23,$BV$5:BY$215,1,FALSE)</f>
        <v>#N/A</v>
      </c>
      <c r="CE23" s="6" t="e">
        <f>VLOOKUP(CC23,$BV$5:BY$215,2,FALSE)</f>
        <v>#N/A</v>
      </c>
      <c r="CF23" s="103" t="e">
        <f>VLOOKUP(CC23,$BV$5:BY$215,4,FALSE)</f>
        <v>#N/A</v>
      </c>
      <c r="CL23" s="77">
        <v>1</v>
      </c>
    </row>
    <row r="24" spans="1:90" ht="17.45" customHeight="1">
      <c r="A24" s="58">
        <v>20</v>
      </c>
      <c r="B24" s="59" t="str">
        <f>'B Div'!A24 &amp; " " &amp; 'B Div'!B24</f>
        <v xml:space="preserve"> </v>
      </c>
      <c r="C24" s="59" t="str">
        <f>'B Div'!E24</f>
        <v>-</v>
      </c>
      <c r="D24" s="60"/>
      <c r="E24" s="60"/>
      <c r="F24" s="60"/>
      <c r="G24" s="60"/>
      <c r="H24" s="60"/>
      <c r="I24" s="60"/>
      <c r="J24" s="60"/>
      <c r="K24" s="60"/>
      <c r="L24" s="60"/>
      <c r="M24" s="74" t="str">
        <f t="shared" si="0"/>
        <v>-</v>
      </c>
      <c r="N24" s="60"/>
      <c r="O24" s="60"/>
      <c r="P24" s="60"/>
      <c r="Q24" s="60"/>
      <c r="R24" s="60"/>
      <c r="S24" s="60"/>
      <c r="T24" s="60"/>
      <c r="U24" s="60"/>
      <c r="V24" s="60"/>
      <c r="W24" s="74" t="str">
        <f t="shared" si="1"/>
        <v>-</v>
      </c>
      <c r="X24" s="74" t="str">
        <f t="shared" si="2"/>
        <v>-</v>
      </c>
      <c r="Y24" s="74" t="str">
        <f t="shared" si="3"/>
        <v>-</v>
      </c>
      <c r="AA24" s="60"/>
      <c r="AB24" s="60"/>
      <c r="AC24" s="60"/>
      <c r="AD24" s="60"/>
      <c r="AE24" s="60"/>
      <c r="AF24" s="60"/>
      <c r="AG24" s="60"/>
      <c r="AH24" s="60"/>
      <c r="AI24" s="60"/>
      <c r="AJ24" s="74" t="str">
        <f t="shared" si="4"/>
        <v>-</v>
      </c>
      <c r="AK24" s="60"/>
      <c r="AL24" s="60"/>
      <c r="AM24" s="60"/>
      <c r="AN24" s="60"/>
      <c r="AO24" s="60"/>
      <c r="AP24" s="60"/>
      <c r="AQ24" s="60"/>
      <c r="AR24" s="60"/>
      <c r="AS24" s="60"/>
      <c r="AT24" s="74" t="str">
        <f t="shared" si="5"/>
        <v>-</v>
      </c>
      <c r="AU24" s="74" t="str">
        <f t="shared" si="6"/>
        <v>-</v>
      </c>
      <c r="AV24" s="74" t="str">
        <f t="shared" si="7"/>
        <v>-</v>
      </c>
      <c r="AX24" s="59" t="str">
        <f>IF(AND(D24&gt;0,AA24&gt;0),MIN(D24,AA24),"-")</f>
        <v>-</v>
      </c>
      <c r="AY24" s="59" t="str">
        <f>IF(AND(E24&gt;0,AB24&gt;0),MIN(E24,AB24),"-")</f>
        <v>-</v>
      </c>
      <c r="AZ24" s="59" t="str">
        <f>IF(AND(F24&gt;0,AC24&gt;0),MIN(F24,AC24),"-")</f>
        <v>-</v>
      </c>
      <c r="BA24" s="59" t="str">
        <f>IF(AND(G24&gt;0,AD24&gt;0),MIN(G24,AD24),"-")</f>
        <v>-</v>
      </c>
      <c r="BB24" s="59" t="str">
        <f>IF(AND(H24&gt;0,AE24&gt;0),MIN(H24,AE24),"-")</f>
        <v>-</v>
      </c>
      <c r="BC24" s="59" t="str">
        <f>IF(AND(I24&gt;0,AF24&gt;0),MIN(I24,AF24),"-")</f>
        <v>-</v>
      </c>
      <c r="BD24" s="59" t="str">
        <f>IF(AND(J24&gt;0,AG24&gt;0),MIN(J24,AG24),"-")</f>
        <v>-</v>
      </c>
      <c r="BE24" s="59" t="str">
        <f>IF(AND(K24&gt;0,AH24&gt;0),MIN(K24,AH24),"-")</f>
        <v>-</v>
      </c>
      <c r="BF24" s="59" t="str">
        <f>IF(AND(L24&gt;0,AI24&gt;0),MIN(L24,AI24),"-")</f>
        <v>-</v>
      </c>
      <c r="BG24" s="59" t="str">
        <f t="shared" si="8"/>
        <v>-</v>
      </c>
      <c r="BH24" s="59" t="str">
        <f>IF(AND(N24&gt;0,AK24&gt;0),MIN(N24,AK24),"-")</f>
        <v>-</v>
      </c>
      <c r="BI24" s="59" t="str">
        <f>IF(AND(O24&gt;0,AL24&gt;0),MIN(O24,AL24),"-")</f>
        <v>-</v>
      </c>
      <c r="BJ24" s="59" t="str">
        <f>IF(AND(P24&gt;0,AM24&gt;0),MIN(P24,AM24),"-")</f>
        <v>-</v>
      </c>
      <c r="BK24" s="59" t="str">
        <f>IF(AND(Q24&gt;0,AN24&gt;0),MIN(Q24,AN24),"-")</f>
        <v>-</v>
      </c>
      <c r="BL24" s="59" t="str">
        <f>IF(AND(R24&gt;0,AO24&gt;0),MIN(R24,AO24),"-")</f>
        <v>-</v>
      </c>
      <c r="BM24" s="59" t="str">
        <f>IF(AND(S24&gt;0,AP24&gt;0),MIN(S24,AP24),"-")</f>
        <v>-</v>
      </c>
      <c r="BN24" s="59" t="str">
        <f>IF(AND(T24&gt;0,AQ24&gt;0),MIN(T24,AQ24),"-")</f>
        <v>-</v>
      </c>
      <c r="BO24" s="59" t="str">
        <f>IF(AND(U24&gt;0,AR24&gt;0),MIN(U24,AR24),"-")</f>
        <v>-</v>
      </c>
      <c r="BP24" s="59" t="str">
        <f>IF(AND(V24&gt;0,AS24&gt;0),MIN(V24,AS24),"-")</f>
        <v>-</v>
      </c>
      <c r="BQ24" s="59" t="str">
        <f t="shared" si="9"/>
        <v>-</v>
      </c>
      <c r="BR24" s="59" t="str">
        <f t="shared" si="10"/>
        <v>-</v>
      </c>
      <c r="BS24" s="59" t="str">
        <f t="shared" si="11"/>
        <v>-</v>
      </c>
      <c r="BT24" s="98" t="str">
        <f>IF(ISNUMBER(BS24),BS24-(C24*Rules!$P$9/100),"-")</f>
        <v>-</v>
      </c>
      <c r="BU24" s="59" t="e">
        <f>RANK($BT24,$BT$5:$BT$106,1)+COUNTIF(BT$5:BT24,BT24)-1</f>
        <v>#VALUE!</v>
      </c>
      <c r="BV24" s="59" t="e">
        <f t="shared" si="12"/>
        <v>#VALUE!</v>
      </c>
      <c r="BW24" s="59" t="str">
        <f t="shared" si="13"/>
        <v xml:space="preserve"> </v>
      </c>
      <c r="BX24" s="59" t="str">
        <f t="shared" si="13"/>
        <v>-</v>
      </c>
      <c r="BY24" s="59" t="str">
        <f t="shared" si="14"/>
        <v>-</v>
      </c>
      <c r="CC24" s="4">
        <v>20</v>
      </c>
      <c r="CD24" s="2" t="e">
        <f>VLOOKUP(CC24,$BV$5:BY$215,1,FALSE)</f>
        <v>#N/A</v>
      </c>
      <c r="CE24" s="6" t="e">
        <f>VLOOKUP(CC24,$BV$5:BY$215,2,FALSE)</f>
        <v>#N/A</v>
      </c>
      <c r="CF24" s="103" t="e">
        <f>VLOOKUP(CC24,$BV$5:BY$215,4,FALSE)</f>
        <v>#N/A</v>
      </c>
      <c r="CL24" s="77">
        <v>1</v>
      </c>
    </row>
    <row r="25" spans="1:90" ht="17.45" customHeight="1">
      <c r="A25" s="58">
        <v>21</v>
      </c>
      <c r="B25" s="59" t="str">
        <f>'B Div'!A25 &amp; " " &amp; 'B Div'!B25</f>
        <v xml:space="preserve"> </v>
      </c>
      <c r="C25" s="59" t="str">
        <f>'B Div'!E25</f>
        <v>-</v>
      </c>
      <c r="D25" s="60"/>
      <c r="E25" s="60"/>
      <c r="F25" s="60"/>
      <c r="G25" s="60"/>
      <c r="H25" s="60"/>
      <c r="I25" s="60"/>
      <c r="J25" s="60"/>
      <c r="K25" s="60"/>
      <c r="L25" s="60"/>
      <c r="M25" s="74" t="str">
        <f t="shared" si="0"/>
        <v>-</v>
      </c>
      <c r="N25" s="60"/>
      <c r="O25" s="60"/>
      <c r="P25" s="60"/>
      <c r="Q25" s="60"/>
      <c r="R25" s="60"/>
      <c r="S25" s="60"/>
      <c r="T25" s="60"/>
      <c r="U25" s="60"/>
      <c r="V25" s="60"/>
      <c r="W25" s="74" t="str">
        <f t="shared" si="1"/>
        <v>-</v>
      </c>
      <c r="X25" s="74" t="str">
        <f t="shared" si="2"/>
        <v>-</v>
      </c>
      <c r="Y25" s="74" t="str">
        <f t="shared" si="3"/>
        <v>-</v>
      </c>
      <c r="AA25" s="60"/>
      <c r="AB25" s="60"/>
      <c r="AC25" s="60"/>
      <c r="AD25" s="60"/>
      <c r="AE25" s="60"/>
      <c r="AF25" s="60"/>
      <c r="AG25" s="60"/>
      <c r="AH25" s="60"/>
      <c r="AI25" s="60"/>
      <c r="AJ25" s="74" t="str">
        <f t="shared" si="4"/>
        <v>-</v>
      </c>
      <c r="AK25" s="60"/>
      <c r="AL25" s="60"/>
      <c r="AM25" s="60"/>
      <c r="AN25" s="60"/>
      <c r="AO25" s="60"/>
      <c r="AP25" s="60"/>
      <c r="AQ25" s="60"/>
      <c r="AR25" s="60"/>
      <c r="AS25" s="60"/>
      <c r="AT25" s="74" t="str">
        <f t="shared" si="5"/>
        <v>-</v>
      </c>
      <c r="AU25" s="74" t="str">
        <f t="shared" si="6"/>
        <v>-</v>
      </c>
      <c r="AV25" s="74" t="str">
        <f t="shared" si="7"/>
        <v>-</v>
      </c>
      <c r="AX25" s="59" t="str">
        <f>IF(AND(D25&gt;0,AA25&gt;0),MIN(D25,AA25),"-")</f>
        <v>-</v>
      </c>
      <c r="AY25" s="59" t="str">
        <f>IF(AND(E25&gt;0,AB25&gt;0),MIN(E25,AB25),"-")</f>
        <v>-</v>
      </c>
      <c r="AZ25" s="59" t="str">
        <f>IF(AND(F25&gt;0,AC25&gt;0),MIN(F25,AC25),"-")</f>
        <v>-</v>
      </c>
      <c r="BA25" s="59" t="str">
        <f>IF(AND(G25&gt;0,AD25&gt;0),MIN(G25,AD25),"-")</f>
        <v>-</v>
      </c>
      <c r="BB25" s="59" t="str">
        <f>IF(AND(H25&gt;0,AE25&gt;0),MIN(H25,AE25),"-")</f>
        <v>-</v>
      </c>
      <c r="BC25" s="59" t="str">
        <f>IF(AND(I25&gt;0,AF25&gt;0),MIN(I25,AF25),"-")</f>
        <v>-</v>
      </c>
      <c r="BD25" s="59" t="str">
        <f>IF(AND(J25&gt;0,AG25&gt;0),MIN(J25,AG25),"-")</f>
        <v>-</v>
      </c>
      <c r="BE25" s="59" t="str">
        <f>IF(AND(K25&gt;0,AH25&gt;0),MIN(K25,AH25),"-")</f>
        <v>-</v>
      </c>
      <c r="BF25" s="59" t="str">
        <f>IF(AND(L25&gt;0,AI25&gt;0),MIN(L25,AI25),"-")</f>
        <v>-</v>
      </c>
      <c r="BG25" s="59" t="str">
        <f t="shared" si="8"/>
        <v>-</v>
      </c>
      <c r="BH25" s="59" t="str">
        <f>IF(AND(N25&gt;0,AK25&gt;0),MIN(N25,AK25),"-")</f>
        <v>-</v>
      </c>
      <c r="BI25" s="59" t="str">
        <f>IF(AND(O25&gt;0,AL25&gt;0),MIN(O25,AL25),"-")</f>
        <v>-</v>
      </c>
      <c r="BJ25" s="59" t="str">
        <f>IF(AND(P25&gt;0,AM25&gt;0),MIN(P25,AM25),"-")</f>
        <v>-</v>
      </c>
      <c r="BK25" s="59" t="str">
        <f>IF(AND(Q25&gt;0,AN25&gt;0),MIN(Q25,AN25),"-")</f>
        <v>-</v>
      </c>
      <c r="BL25" s="59" t="str">
        <f>IF(AND(R25&gt;0,AO25&gt;0),MIN(R25,AO25),"-")</f>
        <v>-</v>
      </c>
      <c r="BM25" s="59" t="str">
        <f>IF(AND(S25&gt;0,AP25&gt;0),MIN(S25,AP25),"-")</f>
        <v>-</v>
      </c>
      <c r="BN25" s="59" t="str">
        <f>IF(AND(T25&gt;0,AQ25&gt;0),MIN(T25,AQ25),"-")</f>
        <v>-</v>
      </c>
      <c r="BO25" s="59" t="str">
        <f>IF(AND(U25&gt;0,AR25&gt;0),MIN(U25,AR25),"-")</f>
        <v>-</v>
      </c>
      <c r="BP25" s="59" t="str">
        <f>IF(AND(V25&gt;0,AS25&gt;0),MIN(V25,AS25),"-")</f>
        <v>-</v>
      </c>
      <c r="BQ25" s="59" t="str">
        <f t="shared" si="9"/>
        <v>-</v>
      </c>
      <c r="BR25" s="59" t="str">
        <f t="shared" si="10"/>
        <v>-</v>
      </c>
      <c r="BS25" s="59" t="str">
        <f t="shared" si="11"/>
        <v>-</v>
      </c>
      <c r="BT25" s="98" t="str">
        <f>IF(ISNUMBER(BS25),BS25-(C25*Rules!$P$9/100),"-")</f>
        <v>-</v>
      </c>
      <c r="BU25" s="59" t="e">
        <f>RANK($BT25,$BT$5:$BT$106,1)+COUNTIF(BT$5:BT25,BT25)-1</f>
        <v>#VALUE!</v>
      </c>
      <c r="BV25" s="59" t="e">
        <f t="shared" si="12"/>
        <v>#VALUE!</v>
      </c>
      <c r="BW25" s="59" t="str">
        <f t="shared" si="13"/>
        <v xml:space="preserve"> </v>
      </c>
      <c r="BX25" s="59" t="str">
        <f t="shared" si="13"/>
        <v>-</v>
      </c>
      <c r="BY25" s="59" t="str">
        <f t="shared" si="14"/>
        <v>-</v>
      </c>
      <c r="CC25" s="4">
        <v>21</v>
      </c>
      <c r="CD25" s="2" t="e">
        <f>VLOOKUP(CC25,$BV$5:BY$215,1,FALSE)</f>
        <v>#N/A</v>
      </c>
      <c r="CE25" s="6" t="e">
        <f>VLOOKUP(CC25,$BV$5:BY$215,2,FALSE)</f>
        <v>#N/A</v>
      </c>
      <c r="CF25" s="103" t="e">
        <f>VLOOKUP(CC25,$BV$5:BY$215,4,FALSE)</f>
        <v>#N/A</v>
      </c>
      <c r="CL25" s="77">
        <v>1</v>
      </c>
    </row>
    <row r="26" spans="1:90" ht="17.45" customHeight="1">
      <c r="A26" s="58">
        <v>22</v>
      </c>
      <c r="B26" s="59" t="str">
        <f>'B Div'!A26 &amp; " " &amp; 'B Div'!B26</f>
        <v xml:space="preserve"> </v>
      </c>
      <c r="C26" s="59" t="str">
        <f>'B Div'!E26</f>
        <v>-</v>
      </c>
      <c r="D26" s="60"/>
      <c r="E26" s="60"/>
      <c r="F26" s="60"/>
      <c r="G26" s="60"/>
      <c r="H26" s="60"/>
      <c r="I26" s="60"/>
      <c r="J26" s="60"/>
      <c r="K26" s="60"/>
      <c r="L26" s="60"/>
      <c r="M26" s="74" t="str">
        <f t="shared" si="0"/>
        <v>-</v>
      </c>
      <c r="N26" s="60"/>
      <c r="O26" s="60"/>
      <c r="P26" s="60"/>
      <c r="Q26" s="60"/>
      <c r="R26" s="60"/>
      <c r="S26" s="60"/>
      <c r="T26" s="60"/>
      <c r="U26" s="60"/>
      <c r="V26" s="60"/>
      <c r="W26" s="74" t="str">
        <f t="shared" si="1"/>
        <v>-</v>
      </c>
      <c r="X26" s="74" t="str">
        <f t="shared" si="2"/>
        <v>-</v>
      </c>
      <c r="Y26" s="74" t="str">
        <f t="shared" si="3"/>
        <v>-</v>
      </c>
      <c r="AA26" s="60"/>
      <c r="AB26" s="60"/>
      <c r="AC26" s="60"/>
      <c r="AD26" s="60"/>
      <c r="AE26" s="60"/>
      <c r="AF26" s="60"/>
      <c r="AG26" s="60"/>
      <c r="AH26" s="60"/>
      <c r="AI26" s="60"/>
      <c r="AJ26" s="74" t="str">
        <f t="shared" si="4"/>
        <v>-</v>
      </c>
      <c r="AK26" s="60"/>
      <c r="AL26" s="60"/>
      <c r="AM26" s="60"/>
      <c r="AN26" s="60"/>
      <c r="AO26" s="60"/>
      <c r="AP26" s="60"/>
      <c r="AQ26" s="60"/>
      <c r="AR26" s="60"/>
      <c r="AS26" s="60"/>
      <c r="AT26" s="74" t="str">
        <f t="shared" si="5"/>
        <v>-</v>
      </c>
      <c r="AU26" s="74" t="str">
        <f t="shared" si="6"/>
        <v>-</v>
      </c>
      <c r="AV26" s="74" t="str">
        <f t="shared" si="7"/>
        <v>-</v>
      </c>
      <c r="AX26" s="59" t="str">
        <f>IF(AND(D26&gt;0,AA26&gt;0),MIN(D26,AA26),"-")</f>
        <v>-</v>
      </c>
      <c r="AY26" s="59" t="str">
        <f>IF(AND(E26&gt;0,AB26&gt;0),MIN(E26,AB26),"-")</f>
        <v>-</v>
      </c>
      <c r="AZ26" s="59" t="str">
        <f>IF(AND(F26&gt;0,AC26&gt;0),MIN(F26,AC26),"-")</f>
        <v>-</v>
      </c>
      <c r="BA26" s="59" t="str">
        <f>IF(AND(G26&gt;0,AD26&gt;0),MIN(G26,AD26),"-")</f>
        <v>-</v>
      </c>
      <c r="BB26" s="59" t="str">
        <f>IF(AND(H26&gt;0,AE26&gt;0),MIN(H26,AE26),"-")</f>
        <v>-</v>
      </c>
      <c r="BC26" s="59" t="str">
        <f>IF(AND(I26&gt;0,AF26&gt;0),MIN(I26,AF26),"-")</f>
        <v>-</v>
      </c>
      <c r="BD26" s="59" t="str">
        <f>IF(AND(J26&gt;0,AG26&gt;0),MIN(J26,AG26),"-")</f>
        <v>-</v>
      </c>
      <c r="BE26" s="59" t="str">
        <f>IF(AND(K26&gt;0,AH26&gt;0),MIN(K26,AH26),"-")</f>
        <v>-</v>
      </c>
      <c r="BF26" s="59" t="str">
        <f>IF(AND(L26&gt;0,AI26&gt;0),MIN(L26,AI26),"-")</f>
        <v>-</v>
      </c>
      <c r="BG26" s="59" t="str">
        <f t="shared" si="8"/>
        <v>-</v>
      </c>
      <c r="BH26" s="59" t="str">
        <f>IF(AND(N26&gt;0,AK26&gt;0),MIN(N26,AK26),"-")</f>
        <v>-</v>
      </c>
      <c r="BI26" s="59" t="str">
        <f>IF(AND(O26&gt;0,AL26&gt;0),MIN(O26,AL26),"-")</f>
        <v>-</v>
      </c>
      <c r="BJ26" s="59" t="str">
        <f>IF(AND(P26&gt;0,AM26&gt;0),MIN(P26,AM26),"-")</f>
        <v>-</v>
      </c>
      <c r="BK26" s="59" t="str">
        <f>IF(AND(Q26&gt;0,AN26&gt;0),MIN(Q26,AN26),"-")</f>
        <v>-</v>
      </c>
      <c r="BL26" s="59" t="str">
        <f>IF(AND(R26&gt;0,AO26&gt;0),MIN(R26,AO26),"-")</f>
        <v>-</v>
      </c>
      <c r="BM26" s="59" t="str">
        <f>IF(AND(S26&gt;0,AP26&gt;0),MIN(S26,AP26),"-")</f>
        <v>-</v>
      </c>
      <c r="BN26" s="59" t="str">
        <f>IF(AND(T26&gt;0,AQ26&gt;0),MIN(T26,AQ26),"-")</f>
        <v>-</v>
      </c>
      <c r="BO26" s="59" t="str">
        <f>IF(AND(U26&gt;0,AR26&gt;0),MIN(U26,AR26),"-")</f>
        <v>-</v>
      </c>
      <c r="BP26" s="59" t="str">
        <f>IF(AND(V26&gt;0,AS26&gt;0),MIN(V26,AS26),"-")</f>
        <v>-</v>
      </c>
      <c r="BQ26" s="59" t="str">
        <f t="shared" si="9"/>
        <v>-</v>
      </c>
      <c r="BR26" s="59" t="str">
        <f t="shared" si="10"/>
        <v>-</v>
      </c>
      <c r="BS26" s="59" t="str">
        <f t="shared" si="11"/>
        <v>-</v>
      </c>
      <c r="BT26" s="98" t="str">
        <f>IF(ISNUMBER(BS26),BS26-(C26*Rules!$P$9/100),"-")</f>
        <v>-</v>
      </c>
      <c r="BU26" s="59" t="e">
        <f>RANK($BT26,$BT$5:$BT$106,1)+COUNTIF(BT$5:BT26,BT26)-1</f>
        <v>#VALUE!</v>
      </c>
      <c r="BV26" s="59" t="e">
        <f t="shared" si="12"/>
        <v>#VALUE!</v>
      </c>
      <c r="BW26" s="59" t="str">
        <f t="shared" si="13"/>
        <v xml:space="preserve"> </v>
      </c>
      <c r="BX26" s="59" t="str">
        <f t="shared" si="13"/>
        <v>-</v>
      </c>
      <c r="BY26" s="59" t="str">
        <f t="shared" si="14"/>
        <v>-</v>
      </c>
      <c r="CC26" s="4">
        <v>22</v>
      </c>
      <c r="CD26" s="2" t="e">
        <f>VLOOKUP(CC26,$BV$5:BY$215,1,FALSE)</f>
        <v>#N/A</v>
      </c>
      <c r="CE26" s="6" t="e">
        <f>VLOOKUP(CC26,$BV$5:BY$215,2,FALSE)</f>
        <v>#N/A</v>
      </c>
      <c r="CF26" s="103" t="e">
        <f>VLOOKUP(CC26,$BV$5:BY$215,4,FALSE)</f>
        <v>#N/A</v>
      </c>
      <c r="CL26" s="77">
        <v>1</v>
      </c>
    </row>
    <row r="27" spans="1:90" ht="17.45" customHeight="1">
      <c r="A27" s="58">
        <v>23</v>
      </c>
      <c r="B27" s="59" t="str">
        <f>'B Div'!A27 &amp; " " &amp; 'B Div'!B27</f>
        <v xml:space="preserve"> </v>
      </c>
      <c r="C27" s="59" t="str">
        <f>'B Div'!E27</f>
        <v>-</v>
      </c>
      <c r="D27" s="60"/>
      <c r="E27" s="60"/>
      <c r="F27" s="60"/>
      <c r="G27" s="60"/>
      <c r="H27" s="60"/>
      <c r="I27" s="60"/>
      <c r="J27" s="60"/>
      <c r="K27" s="60"/>
      <c r="L27" s="60"/>
      <c r="M27" s="74" t="str">
        <f t="shared" si="0"/>
        <v>-</v>
      </c>
      <c r="N27" s="60"/>
      <c r="O27" s="60"/>
      <c r="P27" s="60"/>
      <c r="Q27" s="60"/>
      <c r="R27" s="60"/>
      <c r="S27" s="60"/>
      <c r="T27" s="60"/>
      <c r="U27" s="60"/>
      <c r="V27" s="60"/>
      <c r="W27" s="74" t="str">
        <f t="shared" si="1"/>
        <v>-</v>
      </c>
      <c r="X27" s="74" t="str">
        <f t="shared" si="2"/>
        <v>-</v>
      </c>
      <c r="Y27" s="74" t="str">
        <f t="shared" si="3"/>
        <v>-</v>
      </c>
      <c r="AA27" s="60"/>
      <c r="AB27" s="60"/>
      <c r="AC27" s="60"/>
      <c r="AD27" s="60"/>
      <c r="AE27" s="60"/>
      <c r="AF27" s="60"/>
      <c r="AG27" s="60"/>
      <c r="AH27" s="60"/>
      <c r="AI27" s="60"/>
      <c r="AJ27" s="74" t="str">
        <f t="shared" si="4"/>
        <v>-</v>
      </c>
      <c r="AK27" s="60"/>
      <c r="AL27" s="60"/>
      <c r="AM27" s="60"/>
      <c r="AN27" s="60"/>
      <c r="AO27" s="60"/>
      <c r="AP27" s="60"/>
      <c r="AQ27" s="60"/>
      <c r="AR27" s="60"/>
      <c r="AS27" s="60"/>
      <c r="AT27" s="74" t="str">
        <f t="shared" si="5"/>
        <v>-</v>
      </c>
      <c r="AU27" s="74" t="str">
        <f t="shared" si="6"/>
        <v>-</v>
      </c>
      <c r="AV27" s="74" t="str">
        <f t="shared" si="7"/>
        <v>-</v>
      </c>
      <c r="AX27" s="59" t="str">
        <f>IF(AND(D27&gt;0,AA27&gt;0),MIN(D27,AA27),"-")</f>
        <v>-</v>
      </c>
      <c r="AY27" s="59" t="str">
        <f>IF(AND(E27&gt;0,AB27&gt;0),MIN(E27,AB27),"-")</f>
        <v>-</v>
      </c>
      <c r="AZ27" s="59" t="str">
        <f>IF(AND(F27&gt;0,AC27&gt;0),MIN(F27,AC27),"-")</f>
        <v>-</v>
      </c>
      <c r="BA27" s="59" t="str">
        <f>IF(AND(G27&gt;0,AD27&gt;0),MIN(G27,AD27),"-")</f>
        <v>-</v>
      </c>
      <c r="BB27" s="59" t="str">
        <f>IF(AND(H27&gt;0,AE27&gt;0),MIN(H27,AE27),"-")</f>
        <v>-</v>
      </c>
      <c r="BC27" s="59" t="str">
        <f>IF(AND(I27&gt;0,AF27&gt;0),MIN(I27,AF27),"-")</f>
        <v>-</v>
      </c>
      <c r="BD27" s="59" t="str">
        <f>IF(AND(J27&gt;0,AG27&gt;0),MIN(J27,AG27),"-")</f>
        <v>-</v>
      </c>
      <c r="BE27" s="59" t="str">
        <f>IF(AND(K27&gt;0,AH27&gt;0),MIN(K27,AH27),"-")</f>
        <v>-</v>
      </c>
      <c r="BF27" s="59" t="str">
        <f>IF(AND(L27&gt;0,AI27&gt;0),MIN(L27,AI27),"-")</f>
        <v>-</v>
      </c>
      <c r="BG27" s="59" t="str">
        <f t="shared" si="8"/>
        <v>-</v>
      </c>
      <c r="BH27" s="59" t="str">
        <f>IF(AND(N27&gt;0,AK27&gt;0),MIN(N27,AK27),"-")</f>
        <v>-</v>
      </c>
      <c r="BI27" s="59" t="str">
        <f>IF(AND(O27&gt;0,AL27&gt;0),MIN(O27,AL27),"-")</f>
        <v>-</v>
      </c>
      <c r="BJ27" s="59" t="str">
        <f>IF(AND(P27&gt;0,AM27&gt;0),MIN(P27,AM27),"-")</f>
        <v>-</v>
      </c>
      <c r="BK27" s="59" t="str">
        <f>IF(AND(Q27&gt;0,AN27&gt;0),MIN(Q27,AN27),"-")</f>
        <v>-</v>
      </c>
      <c r="BL27" s="59" t="str">
        <f>IF(AND(R27&gt;0,AO27&gt;0),MIN(R27,AO27),"-")</f>
        <v>-</v>
      </c>
      <c r="BM27" s="59" t="str">
        <f>IF(AND(S27&gt;0,AP27&gt;0),MIN(S27,AP27),"-")</f>
        <v>-</v>
      </c>
      <c r="BN27" s="59" t="str">
        <f>IF(AND(T27&gt;0,AQ27&gt;0),MIN(T27,AQ27),"-")</f>
        <v>-</v>
      </c>
      <c r="BO27" s="59" t="str">
        <f>IF(AND(U27&gt;0,AR27&gt;0),MIN(U27,AR27),"-")</f>
        <v>-</v>
      </c>
      <c r="BP27" s="59" t="str">
        <f>IF(AND(V27&gt;0,AS27&gt;0),MIN(V27,AS27),"-")</f>
        <v>-</v>
      </c>
      <c r="BQ27" s="59" t="str">
        <f t="shared" si="9"/>
        <v>-</v>
      </c>
      <c r="BR27" s="59" t="str">
        <f t="shared" si="10"/>
        <v>-</v>
      </c>
      <c r="BS27" s="59" t="str">
        <f t="shared" si="11"/>
        <v>-</v>
      </c>
      <c r="BT27" s="98" t="str">
        <f>IF(ISNUMBER(BS27),BS27-(C27*Rules!$P$9/100),"-")</f>
        <v>-</v>
      </c>
      <c r="BU27" s="59" t="e">
        <f>RANK($BT27,$BT$5:$BT$106,1)+COUNTIF(BT$5:BT27,BT27)-1</f>
        <v>#VALUE!</v>
      </c>
      <c r="BV27" s="59" t="e">
        <f t="shared" si="12"/>
        <v>#VALUE!</v>
      </c>
      <c r="BW27" s="59" t="str">
        <f t="shared" si="13"/>
        <v xml:space="preserve"> </v>
      </c>
      <c r="BX27" s="59" t="str">
        <f t="shared" si="13"/>
        <v>-</v>
      </c>
      <c r="BY27" s="59" t="str">
        <f t="shared" si="14"/>
        <v>-</v>
      </c>
      <c r="CC27" s="4">
        <v>23</v>
      </c>
      <c r="CD27" s="2" t="e">
        <f>VLOOKUP(CC27,$BV$5:BY$215,1,FALSE)</f>
        <v>#N/A</v>
      </c>
      <c r="CE27" s="6" t="e">
        <f>VLOOKUP(CC27,$BV$5:BY$215,2,FALSE)</f>
        <v>#N/A</v>
      </c>
      <c r="CF27" s="103" t="e">
        <f>VLOOKUP(CC27,$BV$5:BY$215,4,FALSE)</f>
        <v>#N/A</v>
      </c>
      <c r="CL27" s="77">
        <v>1</v>
      </c>
    </row>
    <row r="28" spans="1:90" ht="17.45" customHeight="1">
      <c r="A28" s="58">
        <v>24</v>
      </c>
      <c r="B28" s="59" t="str">
        <f>'B Div'!A28 &amp; " " &amp; 'B Div'!B28</f>
        <v xml:space="preserve"> </v>
      </c>
      <c r="C28" s="59" t="str">
        <f>'B Div'!E28</f>
        <v>-</v>
      </c>
      <c r="D28" s="60"/>
      <c r="E28" s="60"/>
      <c r="F28" s="60"/>
      <c r="G28" s="60"/>
      <c r="H28" s="60"/>
      <c r="I28" s="60"/>
      <c r="J28" s="60"/>
      <c r="K28" s="60"/>
      <c r="L28" s="60"/>
      <c r="M28" s="74" t="str">
        <f t="shared" si="0"/>
        <v>-</v>
      </c>
      <c r="N28" s="60"/>
      <c r="O28" s="60"/>
      <c r="P28" s="60"/>
      <c r="Q28" s="60"/>
      <c r="R28" s="60"/>
      <c r="S28" s="60"/>
      <c r="T28" s="60"/>
      <c r="U28" s="60"/>
      <c r="V28" s="60"/>
      <c r="W28" s="74" t="str">
        <f t="shared" si="1"/>
        <v>-</v>
      </c>
      <c r="X28" s="74" t="str">
        <f t="shared" si="2"/>
        <v>-</v>
      </c>
      <c r="Y28" s="74" t="str">
        <f t="shared" si="3"/>
        <v>-</v>
      </c>
      <c r="AA28" s="60"/>
      <c r="AB28" s="60"/>
      <c r="AC28" s="60"/>
      <c r="AD28" s="60"/>
      <c r="AE28" s="60"/>
      <c r="AF28" s="60"/>
      <c r="AG28" s="60"/>
      <c r="AH28" s="60"/>
      <c r="AI28" s="60"/>
      <c r="AJ28" s="74" t="str">
        <f t="shared" si="4"/>
        <v>-</v>
      </c>
      <c r="AK28" s="60"/>
      <c r="AL28" s="60"/>
      <c r="AM28" s="60"/>
      <c r="AN28" s="60"/>
      <c r="AO28" s="60"/>
      <c r="AP28" s="60"/>
      <c r="AQ28" s="60"/>
      <c r="AR28" s="60"/>
      <c r="AS28" s="60"/>
      <c r="AT28" s="74" t="str">
        <f t="shared" si="5"/>
        <v>-</v>
      </c>
      <c r="AU28" s="74" t="str">
        <f t="shared" si="6"/>
        <v>-</v>
      </c>
      <c r="AV28" s="74" t="str">
        <f t="shared" si="7"/>
        <v>-</v>
      </c>
      <c r="AX28" s="59" t="str">
        <f>IF(AND(D28&gt;0,AA28&gt;0),MIN(D28,AA28),"-")</f>
        <v>-</v>
      </c>
      <c r="AY28" s="59" t="str">
        <f>IF(AND(E28&gt;0,AB28&gt;0),MIN(E28,AB28),"-")</f>
        <v>-</v>
      </c>
      <c r="AZ28" s="59" t="str">
        <f>IF(AND(F28&gt;0,AC28&gt;0),MIN(F28,AC28),"-")</f>
        <v>-</v>
      </c>
      <c r="BA28" s="59" t="str">
        <f>IF(AND(G28&gt;0,AD28&gt;0),MIN(G28,AD28),"-")</f>
        <v>-</v>
      </c>
      <c r="BB28" s="59" t="str">
        <f>IF(AND(H28&gt;0,AE28&gt;0),MIN(H28,AE28),"-")</f>
        <v>-</v>
      </c>
      <c r="BC28" s="59" t="str">
        <f>IF(AND(I28&gt;0,AF28&gt;0),MIN(I28,AF28),"-")</f>
        <v>-</v>
      </c>
      <c r="BD28" s="59" t="str">
        <f>IF(AND(J28&gt;0,AG28&gt;0),MIN(J28,AG28),"-")</f>
        <v>-</v>
      </c>
      <c r="BE28" s="59" t="str">
        <f>IF(AND(K28&gt;0,AH28&gt;0),MIN(K28,AH28),"-")</f>
        <v>-</v>
      </c>
      <c r="BF28" s="59" t="str">
        <f>IF(AND(L28&gt;0,AI28&gt;0),MIN(L28,AI28),"-")</f>
        <v>-</v>
      </c>
      <c r="BG28" s="59" t="str">
        <f t="shared" si="8"/>
        <v>-</v>
      </c>
      <c r="BH28" s="59" t="str">
        <f>IF(AND(N28&gt;0,AK28&gt;0),MIN(N28,AK28),"-")</f>
        <v>-</v>
      </c>
      <c r="BI28" s="59" t="str">
        <f>IF(AND(O28&gt;0,AL28&gt;0),MIN(O28,AL28),"-")</f>
        <v>-</v>
      </c>
      <c r="BJ28" s="59" t="str">
        <f>IF(AND(P28&gt;0,AM28&gt;0),MIN(P28,AM28),"-")</f>
        <v>-</v>
      </c>
      <c r="BK28" s="59" t="str">
        <f>IF(AND(Q28&gt;0,AN28&gt;0),MIN(Q28,AN28),"-")</f>
        <v>-</v>
      </c>
      <c r="BL28" s="59" t="str">
        <f>IF(AND(R28&gt;0,AO28&gt;0),MIN(R28,AO28),"-")</f>
        <v>-</v>
      </c>
      <c r="BM28" s="59" t="str">
        <f>IF(AND(S28&gt;0,AP28&gt;0),MIN(S28,AP28),"-")</f>
        <v>-</v>
      </c>
      <c r="BN28" s="59" t="str">
        <f>IF(AND(T28&gt;0,AQ28&gt;0),MIN(T28,AQ28),"-")</f>
        <v>-</v>
      </c>
      <c r="BO28" s="59" t="str">
        <f>IF(AND(U28&gt;0,AR28&gt;0),MIN(U28,AR28),"-")</f>
        <v>-</v>
      </c>
      <c r="BP28" s="59" t="str">
        <f>IF(AND(V28&gt;0,AS28&gt;0),MIN(V28,AS28),"-")</f>
        <v>-</v>
      </c>
      <c r="BQ28" s="59" t="str">
        <f t="shared" si="9"/>
        <v>-</v>
      </c>
      <c r="BR28" s="59" t="str">
        <f t="shared" si="10"/>
        <v>-</v>
      </c>
      <c r="BS28" s="59" t="str">
        <f t="shared" si="11"/>
        <v>-</v>
      </c>
      <c r="BT28" s="98" t="str">
        <f>IF(ISNUMBER(BS28),BS28-(C28*Rules!$P$9/100),"-")</f>
        <v>-</v>
      </c>
      <c r="BU28" s="59" t="e">
        <f>RANK($BT28,$BT$5:$BT$106,1)+COUNTIF(BT$5:BT28,BT28)-1</f>
        <v>#VALUE!</v>
      </c>
      <c r="BV28" s="59" t="e">
        <f t="shared" si="12"/>
        <v>#VALUE!</v>
      </c>
      <c r="BW28" s="59" t="str">
        <f t="shared" si="13"/>
        <v xml:space="preserve"> </v>
      </c>
      <c r="BX28" s="59" t="str">
        <f t="shared" si="13"/>
        <v>-</v>
      </c>
      <c r="BY28" s="59" t="str">
        <f t="shared" si="14"/>
        <v>-</v>
      </c>
      <c r="CC28" s="4">
        <v>24</v>
      </c>
      <c r="CD28" s="2" t="e">
        <f>VLOOKUP(CC28,$BV$5:BY$215,1,FALSE)</f>
        <v>#N/A</v>
      </c>
      <c r="CE28" s="6" t="e">
        <f>VLOOKUP(CC28,$BV$5:BY$215,2,FALSE)</f>
        <v>#N/A</v>
      </c>
      <c r="CF28" s="103" t="e">
        <f>VLOOKUP(CC28,$BV$5:BY$215,4,FALSE)</f>
        <v>#N/A</v>
      </c>
      <c r="CL28" s="77">
        <v>1</v>
      </c>
    </row>
    <row r="29" spans="1:90" ht="17.45" customHeight="1">
      <c r="A29" s="58">
        <v>25</v>
      </c>
      <c r="B29" s="59" t="str">
        <f>'B Div'!A29 &amp; " " &amp; 'B Div'!B29</f>
        <v xml:space="preserve"> </v>
      </c>
      <c r="C29" s="59" t="str">
        <f>'B Div'!E29</f>
        <v>-</v>
      </c>
      <c r="D29" s="60"/>
      <c r="E29" s="60"/>
      <c r="F29" s="60"/>
      <c r="G29" s="60"/>
      <c r="H29" s="60"/>
      <c r="I29" s="60"/>
      <c r="J29" s="60"/>
      <c r="K29" s="60"/>
      <c r="L29" s="60"/>
      <c r="M29" s="74" t="str">
        <f t="shared" si="0"/>
        <v>-</v>
      </c>
      <c r="N29" s="60"/>
      <c r="O29" s="60"/>
      <c r="P29" s="60"/>
      <c r="Q29" s="60"/>
      <c r="R29" s="60"/>
      <c r="S29" s="60"/>
      <c r="T29" s="60"/>
      <c r="U29" s="60"/>
      <c r="V29" s="60"/>
      <c r="W29" s="74" t="str">
        <f t="shared" si="1"/>
        <v>-</v>
      </c>
      <c r="X29" s="74" t="str">
        <f t="shared" si="2"/>
        <v>-</v>
      </c>
      <c r="Y29" s="74" t="str">
        <f t="shared" si="3"/>
        <v>-</v>
      </c>
      <c r="AA29" s="60"/>
      <c r="AB29" s="60"/>
      <c r="AC29" s="60"/>
      <c r="AD29" s="60"/>
      <c r="AE29" s="60"/>
      <c r="AF29" s="60"/>
      <c r="AG29" s="60"/>
      <c r="AH29" s="60"/>
      <c r="AI29" s="60"/>
      <c r="AJ29" s="74" t="str">
        <f t="shared" si="4"/>
        <v>-</v>
      </c>
      <c r="AK29" s="60"/>
      <c r="AL29" s="60"/>
      <c r="AM29" s="60"/>
      <c r="AN29" s="60"/>
      <c r="AO29" s="60"/>
      <c r="AP29" s="60"/>
      <c r="AQ29" s="60"/>
      <c r="AR29" s="60"/>
      <c r="AS29" s="60"/>
      <c r="AT29" s="74" t="str">
        <f t="shared" si="5"/>
        <v>-</v>
      </c>
      <c r="AU29" s="74" t="str">
        <f t="shared" si="6"/>
        <v>-</v>
      </c>
      <c r="AV29" s="74" t="str">
        <f t="shared" si="7"/>
        <v>-</v>
      </c>
      <c r="AX29" s="59" t="str">
        <f>IF(AND(D29&gt;0,AA29&gt;0),MIN(D29,AA29),"-")</f>
        <v>-</v>
      </c>
      <c r="AY29" s="59" t="str">
        <f>IF(AND(E29&gt;0,AB29&gt;0),MIN(E29,AB29),"-")</f>
        <v>-</v>
      </c>
      <c r="AZ29" s="59" t="str">
        <f>IF(AND(F29&gt;0,AC29&gt;0),MIN(F29,AC29),"-")</f>
        <v>-</v>
      </c>
      <c r="BA29" s="59" t="str">
        <f>IF(AND(G29&gt;0,AD29&gt;0),MIN(G29,AD29),"-")</f>
        <v>-</v>
      </c>
      <c r="BB29" s="59" t="str">
        <f>IF(AND(H29&gt;0,AE29&gt;0),MIN(H29,AE29),"-")</f>
        <v>-</v>
      </c>
      <c r="BC29" s="59" t="str">
        <f>IF(AND(I29&gt;0,AF29&gt;0),MIN(I29,AF29),"-")</f>
        <v>-</v>
      </c>
      <c r="BD29" s="59" t="str">
        <f>IF(AND(J29&gt;0,AG29&gt;0),MIN(J29,AG29),"-")</f>
        <v>-</v>
      </c>
      <c r="BE29" s="59" t="str">
        <f>IF(AND(K29&gt;0,AH29&gt;0),MIN(K29,AH29),"-")</f>
        <v>-</v>
      </c>
      <c r="BF29" s="59" t="str">
        <f>IF(AND(L29&gt;0,AI29&gt;0),MIN(L29,AI29),"-")</f>
        <v>-</v>
      </c>
      <c r="BG29" s="59" t="str">
        <f t="shared" si="8"/>
        <v>-</v>
      </c>
      <c r="BH29" s="59" t="str">
        <f>IF(AND(N29&gt;0,AK29&gt;0),MIN(N29,AK29),"-")</f>
        <v>-</v>
      </c>
      <c r="BI29" s="59" t="str">
        <f>IF(AND(O29&gt;0,AL29&gt;0),MIN(O29,AL29),"-")</f>
        <v>-</v>
      </c>
      <c r="BJ29" s="59" t="str">
        <f>IF(AND(P29&gt;0,AM29&gt;0),MIN(P29,AM29),"-")</f>
        <v>-</v>
      </c>
      <c r="BK29" s="59" t="str">
        <f>IF(AND(Q29&gt;0,AN29&gt;0),MIN(Q29,AN29),"-")</f>
        <v>-</v>
      </c>
      <c r="BL29" s="59" t="str">
        <f>IF(AND(R29&gt;0,AO29&gt;0),MIN(R29,AO29),"-")</f>
        <v>-</v>
      </c>
      <c r="BM29" s="59" t="str">
        <f>IF(AND(S29&gt;0,AP29&gt;0),MIN(S29,AP29),"-")</f>
        <v>-</v>
      </c>
      <c r="BN29" s="59" t="str">
        <f>IF(AND(T29&gt;0,AQ29&gt;0),MIN(T29,AQ29),"-")</f>
        <v>-</v>
      </c>
      <c r="BO29" s="59" t="str">
        <f>IF(AND(U29&gt;0,AR29&gt;0),MIN(U29,AR29),"-")</f>
        <v>-</v>
      </c>
      <c r="BP29" s="59" t="str">
        <f>IF(AND(V29&gt;0,AS29&gt;0),MIN(V29,AS29),"-")</f>
        <v>-</v>
      </c>
      <c r="BQ29" s="59" t="str">
        <f t="shared" si="9"/>
        <v>-</v>
      </c>
      <c r="BR29" s="59" t="str">
        <f t="shared" si="10"/>
        <v>-</v>
      </c>
      <c r="BS29" s="59" t="str">
        <f t="shared" si="11"/>
        <v>-</v>
      </c>
      <c r="BT29" s="98" t="str">
        <f>IF(ISNUMBER(BS29),BS29-(C29*Rules!$P$9/100),"-")</f>
        <v>-</v>
      </c>
      <c r="BU29" s="59" t="e">
        <f>RANK($BT29,$BT$5:$BT$106,1)+COUNTIF(BT$5:BT29,BT29)-1</f>
        <v>#VALUE!</v>
      </c>
      <c r="BV29" s="59" t="e">
        <f t="shared" si="12"/>
        <v>#VALUE!</v>
      </c>
      <c r="BW29" s="59" t="str">
        <f t="shared" si="13"/>
        <v xml:space="preserve"> </v>
      </c>
      <c r="BX29" s="59" t="str">
        <f t="shared" si="13"/>
        <v>-</v>
      </c>
      <c r="BY29" s="59" t="str">
        <f t="shared" si="14"/>
        <v>-</v>
      </c>
      <c r="CC29" s="4">
        <v>25</v>
      </c>
      <c r="CD29" s="2" t="e">
        <f>VLOOKUP(CC29,$BV$5:BY$215,1,FALSE)</f>
        <v>#N/A</v>
      </c>
      <c r="CE29" s="6" t="e">
        <f>VLOOKUP(CC29,$BV$5:BY$215,2,FALSE)</f>
        <v>#N/A</v>
      </c>
      <c r="CF29" s="103" t="e">
        <f>VLOOKUP(CC29,$BV$5:BY$215,4,FALSE)</f>
        <v>#N/A</v>
      </c>
      <c r="CL29" s="77">
        <v>1</v>
      </c>
    </row>
    <row r="30" spans="1:90" ht="17.45" customHeight="1">
      <c r="A30" s="58">
        <v>26</v>
      </c>
      <c r="B30" s="59" t="str">
        <f>'B Div'!A30 &amp; " " &amp; 'B Div'!B30</f>
        <v xml:space="preserve"> </v>
      </c>
      <c r="C30" s="59" t="str">
        <f>'B Div'!E30</f>
        <v>-</v>
      </c>
      <c r="D30" s="60"/>
      <c r="E30" s="60"/>
      <c r="F30" s="60"/>
      <c r="G30" s="60"/>
      <c r="H30" s="60"/>
      <c r="I30" s="60"/>
      <c r="J30" s="60"/>
      <c r="K30" s="60"/>
      <c r="L30" s="60"/>
      <c r="M30" s="74" t="str">
        <f t="shared" si="0"/>
        <v>-</v>
      </c>
      <c r="N30" s="60"/>
      <c r="O30" s="60"/>
      <c r="P30" s="60"/>
      <c r="Q30" s="60"/>
      <c r="R30" s="60"/>
      <c r="S30" s="60"/>
      <c r="T30" s="60"/>
      <c r="U30" s="60"/>
      <c r="V30" s="60"/>
      <c r="W30" s="74" t="str">
        <f t="shared" si="1"/>
        <v>-</v>
      </c>
      <c r="X30" s="74" t="str">
        <f t="shared" si="2"/>
        <v>-</v>
      </c>
      <c r="Y30" s="74" t="str">
        <f t="shared" si="3"/>
        <v>-</v>
      </c>
      <c r="AA30" s="60"/>
      <c r="AB30" s="60"/>
      <c r="AC30" s="60"/>
      <c r="AD30" s="60"/>
      <c r="AE30" s="60"/>
      <c r="AF30" s="60"/>
      <c r="AG30" s="60"/>
      <c r="AH30" s="60"/>
      <c r="AI30" s="60"/>
      <c r="AJ30" s="74" t="str">
        <f t="shared" si="4"/>
        <v>-</v>
      </c>
      <c r="AK30" s="60"/>
      <c r="AL30" s="60"/>
      <c r="AM30" s="60"/>
      <c r="AN30" s="60"/>
      <c r="AO30" s="60"/>
      <c r="AP30" s="60"/>
      <c r="AQ30" s="60"/>
      <c r="AR30" s="60"/>
      <c r="AS30" s="60"/>
      <c r="AT30" s="74" t="str">
        <f t="shared" si="5"/>
        <v>-</v>
      </c>
      <c r="AU30" s="74" t="str">
        <f t="shared" si="6"/>
        <v>-</v>
      </c>
      <c r="AV30" s="74" t="str">
        <f t="shared" si="7"/>
        <v>-</v>
      </c>
      <c r="AX30" s="59" t="str">
        <f>IF(AND(D30&gt;0,AA30&gt;0),MIN(D30,AA30),"-")</f>
        <v>-</v>
      </c>
      <c r="AY30" s="59" t="str">
        <f>IF(AND(E30&gt;0,AB30&gt;0),MIN(E30,AB30),"-")</f>
        <v>-</v>
      </c>
      <c r="AZ30" s="59" t="str">
        <f>IF(AND(F30&gt;0,AC30&gt;0),MIN(F30,AC30),"-")</f>
        <v>-</v>
      </c>
      <c r="BA30" s="59" t="str">
        <f>IF(AND(G30&gt;0,AD30&gt;0),MIN(G30,AD30),"-")</f>
        <v>-</v>
      </c>
      <c r="BB30" s="59" t="str">
        <f>IF(AND(H30&gt;0,AE30&gt;0),MIN(H30,AE30),"-")</f>
        <v>-</v>
      </c>
      <c r="BC30" s="59" t="str">
        <f>IF(AND(I30&gt;0,AF30&gt;0),MIN(I30,AF30),"-")</f>
        <v>-</v>
      </c>
      <c r="BD30" s="59" t="str">
        <f>IF(AND(J30&gt;0,AG30&gt;0),MIN(J30,AG30),"-")</f>
        <v>-</v>
      </c>
      <c r="BE30" s="59" t="str">
        <f>IF(AND(K30&gt;0,AH30&gt;0),MIN(K30,AH30),"-")</f>
        <v>-</v>
      </c>
      <c r="BF30" s="59" t="str">
        <f>IF(AND(L30&gt;0,AI30&gt;0),MIN(L30,AI30),"-")</f>
        <v>-</v>
      </c>
      <c r="BG30" s="59" t="str">
        <f t="shared" si="8"/>
        <v>-</v>
      </c>
      <c r="BH30" s="59" t="str">
        <f>IF(AND(N30&gt;0,AK30&gt;0),MIN(N30,AK30),"-")</f>
        <v>-</v>
      </c>
      <c r="BI30" s="59" t="str">
        <f>IF(AND(O30&gt;0,AL30&gt;0),MIN(O30,AL30),"-")</f>
        <v>-</v>
      </c>
      <c r="BJ30" s="59" t="str">
        <f>IF(AND(P30&gt;0,AM30&gt;0),MIN(P30,AM30),"-")</f>
        <v>-</v>
      </c>
      <c r="BK30" s="59" t="str">
        <f>IF(AND(Q30&gt;0,AN30&gt;0),MIN(Q30,AN30),"-")</f>
        <v>-</v>
      </c>
      <c r="BL30" s="59" t="str">
        <f>IF(AND(R30&gt;0,AO30&gt;0),MIN(R30,AO30),"-")</f>
        <v>-</v>
      </c>
      <c r="BM30" s="59" t="str">
        <f>IF(AND(S30&gt;0,AP30&gt;0),MIN(S30,AP30),"-")</f>
        <v>-</v>
      </c>
      <c r="BN30" s="59" t="str">
        <f>IF(AND(T30&gt;0,AQ30&gt;0),MIN(T30,AQ30),"-")</f>
        <v>-</v>
      </c>
      <c r="BO30" s="59" t="str">
        <f>IF(AND(U30&gt;0,AR30&gt;0),MIN(U30,AR30),"-")</f>
        <v>-</v>
      </c>
      <c r="BP30" s="59" t="str">
        <f>IF(AND(V30&gt;0,AS30&gt;0),MIN(V30,AS30),"-")</f>
        <v>-</v>
      </c>
      <c r="BQ30" s="59" t="str">
        <f t="shared" si="9"/>
        <v>-</v>
      </c>
      <c r="BR30" s="59" t="str">
        <f t="shared" si="10"/>
        <v>-</v>
      </c>
      <c r="BS30" s="59" t="str">
        <f t="shared" si="11"/>
        <v>-</v>
      </c>
      <c r="BT30" s="98" t="str">
        <f>IF(ISNUMBER(BS30),BS30-(C30*Rules!$P$9/100),"-")</f>
        <v>-</v>
      </c>
      <c r="BU30" s="59" t="e">
        <f>RANK($BT30,$BT$5:$BT$106,1)+COUNTIF(BT$5:BT30,BT30)-1</f>
        <v>#VALUE!</v>
      </c>
      <c r="BV30" s="59" t="e">
        <f t="shared" si="12"/>
        <v>#VALUE!</v>
      </c>
      <c r="BW30" s="59" t="str">
        <f t="shared" si="13"/>
        <v xml:space="preserve"> </v>
      </c>
      <c r="BX30" s="59" t="str">
        <f t="shared" si="13"/>
        <v>-</v>
      </c>
      <c r="BY30" s="59" t="str">
        <f t="shared" si="14"/>
        <v>-</v>
      </c>
      <c r="CC30" s="4">
        <v>26</v>
      </c>
      <c r="CD30" s="2" t="e">
        <f>VLOOKUP(CC30,$BV$5:BY$215,1,FALSE)</f>
        <v>#N/A</v>
      </c>
      <c r="CE30" s="6" t="e">
        <f>VLOOKUP(CC30,$BV$5:BY$215,2,FALSE)</f>
        <v>#N/A</v>
      </c>
      <c r="CF30" s="103" t="e">
        <f>VLOOKUP(CC30,$BV$5:BY$215,4,FALSE)</f>
        <v>#N/A</v>
      </c>
      <c r="CL30" s="77">
        <v>1</v>
      </c>
    </row>
    <row r="31" spans="1:90" ht="17.45" customHeight="1">
      <c r="A31" s="58">
        <v>27</v>
      </c>
      <c r="B31" s="59" t="str">
        <f>'B Div'!A31 &amp; " " &amp; 'B Div'!B31</f>
        <v xml:space="preserve"> </v>
      </c>
      <c r="C31" s="59" t="str">
        <f>'B Div'!E31</f>
        <v>-</v>
      </c>
      <c r="D31" s="60"/>
      <c r="E31" s="60"/>
      <c r="F31" s="60"/>
      <c r="G31" s="60"/>
      <c r="H31" s="60"/>
      <c r="I31" s="60"/>
      <c r="J31" s="60"/>
      <c r="K31" s="60"/>
      <c r="L31" s="60"/>
      <c r="M31" s="74" t="str">
        <f t="shared" si="0"/>
        <v>-</v>
      </c>
      <c r="N31" s="60"/>
      <c r="O31" s="60"/>
      <c r="P31" s="60"/>
      <c r="Q31" s="60"/>
      <c r="R31" s="60"/>
      <c r="S31" s="60"/>
      <c r="T31" s="60"/>
      <c r="U31" s="60"/>
      <c r="V31" s="60"/>
      <c r="W31" s="74" t="str">
        <f t="shared" si="1"/>
        <v>-</v>
      </c>
      <c r="X31" s="74" t="str">
        <f t="shared" si="2"/>
        <v>-</v>
      </c>
      <c r="Y31" s="74" t="str">
        <f t="shared" si="3"/>
        <v>-</v>
      </c>
      <c r="AA31" s="60"/>
      <c r="AB31" s="60"/>
      <c r="AC31" s="60"/>
      <c r="AD31" s="60"/>
      <c r="AE31" s="60"/>
      <c r="AF31" s="60"/>
      <c r="AG31" s="60"/>
      <c r="AH31" s="60"/>
      <c r="AI31" s="60"/>
      <c r="AJ31" s="74" t="str">
        <f t="shared" si="4"/>
        <v>-</v>
      </c>
      <c r="AK31" s="60"/>
      <c r="AL31" s="60"/>
      <c r="AM31" s="60"/>
      <c r="AN31" s="60"/>
      <c r="AO31" s="60"/>
      <c r="AP31" s="60"/>
      <c r="AQ31" s="60"/>
      <c r="AR31" s="60"/>
      <c r="AS31" s="60"/>
      <c r="AT31" s="74" t="str">
        <f t="shared" si="5"/>
        <v>-</v>
      </c>
      <c r="AU31" s="74" t="str">
        <f t="shared" si="6"/>
        <v>-</v>
      </c>
      <c r="AV31" s="74" t="str">
        <f t="shared" si="7"/>
        <v>-</v>
      </c>
      <c r="AX31" s="59" t="str">
        <f>IF(AND(D31&gt;0,AA31&gt;0),MIN(D31,AA31),"-")</f>
        <v>-</v>
      </c>
      <c r="AY31" s="59" t="str">
        <f>IF(AND(E31&gt;0,AB31&gt;0),MIN(E31,AB31),"-")</f>
        <v>-</v>
      </c>
      <c r="AZ31" s="59" t="str">
        <f>IF(AND(F31&gt;0,AC31&gt;0),MIN(F31,AC31),"-")</f>
        <v>-</v>
      </c>
      <c r="BA31" s="59" t="str">
        <f>IF(AND(G31&gt;0,AD31&gt;0),MIN(G31,AD31),"-")</f>
        <v>-</v>
      </c>
      <c r="BB31" s="59" t="str">
        <f>IF(AND(H31&gt;0,AE31&gt;0),MIN(H31,AE31),"-")</f>
        <v>-</v>
      </c>
      <c r="BC31" s="59" t="str">
        <f>IF(AND(I31&gt;0,AF31&gt;0),MIN(I31,AF31),"-")</f>
        <v>-</v>
      </c>
      <c r="BD31" s="59" t="str">
        <f>IF(AND(J31&gt;0,AG31&gt;0),MIN(J31,AG31),"-")</f>
        <v>-</v>
      </c>
      <c r="BE31" s="59" t="str">
        <f>IF(AND(K31&gt;0,AH31&gt;0),MIN(K31,AH31),"-")</f>
        <v>-</v>
      </c>
      <c r="BF31" s="59" t="str">
        <f>IF(AND(L31&gt;0,AI31&gt;0),MIN(L31,AI31),"-")</f>
        <v>-</v>
      </c>
      <c r="BG31" s="59" t="str">
        <f t="shared" si="8"/>
        <v>-</v>
      </c>
      <c r="BH31" s="59" t="str">
        <f>IF(AND(N31&gt;0,AK31&gt;0),MIN(N31,AK31),"-")</f>
        <v>-</v>
      </c>
      <c r="BI31" s="59" t="str">
        <f>IF(AND(O31&gt;0,AL31&gt;0),MIN(O31,AL31),"-")</f>
        <v>-</v>
      </c>
      <c r="BJ31" s="59" t="str">
        <f>IF(AND(P31&gt;0,AM31&gt;0),MIN(P31,AM31),"-")</f>
        <v>-</v>
      </c>
      <c r="BK31" s="59" t="str">
        <f>IF(AND(Q31&gt;0,AN31&gt;0),MIN(Q31,AN31),"-")</f>
        <v>-</v>
      </c>
      <c r="BL31" s="59" t="str">
        <f>IF(AND(R31&gt;0,AO31&gt;0),MIN(R31,AO31),"-")</f>
        <v>-</v>
      </c>
      <c r="BM31" s="59" t="str">
        <f>IF(AND(S31&gt;0,AP31&gt;0),MIN(S31,AP31),"-")</f>
        <v>-</v>
      </c>
      <c r="BN31" s="59" t="str">
        <f>IF(AND(T31&gt;0,AQ31&gt;0),MIN(T31,AQ31),"-")</f>
        <v>-</v>
      </c>
      <c r="BO31" s="59" t="str">
        <f>IF(AND(U31&gt;0,AR31&gt;0),MIN(U31,AR31),"-")</f>
        <v>-</v>
      </c>
      <c r="BP31" s="59" t="str">
        <f>IF(AND(V31&gt;0,AS31&gt;0),MIN(V31,AS31),"-")</f>
        <v>-</v>
      </c>
      <c r="BQ31" s="59" t="str">
        <f t="shared" si="9"/>
        <v>-</v>
      </c>
      <c r="BR31" s="59" t="str">
        <f t="shared" si="10"/>
        <v>-</v>
      </c>
      <c r="BS31" s="59" t="str">
        <f t="shared" si="11"/>
        <v>-</v>
      </c>
      <c r="BT31" s="98" t="str">
        <f>IF(ISNUMBER(BS31),BS31-(C31*Rules!$P$9/100),"-")</f>
        <v>-</v>
      </c>
      <c r="BU31" s="59" t="e">
        <f>RANK($BT31,$BT$5:$BT$106,1)+COUNTIF(BT$5:BT31,BT31)-1</f>
        <v>#VALUE!</v>
      </c>
      <c r="BV31" s="59" t="e">
        <f t="shared" si="12"/>
        <v>#VALUE!</v>
      </c>
      <c r="BW31" s="59" t="str">
        <f t="shared" si="13"/>
        <v xml:space="preserve"> </v>
      </c>
      <c r="BX31" s="59" t="str">
        <f t="shared" si="13"/>
        <v>-</v>
      </c>
      <c r="BY31" s="59" t="str">
        <f t="shared" si="14"/>
        <v>-</v>
      </c>
      <c r="CC31" s="4">
        <v>27</v>
      </c>
      <c r="CD31" s="2" t="e">
        <f>VLOOKUP(CC31,$BV$5:BY$215,1,FALSE)</f>
        <v>#N/A</v>
      </c>
      <c r="CE31" s="6" t="e">
        <f>VLOOKUP(CC31,$BV$5:BY$215,2,FALSE)</f>
        <v>#N/A</v>
      </c>
      <c r="CF31" s="103" t="e">
        <f>VLOOKUP(CC31,$BV$5:BY$215,4,FALSE)</f>
        <v>#N/A</v>
      </c>
      <c r="CL31" s="77">
        <v>1</v>
      </c>
    </row>
    <row r="32" spans="1:90" ht="17.45" customHeight="1">
      <c r="A32" s="58">
        <v>28</v>
      </c>
      <c r="B32" s="59" t="str">
        <f>'B Div'!A32 &amp; " " &amp; 'B Div'!B32</f>
        <v xml:space="preserve"> </v>
      </c>
      <c r="C32" s="59" t="str">
        <f>'B Div'!E32</f>
        <v>-</v>
      </c>
      <c r="D32" s="60"/>
      <c r="E32" s="60"/>
      <c r="F32" s="60"/>
      <c r="G32" s="60"/>
      <c r="H32" s="60"/>
      <c r="I32" s="60"/>
      <c r="J32" s="60"/>
      <c r="K32" s="60"/>
      <c r="L32" s="60"/>
      <c r="M32" s="74" t="str">
        <f t="shared" si="0"/>
        <v>-</v>
      </c>
      <c r="N32" s="60"/>
      <c r="O32" s="60"/>
      <c r="P32" s="60"/>
      <c r="Q32" s="60"/>
      <c r="R32" s="60"/>
      <c r="S32" s="60"/>
      <c r="T32" s="60"/>
      <c r="U32" s="60"/>
      <c r="V32" s="60"/>
      <c r="W32" s="74" t="str">
        <f t="shared" si="1"/>
        <v>-</v>
      </c>
      <c r="X32" s="74" t="str">
        <f t="shared" si="2"/>
        <v>-</v>
      </c>
      <c r="Y32" s="74" t="str">
        <f t="shared" si="3"/>
        <v>-</v>
      </c>
      <c r="AA32" s="60"/>
      <c r="AB32" s="60"/>
      <c r="AC32" s="60"/>
      <c r="AD32" s="60"/>
      <c r="AE32" s="60"/>
      <c r="AF32" s="60"/>
      <c r="AG32" s="60"/>
      <c r="AH32" s="60"/>
      <c r="AI32" s="60"/>
      <c r="AJ32" s="74" t="str">
        <f t="shared" si="4"/>
        <v>-</v>
      </c>
      <c r="AK32" s="60"/>
      <c r="AL32" s="60"/>
      <c r="AM32" s="60"/>
      <c r="AN32" s="60"/>
      <c r="AO32" s="60"/>
      <c r="AP32" s="60"/>
      <c r="AQ32" s="60"/>
      <c r="AR32" s="60"/>
      <c r="AS32" s="60"/>
      <c r="AT32" s="74" t="str">
        <f t="shared" si="5"/>
        <v>-</v>
      </c>
      <c r="AU32" s="74" t="str">
        <f t="shared" si="6"/>
        <v>-</v>
      </c>
      <c r="AV32" s="74" t="str">
        <f t="shared" si="7"/>
        <v>-</v>
      </c>
      <c r="AX32" s="59" t="str">
        <f>IF(AND(D32&gt;0,AA32&gt;0),MIN(D32,AA32),"-")</f>
        <v>-</v>
      </c>
      <c r="AY32" s="59" t="str">
        <f>IF(AND(E32&gt;0,AB32&gt;0),MIN(E32,AB32),"-")</f>
        <v>-</v>
      </c>
      <c r="AZ32" s="59" t="str">
        <f>IF(AND(F32&gt;0,AC32&gt;0),MIN(F32,AC32),"-")</f>
        <v>-</v>
      </c>
      <c r="BA32" s="59" t="str">
        <f>IF(AND(G32&gt;0,AD32&gt;0),MIN(G32,AD32),"-")</f>
        <v>-</v>
      </c>
      <c r="BB32" s="59" t="str">
        <f>IF(AND(H32&gt;0,AE32&gt;0),MIN(H32,AE32),"-")</f>
        <v>-</v>
      </c>
      <c r="BC32" s="59" t="str">
        <f>IF(AND(I32&gt;0,AF32&gt;0),MIN(I32,AF32),"-")</f>
        <v>-</v>
      </c>
      <c r="BD32" s="59" t="str">
        <f>IF(AND(J32&gt;0,AG32&gt;0),MIN(J32,AG32),"-")</f>
        <v>-</v>
      </c>
      <c r="BE32" s="59" t="str">
        <f>IF(AND(K32&gt;0,AH32&gt;0),MIN(K32,AH32),"-")</f>
        <v>-</v>
      </c>
      <c r="BF32" s="59" t="str">
        <f>IF(AND(L32&gt;0,AI32&gt;0),MIN(L32,AI32),"-")</f>
        <v>-</v>
      </c>
      <c r="BG32" s="59" t="str">
        <f t="shared" si="8"/>
        <v>-</v>
      </c>
      <c r="BH32" s="59" t="str">
        <f>IF(AND(N32&gt;0,AK32&gt;0),MIN(N32,AK32),"-")</f>
        <v>-</v>
      </c>
      <c r="BI32" s="59" t="str">
        <f>IF(AND(O32&gt;0,AL32&gt;0),MIN(O32,AL32),"-")</f>
        <v>-</v>
      </c>
      <c r="BJ32" s="59" t="str">
        <f>IF(AND(P32&gt;0,AM32&gt;0),MIN(P32,AM32),"-")</f>
        <v>-</v>
      </c>
      <c r="BK32" s="59" t="str">
        <f>IF(AND(Q32&gt;0,AN32&gt;0),MIN(Q32,AN32),"-")</f>
        <v>-</v>
      </c>
      <c r="BL32" s="59" t="str">
        <f>IF(AND(R32&gt;0,AO32&gt;0),MIN(R32,AO32),"-")</f>
        <v>-</v>
      </c>
      <c r="BM32" s="59" t="str">
        <f>IF(AND(S32&gt;0,AP32&gt;0),MIN(S32,AP32),"-")</f>
        <v>-</v>
      </c>
      <c r="BN32" s="59" t="str">
        <f>IF(AND(T32&gt;0,AQ32&gt;0),MIN(T32,AQ32),"-")</f>
        <v>-</v>
      </c>
      <c r="BO32" s="59" t="str">
        <f>IF(AND(U32&gt;0,AR32&gt;0),MIN(U32,AR32),"-")</f>
        <v>-</v>
      </c>
      <c r="BP32" s="59" t="str">
        <f>IF(AND(V32&gt;0,AS32&gt;0),MIN(V32,AS32),"-")</f>
        <v>-</v>
      </c>
      <c r="BQ32" s="59" t="str">
        <f t="shared" si="9"/>
        <v>-</v>
      </c>
      <c r="BR32" s="59" t="str">
        <f t="shared" si="10"/>
        <v>-</v>
      </c>
      <c r="BS32" s="59" t="str">
        <f t="shared" si="11"/>
        <v>-</v>
      </c>
      <c r="BT32" s="98" t="str">
        <f>IF(ISNUMBER(BS32),BS32-(C32*Rules!$P$9/100),"-")</f>
        <v>-</v>
      </c>
      <c r="BU32" s="59" t="e">
        <f>RANK($BT32,$BT$5:$BT$106,1)+COUNTIF(BT$5:BT32,BT32)-1</f>
        <v>#VALUE!</v>
      </c>
      <c r="BV32" s="59" t="e">
        <f t="shared" si="12"/>
        <v>#VALUE!</v>
      </c>
      <c r="BW32" s="59" t="str">
        <f t="shared" si="13"/>
        <v xml:space="preserve"> </v>
      </c>
      <c r="BX32" s="59" t="str">
        <f t="shared" si="13"/>
        <v>-</v>
      </c>
      <c r="BY32" s="59" t="str">
        <f t="shared" si="14"/>
        <v>-</v>
      </c>
      <c r="CC32" s="4">
        <v>28</v>
      </c>
      <c r="CD32" s="2" t="e">
        <f>VLOOKUP(CC32,$BV$5:BY$215,1,FALSE)</f>
        <v>#N/A</v>
      </c>
      <c r="CE32" s="6" t="e">
        <f>VLOOKUP(CC32,$BV$5:BY$215,2,FALSE)</f>
        <v>#N/A</v>
      </c>
      <c r="CF32" s="103" t="e">
        <f>VLOOKUP(CC32,$BV$5:BY$215,4,FALSE)</f>
        <v>#N/A</v>
      </c>
      <c r="CL32" s="77">
        <v>1</v>
      </c>
    </row>
    <row r="33" spans="1:90" ht="17.45" customHeight="1">
      <c r="A33" s="58">
        <v>29</v>
      </c>
      <c r="B33" s="59" t="str">
        <f>'B Div'!A33 &amp; " " &amp; 'B Div'!B33</f>
        <v xml:space="preserve"> </v>
      </c>
      <c r="C33" s="59" t="str">
        <f>'B Div'!E33</f>
        <v>-</v>
      </c>
      <c r="D33" s="60"/>
      <c r="E33" s="60"/>
      <c r="F33" s="60"/>
      <c r="G33" s="60"/>
      <c r="H33" s="60"/>
      <c r="I33" s="60"/>
      <c r="J33" s="60"/>
      <c r="K33" s="60"/>
      <c r="L33" s="60"/>
      <c r="M33" s="74" t="str">
        <f t="shared" si="0"/>
        <v>-</v>
      </c>
      <c r="N33" s="60"/>
      <c r="O33" s="60"/>
      <c r="P33" s="60"/>
      <c r="Q33" s="60"/>
      <c r="R33" s="60"/>
      <c r="S33" s="60"/>
      <c r="T33" s="60"/>
      <c r="U33" s="60"/>
      <c r="V33" s="60"/>
      <c r="W33" s="74" t="str">
        <f t="shared" si="1"/>
        <v>-</v>
      </c>
      <c r="X33" s="74" t="str">
        <f t="shared" si="2"/>
        <v>-</v>
      </c>
      <c r="Y33" s="74" t="str">
        <f t="shared" si="3"/>
        <v>-</v>
      </c>
      <c r="AA33" s="60"/>
      <c r="AB33" s="60"/>
      <c r="AC33" s="60"/>
      <c r="AD33" s="60"/>
      <c r="AE33" s="60"/>
      <c r="AF33" s="60"/>
      <c r="AG33" s="60"/>
      <c r="AH33" s="60"/>
      <c r="AI33" s="60"/>
      <c r="AJ33" s="74" t="str">
        <f t="shared" si="4"/>
        <v>-</v>
      </c>
      <c r="AK33" s="60"/>
      <c r="AL33" s="60"/>
      <c r="AM33" s="60"/>
      <c r="AN33" s="60"/>
      <c r="AO33" s="60"/>
      <c r="AP33" s="60"/>
      <c r="AQ33" s="60"/>
      <c r="AR33" s="60"/>
      <c r="AS33" s="60"/>
      <c r="AT33" s="74" t="str">
        <f t="shared" si="5"/>
        <v>-</v>
      </c>
      <c r="AU33" s="74" t="str">
        <f t="shared" si="6"/>
        <v>-</v>
      </c>
      <c r="AV33" s="74" t="str">
        <f t="shared" si="7"/>
        <v>-</v>
      </c>
      <c r="AX33" s="59" t="str">
        <f>IF(AND(D33&gt;0,AA33&gt;0),MIN(D33,AA33),"-")</f>
        <v>-</v>
      </c>
      <c r="AY33" s="59" t="str">
        <f>IF(AND(E33&gt;0,AB33&gt;0),MIN(E33,AB33),"-")</f>
        <v>-</v>
      </c>
      <c r="AZ33" s="59" t="str">
        <f>IF(AND(F33&gt;0,AC33&gt;0),MIN(F33,AC33),"-")</f>
        <v>-</v>
      </c>
      <c r="BA33" s="59" t="str">
        <f>IF(AND(G33&gt;0,AD33&gt;0),MIN(G33,AD33),"-")</f>
        <v>-</v>
      </c>
      <c r="BB33" s="59" t="str">
        <f>IF(AND(H33&gt;0,AE33&gt;0),MIN(H33,AE33),"-")</f>
        <v>-</v>
      </c>
      <c r="BC33" s="59" t="str">
        <f>IF(AND(I33&gt;0,AF33&gt;0),MIN(I33,AF33),"-")</f>
        <v>-</v>
      </c>
      <c r="BD33" s="59" t="str">
        <f>IF(AND(J33&gt;0,AG33&gt;0),MIN(J33,AG33),"-")</f>
        <v>-</v>
      </c>
      <c r="BE33" s="59" t="str">
        <f>IF(AND(K33&gt;0,AH33&gt;0),MIN(K33,AH33),"-")</f>
        <v>-</v>
      </c>
      <c r="BF33" s="59" t="str">
        <f>IF(AND(L33&gt;0,AI33&gt;0),MIN(L33,AI33),"-")</f>
        <v>-</v>
      </c>
      <c r="BG33" s="59" t="str">
        <f t="shared" si="8"/>
        <v>-</v>
      </c>
      <c r="BH33" s="59" t="str">
        <f>IF(AND(N33&gt;0,AK33&gt;0),MIN(N33,AK33),"-")</f>
        <v>-</v>
      </c>
      <c r="BI33" s="59" t="str">
        <f>IF(AND(O33&gt;0,AL33&gt;0),MIN(O33,AL33),"-")</f>
        <v>-</v>
      </c>
      <c r="BJ33" s="59" t="str">
        <f>IF(AND(P33&gt;0,AM33&gt;0),MIN(P33,AM33),"-")</f>
        <v>-</v>
      </c>
      <c r="BK33" s="59" t="str">
        <f>IF(AND(Q33&gt;0,AN33&gt;0),MIN(Q33,AN33),"-")</f>
        <v>-</v>
      </c>
      <c r="BL33" s="59" t="str">
        <f>IF(AND(R33&gt;0,AO33&gt;0),MIN(R33,AO33),"-")</f>
        <v>-</v>
      </c>
      <c r="BM33" s="59" t="str">
        <f>IF(AND(S33&gt;0,AP33&gt;0),MIN(S33,AP33),"-")</f>
        <v>-</v>
      </c>
      <c r="BN33" s="59" t="str">
        <f>IF(AND(T33&gt;0,AQ33&gt;0),MIN(T33,AQ33),"-")</f>
        <v>-</v>
      </c>
      <c r="BO33" s="59" t="str">
        <f>IF(AND(U33&gt;0,AR33&gt;0),MIN(U33,AR33),"-")</f>
        <v>-</v>
      </c>
      <c r="BP33" s="59" t="str">
        <f>IF(AND(V33&gt;0,AS33&gt;0),MIN(V33,AS33),"-")</f>
        <v>-</v>
      </c>
      <c r="BQ33" s="59" t="str">
        <f t="shared" si="9"/>
        <v>-</v>
      </c>
      <c r="BR33" s="59" t="str">
        <f t="shared" si="10"/>
        <v>-</v>
      </c>
      <c r="BS33" s="59" t="str">
        <f t="shared" si="11"/>
        <v>-</v>
      </c>
      <c r="BT33" s="98" t="str">
        <f>IF(ISNUMBER(BS33),BS33-(C33*Rules!$P$9/100),"-")</f>
        <v>-</v>
      </c>
      <c r="BU33" s="59" t="e">
        <f>RANK($BT33,$BT$5:$BT$106,1)+COUNTIF(BT$5:BT33,BT33)-1</f>
        <v>#VALUE!</v>
      </c>
      <c r="BV33" s="59" t="e">
        <f t="shared" si="12"/>
        <v>#VALUE!</v>
      </c>
      <c r="BW33" s="59" t="str">
        <f t="shared" si="13"/>
        <v xml:space="preserve"> </v>
      </c>
      <c r="BX33" s="59" t="str">
        <f t="shared" si="13"/>
        <v>-</v>
      </c>
      <c r="BY33" s="59" t="str">
        <f t="shared" si="14"/>
        <v>-</v>
      </c>
      <c r="CC33" s="4">
        <v>29</v>
      </c>
      <c r="CD33" s="2" t="e">
        <f>VLOOKUP(CC33,$BV$5:BY$215,1,FALSE)</f>
        <v>#N/A</v>
      </c>
      <c r="CE33" s="6" t="e">
        <f>VLOOKUP(CC33,$BV$5:BY$215,2,FALSE)</f>
        <v>#N/A</v>
      </c>
      <c r="CF33" s="103" t="e">
        <f>VLOOKUP(CC33,$BV$5:BY$215,4,FALSE)</f>
        <v>#N/A</v>
      </c>
      <c r="CL33" s="77">
        <v>1</v>
      </c>
    </row>
    <row r="34" spans="1:90" ht="17.45" customHeight="1">
      <c r="A34" s="58">
        <v>30</v>
      </c>
      <c r="B34" s="59" t="str">
        <f>'B Div'!A34 &amp; " " &amp; 'B Div'!B34</f>
        <v xml:space="preserve"> </v>
      </c>
      <c r="C34" s="59" t="str">
        <f>'B Div'!E34</f>
        <v>-</v>
      </c>
      <c r="D34" s="60"/>
      <c r="E34" s="60"/>
      <c r="F34" s="60"/>
      <c r="G34" s="60"/>
      <c r="H34" s="60"/>
      <c r="I34" s="60"/>
      <c r="J34" s="60"/>
      <c r="K34" s="60"/>
      <c r="L34" s="60"/>
      <c r="M34" s="74" t="str">
        <f t="shared" si="0"/>
        <v>-</v>
      </c>
      <c r="N34" s="60"/>
      <c r="O34" s="60"/>
      <c r="P34" s="60"/>
      <c r="Q34" s="60"/>
      <c r="R34" s="60"/>
      <c r="S34" s="60"/>
      <c r="T34" s="60"/>
      <c r="U34" s="60"/>
      <c r="V34" s="60"/>
      <c r="W34" s="74" t="str">
        <f t="shared" si="1"/>
        <v>-</v>
      </c>
      <c r="X34" s="74" t="str">
        <f t="shared" si="2"/>
        <v>-</v>
      </c>
      <c r="Y34" s="74" t="str">
        <f t="shared" si="3"/>
        <v>-</v>
      </c>
      <c r="AA34" s="60"/>
      <c r="AB34" s="60"/>
      <c r="AC34" s="60"/>
      <c r="AD34" s="60"/>
      <c r="AE34" s="60"/>
      <c r="AF34" s="60"/>
      <c r="AG34" s="60"/>
      <c r="AH34" s="60"/>
      <c r="AI34" s="60"/>
      <c r="AJ34" s="74" t="str">
        <f t="shared" si="4"/>
        <v>-</v>
      </c>
      <c r="AK34" s="60"/>
      <c r="AL34" s="60"/>
      <c r="AM34" s="60"/>
      <c r="AN34" s="60"/>
      <c r="AO34" s="60"/>
      <c r="AP34" s="60"/>
      <c r="AQ34" s="60"/>
      <c r="AR34" s="60"/>
      <c r="AS34" s="60"/>
      <c r="AT34" s="74" t="str">
        <f t="shared" si="5"/>
        <v>-</v>
      </c>
      <c r="AU34" s="74" t="str">
        <f t="shared" si="6"/>
        <v>-</v>
      </c>
      <c r="AV34" s="74" t="str">
        <f t="shared" si="7"/>
        <v>-</v>
      </c>
      <c r="AX34" s="59" t="str">
        <f>IF(AND(D34&gt;0,AA34&gt;0),MIN(D34,AA34),"-")</f>
        <v>-</v>
      </c>
      <c r="AY34" s="59" t="str">
        <f>IF(AND(E34&gt;0,AB34&gt;0),MIN(E34,AB34),"-")</f>
        <v>-</v>
      </c>
      <c r="AZ34" s="59" t="str">
        <f>IF(AND(F34&gt;0,AC34&gt;0),MIN(F34,AC34),"-")</f>
        <v>-</v>
      </c>
      <c r="BA34" s="59" t="str">
        <f>IF(AND(G34&gt;0,AD34&gt;0),MIN(G34,AD34),"-")</f>
        <v>-</v>
      </c>
      <c r="BB34" s="59" t="str">
        <f>IF(AND(H34&gt;0,AE34&gt;0),MIN(H34,AE34),"-")</f>
        <v>-</v>
      </c>
      <c r="BC34" s="59" t="str">
        <f>IF(AND(I34&gt;0,AF34&gt;0),MIN(I34,AF34),"-")</f>
        <v>-</v>
      </c>
      <c r="BD34" s="59" t="str">
        <f>IF(AND(J34&gt;0,AG34&gt;0),MIN(J34,AG34),"-")</f>
        <v>-</v>
      </c>
      <c r="BE34" s="59" t="str">
        <f>IF(AND(K34&gt;0,AH34&gt;0),MIN(K34,AH34),"-")</f>
        <v>-</v>
      </c>
      <c r="BF34" s="59" t="str">
        <f>IF(AND(L34&gt;0,AI34&gt;0),MIN(L34,AI34),"-")</f>
        <v>-</v>
      </c>
      <c r="BG34" s="59" t="str">
        <f t="shared" si="8"/>
        <v>-</v>
      </c>
      <c r="BH34" s="59" t="str">
        <f>IF(AND(N34&gt;0,AK34&gt;0),MIN(N34,AK34),"-")</f>
        <v>-</v>
      </c>
      <c r="BI34" s="59" t="str">
        <f>IF(AND(O34&gt;0,AL34&gt;0),MIN(O34,AL34),"-")</f>
        <v>-</v>
      </c>
      <c r="BJ34" s="59" t="str">
        <f>IF(AND(P34&gt;0,AM34&gt;0),MIN(P34,AM34),"-")</f>
        <v>-</v>
      </c>
      <c r="BK34" s="59" t="str">
        <f>IF(AND(Q34&gt;0,AN34&gt;0),MIN(Q34,AN34),"-")</f>
        <v>-</v>
      </c>
      <c r="BL34" s="59" t="str">
        <f>IF(AND(R34&gt;0,AO34&gt;0),MIN(R34,AO34),"-")</f>
        <v>-</v>
      </c>
      <c r="BM34" s="59" t="str">
        <f>IF(AND(S34&gt;0,AP34&gt;0),MIN(S34,AP34),"-")</f>
        <v>-</v>
      </c>
      <c r="BN34" s="59" t="str">
        <f>IF(AND(T34&gt;0,AQ34&gt;0),MIN(T34,AQ34),"-")</f>
        <v>-</v>
      </c>
      <c r="BO34" s="59" t="str">
        <f>IF(AND(U34&gt;0,AR34&gt;0),MIN(U34,AR34),"-")</f>
        <v>-</v>
      </c>
      <c r="BP34" s="59" t="str">
        <f>IF(AND(V34&gt;0,AS34&gt;0),MIN(V34,AS34),"-")</f>
        <v>-</v>
      </c>
      <c r="BQ34" s="59" t="str">
        <f t="shared" si="9"/>
        <v>-</v>
      </c>
      <c r="BR34" s="59" t="str">
        <f t="shared" si="10"/>
        <v>-</v>
      </c>
      <c r="BS34" s="59" t="str">
        <f t="shared" si="11"/>
        <v>-</v>
      </c>
      <c r="BT34" s="98" t="str">
        <f>IF(ISNUMBER(BS34),BS34-(C34*Rules!$P$9/100),"-")</f>
        <v>-</v>
      </c>
      <c r="BU34" s="59" t="e">
        <f>RANK($BT34,$BT$5:$BT$106,1)+COUNTIF(BT$5:BT34,BT34)-1</f>
        <v>#VALUE!</v>
      </c>
      <c r="BV34" s="59" t="e">
        <f t="shared" si="12"/>
        <v>#VALUE!</v>
      </c>
      <c r="BW34" s="59" t="str">
        <f t="shared" si="13"/>
        <v xml:space="preserve"> </v>
      </c>
      <c r="BX34" s="59" t="str">
        <f t="shared" si="13"/>
        <v>-</v>
      </c>
      <c r="BY34" s="59" t="str">
        <f t="shared" si="14"/>
        <v>-</v>
      </c>
      <c r="CC34" s="4">
        <v>30</v>
      </c>
      <c r="CD34" s="2" t="e">
        <f>VLOOKUP(CC34,$BV$5:BY$215,1,FALSE)</f>
        <v>#N/A</v>
      </c>
      <c r="CE34" s="6" t="e">
        <f>VLOOKUP(CC34,$BV$5:BY$215,2,FALSE)</f>
        <v>#N/A</v>
      </c>
      <c r="CF34" s="103" t="e">
        <f>VLOOKUP(CC34,$BV$5:BY$215,4,FALSE)</f>
        <v>#N/A</v>
      </c>
      <c r="CL34" s="77">
        <v>1</v>
      </c>
    </row>
    <row r="35" spans="1:90" ht="17.45" customHeight="1">
      <c r="A35" s="58">
        <v>31</v>
      </c>
      <c r="B35" s="59" t="str">
        <f>'B Div'!A35 &amp; " " &amp; 'B Div'!B35</f>
        <v xml:space="preserve"> </v>
      </c>
      <c r="C35" s="59" t="str">
        <f>'B Div'!E35</f>
        <v>-</v>
      </c>
      <c r="D35" s="60"/>
      <c r="E35" s="60"/>
      <c r="F35" s="60"/>
      <c r="G35" s="60"/>
      <c r="H35" s="60"/>
      <c r="I35" s="60"/>
      <c r="J35" s="60"/>
      <c r="K35" s="60"/>
      <c r="L35" s="60"/>
      <c r="M35" s="74" t="str">
        <f t="shared" si="0"/>
        <v>-</v>
      </c>
      <c r="N35" s="60"/>
      <c r="O35" s="60"/>
      <c r="P35" s="60"/>
      <c r="Q35" s="60"/>
      <c r="R35" s="60"/>
      <c r="S35" s="60"/>
      <c r="T35" s="60"/>
      <c r="U35" s="60"/>
      <c r="V35" s="60"/>
      <c r="W35" s="74" t="str">
        <f t="shared" si="1"/>
        <v>-</v>
      </c>
      <c r="X35" s="74" t="str">
        <f t="shared" si="2"/>
        <v>-</v>
      </c>
      <c r="Y35" s="74" t="str">
        <f t="shared" si="3"/>
        <v>-</v>
      </c>
      <c r="AA35" s="60"/>
      <c r="AB35" s="60"/>
      <c r="AC35" s="60"/>
      <c r="AD35" s="60"/>
      <c r="AE35" s="60"/>
      <c r="AF35" s="60"/>
      <c r="AG35" s="60"/>
      <c r="AH35" s="60"/>
      <c r="AI35" s="60"/>
      <c r="AJ35" s="74" t="str">
        <f t="shared" si="4"/>
        <v>-</v>
      </c>
      <c r="AK35" s="60"/>
      <c r="AL35" s="60"/>
      <c r="AM35" s="60"/>
      <c r="AN35" s="60"/>
      <c r="AO35" s="60"/>
      <c r="AP35" s="60"/>
      <c r="AQ35" s="60"/>
      <c r="AR35" s="60"/>
      <c r="AS35" s="60"/>
      <c r="AT35" s="74" t="str">
        <f t="shared" si="5"/>
        <v>-</v>
      </c>
      <c r="AU35" s="74" t="str">
        <f t="shared" si="6"/>
        <v>-</v>
      </c>
      <c r="AV35" s="74" t="str">
        <f t="shared" si="7"/>
        <v>-</v>
      </c>
      <c r="AX35" s="59" t="str">
        <f>IF(AND(D35&gt;0,AA35&gt;0),MIN(D35,AA35),"-")</f>
        <v>-</v>
      </c>
      <c r="AY35" s="59" t="str">
        <f>IF(AND(E35&gt;0,AB35&gt;0),MIN(E35,AB35),"-")</f>
        <v>-</v>
      </c>
      <c r="AZ35" s="59" t="str">
        <f>IF(AND(F35&gt;0,AC35&gt;0),MIN(F35,AC35),"-")</f>
        <v>-</v>
      </c>
      <c r="BA35" s="59" t="str">
        <f>IF(AND(G35&gt;0,AD35&gt;0),MIN(G35,AD35),"-")</f>
        <v>-</v>
      </c>
      <c r="BB35" s="59" t="str">
        <f>IF(AND(H35&gt;0,AE35&gt;0),MIN(H35,AE35),"-")</f>
        <v>-</v>
      </c>
      <c r="BC35" s="59" t="str">
        <f>IF(AND(I35&gt;0,AF35&gt;0),MIN(I35,AF35),"-")</f>
        <v>-</v>
      </c>
      <c r="BD35" s="59" t="str">
        <f>IF(AND(J35&gt;0,AG35&gt;0),MIN(J35,AG35),"-")</f>
        <v>-</v>
      </c>
      <c r="BE35" s="59" t="str">
        <f>IF(AND(K35&gt;0,AH35&gt;0),MIN(K35,AH35),"-")</f>
        <v>-</v>
      </c>
      <c r="BF35" s="59" t="str">
        <f>IF(AND(L35&gt;0,AI35&gt;0),MIN(L35,AI35),"-")</f>
        <v>-</v>
      </c>
      <c r="BG35" s="59" t="str">
        <f t="shared" si="8"/>
        <v>-</v>
      </c>
      <c r="BH35" s="59" t="str">
        <f>IF(AND(N35&gt;0,AK35&gt;0),MIN(N35,AK35),"-")</f>
        <v>-</v>
      </c>
      <c r="BI35" s="59" t="str">
        <f>IF(AND(O35&gt;0,AL35&gt;0),MIN(O35,AL35),"-")</f>
        <v>-</v>
      </c>
      <c r="BJ35" s="59" t="str">
        <f>IF(AND(P35&gt;0,AM35&gt;0),MIN(P35,AM35),"-")</f>
        <v>-</v>
      </c>
      <c r="BK35" s="59" t="str">
        <f>IF(AND(Q35&gt;0,AN35&gt;0),MIN(Q35,AN35),"-")</f>
        <v>-</v>
      </c>
      <c r="BL35" s="59" t="str">
        <f>IF(AND(R35&gt;0,AO35&gt;0),MIN(R35,AO35),"-")</f>
        <v>-</v>
      </c>
      <c r="BM35" s="59" t="str">
        <f>IF(AND(S35&gt;0,AP35&gt;0),MIN(S35,AP35),"-")</f>
        <v>-</v>
      </c>
      <c r="BN35" s="59" t="str">
        <f>IF(AND(T35&gt;0,AQ35&gt;0),MIN(T35,AQ35),"-")</f>
        <v>-</v>
      </c>
      <c r="BO35" s="59" t="str">
        <f>IF(AND(U35&gt;0,AR35&gt;0),MIN(U35,AR35),"-")</f>
        <v>-</v>
      </c>
      <c r="BP35" s="59" t="str">
        <f>IF(AND(V35&gt;0,AS35&gt;0),MIN(V35,AS35),"-")</f>
        <v>-</v>
      </c>
      <c r="BQ35" s="59" t="str">
        <f t="shared" si="9"/>
        <v>-</v>
      </c>
      <c r="BR35" s="59" t="str">
        <f t="shared" si="10"/>
        <v>-</v>
      </c>
      <c r="BS35" s="59" t="str">
        <f t="shared" si="11"/>
        <v>-</v>
      </c>
      <c r="BT35" s="98" t="str">
        <f>IF(ISNUMBER(BS35),BS35-(C35*Rules!$P$9/100),"-")</f>
        <v>-</v>
      </c>
      <c r="BU35" s="59" t="e">
        <f>RANK($BT35,$BT$5:$BT$106,1)+COUNTIF(BT$5:BT35,BT35)-1</f>
        <v>#VALUE!</v>
      </c>
      <c r="BV35" s="59" t="e">
        <f t="shared" si="12"/>
        <v>#VALUE!</v>
      </c>
      <c r="BW35" s="59" t="str">
        <f t="shared" si="13"/>
        <v xml:space="preserve"> </v>
      </c>
      <c r="BX35" s="59" t="str">
        <f t="shared" si="13"/>
        <v>-</v>
      </c>
      <c r="BY35" s="59" t="str">
        <f t="shared" si="14"/>
        <v>-</v>
      </c>
      <c r="CC35" s="4">
        <v>31</v>
      </c>
      <c r="CD35" s="2" t="e">
        <f>VLOOKUP(CC35,$BV$5:BY$215,1,FALSE)</f>
        <v>#N/A</v>
      </c>
      <c r="CE35" s="6" t="e">
        <f>VLOOKUP(CC35,$BV$5:BY$215,2,FALSE)</f>
        <v>#N/A</v>
      </c>
      <c r="CF35" s="103" t="e">
        <f>VLOOKUP(CC35,$BV$5:BY$215,4,FALSE)</f>
        <v>#N/A</v>
      </c>
      <c r="CL35" s="77">
        <v>1</v>
      </c>
    </row>
    <row r="36" spans="1:90" ht="17.45" customHeight="1">
      <c r="A36" s="58">
        <v>32</v>
      </c>
      <c r="B36" s="59" t="str">
        <f>'B Div'!A36 &amp; " " &amp; 'B Div'!B36</f>
        <v xml:space="preserve"> </v>
      </c>
      <c r="C36" s="59" t="str">
        <f>'B Div'!E36</f>
        <v>-</v>
      </c>
      <c r="D36" s="60"/>
      <c r="E36" s="60"/>
      <c r="F36" s="60"/>
      <c r="G36" s="60"/>
      <c r="H36" s="60"/>
      <c r="I36" s="60"/>
      <c r="J36" s="60"/>
      <c r="K36" s="60"/>
      <c r="L36" s="60"/>
      <c r="M36" s="74" t="str">
        <f t="shared" si="0"/>
        <v>-</v>
      </c>
      <c r="N36" s="60"/>
      <c r="O36" s="60"/>
      <c r="P36" s="60"/>
      <c r="Q36" s="60"/>
      <c r="R36" s="60"/>
      <c r="S36" s="60"/>
      <c r="T36" s="60"/>
      <c r="U36" s="60"/>
      <c r="V36" s="60"/>
      <c r="W36" s="74" t="str">
        <f t="shared" si="1"/>
        <v>-</v>
      </c>
      <c r="X36" s="74" t="str">
        <f t="shared" si="2"/>
        <v>-</v>
      </c>
      <c r="Y36" s="74" t="str">
        <f t="shared" si="3"/>
        <v>-</v>
      </c>
      <c r="AA36" s="60"/>
      <c r="AB36" s="60"/>
      <c r="AC36" s="60"/>
      <c r="AD36" s="60"/>
      <c r="AE36" s="60"/>
      <c r="AF36" s="60"/>
      <c r="AG36" s="60"/>
      <c r="AH36" s="60"/>
      <c r="AI36" s="60"/>
      <c r="AJ36" s="74" t="str">
        <f t="shared" si="4"/>
        <v>-</v>
      </c>
      <c r="AK36" s="60"/>
      <c r="AL36" s="60"/>
      <c r="AM36" s="60"/>
      <c r="AN36" s="60"/>
      <c r="AO36" s="60"/>
      <c r="AP36" s="60"/>
      <c r="AQ36" s="60"/>
      <c r="AR36" s="60"/>
      <c r="AS36" s="60"/>
      <c r="AT36" s="74" t="str">
        <f t="shared" si="5"/>
        <v>-</v>
      </c>
      <c r="AU36" s="74" t="str">
        <f t="shared" si="6"/>
        <v>-</v>
      </c>
      <c r="AV36" s="74" t="str">
        <f t="shared" si="7"/>
        <v>-</v>
      </c>
      <c r="AX36" s="59" t="str">
        <f>IF(AND(D36&gt;0,AA36&gt;0),MIN(D36,AA36),"-")</f>
        <v>-</v>
      </c>
      <c r="AY36" s="59" t="str">
        <f>IF(AND(E36&gt;0,AB36&gt;0),MIN(E36,AB36),"-")</f>
        <v>-</v>
      </c>
      <c r="AZ36" s="59" t="str">
        <f>IF(AND(F36&gt;0,AC36&gt;0),MIN(F36,AC36),"-")</f>
        <v>-</v>
      </c>
      <c r="BA36" s="59" t="str">
        <f>IF(AND(G36&gt;0,AD36&gt;0),MIN(G36,AD36),"-")</f>
        <v>-</v>
      </c>
      <c r="BB36" s="59" t="str">
        <f>IF(AND(H36&gt;0,AE36&gt;0),MIN(H36,AE36),"-")</f>
        <v>-</v>
      </c>
      <c r="BC36" s="59" t="str">
        <f>IF(AND(I36&gt;0,AF36&gt;0),MIN(I36,AF36),"-")</f>
        <v>-</v>
      </c>
      <c r="BD36" s="59" t="str">
        <f>IF(AND(J36&gt;0,AG36&gt;0),MIN(J36,AG36),"-")</f>
        <v>-</v>
      </c>
      <c r="BE36" s="59" t="str">
        <f>IF(AND(K36&gt;0,AH36&gt;0),MIN(K36,AH36),"-")</f>
        <v>-</v>
      </c>
      <c r="BF36" s="59" t="str">
        <f>IF(AND(L36&gt;0,AI36&gt;0),MIN(L36,AI36),"-")</f>
        <v>-</v>
      </c>
      <c r="BG36" s="59" t="str">
        <f t="shared" si="8"/>
        <v>-</v>
      </c>
      <c r="BH36" s="59" t="str">
        <f>IF(AND(N36&gt;0,AK36&gt;0),MIN(N36,AK36),"-")</f>
        <v>-</v>
      </c>
      <c r="BI36" s="59" t="str">
        <f>IF(AND(O36&gt;0,AL36&gt;0),MIN(O36,AL36),"-")</f>
        <v>-</v>
      </c>
      <c r="BJ36" s="59" t="str">
        <f>IF(AND(P36&gt;0,AM36&gt;0),MIN(P36,AM36),"-")</f>
        <v>-</v>
      </c>
      <c r="BK36" s="59" t="str">
        <f>IF(AND(Q36&gt;0,AN36&gt;0),MIN(Q36,AN36),"-")</f>
        <v>-</v>
      </c>
      <c r="BL36" s="59" t="str">
        <f>IF(AND(R36&gt;0,AO36&gt;0),MIN(R36,AO36),"-")</f>
        <v>-</v>
      </c>
      <c r="BM36" s="59" t="str">
        <f>IF(AND(S36&gt;0,AP36&gt;0),MIN(S36,AP36),"-")</f>
        <v>-</v>
      </c>
      <c r="BN36" s="59" t="str">
        <f>IF(AND(T36&gt;0,AQ36&gt;0),MIN(T36,AQ36),"-")</f>
        <v>-</v>
      </c>
      <c r="BO36" s="59" t="str">
        <f>IF(AND(U36&gt;0,AR36&gt;0),MIN(U36,AR36),"-")</f>
        <v>-</v>
      </c>
      <c r="BP36" s="59" t="str">
        <f>IF(AND(V36&gt;0,AS36&gt;0),MIN(V36,AS36),"-")</f>
        <v>-</v>
      </c>
      <c r="BQ36" s="59" t="str">
        <f t="shared" si="9"/>
        <v>-</v>
      </c>
      <c r="BR36" s="59" t="str">
        <f t="shared" si="10"/>
        <v>-</v>
      </c>
      <c r="BS36" s="59" t="str">
        <f t="shared" si="11"/>
        <v>-</v>
      </c>
      <c r="BT36" s="98" t="str">
        <f>IF(ISNUMBER(BS36),BS36-(C36*Rules!$P$9/100),"-")</f>
        <v>-</v>
      </c>
      <c r="BU36" s="59" t="e">
        <f>RANK($BT36,$BT$5:$BT$106,1)+COUNTIF(BT$5:BT36,BT36)-1</f>
        <v>#VALUE!</v>
      </c>
      <c r="BV36" s="59" t="e">
        <f t="shared" si="12"/>
        <v>#VALUE!</v>
      </c>
      <c r="BW36" s="59" t="str">
        <f t="shared" si="13"/>
        <v xml:space="preserve"> </v>
      </c>
      <c r="BX36" s="59" t="str">
        <f t="shared" si="13"/>
        <v>-</v>
      </c>
      <c r="BY36" s="59" t="str">
        <f t="shared" si="14"/>
        <v>-</v>
      </c>
      <c r="CC36" s="4">
        <v>32</v>
      </c>
      <c r="CD36" s="2" t="e">
        <f>VLOOKUP(CC36,$BV$5:BY$215,1,FALSE)</f>
        <v>#N/A</v>
      </c>
      <c r="CE36" s="6" t="e">
        <f>VLOOKUP(CC36,$BV$5:BY$215,2,FALSE)</f>
        <v>#N/A</v>
      </c>
      <c r="CF36" s="103" t="e">
        <f>VLOOKUP(CC36,$BV$5:BY$215,4,FALSE)</f>
        <v>#N/A</v>
      </c>
      <c r="CL36" s="77">
        <v>1</v>
      </c>
    </row>
    <row r="37" spans="1:90" ht="17.45" customHeight="1">
      <c r="A37" s="58">
        <v>33</v>
      </c>
      <c r="B37" s="59" t="str">
        <f>'B Div'!A37 &amp; " " &amp; 'B Div'!B37</f>
        <v xml:space="preserve"> </v>
      </c>
      <c r="C37" s="59" t="str">
        <f>'B Div'!E37</f>
        <v>-</v>
      </c>
      <c r="D37" s="60"/>
      <c r="E37" s="60"/>
      <c r="F37" s="60"/>
      <c r="G37" s="60"/>
      <c r="H37" s="60"/>
      <c r="I37" s="60"/>
      <c r="J37" s="60"/>
      <c r="K37" s="60"/>
      <c r="L37" s="60"/>
      <c r="M37" s="74" t="str">
        <f t="shared" si="0"/>
        <v>-</v>
      </c>
      <c r="N37" s="60"/>
      <c r="O37" s="60"/>
      <c r="P37" s="60"/>
      <c r="Q37" s="60"/>
      <c r="R37" s="60"/>
      <c r="S37" s="60"/>
      <c r="T37" s="60"/>
      <c r="U37" s="60"/>
      <c r="V37" s="60"/>
      <c r="W37" s="74" t="str">
        <f t="shared" si="1"/>
        <v>-</v>
      </c>
      <c r="X37" s="74" t="str">
        <f t="shared" si="2"/>
        <v>-</v>
      </c>
      <c r="Y37" s="74" t="str">
        <f t="shared" si="3"/>
        <v>-</v>
      </c>
      <c r="AA37" s="60"/>
      <c r="AB37" s="60"/>
      <c r="AC37" s="60"/>
      <c r="AD37" s="60"/>
      <c r="AE37" s="60"/>
      <c r="AF37" s="60"/>
      <c r="AG37" s="60"/>
      <c r="AH37" s="60"/>
      <c r="AI37" s="60"/>
      <c r="AJ37" s="74" t="str">
        <f t="shared" si="4"/>
        <v>-</v>
      </c>
      <c r="AK37" s="60"/>
      <c r="AL37" s="60"/>
      <c r="AM37" s="60"/>
      <c r="AN37" s="60"/>
      <c r="AO37" s="60"/>
      <c r="AP37" s="60"/>
      <c r="AQ37" s="60"/>
      <c r="AR37" s="60"/>
      <c r="AS37" s="60"/>
      <c r="AT37" s="74" t="str">
        <f t="shared" si="5"/>
        <v>-</v>
      </c>
      <c r="AU37" s="74" t="str">
        <f t="shared" si="6"/>
        <v>-</v>
      </c>
      <c r="AV37" s="74" t="str">
        <f t="shared" si="7"/>
        <v>-</v>
      </c>
      <c r="AX37" s="59" t="str">
        <f>IF(AND(D37&gt;0,AA37&gt;0),MIN(D37,AA37),"-")</f>
        <v>-</v>
      </c>
      <c r="AY37" s="59" t="str">
        <f>IF(AND(E37&gt;0,AB37&gt;0),MIN(E37,AB37),"-")</f>
        <v>-</v>
      </c>
      <c r="AZ37" s="59" t="str">
        <f>IF(AND(F37&gt;0,AC37&gt;0),MIN(F37,AC37),"-")</f>
        <v>-</v>
      </c>
      <c r="BA37" s="59" t="str">
        <f>IF(AND(G37&gt;0,AD37&gt;0),MIN(G37,AD37),"-")</f>
        <v>-</v>
      </c>
      <c r="BB37" s="59" t="str">
        <f>IF(AND(H37&gt;0,AE37&gt;0),MIN(H37,AE37),"-")</f>
        <v>-</v>
      </c>
      <c r="BC37" s="59" t="str">
        <f>IF(AND(I37&gt;0,AF37&gt;0),MIN(I37,AF37),"-")</f>
        <v>-</v>
      </c>
      <c r="BD37" s="59" t="str">
        <f>IF(AND(J37&gt;0,AG37&gt;0),MIN(J37,AG37),"-")</f>
        <v>-</v>
      </c>
      <c r="BE37" s="59" t="str">
        <f>IF(AND(K37&gt;0,AH37&gt;0),MIN(K37,AH37),"-")</f>
        <v>-</v>
      </c>
      <c r="BF37" s="59" t="str">
        <f>IF(AND(L37&gt;0,AI37&gt;0),MIN(L37,AI37),"-")</f>
        <v>-</v>
      </c>
      <c r="BG37" s="59" t="str">
        <f t="shared" si="8"/>
        <v>-</v>
      </c>
      <c r="BH37" s="59" t="str">
        <f>IF(AND(N37&gt;0,AK37&gt;0),MIN(N37,AK37),"-")</f>
        <v>-</v>
      </c>
      <c r="BI37" s="59" t="str">
        <f>IF(AND(O37&gt;0,AL37&gt;0),MIN(O37,AL37),"-")</f>
        <v>-</v>
      </c>
      <c r="BJ37" s="59" t="str">
        <f>IF(AND(P37&gt;0,AM37&gt;0),MIN(P37,AM37),"-")</f>
        <v>-</v>
      </c>
      <c r="BK37" s="59" t="str">
        <f>IF(AND(Q37&gt;0,AN37&gt;0),MIN(Q37,AN37),"-")</f>
        <v>-</v>
      </c>
      <c r="BL37" s="59" t="str">
        <f>IF(AND(R37&gt;0,AO37&gt;0),MIN(R37,AO37),"-")</f>
        <v>-</v>
      </c>
      <c r="BM37" s="59" t="str">
        <f>IF(AND(S37&gt;0,AP37&gt;0),MIN(S37,AP37),"-")</f>
        <v>-</v>
      </c>
      <c r="BN37" s="59" t="str">
        <f>IF(AND(T37&gt;0,AQ37&gt;0),MIN(T37,AQ37),"-")</f>
        <v>-</v>
      </c>
      <c r="BO37" s="59" t="str">
        <f>IF(AND(U37&gt;0,AR37&gt;0),MIN(U37,AR37),"-")</f>
        <v>-</v>
      </c>
      <c r="BP37" s="59" t="str">
        <f>IF(AND(V37&gt;0,AS37&gt;0),MIN(V37,AS37),"-")</f>
        <v>-</v>
      </c>
      <c r="BQ37" s="59" t="str">
        <f t="shared" si="9"/>
        <v>-</v>
      </c>
      <c r="BR37" s="59" t="str">
        <f t="shared" si="10"/>
        <v>-</v>
      </c>
      <c r="BS37" s="59" t="str">
        <f t="shared" si="11"/>
        <v>-</v>
      </c>
      <c r="BT37" s="98" t="str">
        <f>IF(ISNUMBER(BS37),BS37-(C37*Rules!$P$9/100),"-")</f>
        <v>-</v>
      </c>
      <c r="BU37" s="59" t="e">
        <f>RANK($BT37,$BT$5:$BT$106,1)+COUNTIF(BT$5:BT37,BT37)-1</f>
        <v>#VALUE!</v>
      </c>
      <c r="BV37" s="59" t="e">
        <f t="shared" si="12"/>
        <v>#VALUE!</v>
      </c>
      <c r="BW37" s="59" t="str">
        <f t="shared" si="13"/>
        <v xml:space="preserve"> </v>
      </c>
      <c r="BX37" s="59" t="str">
        <f t="shared" si="13"/>
        <v>-</v>
      </c>
      <c r="BY37" s="59" t="str">
        <f t="shared" si="14"/>
        <v>-</v>
      </c>
      <c r="CC37" s="4">
        <v>33</v>
      </c>
      <c r="CD37" s="2" t="e">
        <f>VLOOKUP(CC37,$BV$5:BY$215,1,FALSE)</f>
        <v>#N/A</v>
      </c>
      <c r="CE37" s="6" t="e">
        <f>VLOOKUP(CC37,$BV$5:BY$215,2,FALSE)</f>
        <v>#N/A</v>
      </c>
      <c r="CF37" s="103" t="e">
        <f>VLOOKUP(CC37,$BV$5:BY$215,4,FALSE)</f>
        <v>#N/A</v>
      </c>
      <c r="CL37" s="77">
        <v>1</v>
      </c>
    </row>
    <row r="38" spans="1:90" ht="17.45" customHeight="1">
      <c r="A38" s="58">
        <v>34</v>
      </c>
      <c r="B38" s="59" t="str">
        <f>'B Div'!A38 &amp; " " &amp; 'B Div'!B38</f>
        <v xml:space="preserve"> </v>
      </c>
      <c r="C38" s="59" t="str">
        <f>'B Div'!E38</f>
        <v>-</v>
      </c>
      <c r="D38" s="60"/>
      <c r="E38" s="60"/>
      <c r="F38" s="60"/>
      <c r="G38" s="60"/>
      <c r="H38" s="60"/>
      <c r="I38" s="60"/>
      <c r="J38" s="60"/>
      <c r="K38" s="60"/>
      <c r="L38" s="60"/>
      <c r="M38" s="74" t="str">
        <f t="shared" si="0"/>
        <v>-</v>
      </c>
      <c r="N38" s="60"/>
      <c r="O38" s="60"/>
      <c r="P38" s="60"/>
      <c r="Q38" s="60"/>
      <c r="R38" s="60"/>
      <c r="S38" s="60"/>
      <c r="T38" s="60"/>
      <c r="U38" s="60"/>
      <c r="V38" s="60"/>
      <c r="W38" s="74" t="str">
        <f t="shared" si="1"/>
        <v>-</v>
      </c>
      <c r="X38" s="74" t="str">
        <f t="shared" si="2"/>
        <v>-</v>
      </c>
      <c r="Y38" s="74" t="str">
        <f t="shared" si="3"/>
        <v>-</v>
      </c>
      <c r="AA38" s="60"/>
      <c r="AB38" s="60"/>
      <c r="AC38" s="60"/>
      <c r="AD38" s="60"/>
      <c r="AE38" s="60"/>
      <c r="AF38" s="60"/>
      <c r="AG38" s="60"/>
      <c r="AH38" s="60"/>
      <c r="AI38" s="60"/>
      <c r="AJ38" s="74" t="str">
        <f t="shared" si="4"/>
        <v>-</v>
      </c>
      <c r="AK38" s="60"/>
      <c r="AL38" s="60"/>
      <c r="AM38" s="60"/>
      <c r="AN38" s="60"/>
      <c r="AO38" s="60"/>
      <c r="AP38" s="60"/>
      <c r="AQ38" s="60"/>
      <c r="AR38" s="60"/>
      <c r="AS38" s="60"/>
      <c r="AT38" s="74" t="str">
        <f t="shared" si="5"/>
        <v>-</v>
      </c>
      <c r="AU38" s="74" t="str">
        <f t="shared" si="6"/>
        <v>-</v>
      </c>
      <c r="AV38" s="74" t="str">
        <f t="shared" si="7"/>
        <v>-</v>
      </c>
      <c r="AX38" s="59" t="str">
        <f>IF(AND(D38&gt;0,AA38&gt;0),MIN(D38,AA38),"-")</f>
        <v>-</v>
      </c>
      <c r="AY38" s="59" t="str">
        <f>IF(AND(E38&gt;0,AB38&gt;0),MIN(E38,AB38),"-")</f>
        <v>-</v>
      </c>
      <c r="AZ38" s="59" t="str">
        <f>IF(AND(F38&gt;0,AC38&gt;0),MIN(F38,AC38),"-")</f>
        <v>-</v>
      </c>
      <c r="BA38" s="59" t="str">
        <f>IF(AND(G38&gt;0,AD38&gt;0),MIN(G38,AD38),"-")</f>
        <v>-</v>
      </c>
      <c r="BB38" s="59" t="str">
        <f>IF(AND(H38&gt;0,AE38&gt;0),MIN(H38,AE38),"-")</f>
        <v>-</v>
      </c>
      <c r="BC38" s="59" t="str">
        <f>IF(AND(I38&gt;0,AF38&gt;0),MIN(I38,AF38),"-")</f>
        <v>-</v>
      </c>
      <c r="BD38" s="59" t="str">
        <f>IF(AND(J38&gt;0,AG38&gt;0),MIN(J38,AG38),"-")</f>
        <v>-</v>
      </c>
      <c r="BE38" s="59" t="str">
        <f>IF(AND(K38&gt;0,AH38&gt;0),MIN(K38,AH38),"-")</f>
        <v>-</v>
      </c>
      <c r="BF38" s="59" t="str">
        <f>IF(AND(L38&gt;0,AI38&gt;0),MIN(L38,AI38),"-")</f>
        <v>-</v>
      </c>
      <c r="BG38" s="59" t="str">
        <f t="shared" si="8"/>
        <v>-</v>
      </c>
      <c r="BH38" s="59" t="str">
        <f>IF(AND(N38&gt;0,AK38&gt;0),MIN(N38,AK38),"-")</f>
        <v>-</v>
      </c>
      <c r="BI38" s="59" t="str">
        <f>IF(AND(O38&gt;0,AL38&gt;0),MIN(O38,AL38),"-")</f>
        <v>-</v>
      </c>
      <c r="BJ38" s="59" t="str">
        <f>IF(AND(P38&gt;0,AM38&gt;0),MIN(P38,AM38),"-")</f>
        <v>-</v>
      </c>
      <c r="BK38" s="59" t="str">
        <f>IF(AND(Q38&gt;0,AN38&gt;0),MIN(Q38,AN38),"-")</f>
        <v>-</v>
      </c>
      <c r="BL38" s="59" t="str">
        <f>IF(AND(R38&gt;0,AO38&gt;0),MIN(R38,AO38),"-")</f>
        <v>-</v>
      </c>
      <c r="BM38" s="59" t="str">
        <f>IF(AND(S38&gt;0,AP38&gt;0),MIN(S38,AP38),"-")</f>
        <v>-</v>
      </c>
      <c r="BN38" s="59" t="str">
        <f>IF(AND(T38&gt;0,AQ38&gt;0),MIN(T38,AQ38),"-")</f>
        <v>-</v>
      </c>
      <c r="BO38" s="59" t="str">
        <f>IF(AND(U38&gt;0,AR38&gt;0),MIN(U38,AR38),"-")</f>
        <v>-</v>
      </c>
      <c r="BP38" s="59" t="str">
        <f>IF(AND(V38&gt;0,AS38&gt;0),MIN(V38,AS38),"-")</f>
        <v>-</v>
      </c>
      <c r="BQ38" s="59" t="str">
        <f t="shared" si="9"/>
        <v>-</v>
      </c>
      <c r="BR38" s="59" t="str">
        <f t="shared" si="10"/>
        <v>-</v>
      </c>
      <c r="BS38" s="59" t="str">
        <f t="shared" si="11"/>
        <v>-</v>
      </c>
      <c r="BT38" s="98" t="str">
        <f>IF(ISNUMBER(BS38),BS38-(C38*Rules!$P$9/100),"-")</f>
        <v>-</v>
      </c>
      <c r="BU38" s="59" t="e">
        <f>RANK($BT38,$BT$5:$BT$106,1)+COUNTIF(BT$5:BT38,BT38)-1</f>
        <v>#VALUE!</v>
      </c>
      <c r="BV38" s="59" t="e">
        <f t="shared" si="12"/>
        <v>#VALUE!</v>
      </c>
      <c r="BW38" s="59" t="str">
        <f t="shared" si="13"/>
        <v xml:space="preserve"> </v>
      </c>
      <c r="BX38" s="59" t="str">
        <f t="shared" si="13"/>
        <v>-</v>
      </c>
      <c r="BY38" s="59" t="str">
        <f t="shared" si="14"/>
        <v>-</v>
      </c>
      <c r="CC38" s="4">
        <v>34</v>
      </c>
      <c r="CD38" s="2" t="e">
        <f>VLOOKUP(CC38,$BV$5:BY$215,1,FALSE)</f>
        <v>#N/A</v>
      </c>
      <c r="CE38" s="6" t="e">
        <f>VLOOKUP(CC38,$BV$5:BY$215,2,FALSE)</f>
        <v>#N/A</v>
      </c>
      <c r="CF38" s="103" t="e">
        <f>VLOOKUP(CC38,$BV$5:BY$215,4,FALSE)</f>
        <v>#N/A</v>
      </c>
      <c r="CL38" s="77">
        <v>1</v>
      </c>
    </row>
    <row r="39" spans="1:90" ht="17.45" customHeight="1">
      <c r="A39" s="58">
        <v>35</v>
      </c>
      <c r="B39" s="59" t="str">
        <f>'B Div'!A39 &amp; " " &amp; 'B Div'!B39</f>
        <v xml:space="preserve"> </v>
      </c>
      <c r="C39" s="59" t="str">
        <f>'B Div'!E39</f>
        <v>-</v>
      </c>
      <c r="D39" s="60"/>
      <c r="E39" s="60"/>
      <c r="F39" s="60"/>
      <c r="G39" s="60"/>
      <c r="H39" s="60"/>
      <c r="I39" s="60"/>
      <c r="J39" s="60"/>
      <c r="K39" s="60"/>
      <c r="L39" s="60"/>
      <c r="M39" s="74" t="str">
        <f t="shared" si="0"/>
        <v>-</v>
      </c>
      <c r="N39" s="60"/>
      <c r="O39" s="60"/>
      <c r="P39" s="60"/>
      <c r="Q39" s="60"/>
      <c r="R39" s="60"/>
      <c r="S39" s="60"/>
      <c r="T39" s="60"/>
      <c r="U39" s="60"/>
      <c r="V39" s="60"/>
      <c r="W39" s="74" t="str">
        <f t="shared" si="1"/>
        <v>-</v>
      </c>
      <c r="X39" s="74" t="str">
        <f t="shared" si="2"/>
        <v>-</v>
      </c>
      <c r="Y39" s="74" t="str">
        <f t="shared" si="3"/>
        <v>-</v>
      </c>
      <c r="AA39" s="60"/>
      <c r="AB39" s="60"/>
      <c r="AC39" s="60"/>
      <c r="AD39" s="60"/>
      <c r="AE39" s="60"/>
      <c r="AF39" s="60"/>
      <c r="AG39" s="60"/>
      <c r="AH39" s="60"/>
      <c r="AI39" s="60"/>
      <c r="AJ39" s="74" t="str">
        <f t="shared" si="4"/>
        <v>-</v>
      </c>
      <c r="AK39" s="60"/>
      <c r="AL39" s="60"/>
      <c r="AM39" s="60"/>
      <c r="AN39" s="60"/>
      <c r="AO39" s="60"/>
      <c r="AP39" s="60"/>
      <c r="AQ39" s="60"/>
      <c r="AR39" s="60"/>
      <c r="AS39" s="60"/>
      <c r="AT39" s="74" t="str">
        <f t="shared" si="5"/>
        <v>-</v>
      </c>
      <c r="AU39" s="74" t="str">
        <f t="shared" si="6"/>
        <v>-</v>
      </c>
      <c r="AV39" s="74" t="str">
        <f t="shared" si="7"/>
        <v>-</v>
      </c>
      <c r="AX39" s="59" t="str">
        <f>IF(AND(D39&gt;0,AA39&gt;0),MIN(D39,AA39),"-")</f>
        <v>-</v>
      </c>
      <c r="AY39" s="59" t="str">
        <f>IF(AND(E39&gt;0,AB39&gt;0),MIN(E39,AB39),"-")</f>
        <v>-</v>
      </c>
      <c r="AZ39" s="59" t="str">
        <f>IF(AND(F39&gt;0,AC39&gt;0),MIN(F39,AC39),"-")</f>
        <v>-</v>
      </c>
      <c r="BA39" s="59" t="str">
        <f>IF(AND(G39&gt;0,AD39&gt;0),MIN(G39,AD39),"-")</f>
        <v>-</v>
      </c>
      <c r="BB39" s="59" t="str">
        <f>IF(AND(H39&gt;0,AE39&gt;0),MIN(H39,AE39),"-")</f>
        <v>-</v>
      </c>
      <c r="BC39" s="59" t="str">
        <f>IF(AND(I39&gt;0,AF39&gt;0),MIN(I39,AF39),"-")</f>
        <v>-</v>
      </c>
      <c r="BD39" s="59" t="str">
        <f>IF(AND(J39&gt;0,AG39&gt;0),MIN(J39,AG39),"-")</f>
        <v>-</v>
      </c>
      <c r="BE39" s="59" t="str">
        <f>IF(AND(K39&gt;0,AH39&gt;0),MIN(K39,AH39),"-")</f>
        <v>-</v>
      </c>
      <c r="BF39" s="59" t="str">
        <f>IF(AND(L39&gt;0,AI39&gt;0),MIN(L39,AI39),"-")</f>
        <v>-</v>
      </c>
      <c r="BG39" s="59" t="str">
        <f t="shared" si="8"/>
        <v>-</v>
      </c>
      <c r="BH39" s="59" t="str">
        <f>IF(AND(N39&gt;0,AK39&gt;0),MIN(N39,AK39),"-")</f>
        <v>-</v>
      </c>
      <c r="BI39" s="59" t="str">
        <f>IF(AND(O39&gt;0,AL39&gt;0),MIN(O39,AL39),"-")</f>
        <v>-</v>
      </c>
      <c r="BJ39" s="59" t="str">
        <f>IF(AND(P39&gt;0,AM39&gt;0),MIN(P39,AM39),"-")</f>
        <v>-</v>
      </c>
      <c r="BK39" s="59" t="str">
        <f>IF(AND(Q39&gt;0,AN39&gt;0),MIN(Q39,AN39),"-")</f>
        <v>-</v>
      </c>
      <c r="BL39" s="59" t="str">
        <f>IF(AND(R39&gt;0,AO39&gt;0),MIN(R39,AO39),"-")</f>
        <v>-</v>
      </c>
      <c r="BM39" s="59" t="str">
        <f>IF(AND(S39&gt;0,AP39&gt;0),MIN(S39,AP39),"-")</f>
        <v>-</v>
      </c>
      <c r="BN39" s="59" t="str">
        <f>IF(AND(T39&gt;0,AQ39&gt;0),MIN(T39,AQ39),"-")</f>
        <v>-</v>
      </c>
      <c r="BO39" s="59" t="str">
        <f>IF(AND(U39&gt;0,AR39&gt;0),MIN(U39,AR39),"-")</f>
        <v>-</v>
      </c>
      <c r="BP39" s="59" t="str">
        <f>IF(AND(V39&gt;0,AS39&gt;0),MIN(V39,AS39),"-")</f>
        <v>-</v>
      </c>
      <c r="BQ39" s="59" t="str">
        <f t="shared" si="9"/>
        <v>-</v>
      </c>
      <c r="BR39" s="59" t="str">
        <f t="shared" si="10"/>
        <v>-</v>
      </c>
      <c r="BS39" s="59" t="str">
        <f t="shared" si="11"/>
        <v>-</v>
      </c>
      <c r="BT39" s="98" t="str">
        <f>IF(ISNUMBER(BS39),BS39-(C39*Rules!$P$9/100),"-")</f>
        <v>-</v>
      </c>
      <c r="BU39" s="59" t="e">
        <f>RANK($BT39,$BT$5:$BT$106,1)+COUNTIF(BT$5:BT39,BT39)-1</f>
        <v>#VALUE!</v>
      </c>
      <c r="BV39" s="59" t="e">
        <f t="shared" si="12"/>
        <v>#VALUE!</v>
      </c>
      <c r="BW39" s="59" t="str">
        <f t="shared" si="13"/>
        <v xml:space="preserve"> </v>
      </c>
      <c r="BX39" s="59" t="str">
        <f t="shared" si="13"/>
        <v>-</v>
      </c>
      <c r="BY39" s="59" t="str">
        <f t="shared" si="14"/>
        <v>-</v>
      </c>
      <c r="CC39" s="4">
        <v>35</v>
      </c>
      <c r="CD39" s="2" t="e">
        <f>VLOOKUP(CC39,$BV$5:BY$215,1,FALSE)</f>
        <v>#N/A</v>
      </c>
      <c r="CE39" s="6" t="e">
        <f>VLOOKUP(CC39,$BV$5:BY$215,2,FALSE)</f>
        <v>#N/A</v>
      </c>
      <c r="CF39" s="103" t="e">
        <f>VLOOKUP(CC39,$BV$5:BY$215,4,FALSE)</f>
        <v>#N/A</v>
      </c>
      <c r="CL39" s="77">
        <v>1</v>
      </c>
    </row>
    <row r="40" spans="1:90" ht="17.45" customHeight="1">
      <c r="A40" s="58">
        <v>36</v>
      </c>
      <c r="B40" s="59" t="str">
        <f>'B Div'!A40 &amp; " " &amp; 'B Div'!B40</f>
        <v xml:space="preserve"> </v>
      </c>
      <c r="C40" s="59" t="str">
        <f>'B Div'!E40</f>
        <v>-</v>
      </c>
      <c r="D40" s="60"/>
      <c r="E40" s="60"/>
      <c r="F40" s="60"/>
      <c r="G40" s="60"/>
      <c r="H40" s="60"/>
      <c r="I40" s="60"/>
      <c r="J40" s="60"/>
      <c r="K40" s="60"/>
      <c r="L40" s="60"/>
      <c r="M40" s="74" t="str">
        <f t="shared" si="0"/>
        <v>-</v>
      </c>
      <c r="N40" s="60"/>
      <c r="O40" s="60"/>
      <c r="P40" s="60"/>
      <c r="Q40" s="60"/>
      <c r="R40" s="60"/>
      <c r="S40" s="60"/>
      <c r="T40" s="60"/>
      <c r="U40" s="60"/>
      <c r="V40" s="60"/>
      <c r="W40" s="74" t="str">
        <f t="shared" si="1"/>
        <v>-</v>
      </c>
      <c r="X40" s="74" t="str">
        <f t="shared" si="2"/>
        <v>-</v>
      </c>
      <c r="Y40" s="74" t="str">
        <f t="shared" si="3"/>
        <v>-</v>
      </c>
      <c r="AA40" s="60"/>
      <c r="AB40" s="60"/>
      <c r="AC40" s="60"/>
      <c r="AD40" s="60"/>
      <c r="AE40" s="60"/>
      <c r="AF40" s="60"/>
      <c r="AG40" s="60"/>
      <c r="AH40" s="60"/>
      <c r="AI40" s="60"/>
      <c r="AJ40" s="74" t="str">
        <f t="shared" si="4"/>
        <v>-</v>
      </c>
      <c r="AK40" s="60"/>
      <c r="AL40" s="60"/>
      <c r="AM40" s="60"/>
      <c r="AN40" s="60"/>
      <c r="AO40" s="60"/>
      <c r="AP40" s="60"/>
      <c r="AQ40" s="60"/>
      <c r="AR40" s="60"/>
      <c r="AS40" s="60"/>
      <c r="AT40" s="74" t="str">
        <f t="shared" si="5"/>
        <v>-</v>
      </c>
      <c r="AU40" s="74" t="str">
        <f t="shared" si="6"/>
        <v>-</v>
      </c>
      <c r="AV40" s="74" t="str">
        <f t="shared" si="7"/>
        <v>-</v>
      </c>
      <c r="AX40" s="59" t="str">
        <f>IF(AND(D40&gt;0,AA40&gt;0),MIN(D40,AA40),"-")</f>
        <v>-</v>
      </c>
      <c r="AY40" s="59" t="str">
        <f>IF(AND(E40&gt;0,AB40&gt;0),MIN(E40,AB40),"-")</f>
        <v>-</v>
      </c>
      <c r="AZ40" s="59" t="str">
        <f>IF(AND(F40&gt;0,AC40&gt;0),MIN(F40,AC40),"-")</f>
        <v>-</v>
      </c>
      <c r="BA40" s="59" t="str">
        <f>IF(AND(G40&gt;0,AD40&gt;0),MIN(G40,AD40),"-")</f>
        <v>-</v>
      </c>
      <c r="BB40" s="59" t="str">
        <f>IF(AND(H40&gt;0,AE40&gt;0),MIN(H40,AE40),"-")</f>
        <v>-</v>
      </c>
      <c r="BC40" s="59" t="str">
        <f>IF(AND(I40&gt;0,AF40&gt;0),MIN(I40,AF40),"-")</f>
        <v>-</v>
      </c>
      <c r="BD40" s="59" t="str">
        <f>IF(AND(J40&gt;0,AG40&gt;0),MIN(J40,AG40),"-")</f>
        <v>-</v>
      </c>
      <c r="BE40" s="59" t="str">
        <f>IF(AND(K40&gt;0,AH40&gt;0),MIN(K40,AH40),"-")</f>
        <v>-</v>
      </c>
      <c r="BF40" s="59" t="str">
        <f>IF(AND(L40&gt;0,AI40&gt;0),MIN(L40,AI40),"-")</f>
        <v>-</v>
      </c>
      <c r="BG40" s="59" t="str">
        <f t="shared" si="8"/>
        <v>-</v>
      </c>
      <c r="BH40" s="59" t="str">
        <f>IF(AND(N40&gt;0,AK40&gt;0),MIN(N40,AK40),"-")</f>
        <v>-</v>
      </c>
      <c r="BI40" s="59" t="str">
        <f>IF(AND(O40&gt;0,AL40&gt;0),MIN(O40,AL40),"-")</f>
        <v>-</v>
      </c>
      <c r="BJ40" s="59" t="str">
        <f>IF(AND(P40&gt;0,AM40&gt;0),MIN(P40,AM40),"-")</f>
        <v>-</v>
      </c>
      <c r="BK40" s="59" t="str">
        <f>IF(AND(Q40&gt;0,AN40&gt;0),MIN(Q40,AN40),"-")</f>
        <v>-</v>
      </c>
      <c r="BL40" s="59" t="str">
        <f>IF(AND(R40&gt;0,AO40&gt;0),MIN(R40,AO40),"-")</f>
        <v>-</v>
      </c>
      <c r="BM40" s="59" t="str">
        <f>IF(AND(S40&gt;0,AP40&gt;0),MIN(S40,AP40),"-")</f>
        <v>-</v>
      </c>
      <c r="BN40" s="59" t="str">
        <f>IF(AND(T40&gt;0,AQ40&gt;0),MIN(T40,AQ40),"-")</f>
        <v>-</v>
      </c>
      <c r="BO40" s="59" t="str">
        <f>IF(AND(U40&gt;0,AR40&gt;0),MIN(U40,AR40),"-")</f>
        <v>-</v>
      </c>
      <c r="BP40" s="59" t="str">
        <f>IF(AND(V40&gt;0,AS40&gt;0),MIN(V40,AS40),"-")</f>
        <v>-</v>
      </c>
      <c r="BQ40" s="59" t="str">
        <f t="shared" si="9"/>
        <v>-</v>
      </c>
      <c r="BR40" s="59" t="str">
        <f t="shared" si="10"/>
        <v>-</v>
      </c>
      <c r="BS40" s="59" t="str">
        <f t="shared" si="11"/>
        <v>-</v>
      </c>
      <c r="BT40" s="98" t="str">
        <f>IF(ISNUMBER(BS40),BS40-(C40*Rules!$P$9/100),"-")</f>
        <v>-</v>
      </c>
      <c r="BU40" s="59" t="e">
        <f>RANK($BT40,$BT$5:$BT$106,1)+COUNTIF(BT$5:BT40,BT40)-1</f>
        <v>#VALUE!</v>
      </c>
      <c r="BV40" s="59" t="e">
        <f t="shared" si="12"/>
        <v>#VALUE!</v>
      </c>
      <c r="BW40" s="59" t="str">
        <f t="shared" si="13"/>
        <v xml:space="preserve"> </v>
      </c>
      <c r="BX40" s="59" t="str">
        <f t="shared" si="13"/>
        <v>-</v>
      </c>
      <c r="BY40" s="59" t="str">
        <f t="shared" si="14"/>
        <v>-</v>
      </c>
      <c r="CC40" s="4">
        <v>36</v>
      </c>
      <c r="CD40" s="2" t="e">
        <f>VLOOKUP(CC40,$BV$5:BY$215,1,FALSE)</f>
        <v>#N/A</v>
      </c>
      <c r="CE40" s="6" t="e">
        <f>VLOOKUP(CC40,$BV$5:BY$215,2,FALSE)</f>
        <v>#N/A</v>
      </c>
      <c r="CF40" s="103" t="e">
        <f>VLOOKUP(CC40,$BV$5:BY$215,4,FALSE)</f>
        <v>#N/A</v>
      </c>
      <c r="CL40" s="77">
        <v>1</v>
      </c>
    </row>
    <row r="41" spans="1:90" ht="17.45" customHeight="1">
      <c r="A41" s="58">
        <v>37</v>
      </c>
      <c r="B41" s="59" t="str">
        <f>'B Div'!A41 &amp; " " &amp; 'B Div'!B41</f>
        <v xml:space="preserve"> </v>
      </c>
      <c r="C41" s="59" t="str">
        <f>'B Div'!E41</f>
        <v>-</v>
      </c>
      <c r="D41" s="60"/>
      <c r="E41" s="60"/>
      <c r="F41" s="60"/>
      <c r="G41" s="60"/>
      <c r="H41" s="60"/>
      <c r="I41" s="60"/>
      <c r="J41" s="60"/>
      <c r="K41" s="60"/>
      <c r="L41" s="60"/>
      <c r="M41" s="74" t="str">
        <f t="shared" si="0"/>
        <v>-</v>
      </c>
      <c r="N41" s="60"/>
      <c r="O41" s="60"/>
      <c r="P41" s="60"/>
      <c r="Q41" s="60"/>
      <c r="R41" s="60"/>
      <c r="S41" s="60"/>
      <c r="T41" s="60"/>
      <c r="U41" s="60"/>
      <c r="V41" s="60"/>
      <c r="W41" s="74" t="str">
        <f t="shared" si="1"/>
        <v>-</v>
      </c>
      <c r="X41" s="74" t="str">
        <f t="shared" si="2"/>
        <v>-</v>
      </c>
      <c r="Y41" s="74" t="str">
        <f t="shared" si="3"/>
        <v>-</v>
      </c>
      <c r="AA41" s="60"/>
      <c r="AB41" s="60"/>
      <c r="AC41" s="60"/>
      <c r="AD41" s="60"/>
      <c r="AE41" s="60"/>
      <c r="AF41" s="60"/>
      <c r="AG41" s="60"/>
      <c r="AH41" s="60"/>
      <c r="AI41" s="60"/>
      <c r="AJ41" s="74" t="str">
        <f t="shared" si="4"/>
        <v>-</v>
      </c>
      <c r="AK41" s="60"/>
      <c r="AL41" s="60"/>
      <c r="AM41" s="60"/>
      <c r="AN41" s="60"/>
      <c r="AO41" s="60"/>
      <c r="AP41" s="60"/>
      <c r="AQ41" s="60"/>
      <c r="AR41" s="60"/>
      <c r="AS41" s="60"/>
      <c r="AT41" s="74" t="str">
        <f t="shared" si="5"/>
        <v>-</v>
      </c>
      <c r="AU41" s="74" t="str">
        <f t="shared" si="6"/>
        <v>-</v>
      </c>
      <c r="AV41" s="74" t="str">
        <f t="shared" si="7"/>
        <v>-</v>
      </c>
      <c r="AX41" s="59" t="str">
        <f>IF(AND(D41&gt;0,AA41&gt;0),MIN(D41,AA41),"-")</f>
        <v>-</v>
      </c>
      <c r="AY41" s="59" t="str">
        <f>IF(AND(E41&gt;0,AB41&gt;0),MIN(E41,AB41),"-")</f>
        <v>-</v>
      </c>
      <c r="AZ41" s="59" t="str">
        <f>IF(AND(F41&gt;0,AC41&gt;0),MIN(F41,AC41),"-")</f>
        <v>-</v>
      </c>
      <c r="BA41" s="59" t="str">
        <f>IF(AND(G41&gt;0,AD41&gt;0),MIN(G41,AD41),"-")</f>
        <v>-</v>
      </c>
      <c r="BB41" s="59" t="str">
        <f>IF(AND(H41&gt;0,AE41&gt;0),MIN(H41,AE41),"-")</f>
        <v>-</v>
      </c>
      <c r="BC41" s="59" t="str">
        <f>IF(AND(I41&gt;0,AF41&gt;0),MIN(I41,AF41),"-")</f>
        <v>-</v>
      </c>
      <c r="BD41" s="59" t="str">
        <f>IF(AND(J41&gt;0,AG41&gt;0),MIN(J41,AG41),"-")</f>
        <v>-</v>
      </c>
      <c r="BE41" s="59" t="str">
        <f>IF(AND(K41&gt;0,AH41&gt;0),MIN(K41,AH41),"-")</f>
        <v>-</v>
      </c>
      <c r="BF41" s="59" t="str">
        <f>IF(AND(L41&gt;0,AI41&gt;0),MIN(L41,AI41),"-")</f>
        <v>-</v>
      </c>
      <c r="BG41" s="59" t="str">
        <f t="shared" si="8"/>
        <v>-</v>
      </c>
      <c r="BH41" s="59" t="str">
        <f>IF(AND(N41&gt;0,AK41&gt;0),MIN(N41,AK41),"-")</f>
        <v>-</v>
      </c>
      <c r="BI41" s="59" t="str">
        <f>IF(AND(O41&gt;0,AL41&gt;0),MIN(O41,AL41),"-")</f>
        <v>-</v>
      </c>
      <c r="BJ41" s="59" t="str">
        <f>IF(AND(P41&gt;0,AM41&gt;0),MIN(P41,AM41),"-")</f>
        <v>-</v>
      </c>
      <c r="BK41" s="59" t="str">
        <f>IF(AND(Q41&gt;0,AN41&gt;0),MIN(Q41,AN41),"-")</f>
        <v>-</v>
      </c>
      <c r="BL41" s="59" t="str">
        <f>IF(AND(R41&gt;0,AO41&gt;0),MIN(R41,AO41),"-")</f>
        <v>-</v>
      </c>
      <c r="BM41" s="59" t="str">
        <f>IF(AND(S41&gt;0,AP41&gt;0),MIN(S41,AP41),"-")</f>
        <v>-</v>
      </c>
      <c r="BN41" s="59" t="str">
        <f>IF(AND(T41&gt;0,AQ41&gt;0),MIN(T41,AQ41),"-")</f>
        <v>-</v>
      </c>
      <c r="BO41" s="59" t="str">
        <f>IF(AND(U41&gt;0,AR41&gt;0),MIN(U41,AR41),"-")</f>
        <v>-</v>
      </c>
      <c r="BP41" s="59" t="str">
        <f>IF(AND(V41&gt;0,AS41&gt;0),MIN(V41,AS41),"-")</f>
        <v>-</v>
      </c>
      <c r="BQ41" s="59" t="str">
        <f t="shared" si="9"/>
        <v>-</v>
      </c>
      <c r="BR41" s="59" t="str">
        <f t="shared" si="10"/>
        <v>-</v>
      </c>
      <c r="BS41" s="59" t="str">
        <f t="shared" si="11"/>
        <v>-</v>
      </c>
      <c r="BT41" s="98" t="str">
        <f>IF(ISNUMBER(BS41),BS41-(C41*Rules!$P$9/100),"-")</f>
        <v>-</v>
      </c>
      <c r="BU41" s="59" t="e">
        <f>RANK($BT41,$BT$5:$BT$106,1)+COUNTIF(BT$5:BT41,BT41)-1</f>
        <v>#VALUE!</v>
      </c>
      <c r="BV41" s="59" t="e">
        <f t="shared" si="12"/>
        <v>#VALUE!</v>
      </c>
      <c r="BW41" s="59" t="str">
        <f t="shared" si="13"/>
        <v xml:space="preserve"> </v>
      </c>
      <c r="BX41" s="59" t="str">
        <f t="shared" si="13"/>
        <v>-</v>
      </c>
      <c r="BY41" s="59" t="str">
        <f t="shared" si="14"/>
        <v>-</v>
      </c>
      <c r="CC41" s="4">
        <v>37</v>
      </c>
      <c r="CD41" s="2" t="e">
        <f>VLOOKUP(CC41,$BV$5:BY$215,1,FALSE)</f>
        <v>#N/A</v>
      </c>
      <c r="CE41" s="6" t="e">
        <f>VLOOKUP(CC41,$BV$5:BY$215,2,FALSE)</f>
        <v>#N/A</v>
      </c>
      <c r="CF41" s="103" t="e">
        <f>VLOOKUP(CC41,$BV$5:BY$215,4,FALSE)</f>
        <v>#N/A</v>
      </c>
      <c r="CL41" s="77">
        <v>1</v>
      </c>
    </row>
    <row r="42" spans="1:90" ht="17.45" customHeight="1">
      <c r="A42" s="58">
        <v>38</v>
      </c>
      <c r="B42" s="59" t="str">
        <f>'B Div'!A42 &amp; " " &amp; 'B Div'!B42</f>
        <v xml:space="preserve"> </v>
      </c>
      <c r="C42" s="59" t="str">
        <f>'B Div'!E42</f>
        <v>-</v>
      </c>
      <c r="D42" s="60"/>
      <c r="E42" s="60"/>
      <c r="F42" s="60"/>
      <c r="G42" s="60"/>
      <c r="H42" s="60"/>
      <c r="I42" s="60"/>
      <c r="J42" s="60"/>
      <c r="K42" s="60"/>
      <c r="L42" s="60"/>
      <c r="M42" s="74" t="str">
        <f t="shared" si="0"/>
        <v>-</v>
      </c>
      <c r="N42" s="60"/>
      <c r="O42" s="60"/>
      <c r="P42" s="60"/>
      <c r="Q42" s="60"/>
      <c r="R42" s="60"/>
      <c r="S42" s="60"/>
      <c r="T42" s="60"/>
      <c r="U42" s="60"/>
      <c r="V42" s="60"/>
      <c r="W42" s="74" t="str">
        <f t="shared" si="1"/>
        <v>-</v>
      </c>
      <c r="X42" s="74" t="str">
        <f t="shared" si="2"/>
        <v>-</v>
      </c>
      <c r="Y42" s="74" t="str">
        <f t="shared" si="3"/>
        <v>-</v>
      </c>
      <c r="AA42" s="60"/>
      <c r="AB42" s="60"/>
      <c r="AC42" s="60"/>
      <c r="AD42" s="60"/>
      <c r="AE42" s="60"/>
      <c r="AF42" s="60"/>
      <c r="AG42" s="60"/>
      <c r="AH42" s="60"/>
      <c r="AI42" s="60"/>
      <c r="AJ42" s="74" t="str">
        <f t="shared" si="4"/>
        <v>-</v>
      </c>
      <c r="AK42" s="60"/>
      <c r="AL42" s="60"/>
      <c r="AM42" s="60"/>
      <c r="AN42" s="60"/>
      <c r="AO42" s="60"/>
      <c r="AP42" s="60"/>
      <c r="AQ42" s="60"/>
      <c r="AR42" s="60"/>
      <c r="AS42" s="60"/>
      <c r="AT42" s="74" t="str">
        <f t="shared" si="5"/>
        <v>-</v>
      </c>
      <c r="AU42" s="74" t="str">
        <f t="shared" si="6"/>
        <v>-</v>
      </c>
      <c r="AV42" s="74" t="str">
        <f t="shared" si="7"/>
        <v>-</v>
      </c>
      <c r="AX42" s="59" t="str">
        <f>IF(AND(D42&gt;0,AA42&gt;0),MIN(D42,AA42),"-")</f>
        <v>-</v>
      </c>
      <c r="AY42" s="59" t="str">
        <f>IF(AND(E42&gt;0,AB42&gt;0),MIN(E42,AB42),"-")</f>
        <v>-</v>
      </c>
      <c r="AZ42" s="59" t="str">
        <f>IF(AND(F42&gt;0,AC42&gt;0),MIN(F42,AC42),"-")</f>
        <v>-</v>
      </c>
      <c r="BA42" s="59" t="str">
        <f>IF(AND(G42&gt;0,AD42&gt;0),MIN(G42,AD42),"-")</f>
        <v>-</v>
      </c>
      <c r="BB42" s="59" t="str">
        <f>IF(AND(H42&gt;0,AE42&gt;0),MIN(H42,AE42),"-")</f>
        <v>-</v>
      </c>
      <c r="BC42" s="59" t="str">
        <f>IF(AND(I42&gt;0,AF42&gt;0),MIN(I42,AF42),"-")</f>
        <v>-</v>
      </c>
      <c r="BD42" s="59" t="str">
        <f>IF(AND(J42&gt;0,AG42&gt;0),MIN(J42,AG42),"-")</f>
        <v>-</v>
      </c>
      <c r="BE42" s="59" t="str">
        <f>IF(AND(K42&gt;0,AH42&gt;0),MIN(K42,AH42),"-")</f>
        <v>-</v>
      </c>
      <c r="BF42" s="59" t="str">
        <f>IF(AND(L42&gt;0,AI42&gt;0),MIN(L42,AI42),"-")</f>
        <v>-</v>
      </c>
      <c r="BG42" s="59" t="str">
        <f t="shared" si="8"/>
        <v>-</v>
      </c>
      <c r="BH42" s="59" t="str">
        <f>IF(AND(N42&gt;0,AK42&gt;0),MIN(N42,AK42),"-")</f>
        <v>-</v>
      </c>
      <c r="BI42" s="59" t="str">
        <f>IF(AND(O42&gt;0,AL42&gt;0),MIN(O42,AL42),"-")</f>
        <v>-</v>
      </c>
      <c r="BJ42" s="59" t="str">
        <f>IF(AND(P42&gt;0,AM42&gt;0),MIN(P42,AM42),"-")</f>
        <v>-</v>
      </c>
      <c r="BK42" s="59" t="str">
        <f>IF(AND(Q42&gt;0,AN42&gt;0),MIN(Q42,AN42),"-")</f>
        <v>-</v>
      </c>
      <c r="BL42" s="59" t="str">
        <f>IF(AND(R42&gt;0,AO42&gt;0),MIN(R42,AO42),"-")</f>
        <v>-</v>
      </c>
      <c r="BM42" s="59" t="str">
        <f>IF(AND(S42&gt;0,AP42&gt;0),MIN(S42,AP42),"-")</f>
        <v>-</v>
      </c>
      <c r="BN42" s="59" t="str">
        <f>IF(AND(T42&gt;0,AQ42&gt;0),MIN(T42,AQ42),"-")</f>
        <v>-</v>
      </c>
      <c r="BO42" s="59" t="str">
        <f>IF(AND(U42&gt;0,AR42&gt;0),MIN(U42,AR42),"-")</f>
        <v>-</v>
      </c>
      <c r="BP42" s="59" t="str">
        <f>IF(AND(V42&gt;0,AS42&gt;0),MIN(V42,AS42),"-")</f>
        <v>-</v>
      </c>
      <c r="BQ42" s="59" t="str">
        <f t="shared" si="9"/>
        <v>-</v>
      </c>
      <c r="BR42" s="59" t="str">
        <f t="shared" si="10"/>
        <v>-</v>
      </c>
      <c r="BS42" s="59" t="str">
        <f t="shared" si="11"/>
        <v>-</v>
      </c>
      <c r="BT42" s="98" t="str">
        <f>IF(ISNUMBER(BS42),BS42-(C42*Rules!$P$9/100),"-")</f>
        <v>-</v>
      </c>
      <c r="BU42" s="59" t="e">
        <f>RANK($BT42,$BT$5:$BT$106,1)+COUNTIF(BT$5:BT42,BT42)-1</f>
        <v>#VALUE!</v>
      </c>
      <c r="BV42" s="59" t="e">
        <f t="shared" si="12"/>
        <v>#VALUE!</v>
      </c>
      <c r="BW42" s="59" t="str">
        <f t="shared" si="13"/>
        <v xml:space="preserve"> </v>
      </c>
      <c r="BX42" s="59" t="str">
        <f t="shared" si="13"/>
        <v>-</v>
      </c>
      <c r="BY42" s="59" t="str">
        <f t="shared" si="14"/>
        <v>-</v>
      </c>
      <c r="CC42" s="4">
        <v>38</v>
      </c>
      <c r="CD42" s="2" t="e">
        <f>VLOOKUP(CC42,$BV$5:BY$215,1,FALSE)</f>
        <v>#N/A</v>
      </c>
      <c r="CE42" s="6" t="e">
        <f>VLOOKUP(CC42,$BV$5:BY$215,2,FALSE)</f>
        <v>#N/A</v>
      </c>
      <c r="CF42" s="103" t="e">
        <f>VLOOKUP(CC42,$BV$5:BY$215,4,FALSE)</f>
        <v>#N/A</v>
      </c>
      <c r="CL42" s="77">
        <v>1</v>
      </c>
    </row>
    <row r="43" spans="1:90" ht="17.45" customHeight="1">
      <c r="A43" s="58">
        <v>39</v>
      </c>
      <c r="B43" s="59" t="str">
        <f>'B Div'!A43 &amp; " " &amp; 'B Div'!B43</f>
        <v xml:space="preserve"> </v>
      </c>
      <c r="C43" s="59" t="str">
        <f>'B Div'!E43</f>
        <v>-</v>
      </c>
      <c r="D43" s="60"/>
      <c r="E43" s="60"/>
      <c r="F43" s="60"/>
      <c r="G43" s="60"/>
      <c r="H43" s="60"/>
      <c r="I43" s="60"/>
      <c r="J43" s="60"/>
      <c r="K43" s="60"/>
      <c r="L43" s="60"/>
      <c r="M43" s="74" t="str">
        <f t="shared" si="0"/>
        <v>-</v>
      </c>
      <c r="N43" s="60"/>
      <c r="O43" s="60"/>
      <c r="P43" s="60"/>
      <c r="Q43" s="60"/>
      <c r="R43" s="60"/>
      <c r="S43" s="60"/>
      <c r="T43" s="60"/>
      <c r="U43" s="60"/>
      <c r="V43" s="60"/>
      <c r="W43" s="74" t="str">
        <f t="shared" si="1"/>
        <v>-</v>
      </c>
      <c r="X43" s="74" t="str">
        <f t="shared" si="2"/>
        <v>-</v>
      </c>
      <c r="Y43" s="74" t="str">
        <f t="shared" si="3"/>
        <v>-</v>
      </c>
      <c r="AA43" s="60"/>
      <c r="AB43" s="60"/>
      <c r="AC43" s="60"/>
      <c r="AD43" s="60"/>
      <c r="AE43" s="60"/>
      <c r="AF43" s="60"/>
      <c r="AG43" s="60"/>
      <c r="AH43" s="60"/>
      <c r="AI43" s="60"/>
      <c r="AJ43" s="74" t="str">
        <f t="shared" si="4"/>
        <v>-</v>
      </c>
      <c r="AK43" s="60"/>
      <c r="AL43" s="60"/>
      <c r="AM43" s="60"/>
      <c r="AN43" s="60"/>
      <c r="AO43" s="60"/>
      <c r="AP43" s="60"/>
      <c r="AQ43" s="60"/>
      <c r="AR43" s="60"/>
      <c r="AS43" s="60"/>
      <c r="AT43" s="74" t="str">
        <f t="shared" si="5"/>
        <v>-</v>
      </c>
      <c r="AU43" s="74" t="str">
        <f t="shared" si="6"/>
        <v>-</v>
      </c>
      <c r="AV43" s="74" t="str">
        <f t="shared" si="7"/>
        <v>-</v>
      </c>
      <c r="AX43" s="59" t="str">
        <f>IF(AND(D43&gt;0,AA43&gt;0),MIN(D43,AA43),"-")</f>
        <v>-</v>
      </c>
      <c r="AY43" s="59" t="str">
        <f>IF(AND(E43&gt;0,AB43&gt;0),MIN(E43,AB43),"-")</f>
        <v>-</v>
      </c>
      <c r="AZ43" s="59" t="str">
        <f>IF(AND(F43&gt;0,AC43&gt;0),MIN(F43,AC43),"-")</f>
        <v>-</v>
      </c>
      <c r="BA43" s="59" t="str">
        <f>IF(AND(G43&gt;0,AD43&gt;0),MIN(G43,AD43),"-")</f>
        <v>-</v>
      </c>
      <c r="BB43" s="59" t="str">
        <f>IF(AND(H43&gt;0,AE43&gt;0),MIN(H43,AE43),"-")</f>
        <v>-</v>
      </c>
      <c r="BC43" s="59" t="str">
        <f>IF(AND(I43&gt;0,AF43&gt;0),MIN(I43,AF43),"-")</f>
        <v>-</v>
      </c>
      <c r="BD43" s="59" t="str">
        <f>IF(AND(J43&gt;0,AG43&gt;0),MIN(J43,AG43),"-")</f>
        <v>-</v>
      </c>
      <c r="BE43" s="59" t="str">
        <f>IF(AND(K43&gt;0,AH43&gt;0),MIN(K43,AH43),"-")</f>
        <v>-</v>
      </c>
      <c r="BF43" s="59" t="str">
        <f>IF(AND(L43&gt;0,AI43&gt;0),MIN(L43,AI43),"-")</f>
        <v>-</v>
      </c>
      <c r="BG43" s="59" t="str">
        <f t="shared" si="8"/>
        <v>-</v>
      </c>
      <c r="BH43" s="59" t="str">
        <f>IF(AND(N43&gt;0,AK43&gt;0),MIN(N43,AK43),"-")</f>
        <v>-</v>
      </c>
      <c r="BI43" s="59" t="str">
        <f>IF(AND(O43&gt;0,AL43&gt;0),MIN(O43,AL43),"-")</f>
        <v>-</v>
      </c>
      <c r="BJ43" s="59" t="str">
        <f>IF(AND(P43&gt;0,AM43&gt;0),MIN(P43,AM43),"-")</f>
        <v>-</v>
      </c>
      <c r="BK43" s="59" t="str">
        <f>IF(AND(Q43&gt;0,AN43&gt;0),MIN(Q43,AN43),"-")</f>
        <v>-</v>
      </c>
      <c r="BL43" s="59" t="str">
        <f>IF(AND(R43&gt;0,AO43&gt;0),MIN(R43,AO43),"-")</f>
        <v>-</v>
      </c>
      <c r="BM43" s="59" t="str">
        <f>IF(AND(S43&gt;0,AP43&gt;0),MIN(S43,AP43),"-")</f>
        <v>-</v>
      </c>
      <c r="BN43" s="59" t="str">
        <f>IF(AND(T43&gt;0,AQ43&gt;0),MIN(T43,AQ43),"-")</f>
        <v>-</v>
      </c>
      <c r="BO43" s="59" t="str">
        <f>IF(AND(U43&gt;0,AR43&gt;0),MIN(U43,AR43),"-")</f>
        <v>-</v>
      </c>
      <c r="BP43" s="59" t="str">
        <f>IF(AND(V43&gt;0,AS43&gt;0),MIN(V43,AS43),"-")</f>
        <v>-</v>
      </c>
      <c r="BQ43" s="59" t="str">
        <f t="shared" si="9"/>
        <v>-</v>
      </c>
      <c r="BR43" s="59" t="str">
        <f t="shared" si="10"/>
        <v>-</v>
      </c>
      <c r="BS43" s="59" t="str">
        <f t="shared" si="11"/>
        <v>-</v>
      </c>
      <c r="BT43" s="98" t="str">
        <f>IF(ISNUMBER(BS43),BS43-(C43*Rules!$P$9/100),"-")</f>
        <v>-</v>
      </c>
      <c r="BU43" s="59" t="e">
        <f>RANK($BT43,$BT$5:$BT$106,1)+COUNTIF(BT$5:BT43,BT43)-1</f>
        <v>#VALUE!</v>
      </c>
      <c r="BV43" s="59" t="e">
        <f t="shared" si="12"/>
        <v>#VALUE!</v>
      </c>
      <c r="BW43" s="59" t="str">
        <f t="shared" si="13"/>
        <v xml:space="preserve"> </v>
      </c>
      <c r="BX43" s="59" t="str">
        <f t="shared" si="13"/>
        <v>-</v>
      </c>
      <c r="BY43" s="59" t="str">
        <f t="shared" si="14"/>
        <v>-</v>
      </c>
      <c r="CC43" s="4">
        <v>39</v>
      </c>
      <c r="CD43" s="2" t="e">
        <f>VLOOKUP(CC43,$BV$5:BY$215,1,FALSE)</f>
        <v>#N/A</v>
      </c>
      <c r="CE43" s="6" t="e">
        <f>VLOOKUP(CC43,$BV$5:BY$215,2,FALSE)</f>
        <v>#N/A</v>
      </c>
      <c r="CF43" s="103" t="e">
        <f>VLOOKUP(CC43,$BV$5:BY$215,4,FALSE)</f>
        <v>#N/A</v>
      </c>
      <c r="CL43" s="77">
        <v>1</v>
      </c>
    </row>
    <row r="44" spans="1:90" ht="17.45" customHeight="1">
      <c r="A44" s="58">
        <v>40</v>
      </c>
      <c r="B44" s="59" t="str">
        <f>'B Div'!A44 &amp; " " &amp; 'B Div'!B44</f>
        <v xml:space="preserve"> </v>
      </c>
      <c r="C44" s="59" t="str">
        <f>'B Div'!E44</f>
        <v>-</v>
      </c>
      <c r="D44" s="60"/>
      <c r="E44" s="60"/>
      <c r="F44" s="60"/>
      <c r="G44" s="60"/>
      <c r="H44" s="60"/>
      <c r="I44" s="60"/>
      <c r="J44" s="60"/>
      <c r="K44" s="60"/>
      <c r="L44" s="60"/>
      <c r="M44" s="74" t="str">
        <f t="shared" si="0"/>
        <v>-</v>
      </c>
      <c r="N44" s="60"/>
      <c r="O44" s="60"/>
      <c r="P44" s="60"/>
      <c r="Q44" s="60"/>
      <c r="R44" s="60"/>
      <c r="S44" s="60"/>
      <c r="T44" s="60"/>
      <c r="U44" s="60"/>
      <c r="V44" s="60"/>
      <c r="W44" s="74" t="str">
        <f t="shared" si="1"/>
        <v>-</v>
      </c>
      <c r="X44" s="74" t="str">
        <f t="shared" si="2"/>
        <v>-</v>
      </c>
      <c r="Y44" s="74" t="str">
        <f t="shared" si="3"/>
        <v>-</v>
      </c>
      <c r="AA44" s="60"/>
      <c r="AB44" s="60"/>
      <c r="AC44" s="60"/>
      <c r="AD44" s="60"/>
      <c r="AE44" s="60"/>
      <c r="AF44" s="60"/>
      <c r="AG44" s="60"/>
      <c r="AH44" s="60"/>
      <c r="AI44" s="60"/>
      <c r="AJ44" s="74" t="str">
        <f t="shared" si="4"/>
        <v>-</v>
      </c>
      <c r="AK44" s="60"/>
      <c r="AL44" s="60"/>
      <c r="AM44" s="60"/>
      <c r="AN44" s="60"/>
      <c r="AO44" s="60"/>
      <c r="AP44" s="60"/>
      <c r="AQ44" s="60"/>
      <c r="AR44" s="60"/>
      <c r="AS44" s="60"/>
      <c r="AT44" s="74" t="str">
        <f t="shared" si="5"/>
        <v>-</v>
      </c>
      <c r="AU44" s="74" t="str">
        <f t="shared" si="6"/>
        <v>-</v>
      </c>
      <c r="AV44" s="74" t="str">
        <f t="shared" si="7"/>
        <v>-</v>
      </c>
      <c r="AX44" s="59" t="str">
        <f>IF(AND(D44&gt;0,AA44&gt;0),MIN(D44,AA44),"-")</f>
        <v>-</v>
      </c>
      <c r="AY44" s="59" t="str">
        <f>IF(AND(E44&gt;0,AB44&gt;0),MIN(E44,AB44),"-")</f>
        <v>-</v>
      </c>
      <c r="AZ44" s="59" t="str">
        <f>IF(AND(F44&gt;0,AC44&gt;0),MIN(F44,AC44),"-")</f>
        <v>-</v>
      </c>
      <c r="BA44" s="59" t="str">
        <f>IF(AND(G44&gt;0,AD44&gt;0),MIN(G44,AD44),"-")</f>
        <v>-</v>
      </c>
      <c r="BB44" s="59" t="str">
        <f>IF(AND(H44&gt;0,AE44&gt;0),MIN(H44,AE44),"-")</f>
        <v>-</v>
      </c>
      <c r="BC44" s="59" t="str">
        <f>IF(AND(I44&gt;0,AF44&gt;0),MIN(I44,AF44),"-")</f>
        <v>-</v>
      </c>
      <c r="BD44" s="59" t="str">
        <f>IF(AND(J44&gt;0,AG44&gt;0),MIN(J44,AG44),"-")</f>
        <v>-</v>
      </c>
      <c r="BE44" s="59" t="str">
        <f>IF(AND(K44&gt;0,AH44&gt;0),MIN(K44,AH44),"-")</f>
        <v>-</v>
      </c>
      <c r="BF44" s="59" t="str">
        <f>IF(AND(L44&gt;0,AI44&gt;0),MIN(L44,AI44),"-")</f>
        <v>-</v>
      </c>
      <c r="BG44" s="59" t="str">
        <f t="shared" si="8"/>
        <v>-</v>
      </c>
      <c r="BH44" s="59" t="str">
        <f>IF(AND(N44&gt;0,AK44&gt;0),MIN(N44,AK44),"-")</f>
        <v>-</v>
      </c>
      <c r="BI44" s="59" t="str">
        <f>IF(AND(O44&gt;0,AL44&gt;0),MIN(O44,AL44),"-")</f>
        <v>-</v>
      </c>
      <c r="BJ44" s="59" t="str">
        <f>IF(AND(P44&gt;0,AM44&gt;0),MIN(P44,AM44),"-")</f>
        <v>-</v>
      </c>
      <c r="BK44" s="59" t="str">
        <f>IF(AND(Q44&gt;0,AN44&gt;0),MIN(Q44,AN44),"-")</f>
        <v>-</v>
      </c>
      <c r="BL44" s="59" t="str">
        <f>IF(AND(R44&gt;0,AO44&gt;0),MIN(R44,AO44),"-")</f>
        <v>-</v>
      </c>
      <c r="BM44" s="59" t="str">
        <f>IF(AND(S44&gt;0,AP44&gt;0),MIN(S44,AP44),"-")</f>
        <v>-</v>
      </c>
      <c r="BN44" s="59" t="str">
        <f>IF(AND(T44&gt;0,AQ44&gt;0),MIN(T44,AQ44),"-")</f>
        <v>-</v>
      </c>
      <c r="BO44" s="59" t="str">
        <f>IF(AND(U44&gt;0,AR44&gt;0),MIN(U44,AR44),"-")</f>
        <v>-</v>
      </c>
      <c r="BP44" s="59" t="str">
        <f>IF(AND(V44&gt;0,AS44&gt;0),MIN(V44,AS44),"-")</f>
        <v>-</v>
      </c>
      <c r="BQ44" s="59" t="str">
        <f t="shared" si="9"/>
        <v>-</v>
      </c>
      <c r="BR44" s="59" t="str">
        <f t="shared" si="10"/>
        <v>-</v>
      </c>
      <c r="BS44" s="59" t="str">
        <f t="shared" si="11"/>
        <v>-</v>
      </c>
      <c r="BT44" s="98" t="str">
        <f>IF(ISNUMBER(BS44),BS44-(C44*Rules!$P$9/100),"-")</f>
        <v>-</v>
      </c>
      <c r="BU44" s="59" t="e">
        <f>RANK($BT44,$BT$5:$BT$106,1)+COUNTIF(BT$5:BT44,BT44)-1</f>
        <v>#VALUE!</v>
      </c>
      <c r="BV44" s="59" t="e">
        <f t="shared" si="12"/>
        <v>#VALUE!</v>
      </c>
      <c r="BW44" s="59" t="str">
        <f t="shared" si="13"/>
        <v xml:space="preserve"> </v>
      </c>
      <c r="BX44" s="59" t="str">
        <f t="shared" si="13"/>
        <v>-</v>
      </c>
      <c r="BY44" s="59" t="str">
        <f t="shared" si="14"/>
        <v>-</v>
      </c>
      <c r="CC44" s="4">
        <v>40</v>
      </c>
      <c r="CD44" s="2" t="e">
        <f>VLOOKUP(CC44,$BV$5:BY$215,1,FALSE)</f>
        <v>#N/A</v>
      </c>
      <c r="CE44" s="6" t="e">
        <f>VLOOKUP(CC44,$BV$5:BY$215,2,FALSE)</f>
        <v>#N/A</v>
      </c>
      <c r="CF44" s="103" t="e">
        <f>VLOOKUP(CC44,$BV$5:BY$215,4,FALSE)</f>
        <v>#N/A</v>
      </c>
      <c r="CL44" s="77">
        <v>1</v>
      </c>
    </row>
    <row r="45" spans="1:90" ht="17.45" customHeight="1">
      <c r="A45" s="58">
        <v>41</v>
      </c>
      <c r="B45" s="59" t="str">
        <f>'B Div'!A45 &amp; " " &amp; 'B Div'!B45</f>
        <v xml:space="preserve"> </v>
      </c>
      <c r="C45" s="59" t="str">
        <f>'B Div'!E45</f>
        <v>-</v>
      </c>
      <c r="D45" s="60"/>
      <c r="E45" s="60"/>
      <c r="F45" s="60"/>
      <c r="G45" s="60"/>
      <c r="H45" s="60"/>
      <c r="I45" s="60"/>
      <c r="J45" s="60"/>
      <c r="K45" s="60"/>
      <c r="L45" s="60"/>
      <c r="M45" s="74" t="str">
        <f t="shared" si="0"/>
        <v>-</v>
      </c>
      <c r="N45" s="60"/>
      <c r="O45" s="60"/>
      <c r="P45" s="60"/>
      <c r="Q45" s="60"/>
      <c r="R45" s="60"/>
      <c r="S45" s="60"/>
      <c r="T45" s="60"/>
      <c r="U45" s="60"/>
      <c r="V45" s="60"/>
      <c r="W45" s="74" t="str">
        <f t="shared" si="1"/>
        <v>-</v>
      </c>
      <c r="X45" s="74" t="str">
        <f t="shared" si="2"/>
        <v>-</v>
      </c>
      <c r="Y45" s="74" t="str">
        <f t="shared" si="3"/>
        <v>-</v>
      </c>
      <c r="AA45" s="60"/>
      <c r="AB45" s="60"/>
      <c r="AC45" s="60"/>
      <c r="AD45" s="60"/>
      <c r="AE45" s="60"/>
      <c r="AF45" s="60"/>
      <c r="AG45" s="60"/>
      <c r="AH45" s="60"/>
      <c r="AI45" s="60"/>
      <c r="AJ45" s="74" t="str">
        <f t="shared" si="4"/>
        <v>-</v>
      </c>
      <c r="AK45" s="60"/>
      <c r="AL45" s="60"/>
      <c r="AM45" s="60"/>
      <c r="AN45" s="60"/>
      <c r="AO45" s="60"/>
      <c r="AP45" s="60"/>
      <c r="AQ45" s="60"/>
      <c r="AR45" s="60"/>
      <c r="AS45" s="60"/>
      <c r="AT45" s="74" t="str">
        <f t="shared" si="5"/>
        <v>-</v>
      </c>
      <c r="AU45" s="74" t="str">
        <f t="shared" si="6"/>
        <v>-</v>
      </c>
      <c r="AV45" s="74" t="str">
        <f t="shared" si="7"/>
        <v>-</v>
      </c>
      <c r="AX45" s="59" t="str">
        <f>IF(AND(D45&gt;0,AA45&gt;0),MIN(D45,AA45),"-")</f>
        <v>-</v>
      </c>
      <c r="AY45" s="59" t="str">
        <f>IF(AND(E45&gt;0,AB45&gt;0),MIN(E45,AB45),"-")</f>
        <v>-</v>
      </c>
      <c r="AZ45" s="59" t="str">
        <f>IF(AND(F45&gt;0,AC45&gt;0),MIN(F45,AC45),"-")</f>
        <v>-</v>
      </c>
      <c r="BA45" s="59" t="str">
        <f>IF(AND(G45&gt;0,AD45&gt;0),MIN(G45,AD45),"-")</f>
        <v>-</v>
      </c>
      <c r="BB45" s="59" t="str">
        <f>IF(AND(H45&gt;0,AE45&gt;0),MIN(H45,AE45),"-")</f>
        <v>-</v>
      </c>
      <c r="BC45" s="59" t="str">
        <f>IF(AND(I45&gt;0,AF45&gt;0),MIN(I45,AF45),"-")</f>
        <v>-</v>
      </c>
      <c r="BD45" s="59" t="str">
        <f>IF(AND(J45&gt;0,AG45&gt;0),MIN(J45,AG45),"-")</f>
        <v>-</v>
      </c>
      <c r="BE45" s="59" t="str">
        <f>IF(AND(K45&gt;0,AH45&gt;0),MIN(K45,AH45),"-")</f>
        <v>-</v>
      </c>
      <c r="BF45" s="59" t="str">
        <f>IF(AND(L45&gt;0,AI45&gt;0),MIN(L45,AI45),"-")</f>
        <v>-</v>
      </c>
      <c r="BG45" s="59" t="str">
        <f t="shared" si="8"/>
        <v>-</v>
      </c>
      <c r="BH45" s="59" t="str">
        <f>IF(AND(N45&gt;0,AK45&gt;0),MIN(N45,AK45),"-")</f>
        <v>-</v>
      </c>
      <c r="BI45" s="59" t="str">
        <f>IF(AND(O45&gt;0,AL45&gt;0),MIN(O45,AL45),"-")</f>
        <v>-</v>
      </c>
      <c r="BJ45" s="59" t="str">
        <f>IF(AND(P45&gt;0,AM45&gt;0),MIN(P45,AM45),"-")</f>
        <v>-</v>
      </c>
      <c r="BK45" s="59" t="str">
        <f>IF(AND(Q45&gt;0,AN45&gt;0),MIN(Q45,AN45),"-")</f>
        <v>-</v>
      </c>
      <c r="BL45" s="59" t="str">
        <f>IF(AND(R45&gt;0,AO45&gt;0),MIN(R45,AO45),"-")</f>
        <v>-</v>
      </c>
      <c r="BM45" s="59" t="str">
        <f>IF(AND(S45&gt;0,AP45&gt;0),MIN(S45,AP45),"-")</f>
        <v>-</v>
      </c>
      <c r="BN45" s="59" t="str">
        <f>IF(AND(T45&gt;0,AQ45&gt;0),MIN(T45,AQ45),"-")</f>
        <v>-</v>
      </c>
      <c r="BO45" s="59" t="str">
        <f>IF(AND(U45&gt;0,AR45&gt;0),MIN(U45,AR45),"-")</f>
        <v>-</v>
      </c>
      <c r="BP45" s="59" t="str">
        <f>IF(AND(V45&gt;0,AS45&gt;0),MIN(V45,AS45),"-")</f>
        <v>-</v>
      </c>
      <c r="BQ45" s="59" t="str">
        <f t="shared" si="9"/>
        <v>-</v>
      </c>
      <c r="BR45" s="59" t="str">
        <f t="shared" si="10"/>
        <v>-</v>
      </c>
      <c r="BS45" s="59" t="str">
        <f t="shared" si="11"/>
        <v>-</v>
      </c>
      <c r="BT45" s="98" t="str">
        <f>IF(ISNUMBER(BS45),BS45-(C45*Rules!$P$9/100),"-")</f>
        <v>-</v>
      </c>
      <c r="BU45" s="59" t="e">
        <f>RANK($BT45,$BT$5:$BT$106,1)+COUNTIF(BT$5:BT45,BT45)-1</f>
        <v>#VALUE!</v>
      </c>
      <c r="BV45" s="59" t="e">
        <f t="shared" si="12"/>
        <v>#VALUE!</v>
      </c>
      <c r="BW45" s="59" t="str">
        <f t="shared" si="13"/>
        <v xml:space="preserve"> </v>
      </c>
      <c r="BX45" s="59" t="str">
        <f t="shared" si="13"/>
        <v>-</v>
      </c>
      <c r="BY45" s="59" t="str">
        <f t="shared" si="14"/>
        <v>-</v>
      </c>
      <c r="CC45" s="4">
        <v>41</v>
      </c>
      <c r="CD45" s="2" t="e">
        <f>VLOOKUP(CC45,$BV$5:BY$215,1,FALSE)</f>
        <v>#N/A</v>
      </c>
      <c r="CE45" s="6" t="e">
        <f>VLOOKUP(CC45,$BV$5:BY$215,2,FALSE)</f>
        <v>#N/A</v>
      </c>
      <c r="CF45" s="103" t="e">
        <f>VLOOKUP(CC45,$BV$5:BY$215,4,FALSE)</f>
        <v>#N/A</v>
      </c>
      <c r="CL45" s="77">
        <v>1</v>
      </c>
    </row>
    <row r="46" spans="1:90" ht="17.45" customHeight="1">
      <c r="A46" s="58">
        <v>42</v>
      </c>
      <c r="B46" s="59" t="str">
        <f>'B Div'!A46 &amp; " " &amp; 'B Div'!B46</f>
        <v xml:space="preserve"> </v>
      </c>
      <c r="C46" s="59" t="str">
        <f>'B Div'!E46</f>
        <v>-</v>
      </c>
      <c r="D46" s="60"/>
      <c r="E46" s="60"/>
      <c r="F46" s="60"/>
      <c r="G46" s="60"/>
      <c r="H46" s="60"/>
      <c r="I46" s="60"/>
      <c r="J46" s="60"/>
      <c r="K46" s="60"/>
      <c r="L46" s="60"/>
      <c r="M46" s="74" t="str">
        <f t="shared" si="0"/>
        <v>-</v>
      </c>
      <c r="N46" s="60"/>
      <c r="O46" s="60"/>
      <c r="P46" s="60"/>
      <c r="Q46" s="60"/>
      <c r="R46" s="60"/>
      <c r="S46" s="60"/>
      <c r="T46" s="60"/>
      <c r="U46" s="60"/>
      <c r="V46" s="60"/>
      <c r="W46" s="74" t="str">
        <f t="shared" si="1"/>
        <v>-</v>
      </c>
      <c r="X46" s="74" t="str">
        <f t="shared" si="2"/>
        <v>-</v>
      </c>
      <c r="Y46" s="74" t="str">
        <f t="shared" si="3"/>
        <v>-</v>
      </c>
      <c r="AA46" s="60"/>
      <c r="AB46" s="60"/>
      <c r="AC46" s="60"/>
      <c r="AD46" s="60"/>
      <c r="AE46" s="60"/>
      <c r="AF46" s="60"/>
      <c r="AG46" s="60"/>
      <c r="AH46" s="60"/>
      <c r="AI46" s="60"/>
      <c r="AJ46" s="74" t="str">
        <f t="shared" si="4"/>
        <v>-</v>
      </c>
      <c r="AK46" s="60"/>
      <c r="AL46" s="60"/>
      <c r="AM46" s="60"/>
      <c r="AN46" s="60"/>
      <c r="AO46" s="60"/>
      <c r="AP46" s="60"/>
      <c r="AQ46" s="60"/>
      <c r="AR46" s="60"/>
      <c r="AS46" s="60"/>
      <c r="AT46" s="74" t="str">
        <f t="shared" si="5"/>
        <v>-</v>
      </c>
      <c r="AU46" s="74" t="str">
        <f t="shared" si="6"/>
        <v>-</v>
      </c>
      <c r="AV46" s="74" t="str">
        <f t="shared" si="7"/>
        <v>-</v>
      </c>
      <c r="AX46" s="59" t="str">
        <f>IF(AND(D46&gt;0,AA46&gt;0),MIN(D46,AA46),"-")</f>
        <v>-</v>
      </c>
      <c r="AY46" s="59" t="str">
        <f>IF(AND(E46&gt;0,AB46&gt;0),MIN(E46,AB46),"-")</f>
        <v>-</v>
      </c>
      <c r="AZ46" s="59" t="str">
        <f>IF(AND(F46&gt;0,AC46&gt;0),MIN(F46,AC46),"-")</f>
        <v>-</v>
      </c>
      <c r="BA46" s="59" t="str">
        <f>IF(AND(G46&gt;0,AD46&gt;0),MIN(G46,AD46),"-")</f>
        <v>-</v>
      </c>
      <c r="BB46" s="59" t="str">
        <f>IF(AND(H46&gt;0,AE46&gt;0),MIN(H46,AE46),"-")</f>
        <v>-</v>
      </c>
      <c r="BC46" s="59" t="str">
        <f>IF(AND(I46&gt;0,AF46&gt;0),MIN(I46,AF46),"-")</f>
        <v>-</v>
      </c>
      <c r="BD46" s="59" t="str">
        <f>IF(AND(J46&gt;0,AG46&gt;0),MIN(J46,AG46),"-")</f>
        <v>-</v>
      </c>
      <c r="BE46" s="59" t="str">
        <f>IF(AND(K46&gt;0,AH46&gt;0),MIN(K46,AH46),"-")</f>
        <v>-</v>
      </c>
      <c r="BF46" s="59" t="str">
        <f>IF(AND(L46&gt;0,AI46&gt;0),MIN(L46,AI46),"-")</f>
        <v>-</v>
      </c>
      <c r="BG46" s="59" t="str">
        <f t="shared" si="8"/>
        <v>-</v>
      </c>
      <c r="BH46" s="59" t="str">
        <f>IF(AND(N46&gt;0,AK46&gt;0),MIN(N46,AK46),"-")</f>
        <v>-</v>
      </c>
      <c r="BI46" s="59" t="str">
        <f>IF(AND(O46&gt;0,AL46&gt;0),MIN(O46,AL46),"-")</f>
        <v>-</v>
      </c>
      <c r="BJ46" s="59" t="str">
        <f>IF(AND(P46&gt;0,AM46&gt;0),MIN(P46,AM46),"-")</f>
        <v>-</v>
      </c>
      <c r="BK46" s="59" t="str">
        <f>IF(AND(Q46&gt;0,AN46&gt;0),MIN(Q46,AN46),"-")</f>
        <v>-</v>
      </c>
      <c r="BL46" s="59" t="str">
        <f>IF(AND(R46&gt;0,AO46&gt;0),MIN(R46,AO46),"-")</f>
        <v>-</v>
      </c>
      <c r="BM46" s="59" t="str">
        <f>IF(AND(S46&gt;0,AP46&gt;0),MIN(S46,AP46),"-")</f>
        <v>-</v>
      </c>
      <c r="BN46" s="59" t="str">
        <f>IF(AND(T46&gt;0,AQ46&gt;0),MIN(T46,AQ46),"-")</f>
        <v>-</v>
      </c>
      <c r="BO46" s="59" t="str">
        <f>IF(AND(U46&gt;0,AR46&gt;0),MIN(U46,AR46),"-")</f>
        <v>-</v>
      </c>
      <c r="BP46" s="59" t="str">
        <f>IF(AND(V46&gt;0,AS46&gt;0),MIN(V46,AS46),"-")</f>
        <v>-</v>
      </c>
      <c r="BQ46" s="59" t="str">
        <f t="shared" si="9"/>
        <v>-</v>
      </c>
      <c r="BR46" s="59" t="str">
        <f t="shared" si="10"/>
        <v>-</v>
      </c>
      <c r="BS46" s="59" t="str">
        <f t="shared" si="11"/>
        <v>-</v>
      </c>
      <c r="BT46" s="98" t="str">
        <f>IF(ISNUMBER(BS46),BS46-(C46*Rules!$P$9/100),"-")</f>
        <v>-</v>
      </c>
      <c r="BU46" s="59" t="e">
        <f>RANK($BT46,$BT$5:$BT$106,1)+COUNTIF(BT$5:BT46,BT46)-1</f>
        <v>#VALUE!</v>
      </c>
      <c r="BV46" s="59" t="e">
        <f t="shared" si="12"/>
        <v>#VALUE!</v>
      </c>
      <c r="BW46" s="59" t="str">
        <f t="shared" si="13"/>
        <v xml:space="preserve"> </v>
      </c>
      <c r="BX46" s="59" t="str">
        <f t="shared" si="13"/>
        <v>-</v>
      </c>
      <c r="BY46" s="59" t="str">
        <f t="shared" si="14"/>
        <v>-</v>
      </c>
      <c r="CC46" s="4">
        <v>42</v>
      </c>
      <c r="CD46" s="2" t="e">
        <f>VLOOKUP(CC46,$BV$5:BY$215,1,FALSE)</f>
        <v>#N/A</v>
      </c>
      <c r="CE46" s="6" t="e">
        <f>VLOOKUP(CC46,$BV$5:BY$215,2,FALSE)</f>
        <v>#N/A</v>
      </c>
      <c r="CF46" s="103" t="e">
        <f>VLOOKUP(CC46,$BV$5:BY$215,4,FALSE)</f>
        <v>#N/A</v>
      </c>
      <c r="CL46" s="77">
        <v>1</v>
      </c>
    </row>
    <row r="47" spans="1:90" ht="17.45" customHeight="1">
      <c r="A47" s="58">
        <v>43</v>
      </c>
      <c r="B47" s="59" t="str">
        <f>'B Div'!A47 &amp; " " &amp; 'B Div'!B47</f>
        <v xml:space="preserve"> </v>
      </c>
      <c r="C47" s="59" t="str">
        <f>'B Div'!E47</f>
        <v>-</v>
      </c>
      <c r="D47" s="60"/>
      <c r="E47" s="60"/>
      <c r="F47" s="60"/>
      <c r="G47" s="60"/>
      <c r="H47" s="60"/>
      <c r="I47" s="60"/>
      <c r="J47" s="60"/>
      <c r="K47" s="60"/>
      <c r="L47" s="60"/>
      <c r="M47" s="74" t="str">
        <f t="shared" si="0"/>
        <v>-</v>
      </c>
      <c r="N47" s="60"/>
      <c r="O47" s="60"/>
      <c r="P47" s="60"/>
      <c r="Q47" s="60"/>
      <c r="R47" s="60"/>
      <c r="S47" s="60"/>
      <c r="T47" s="60"/>
      <c r="U47" s="60"/>
      <c r="V47" s="60"/>
      <c r="W47" s="74" t="str">
        <f t="shared" si="1"/>
        <v>-</v>
      </c>
      <c r="X47" s="74" t="str">
        <f t="shared" si="2"/>
        <v>-</v>
      </c>
      <c r="Y47" s="74" t="str">
        <f t="shared" si="3"/>
        <v>-</v>
      </c>
      <c r="AA47" s="60"/>
      <c r="AB47" s="60"/>
      <c r="AC47" s="60"/>
      <c r="AD47" s="60"/>
      <c r="AE47" s="60"/>
      <c r="AF47" s="60"/>
      <c r="AG47" s="60"/>
      <c r="AH47" s="60"/>
      <c r="AI47" s="60"/>
      <c r="AJ47" s="74" t="str">
        <f t="shared" si="4"/>
        <v>-</v>
      </c>
      <c r="AK47" s="60"/>
      <c r="AL47" s="60"/>
      <c r="AM47" s="60"/>
      <c r="AN47" s="60"/>
      <c r="AO47" s="60"/>
      <c r="AP47" s="60"/>
      <c r="AQ47" s="60"/>
      <c r="AR47" s="60"/>
      <c r="AS47" s="60"/>
      <c r="AT47" s="74" t="str">
        <f t="shared" si="5"/>
        <v>-</v>
      </c>
      <c r="AU47" s="74" t="str">
        <f t="shared" si="6"/>
        <v>-</v>
      </c>
      <c r="AV47" s="74" t="str">
        <f t="shared" si="7"/>
        <v>-</v>
      </c>
      <c r="AX47" s="59" t="str">
        <f>IF(AND(D47&gt;0,AA47&gt;0),MIN(D47,AA47),"-")</f>
        <v>-</v>
      </c>
      <c r="AY47" s="59" t="str">
        <f>IF(AND(E47&gt;0,AB47&gt;0),MIN(E47,AB47),"-")</f>
        <v>-</v>
      </c>
      <c r="AZ47" s="59" t="str">
        <f>IF(AND(F47&gt;0,AC47&gt;0),MIN(F47,AC47),"-")</f>
        <v>-</v>
      </c>
      <c r="BA47" s="59" t="str">
        <f>IF(AND(G47&gt;0,AD47&gt;0),MIN(G47,AD47),"-")</f>
        <v>-</v>
      </c>
      <c r="BB47" s="59" t="str">
        <f>IF(AND(H47&gt;0,AE47&gt;0),MIN(H47,AE47),"-")</f>
        <v>-</v>
      </c>
      <c r="BC47" s="59" t="str">
        <f>IF(AND(I47&gt;0,AF47&gt;0),MIN(I47,AF47),"-")</f>
        <v>-</v>
      </c>
      <c r="BD47" s="59" t="str">
        <f>IF(AND(J47&gt;0,AG47&gt;0),MIN(J47,AG47),"-")</f>
        <v>-</v>
      </c>
      <c r="BE47" s="59" t="str">
        <f>IF(AND(K47&gt;0,AH47&gt;0),MIN(K47,AH47),"-")</f>
        <v>-</v>
      </c>
      <c r="BF47" s="59" t="str">
        <f>IF(AND(L47&gt;0,AI47&gt;0),MIN(L47,AI47),"-")</f>
        <v>-</v>
      </c>
      <c r="BG47" s="59" t="str">
        <f t="shared" si="8"/>
        <v>-</v>
      </c>
      <c r="BH47" s="59" t="str">
        <f>IF(AND(N47&gt;0,AK47&gt;0),MIN(N47,AK47),"-")</f>
        <v>-</v>
      </c>
      <c r="BI47" s="59" t="str">
        <f>IF(AND(O47&gt;0,AL47&gt;0),MIN(O47,AL47),"-")</f>
        <v>-</v>
      </c>
      <c r="BJ47" s="59" t="str">
        <f>IF(AND(P47&gt;0,AM47&gt;0),MIN(P47,AM47),"-")</f>
        <v>-</v>
      </c>
      <c r="BK47" s="59" t="str">
        <f>IF(AND(Q47&gt;0,AN47&gt;0),MIN(Q47,AN47),"-")</f>
        <v>-</v>
      </c>
      <c r="BL47" s="59" t="str">
        <f>IF(AND(R47&gt;0,AO47&gt;0),MIN(R47,AO47),"-")</f>
        <v>-</v>
      </c>
      <c r="BM47" s="59" t="str">
        <f>IF(AND(S47&gt;0,AP47&gt;0),MIN(S47,AP47),"-")</f>
        <v>-</v>
      </c>
      <c r="BN47" s="59" t="str">
        <f>IF(AND(T47&gt;0,AQ47&gt;0),MIN(T47,AQ47),"-")</f>
        <v>-</v>
      </c>
      <c r="BO47" s="59" t="str">
        <f>IF(AND(U47&gt;0,AR47&gt;0),MIN(U47,AR47),"-")</f>
        <v>-</v>
      </c>
      <c r="BP47" s="59" t="str">
        <f>IF(AND(V47&gt;0,AS47&gt;0),MIN(V47,AS47),"-")</f>
        <v>-</v>
      </c>
      <c r="BQ47" s="59" t="str">
        <f t="shared" si="9"/>
        <v>-</v>
      </c>
      <c r="BR47" s="59" t="str">
        <f t="shared" si="10"/>
        <v>-</v>
      </c>
      <c r="BS47" s="59" t="str">
        <f t="shared" si="11"/>
        <v>-</v>
      </c>
      <c r="BT47" s="98" t="str">
        <f>IF(ISNUMBER(BS47),BS47-(C47*Rules!$P$9/100),"-")</f>
        <v>-</v>
      </c>
      <c r="BU47" s="59" t="e">
        <f>RANK($BT47,$BT$5:$BT$106,1)+COUNTIF(BT$5:BT47,BT47)-1</f>
        <v>#VALUE!</v>
      </c>
      <c r="BV47" s="59" t="e">
        <f t="shared" si="12"/>
        <v>#VALUE!</v>
      </c>
      <c r="BW47" s="59" t="str">
        <f t="shared" si="13"/>
        <v xml:space="preserve"> </v>
      </c>
      <c r="BX47" s="59" t="str">
        <f t="shared" si="13"/>
        <v>-</v>
      </c>
      <c r="BY47" s="59" t="str">
        <f t="shared" si="14"/>
        <v>-</v>
      </c>
      <c r="CC47" s="4">
        <v>43</v>
      </c>
      <c r="CD47" s="2" t="e">
        <f>VLOOKUP(CC47,$BV$5:BY$215,1,FALSE)</f>
        <v>#N/A</v>
      </c>
      <c r="CE47" s="6" t="e">
        <f>VLOOKUP(CC47,$BV$5:BY$215,2,FALSE)</f>
        <v>#N/A</v>
      </c>
      <c r="CF47" s="103" t="e">
        <f>VLOOKUP(CC47,$BV$5:BY$215,4,FALSE)</f>
        <v>#N/A</v>
      </c>
      <c r="CL47" s="77">
        <v>1</v>
      </c>
    </row>
    <row r="48" spans="1:90" ht="17.45" customHeight="1">
      <c r="A48" s="58">
        <v>44</v>
      </c>
      <c r="B48" s="59" t="str">
        <f>'B Div'!A48 &amp; " " &amp; 'B Div'!B48</f>
        <v xml:space="preserve"> </v>
      </c>
      <c r="C48" s="59" t="str">
        <f>'B Div'!E48</f>
        <v>-</v>
      </c>
      <c r="D48" s="60"/>
      <c r="E48" s="60"/>
      <c r="F48" s="60"/>
      <c r="G48" s="60"/>
      <c r="H48" s="60"/>
      <c r="I48" s="60"/>
      <c r="J48" s="60"/>
      <c r="K48" s="60"/>
      <c r="L48" s="60"/>
      <c r="M48" s="74" t="str">
        <f t="shared" si="0"/>
        <v>-</v>
      </c>
      <c r="N48" s="60"/>
      <c r="O48" s="60"/>
      <c r="P48" s="60"/>
      <c r="Q48" s="60"/>
      <c r="R48" s="60"/>
      <c r="S48" s="60"/>
      <c r="T48" s="60"/>
      <c r="U48" s="60"/>
      <c r="V48" s="60"/>
      <c r="W48" s="74" t="str">
        <f t="shared" si="1"/>
        <v>-</v>
      </c>
      <c r="X48" s="74" t="str">
        <f t="shared" si="2"/>
        <v>-</v>
      </c>
      <c r="Y48" s="74" t="str">
        <f t="shared" si="3"/>
        <v>-</v>
      </c>
      <c r="AA48" s="60"/>
      <c r="AB48" s="60"/>
      <c r="AC48" s="60"/>
      <c r="AD48" s="60"/>
      <c r="AE48" s="60"/>
      <c r="AF48" s="60"/>
      <c r="AG48" s="60"/>
      <c r="AH48" s="60"/>
      <c r="AI48" s="60"/>
      <c r="AJ48" s="74" t="str">
        <f t="shared" si="4"/>
        <v>-</v>
      </c>
      <c r="AK48" s="60"/>
      <c r="AL48" s="60"/>
      <c r="AM48" s="60"/>
      <c r="AN48" s="60"/>
      <c r="AO48" s="60"/>
      <c r="AP48" s="60"/>
      <c r="AQ48" s="60"/>
      <c r="AR48" s="60"/>
      <c r="AS48" s="60"/>
      <c r="AT48" s="74" t="str">
        <f t="shared" si="5"/>
        <v>-</v>
      </c>
      <c r="AU48" s="74" t="str">
        <f t="shared" si="6"/>
        <v>-</v>
      </c>
      <c r="AV48" s="74" t="str">
        <f t="shared" si="7"/>
        <v>-</v>
      </c>
      <c r="AX48" s="59" t="str">
        <f>IF(AND(D48&gt;0,AA48&gt;0),MIN(D48,AA48),"-")</f>
        <v>-</v>
      </c>
      <c r="AY48" s="59" t="str">
        <f>IF(AND(E48&gt;0,AB48&gt;0),MIN(E48,AB48),"-")</f>
        <v>-</v>
      </c>
      <c r="AZ48" s="59" t="str">
        <f>IF(AND(F48&gt;0,AC48&gt;0),MIN(F48,AC48),"-")</f>
        <v>-</v>
      </c>
      <c r="BA48" s="59" t="str">
        <f>IF(AND(G48&gt;0,AD48&gt;0),MIN(G48,AD48),"-")</f>
        <v>-</v>
      </c>
      <c r="BB48" s="59" t="str">
        <f>IF(AND(H48&gt;0,AE48&gt;0),MIN(H48,AE48),"-")</f>
        <v>-</v>
      </c>
      <c r="BC48" s="59" t="str">
        <f>IF(AND(I48&gt;0,AF48&gt;0),MIN(I48,AF48),"-")</f>
        <v>-</v>
      </c>
      <c r="BD48" s="59" t="str">
        <f>IF(AND(J48&gt;0,AG48&gt;0),MIN(J48,AG48),"-")</f>
        <v>-</v>
      </c>
      <c r="BE48" s="59" t="str">
        <f>IF(AND(K48&gt;0,AH48&gt;0),MIN(K48,AH48),"-")</f>
        <v>-</v>
      </c>
      <c r="BF48" s="59" t="str">
        <f>IF(AND(L48&gt;0,AI48&gt;0),MIN(L48,AI48),"-")</f>
        <v>-</v>
      </c>
      <c r="BG48" s="59" t="str">
        <f t="shared" si="8"/>
        <v>-</v>
      </c>
      <c r="BH48" s="59" t="str">
        <f>IF(AND(N48&gt;0,AK48&gt;0),MIN(N48,AK48),"-")</f>
        <v>-</v>
      </c>
      <c r="BI48" s="59" t="str">
        <f>IF(AND(O48&gt;0,AL48&gt;0),MIN(O48,AL48),"-")</f>
        <v>-</v>
      </c>
      <c r="BJ48" s="59" t="str">
        <f>IF(AND(P48&gt;0,AM48&gt;0),MIN(P48,AM48),"-")</f>
        <v>-</v>
      </c>
      <c r="BK48" s="59" t="str">
        <f>IF(AND(Q48&gt;0,AN48&gt;0),MIN(Q48,AN48),"-")</f>
        <v>-</v>
      </c>
      <c r="BL48" s="59" t="str">
        <f>IF(AND(R48&gt;0,AO48&gt;0),MIN(R48,AO48),"-")</f>
        <v>-</v>
      </c>
      <c r="BM48" s="59" t="str">
        <f>IF(AND(S48&gt;0,AP48&gt;0),MIN(S48,AP48),"-")</f>
        <v>-</v>
      </c>
      <c r="BN48" s="59" t="str">
        <f>IF(AND(T48&gt;0,AQ48&gt;0),MIN(T48,AQ48),"-")</f>
        <v>-</v>
      </c>
      <c r="BO48" s="59" t="str">
        <f>IF(AND(U48&gt;0,AR48&gt;0),MIN(U48,AR48),"-")</f>
        <v>-</v>
      </c>
      <c r="BP48" s="59" t="str">
        <f>IF(AND(V48&gt;0,AS48&gt;0),MIN(V48,AS48),"-")</f>
        <v>-</v>
      </c>
      <c r="BQ48" s="59" t="str">
        <f t="shared" si="9"/>
        <v>-</v>
      </c>
      <c r="BR48" s="59" t="str">
        <f t="shared" si="10"/>
        <v>-</v>
      </c>
      <c r="BS48" s="59" t="str">
        <f t="shared" si="11"/>
        <v>-</v>
      </c>
      <c r="BT48" s="98" t="str">
        <f>IF(ISNUMBER(BS48),BS48-(C48*Rules!$P$9/100),"-")</f>
        <v>-</v>
      </c>
      <c r="BU48" s="59" t="e">
        <f>RANK($BT48,$BT$5:$BT$106,1)+COUNTIF(BT$5:BT48,BT48)-1</f>
        <v>#VALUE!</v>
      </c>
      <c r="BV48" s="59" t="e">
        <f t="shared" si="12"/>
        <v>#VALUE!</v>
      </c>
      <c r="BW48" s="59" t="str">
        <f t="shared" si="13"/>
        <v xml:space="preserve"> </v>
      </c>
      <c r="BX48" s="59" t="str">
        <f t="shared" si="13"/>
        <v>-</v>
      </c>
      <c r="BY48" s="59" t="str">
        <f t="shared" si="14"/>
        <v>-</v>
      </c>
      <c r="CC48" s="4">
        <v>44</v>
      </c>
      <c r="CD48" s="2" t="e">
        <f>VLOOKUP(CC48,$BV$5:BY$215,1,FALSE)</f>
        <v>#N/A</v>
      </c>
      <c r="CE48" s="6" t="e">
        <f>VLOOKUP(CC48,$BV$5:BY$215,2,FALSE)</f>
        <v>#N/A</v>
      </c>
      <c r="CF48" s="103" t="e">
        <f>VLOOKUP(CC48,$BV$5:BY$215,4,FALSE)</f>
        <v>#N/A</v>
      </c>
      <c r="CL48" s="77">
        <v>1</v>
      </c>
    </row>
    <row r="49" spans="1:90" ht="17.45" customHeight="1">
      <c r="A49" s="58">
        <v>45</v>
      </c>
      <c r="B49" s="59" t="str">
        <f>'B Div'!A49 &amp; " " &amp; 'B Div'!B49</f>
        <v xml:space="preserve"> </v>
      </c>
      <c r="C49" s="59" t="str">
        <f>'B Div'!E49</f>
        <v>-</v>
      </c>
      <c r="D49" s="60"/>
      <c r="E49" s="60"/>
      <c r="F49" s="60"/>
      <c r="G49" s="60"/>
      <c r="H49" s="60"/>
      <c r="I49" s="60"/>
      <c r="J49" s="60"/>
      <c r="K49" s="60"/>
      <c r="L49" s="60"/>
      <c r="M49" s="74" t="str">
        <f t="shared" si="0"/>
        <v>-</v>
      </c>
      <c r="N49" s="60"/>
      <c r="O49" s="60"/>
      <c r="P49" s="60"/>
      <c r="Q49" s="60"/>
      <c r="R49" s="60"/>
      <c r="S49" s="60"/>
      <c r="T49" s="60"/>
      <c r="U49" s="60"/>
      <c r="V49" s="60"/>
      <c r="W49" s="74" t="str">
        <f t="shared" si="1"/>
        <v>-</v>
      </c>
      <c r="X49" s="74" t="str">
        <f t="shared" si="2"/>
        <v>-</v>
      </c>
      <c r="Y49" s="74" t="str">
        <f t="shared" si="3"/>
        <v>-</v>
      </c>
      <c r="AA49" s="60"/>
      <c r="AB49" s="60"/>
      <c r="AC49" s="60"/>
      <c r="AD49" s="60"/>
      <c r="AE49" s="60"/>
      <c r="AF49" s="60"/>
      <c r="AG49" s="60"/>
      <c r="AH49" s="60"/>
      <c r="AI49" s="60"/>
      <c r="AJ49" s="74" t="str">
        <f t="shared" si="4"/>
        <v>-</v>
      </c>
      <c r="AK49" s="60"/>
      <c r="AL49" s="60"/>
      <c r="AM49" s="60"/>
      <c r="AN49" s="60"/>
      <c r="AO49" s="60"/>
      <c r="AP49" s="60"/>
      <c r="AQ49" s="60"/>
      <c r="AR49" s="60"/>
      <c r="AS49" s="60"/>
      <c r="AT49" s="74" t="str">
        <f t="shared" si="5"/>
        <v>-</v>
      </c>
      <c r="AU49" s="74" t="str">
        <f t="shared" si="6"/>
        <v>-</v>
      </c>
      <c r="AV49" s="74" t="str">
        <f t="shared" si="7"/>
        <v>-</v>
      </c>
      <c r="AX49" s="59" t="str">
        <f>IF(AND(D49&gt;0,AA49&gt;0),MIN(D49,AA49),"-")</f>
        <v>-</v>
      </c>
      <c r="AY49" s="59" t="str">
        <f>IF(AND(E49&gt;0,AB49&gt;0),MIN(E49,AB49),"-")</f>
        <v>-</v>
      </c>
      <c r="AZ49" s="59" t="str">
        <f>IF(AND(F49&gt;0,AC49&gt;0),MIN(F49,AC49),"-")</f>
        <v>-</v>
      </c>
      <c r="BA49" s="59" t="str">
        <f>IF(AND(G49&gt;0,AD49&gt;0),MIN(G49,AD49),"-")</f>
        <v>-</v>
      </c>
      <c r="BB49" s="59" t="str">
        <f>IF(AND(H49&gt;0,AE49&gt;0),MIN(H49,AE49),"-")</f>
        <v>-</v>
      </c>
      <c r="BC49" s="59" t="str">
        <f>IF(AND(I49&gt;0,AF49&gt;0),MIN(I49,AF49),"-")</f>
        <v>-</v>
      </c>
      <c r="BD49" s="59" t="str">
        <f>IF(AND(J49&gt;0,AG49&gt;0),MIN(J49,AG49),"-")</f>
        <v>-</v>
      </c>
      <c r="BE49" s="59" t="str">
        <f>IF(AND(K49&gt;0,AH49&gt;0),MIN(K49,AH49),"-")</f>
        <v>-</v>
      </c>
      <c r="BF49" s="59" t="str">
        <f>IF(AND(L49&gt;0,AI49&gt;0),MIN(L49,AI49),"-")</f>
        <v>-</v>
      </c>
      <c r="BG49" s="59" t="str">
        <f t="shared" si="8"/>
        <v>-</v>
      </c>
      <c r="BH49" s="59" t="str">
        <f>IF(AND(N49&gt;0,AK49&gt;0),MIN(N49,AK49),"-")</f>
        <v>-</v>
      </c>
      <c r="BI49" s="59" t="str">
        <f>IF(AND(O49&gt;0,AL49&gt;0),MIN(O49,AL49),"-")</f>
        <v>-</v>
      </c>
      <c r="BJ49" s="59" t="str">
        <f>IF(AND(P49&gt;0,AM49&gt;0),MIN(P49,AM49),"-")</f>
        <v>-</v>
      </c>
      <c r="BK49" s="59" t="str">
        <f>IF(AND(Q49&gt;0,AN49&gt;0),MIN(Q49,AN49),"-")</f>
        <v>-</v>
      </c>
      <c r="BL49" s="59" t="str">
        <f>IF(AND(R49&gt;0,AO49&gt;0),MIN(R49,AO49),"-")</f>
        <v>-</v>
      </c>
      <c r="BM49" s="59" t="str">
        <f>IF(AND(S49&gt;0,AP49&gt;0),MIN(S49,AP49),"-")</f>
        <v>-</v>
      </c>
      <c r="BN49" s="59" t="str">
        <f>IF(AND(T49&gt;0,AQ49&gt;0),MIN(T49,AQ49),"-")</f>
        <v>-</v>
      </c>
      <c r="BO49" s="59" t="str">
        <f>IF(AND(U49&gt;0,AR49&gt;0),MIN(U49,AR49),"-")</f>
        <v>-</v>
      </c>
      <c r="BP49" s="59" t="str">
        <f>IF(AND(V49&gt;0,AS49&gt;0),MIN(V49,AS49),"-")</f>
        <v>-</v>
      </c>
      <c r="BQ49" s="59" t="str">
        <f t="shared" si="9"/>
        <v>-</v>
      </c>
      <c r="BR49" s="59" t="str">
        <f t="shared" si="10"/>
        <v>-</v>
      </c>
      <c r="BS49" s="59" t="str">
        <f t="shared" si="11"/>
        <v>-</v>
      </c>
      <c r="BT49" s="98" t="str">
        <f>IF(ISNUMBER(BS49),BS49-(C49*Rules!$P$9/100),"-")</f>
        <v>-</v>
      </c>
      <c r="BU49" s="59" t="e">
        <f>RANK($BT49,$BT$5:$BT$106,1)+COUNTIF(BT$5:BT49,BT49)-1</f>
        <v>#VALUE!</v>
      </c>
      <c r="BV49" s="59" t="e">
        <f t="shared" si="12"/>
        <v>#VALUE!</v>
      </c>
      <c r="BW49" s="59" t="str">
        <f t="shared" si="13"/>
        <v xml:space="preserve"> </v>
      </c>
      <c r="BX49" s="59" t="str">
        <f t="shared" si="13"/>
        <v>-</v>
      </c>
      <c r="BY49" s="59" t="str">
        <f t="shared" si="14"/>
        <v>-</v>
      </c>
      <c r="CC49" s="4">
        <v>45</v>
      </c>
      <c r="CD49" s="2" t="e">
        <f>VLOOKUP(CC49,$BV$5:BY$215,1,FALSE)</f>
        <v>#N/A</v>
      </c>
      <c r="CE49" s="6" t="e">
        <f>VLOOKUP(CC49,$BV$5:BY$215,2,FALSE)</f>
        <v>#N/A</v>
      </c>
      <c r="CF49" s="103" t="e">
        <f>VLOOKUP(CC49,$BV$5:BY$215,4,FALSE)</f>
        <v>#N/A</v>
      </c>
      <c r="CL49" s="77">
        <v>1</v>
      </c>
    </row>
    <row r="50" spans="1:90" ht="17.45" customHeight="1">
      <c r="A50" s="58">
        <v>46</v>
      </c>
      <c r="B50" s="59" t="str">
        <f>'B Div'!A50 &amp; " " &amp; 'B Div'!B50</f>
        <v xml:space="preserve"> </v>
      </c>
      <c r="C50" s="59" t="str">
        <f>'B Div'!E50</f>
        <v>-</v>
      </c>
      <c r="D50" s="60"/>
      <c r="E50" s="60"/>
      <c r="F50" s="60"/>
      <c r="G50" s="60"/>
      <c r="H50" s="60"/>
      <c r="I50" s="60"/>
      <c r="J50" s="60"/>
      <c r="K50" s="60"/>
      <c r="L50" s="60"/>
      <c r="M50" s="74" t="str">
        <f t="shared" si="0"/>
        <v>-</v>
      </c>
      <c r="N50" s="60"/>
      <c r="O50" s="60"/>
      <c r="P50" s="60"/>
      <c r="Q50" s="60"/>
      <c r="R50" s="60"/>
      <c r="S50" s="60"/>
      <c r="T50" s="60"/>
      <c r="U50" s="60"/>
      <c r="V50" s="60"/>
      <c r="W50" s="74" t="str">
        <f t="shared" si="1"/>
        <v>-</v>
      </c>
      <c r="X50" s="74" t="str">
        <f t="shared" si="2"/>
        <v>-</v>
      </c>
      <c r="Y50" s="74" t="str">
        <f t="shared" si="3"/>
        <v>-</v>
      </c>
      <c r="AA50" s="60"/>
      <c r="AB50" s="60"/>
      <c r="AC50" s="60"/>
      <c r="AD50" s="60"/>
      <c r="AE50" s="60"/>
      <c r="AF50" s="60"/>
      <c r="AG50" s="60"/>
      <c r="AH50" s="60"/>
      <c r="AI50" s="60"/>
      <c r="AJ50" s="74" t="str">
        <f t="shared" si="4"/>
        <v>-</v>
      </c>
      <c r="AK50" s="60"/>
      <c r="AL50" s="60"/>
      <c r="AM50" s="60"/>
      <c r="AN50" s="60"/>
      <c r="AO50" s="60"/>
      <c r="AP50" s="60"/>
      <c r="AQ50" s="60"/>
      <c r="AR50" s="60"/>
      <c r="AS50" s="60"/>
      <c r="AT50" s="74" t="str">
        <f t="shared" si="5"/>
        <v>-</v>
      </c>
      <c r="AU50" s="74" t="str">
        <f t="shared" si="6"/>
        <v>-</v>
      </c>
      <c r="AV50" s="74" t="str">
        <f t="shared" si="7"/>
        <v>-</v>
      </c>
      <c r="AX50" s="59" t="str">
        <f>IF(AND(D50&gt;0,AA50&gt;0),MIN(D50,AA50),"-")</f>
        <v>-</v>
      </c>
      <c r="AY50" s="59" t="str">
        <f>IF(AND(E50&gt;0,AB50&gt;0),MIN(E50,AB50),"-")</f>
        <v>-</v>
      </c>
      <c r="AZ50" s="59" t="str">
        <f>IF(AND(F50&gt;0,AC50&gt;0),MIN(F50,AC50),"-")</f>
        <v>-</v>
      </c>
      <c r="BA50" s="59" t="str">
        <f>IF(AND(G50&gt;0,AD50&gt;0),MIN(G50,AD50),"-")</f>
        <v>-</v>
      </c>
      <c r="BB50" s="59" t="str">
        <f>IF(AND(H50&gt;0,AE50&gt;0),MIN(H50,AE50),"-")</f>
        <v>-</v>
      </c>
      <c r="BC50" s="59" t="str">
        <f>IF(AND(I50&gt;0,AF50&gt;0),MIN(I50,AF50),"-")</f>
        <v>-</v>
      </c>
      <c r="BD50" s="59" t="str">
        <f>IF(AND(J50&gt;0,AG50&gt;0),MIN(J50,AG50),"-")</f>
        <v>-</v>
      </c>
      <c r="BE50" s="59" t="str">
        <f>IF(AND(K50&gt;0,AH50&gt;0),MIN(K50,AH50),"-")</f>
        <v>-</v>
      </c>
      <c r="BF50" s="59" t="str">
        <f>IF(AND(L50&gt;0,AI50&gt;0),MIN(L50,AI50),"-")</f>
        <v>-</v>
      </c>
      <c r="BG50" s="59" t="str">
        <f t="shared" si="8"/>
        <v>-</v>
      </c>
      <c r="BH50" s="59" t="str">
        <f>IF(AND(N50&gt;0,AK50&gt;0),MIN(N50,AK50),"-")</f>
        <v>-</v>
      </c>
      <c r="BI50" s="59" t="str">
        <f>IF(AND(O50&gt;0,AL50&gt;0),MIN(O50,AL50),"-")</f>
        <v>-</v>
      </c>
      <c r="BJ50" s="59" t="str">
        <f>IF(AND(P50&gt;0,AM50&gt;0),MIN(P50,AM50),"-")</f>
        <v>-</v>
      </c>
      <c r="BK50" s="59" t="str">
        <f>IF(AND(Q50&gt;0,AN50&gt;0),MIN(Q50,AN50),"-")</f>
        <v>-</v>
      </c>
      <c r="BL50" s="59" t="str">
        <f>IF(AND(R50&gt;0,AO50&gt;0),MIN(R50,AO50),"-")</f>
        <v>-</v>
      </c>
      <c r="BM50" s="59" t="str">
        <f>IF(AND(S50&gt;0,AP50&gt;0),MIN(S50,AP50),"-")</f>
        <v>-</v>
      </c>
      <c r="BN50" s="59" t="str">
        <f>IF(AND(T50&gt;0,AQ50&gt;0),MIN(T50,AQ50),"-")</f>
        <v>-</v>
      </c>
      <c r="BO50" s="59" t="str">
        <f>IF(AND(U50&gt;0,AR50&gt;0),MIN(U50,AR50),"-")</f>
        <v>-</v>
      </c>
      <c r="BP50" s="59" t="str">
        <f>IF(AND(V50&gt;0,AS50&gt;0),MIN(V50,AS50),"-")</f>
        <v>-</v>
      </c>
      <c r="BQ50" s="59" t="str">
        <f t="shared" si="9"/>
        <v>-</v>
      </c>
      <c r="BR50" s="59" t="str">
        <f t="shared" si="10"/>
        <v>-</v>
      </c>
      <c r="BS50" s="59" t="str">
        <f t="shared" si="11"/>
        <v>-</v>
      </c>
      <c r="BT50" s="98" t="str">
        <f>IF(ISNUMBER(BS50),BS50-(C50*Rules!$P$9/100),"-")</f>
        <v>-</v>
      </c>
      <c r="BU50" s="59" t="e">
        <f>RANK($BT50,$BT$5:$BT$106,1)+COUNTIF(BT$5:BT50,BT50)-1</f>
        <v>#VALUE!</v>
      </c>
      <c r="BV50" s="59" t="e">
        <f t="shared" si="12"/>
        <v>#VALUE!</v>
      </c>
      <c r="BW50" s="59" t="str">
        <f t="shared" si="13"/>
        <v xml:space="preserve"> </v>
      </c>
      <c r="BX50" s="59" t="str">
        <f t="shared" si="13"/>
        <v>-</v>
      </c>
      <c r="BY50" s="59" t="str">
        <f t="shared" si="14"/>
        <v>-</v>
      </c>
      <c r="CC50" s="4">
        <v>46</v>
      </c>
      <c r="CD50" s="2" t="e">
        <f>VLOOKUP(CC50,$BV$5:BY$215,1,FALSE)</f>
        <v>#N/A</v>
      </c>
      <c r="CE50" s="6" t="e">
        <f>VLOOKUP(CC50,$BV$5:BY$215,2,FALSE)</f>
        <v>#N/A</v>
      </c>
      <c r="CF50" s="103" t="e">
        <f>VLOOKUP(CC50,$BV$5:BY$215,4,FALSE)</f>
        <v>#N/A</v>
      </c>
      <c r="CL50" s="77">
        <v>1</v>
      </c>
    </row>
    <row r="51" spans="1:90" ht="17.45" customHeight="1">
      <c r="A51" s="58">
        <v>47</v>
      </c>
      <c r="B51" s="59" t="str">
        <f>'B Div'!A51 &amp; " " &amp; 'B Div'!B51</f>
        <v xml:space="preserve"> </v>
      </c>
      <c r="C51" s="59" t="str">
        <f>'B Div'!E51</f>
        <v>-</v>
      </c>
      <c r="D51" s="60"/>
      <c r="E51" s="60"/>
      <c r="F51" s="60"/>
      <c r="G51" s="60"/>
      <c r="H51" s="60"/>
      <c r="I51" s="60"/>
      <c r="J51" s="60"/>
      <c r="K51" s="60"/>
      <c r="L51" s="60"/>
      <c r="M51" s="74" t="str">
        <f t="shared" si="0"/>
        <v>-</v>
      </c>
      <c r="N51" s="60"/>
      <c r="O51" s="60"/>
      <c r="P51" s="60"/>
      <c r="Q51" s="60"/>
      <c r="R51" s="60"/>
      <c r="S51" s="60"/>
      <c r="T51" s="60"/>
      <c r="U51" s="60"/>
      <c r="V51" s="60"/>
      <c r="W51" s="74" t="str">
        <f t="shared" si="1"/>
        <v>-</v>
      </c>
      <c r="X51" s="74" t="str">
        <f t="shared" si="2"/>
        <v>-</v>
      </c>
      <c r="Y51" s="74" t="str">
        <f t="shared" si="3"/>
        <v>-</v>
      </c>
      <c r="AA51" s="60"/>
      <c r="AB51" s="60"/>
      <c r="AC51" s="60"/>
      <c r="AD51" s="60"/>
      <c r="AE51" s="60"/>
      <c r="AF51" s="60"/>
      <c r="AG51" s="60"/>
      <c r="AH51" s="60"/>
      <c r="AI51" s="60"/>
      <c r="AJ51" s="74" t="str">
        <f t="shared" si="4"/>
        <v>-</v>
      </c>
      <c r="AK51" s="60"/>
      <c r="AL51" s="60"/>
      <c r="AM51" s="60"/>
      <c r="AN51" s="60"/>
      <c r="AO51" s="60"/>
      <c r="AP51" s="60"/>
      <c r="AQ51" s="60"/>
      <c r="AR51" s="60"/>
      <c r="AS51" s="60"/>
      <c r="AT51" s="74" t="str">
        <f t="shared" si="5"/>
        <v>-</v>
      </c>
      <c r="AU51" s="74" t="str">
        <f t="shared" si="6"/>
        <v>-</v>
      </c>
      <c r="AV51" s="74" t="str">
        <f t="shared" si="7"/>
        <v>-</v>
      </c>
      <c r="AX51" s="59" t="str">
        <f>IF(AND(D51&gt;0,AA51&gt;0),MIN(D51,AA51),"-")</f>
        <v>-</v>
      </c>
      <c r="AY51" s="59" t="str">
        <f>IF(AND(E51&gt;0,AB51&gt;0),MIN(E51,AB51),"-")</f>
        <v>-</v>
      </c>
      <c r="AZ51" s="59" t="str">
        <f>IF(AND(F51&gt;0,AC51&gt;0),MIN(F51,AC51),"-")</f>
        <v>-</v>
      </c>
      <c r="BA51" s="59" t="str">
        <f>IF(AND(G51&gt;0,AD51&gt;0),MIN(G51,AD51),"-")</f>
        <v>-</v>
      </c>
      <c r="BB51" s="59" t="str">
        <f>IF(AND(H51&gt;0,AE51&gt;0),MIN(H51,AE51),"-")</f>
        <v>-</v>
      </c>
      <c r="BC51" s="59" t="str">
        <f>IF(AND(I51&gt;0,AF51&gt;0),MIN(I51,AF51),"-")</f>
        <v>-</v>
      </c>
      <c r="BD51" s="59" t="str">
        <f>IF(AND(J51&gt;0,AG51&gt;0),MIN(J51,AG51),"-")</f>
        <v>-</v>
      </c>
      <c r="BE51" s="59" t="str">
        <f>IF(AND(K51&gt;0,AH51&gt;0),MIN(K51,AH51),"-")</f>
        <v>-</v>
      </c>
      <c r="BF51" s="59" t="str">
        <f>IF(AND(L51&gt;0,AI51&gt;0),MIN(L51,AI51),"-")</f>
        <v>-</v>
      </c>
      <c r="BG51" s="59" t="str">
        <f t="shared" si="8"/>
        <v>-</v>
      </c>
      <c r="BH51" s="59" t="str">
        <f>IF(AND(N51&gt;0,AK51&gt;0),MIN(N51,AK51),"-")</f>
        <v>-</v>
      </c>
      <c r="BI51" s="59" t="str">
        <f>IF(AND(O51&gt;0,AL51&gt;0),MIN(O51,AL51),"-")</f>
        <v>-</v>
      </c>
      <c r="BJ51" s="59" t="str">
        <f>IF(AND(P51&gt;0,AM51&gt;0),MIN(P51,AM51),"-")</f>
        <v>-</v>
      </c>
      <c r="BK51" s="59" t="str">
        <f>IF(AND(Q51&gt;0,AN51&gt;0),MIN(Q51,AN51),"-")</f>
        <v>-</v>
      </c>
      <c r="BL51" s="59" t="str">
        <f>IF(AND(R51&gt;0,AO51&gt;0),MIN(R51,AO51),"-")</f>
        <v>-</v>
      </c>
      <c r="BM51" s="59" t="str">
        <f>IF(AND(S51&gt;0,AP51&gt;0),MIN(S51,AP51),"-")</f>
        <v>-</v>
      </c>
      <c r="BN51" s="59" t="str">
        <f>IF(AND(T51&gt;0,AQ51&gt;0),MIN(T51,AQ51),"-")</f>
        <v>-</v>
      </c>
      <c r="BO51" s="59" t="str">
        <f>IF(AND(U51&gt;0,AR51&gt;0),MIN(U51,AR51),"-")</f>
        <v>-</v>
      </c>
      <c r="BP51" s="59" t="str">
        <f>IF(AND(V51&gt;0,AS51&gt;0),MIN(V51,AS51),"-")</f>
        <v>-</v>
      </c>
      <c r="BQ51" s="59" t="str">
        <f t="shared" si="9"/>
        <v>-</v>
      </c>
      <c r="BR51" s="59" t="str">
        <f t="shared" si="10"/>
        <v>-</v>
      </c>
      <c r="BS51" s="59" t="str">
        <f t="shared" si="11"/>
        <v>-</v>
      </c>
      <c r="BT51" s="98" t="str">
        <f>IF(ISNUMBER(BS51),BS51-(C51*Rules!$P$9/100),"-")</f>
        <v>-</v>
      </c>
      <c r="BU51" s="59" t="e">
        <f>RANK($BT51,$BT$5:$BT$106,1)+COUNTIF(BT$5:BT51,BT51)-1</f>
        <v>#VALUE!</v>
      </c>
      <c r="BV51" s="59" t="e">
        <f t="shared" si="12"/>
        <v>#VALUE!</v>
      </c>
      <c r="BW51" s="59" t="str">
        <f t="shared" si="13"/>
        <v xml:space="preserve"> </v>
      </c>
      <c r="BX51" s="59" t="str">
        <f t="shared" si="13"/>
        <v>-</v>
      </c>
      <c r="BY51" s="59" t="str">
        <f t="shared" si="14"/>
        <v>-</v>
      </c>
      <c r="CC51" s="4">
        <v>47</v>
      </c>
      <c r="CD51" s="2" t="e">
        <f>VLOOKUP(CC51,$BV$5:BY$215,1,FALSE)</f>
        <v>#N/A</v>
      </c>
      <c r="CE51" s="6" t="e">
        <f>VLOOKUP(CC51,$BV$5:BY$215,2,FALSE)</f>
        <v>#N/A</v>
      </c>
      <c r="CF51" s="103" t="e">
        <f>VLOOKUP(CC51,$BV$5:BY$215,4,FALSE)</f>
        <v>#N/A</v>
      </c>
      <c r="CL51" s="77">
        <v>1</v>
      </c>
    </row>
    <row r="52" spans="1:90" ht="17.45" customHeight="1">
      <c r="A52" s="58">
        <v>48</v>
      </c>
      <c r="B52" s="59" t="str">
        <f>'B Div'!A52 &amp; " " &amp; 'B Div'!B52</f>
        <v xml:space="preserve"> </v>
      </c>
      <c r="C52" s="59" t="str">
        <f>'B Div'!E52</f>
        <v>-</v>
      </c>
      <c r="D52" s="60"/>
      <c r="E52" s="60"/>
      <c r="F52" s="60"/>
      <c r="G52" s="60"/>
      <c r="H52" s="60"/>
      <c r="I52" s="60"/>
      <c r="J52" s="60"/>
      <c r="K52" s="60"/>
      <c r="L52" s="60"/>
      <c r="M52" s="74" t="str">
        <f t="shared" si="0"/>
        <v>-</v>
      </c>
      <c r="N52" s="60"/>
      <c r="O52" s="60"/>
      <c r="P52" s="60"/>
      <c r="Q52" s="60"/>
      <c r="R52" s="60"/>
      <c r="S52" s="60"/>
      <c r="T52" s="60"/>
      <c r="U52" s="60"/>
      <c r="V52" s="60"/>
      <c r="W52" s="74" t="str">
        <f t="shared" si="1"/>
        <v>-</v>
      </c>
      <c r="X52" s="74" t="str">
        <f t="shared" si="2"/>
        <v>-</v>
      </c>
      <c r="Y52" s="74" t="str">
        <f t="shared" si="3"/>
        <v>-</v>
      </c>
      <c r="AA52" s="60"/>
      <c r="AB52" s="60"/>
      <c r="AC52" s="60"/>
      <c r="AD52" s="60"/>
      <c r="AE52" s="60"/>
      <c r="AF52" s="60"/>
      <c r="AG52" s="60"/>
      <c r="AH52" s="60"/>
      <c r="AI52" s="60"/>
      <c r="AJ52" s="74" t="str">
        <f t="shared" si="4"/>
        <v>-</v>
      </c>
      <c r="AK52" s="60"/>
      <c r="AL52" s="60"/>
      <c r="AM52" s="60"/>
      <c r="AN52" s="60"/>
      <c r="AO52" s="60"/>
      <c r="AP52" s="60"/>
      <c r="AQ52" s="60"/>
      <c r="AR52" s="60"/>
      <c r="AS52" s="60"/>
      <c r="AT52" s="74" t="str">
        <f t="shared" si="5"/>
        <v>-</v>
      </c>
      <c r="AU52" s="74" t="str">
        <f t="shared" si="6"/>
        <v>-</v>
      </c>
      <c r="AV52" s="74" t="str">
        <f t="shared" si="7"/>
        <v>-</v>
      </c>
      <c r="AX52" s="59" t="str">
        <f>IF(AND(D52&gt;0,AA52&gt;0),MIN(D52,AA52),"-")</f>
        <v>-</v>
      </c>
      <c r="AY52" s="59" t="str">
        <f>IF(AND(E52&gt;0,AB52&gt;0),MIN(E52,AB52),"-")</f>
        <v>-</v>
      </c>
      <c r="AZ52" s="59" t="str">
        <f>IF(AND(F52&gt;0,AC52&gt;0),MIN(F52,AC52),"-")</f>
        <v>-</v>
      </c>
      <c r="BA52" s="59" t="str">
        <f>IF(AND(G52&gt;0,AD52&gt;0),MIN(G52,AD52),"-")</f>
        <v>-</v>
      </c>
      <c r="BB52" s="59" t="str">
        <f>IF(AND(H52&gt;0,AE52&gt;0),MIN(H52,AE52),"-")</f>
        <v>-</v>
      </c>
      <c r="BC52" s="59" t="str">
        <f>IF(AND(I52&gt;0,AF52&gt;0),MIN(I52,AF52),"-")</f>
        <v>-</v>
      </c>
      <c r="BD52" s="59" t="str">
        <f>IF(AND(J52&gt;0,AG52&gt;0),MIN(J52,AG52),"-")</f>
        <v>-</v>
      </c>
      <c r="BE52" s="59" t="str">
        <f>IF(AND(K52&gt;0,AH52&gt;0),MIN(K52,AH52),"-")</f>
        <v>-</v>
      </c>
      <c r="BF52" s="59" t="str">
        <f>IF(AND(L52&gt;0,AI52&gt;0),MIN(L52,AI52),"-")</f>
        <v>-</v>
      </c>
      <c r="BG52" s="59" t="str">
        <f t="shared" si="8"/>
        <v>-</v>
      </c>
      <c r="BH52" s="59" t="str">
        <f>IF(AND(N52&gt;0,AK52&gt;0),MIN(N52,AK52),"-")</f>
        <v>-</v>
      </c>
      <c r="BI52" s="59" t="str">
        <f>IF(AND(O52&gt;0,AL52&gt;0),MIN(O52,AL52),"-")</f>
        <v>-</v>
      </c>
      <c r="BJ52" s="59" t="str">
        <f>IF(AND(P52&gt;0,AM52&gt;0),MIN(P52,AM52),"-")</f>
        <v>-</v>
      </c>
      <c r="BK52" s="59" t="str">
        <f>IF(AND(Q52&gt;0,AN52&gt;0),MIN(Q52,AN52),"-")</f>
        <v>-</v>
      </c>
      <c r="BL52" s="59" t="str">
        <f>IF(AND(R52&gt;0,AO52&gt;0),MIN(R52,AO52),"-")</f>
        <v>-</v>
      </c>
      <c r="BM52" s="59" t="str">
        <f>IF(AND(S52&gt;0,AP52&gt;0),MIN(S52,AP52),"-")</f>
        <v>-</v>
      </c>
      <c r="BN52" s="59" t="str">
        <f>IF(AND(T52&gt;0,AQ52&gt;0),MIN(T52,AQ52),"-")</f>
        <v>-</v>
      </c>
      <c r="BO52" s="59" t="str">
        <f>IF(AND(U52&gt;0,AR52&gt;0),MIN(U52,AR52),"-")</f>
        <v>-</v>
      </c>
      <c r="BP52" s="59" t="str">
        <f>IF(AND(V52&gt;0,AS52&gt;0),MIN(V52,AS52),"-")</f>
        <v>-</v>
      </c>
      <c r="BQ52" s="59" t="str">
        <f t="shared" si="9"/>
        <v>-</v>
      </c>
      <c r="BR52" s="59" t="str">
        <f t="shared" si="10"/>
        <v>-</v>
      </c>
      <c r="BS52" s="59" t="str">
        <f t="shared" si="11"/>
        <v>-</v>
      </c>
      <c r="BT52" s="98" t="str">
        <f>IF(ISNUMBER(BS52),BS52-(C52*Rules!$P$9/100),"-")</f>
        <v>-</v>
      </c>
      <c r="BU52" s="59" t="e">
        <f>RANK($BT52,$BT$5:$BT$106,1)+COUNTIF(BT$5:BT52,BT52)-1</f>
        <v>#VALUE!</v>
      </c>
      <c r="BV52" s="59" t="e">
        <f t="shared" si="12"/>
        <v>#VALUE!</v>
      </c>
      <c r="BW52" s="59" t="str">
        <f t="shared" si="13"/>
        <v xml:space="preserve"> </v>
      </c>
      <c r="BX52" s="59" t="str">
        <f t="shared" si="13"/>
        <v>-</v>
      </c>
      <c r="BY52" s="59" t="str">
        <f t="shared" si="14"/>
        <v>-</v>
      </c>
      <c r="CC52" s="4">
        <v>48</v>
      </c>
      <c r="CD52" s="2" t="e">
        <f>VLOOKUP(CC52,$BV$5:BY$215,1,FALSE)</f>
        <v>#N/A</v>
      </c>
      <c r="CE52" s="6" t="e">
        <f>VLOOKUP(CC52,$BV$5:BY$215,2,FALSE)</f>
        <v>#N/A</v>
      </c>
      <c r="CF52" s="103" t="e">
        <f>VLOOKUP(CC52,$BV$5:BY$215,4,FALSE)</f>
        <v>#N/A</v>
      </c>
      <c r="CL52" s="77">
        <v>1</v>
      </c>
    </row>
    <row r="53" spans="1:90" ht="17.45" customHeight="1">
      <c r="A53" s="58">
        <v>49</v>
      </c>
      <c r="B53" s="59" t="str">
        <f>'B Div'!A53 &amp; " " &amp; 'B Div'!B53</f>
        <v xml:space="preserve"> </v>
      </c>
      <c r="C53" s="59" t="str">
        <f>'B Div'!E53</f>
        <v>-</v>
      </c>
      <c r="D53" s="60"/>
      <c r="E53" s="60"/>
      <c r="F53" s="60"/>
      <c r="G53" s="60"/>
      <c r="H53" s="60"/>
      <c r="I53" s="60"/>
      <c r="J53" s="60"/>
      <c r="K53" s="60"/>
      <c r="L53" s="60"/>
      <c r="M53" s="74" t="str">
        <f t="shared" si="0"/>
        <v>-</v>
      </c>
      <c r="N53" s="60"/>
      <c r="O53" s="60"/>
      <c r="P53" s="60"/>
      <c r="Q53" s="60"/>
      <c r="R53" s="60"/>
      <c r="S53" s="60"/>
      <c r="T53" s="60"/>
      <c r="U53" s="60"/>
      <c r="V53" s="60"/>
      <c r="W53" s="74" t="str">
        <f t="shared" si="1"/>
        <v>-</v>
      </c>
      <c r="X53" s="74" t="str">
        <f t="shared" si="2"/>
        <v>-</v>
      </c>
      <c r="Y53" s="74" t="str">
        <f t="shared" si="3"/>
        <v>-</v>
      </c>
      <c r="AA53" s="60"/>
      <c r="AB53" s="60"/>
      <c r="AC53" s="60"/>
      <c r="AD53" s="60"/>
      <c r="AE53" s="60"/>
      <c r="AF53" s="60"/>
      <c r="AG53" s="60"/>
      <c r="AH53" s="60"/>
      <c r="AI53" s="60"/>
      <c r="AJ53" s="74" t="str">
        <f t="shared" si="4"/>
        <v>-</v>
      </c>
      <c r="AK53" s="60"/>
      <c r="AL53" s="60"/>
      <c r="AM53" s="60"/>
      <c r="AN53" s="60"/>
      <c r="AO53" s="60"/>
      <c r="AP53" s="60"/>
      <c r="AQ53" s="60"/>
      <c r="AR53" s="60"/>
      <c r="AS53" s="60"/>
      <c r="AT53" s="74" t="str">
        <f t="shared" si="5"/>
        <v>-</v>
      </c>
      <c r="AU53" s="74" t="str">
        <f t="shared" si="6"/>
        <v>-</v>
      </c>
      <c r="AV53" s="74" t="str">
        <f t="shared" si="7"/>
        <v>-</v>
      </c>
      <c r="AX53" s="59" t="str">
        <f>IF(AND(D53&gt;0,AA53&gt;0),MIN(D53,AA53),"-")</f>
        <v>-</v>
      </c>
      <c r="AY53" s="59" t="str">
        <f>IF(AND(E53&gt;0,AB53&gt;0),MIN(E53,AB53),"-")</f>
        <v>-</v>
      </c>
      <c r="AZ53" s="59" t="str">
        <f>IF(AND(F53&gt;0,AC53&gt;0),MIN(F53,AC53),"-")</f>
        <v>-</v>
      </c>
      <c r="BA53" s="59" t="str">
        <f>IF(AND(G53&gt;0,AD53&gt;0),MIN(G53,AD53),"-")</f>
        <v>-</v>
      </c>
      <c r="BB53" s="59" t="str">
        <f>IF(AND(H53&gt;0,AE53&gt;0),MIN(H53,AE53),"-")</f>
        <v>-</v>
      </c>
      <c r="BC53" s="59" t="str">
        <f>IF(AND(I53&gt;0,AF53&gt;0),MIN(I53,AF53),"-")</f>
        <v>-</v>
      </c>
      <c r="BD53" s="59" t="str">
        <f>IF(AND(J53&gt;0,AG53&gt;0),MIN(J53,AG53),"-")</f>
        <v>-</v>
      </c>
      <c r="BE53" s="59" t="str">
        <f>IF(AND(K53&gt;0,AH53&gt;0),MIN(K53,AH53),"-")</f>
        <v>-</v>
      </c>
      <c r="BF53" s="59" t="str">
        <f>IF(AND(L53&gt;0,AI53&gt;0),MIN(L53,AI53),"-")</f>
        <v>-</v>
      </c>
      <c r="BG53" s="59" t="str">
        <f t="shared" si="8"/>
        <v>-</v>
      </c>
      <c r="BH53" s="59" t="str">
        <f>IF(AND(N53&gt;0,AK53&gt;0),MIN(N53,AK53),"-")</f>
        <v>-</v>
      </c>
      <c r="BI53" s="59" t="str">
        <f>IF(AND(O53&gt;0,AL53&gt;0),MIN(O53,AL53),"-")</f>
        <v>-</v>
      </c>
      <c r="BJ53" s="59" t="str">
        <f>IF(AND(P53&gt;0,AM53&gt;0),MIN(P53,AM53),"-")</f>
        <v>-</v>
      </c>
      <c r="BK53" s="59" t="str">
        <f>IF(AND(Q53&gt;0,AN53&gt;0),MIN(Q53,AN53),"-")</f>
        <v>-</v>
      </c>
      <c r="BL53" s="59" t="str">
        <f>IF(AND(R53&gt;0,AO53&gt;0),MIN(R53,AO53),"-")</f>
        <v>-</v>
      </c>
      <c r="BM53" s="59" t="str">
        <f>IF(AND(S53&gt;0,AP53&gt;0),MIN(S53,AP53),"-")</f>
        <v>-</v>
      </c>
      <c r="BN53" s="59" t="str">
        <f>IF(AND(T53&gt;0,AQ53&gt;0),MIN(T53,AQ53),"-")</f>
        <v>-</v>
      </c>
      <c r="BO53" s="59" t="str">
        <f>IF(AND(U53&gt;0,AR53&gt;0),MIN(U53,AR53),"-")</f>
        <v>-</v>
      </c>
      <c r="BP53" s="59" t="str">
        <f>IF(AND(V53&gt;0,AS53&gt;0),MIN(V53,AS53),"-")</f>
        <v>-</v>
      </c>
      <c r="BQ53" s="59" t="str">
        <f t="shared" si="9"/>
        <v>-</v>
      </c>
      <c r="BR53" s="59" t="str">
        <f t="shared" si="10"/>
        <v>-</v>
      </c>
      <c r="BS53" s="59" t="str">
        <f t="shared" si="11"/>
        <v>-</v>
      </c>
      <c r="BT53" s="98" t="str">
        <f>IF(ISNUMBER(BS53),BS53-(C53*Rules!$P$9/100),"-")</f>
        <v>-</v>
      </c>
      <c r="BU53" s="59" t="e">
        <f>RANK($BT53,$BT$5:$BT$106,1)+COUNTIF(BT$5:BT53,BT53)-1</f>
        <v>#VALUE!</v>
      </c>
      <c r="BV53" s="59" t="e">
        <f t="shared" si="12"/>
        <v>#VALUE!</v>
      </c>
      <c r="BW53" s="59" t="str">
        <f t="shared" si="13"/>
        <v xml:space="preserve"> </v>
      </c>
      <c r="BX53" s="59" t="str">
        <f t="shared" si="13"/>
        <v>-</v>
      </c>
      <c r="BY53" s="59" t="str">
        <f t="shared" si="14"/>
        <v>-</v>
      </c>
      <c r="CC53" s="4">
        <v>49</v>
      </c>
      <c r="CD53" s="2" t="e">
        <f>VLOOKUP(CC53,$BV$5:BY$215,1,FALSE)</f>
        <v>#N/A</v>
      </c>
      <c r="CE53" s="6" t="e">
        <f>VLOOKUP(CC53,$BV$5:BY$215,2,FALSE)</f>
        <v>#N/A</v>
      </c>
      <c r="CF53" s="103" t="e">
        <f>VLOOKUP(CC53,$BV$5:BY$215,4,FALSE)</f>
        <v>#N/A</v>
      </c>
      <c r="CL53" s="77">
        <v>1</v>
      </c>
    </row>
    <row r="54" spans="1:90" ht="17.45" customHeight="1">
      <c r="A54" s="58">
        <v>50</v>
      </c>
      <c r="B54" s="59" t="str">
        <f>'B Div'!A54 &amp; " " &amp; 'B Div'!B54</f>
        <v xml:space="preserve"> </v>
      </c>
      <c r="C54" s="59" t="str">
        <f>'B Div'!E54</f>
        <v>-</v>
      </c>
      <c r="D54" s="60"/>
      <c r="E54" s="60"/>
      <c r="F54" s="60"/>
      <c r="G54" s="60"/>
      <c r="H54" s="60"/>
      <c r="I54" s="60"/>
      <c r="J54" s="60"/>
      <c r="K54" s="60"/>
      <c r="L54" s="60"/>
      <c r="M54" s="74" t="str">
        <f t="shared" si="0"/>
        <v>-</v>
      </c>
      <c r="N54" s="60"/>
      <c r="O54" s="60"/>
      <c r="P54" s="60"/>
      <c r="Q54" s="60"/>
      <c r="R54" s="60"/>
      <c r="S54" s="60"/>
      <c r="T54" s="60"/>
      <c r="U54" s="60"/>
      <c r="V54" s="60"/>
      <c r="W54" s="74" t="str">
        <f t="shared" si="1"/>
        <v>-</v>
      </c>
      <c r="X54" s="74" t="str">
        <f t="shared" si="2"/>
        <v>-</v>
      </c>
      <c r="Y54" s="74" t="str">
        <f t="shared" si="3"/>
        <v>-</v>
      </c>
      <c r="AA54" s="60"/>
      <c r="AB54" s="60"/>
      <c r="AC54" s="60"/>
      <c r="AD54" s="60"/>
      <c r="AE54" s="60"/>
      <c r="AF54" s="60"/>
      <c r="AG54" s="60"/>
      <c r="AH54" s="60"/>
      <c r="AI54" s="60"/>
      <c r="AJ54" s="74" t="str">
        <f t="shared" si="4"/>
        <v>-</v>
      </c>
      <c r="AK54" s="60"/>
      <c r="AL54" s="60"/>
      <c r="AM54" s="60"/>
      <c r="AN54" s="60"/>
      <c r="AO54" s="60"/>
      <c r="AP54" s="60"/>
      <c r="AQ54" s="60"/>
      <c r="AR54" s="60"/>
      <c r="AS54" s="60"/>
      <c r="AT54" s="74" t="str">
        <f t="shared" si="5"/>
        <v>-</v>
      </c>
      <c r="AU54" s="74" t="str">
        <f t="shared" si="6"/>
        <v>-</v>
      </c>
      <c r="AV54" s="74" t="str">
        <f t="shared" si="7"/>
        <v>-</v>
      </c>
      <c r="AX54" s="59" t="str">
        <f>IF(AND(D54&gt;0,AA54&gt;0),MIN(D54,AA54),"-")</f>
        <v>-</v>
      </c>
      <c r="AY54" s="59" t="str">
        <f>IF(AND(E54&gt;0,AB54&gt;0),MIN(E54,AB54),"-")</f>
        <v>-</v>
      </c>
      <c r="AZ54" s="59" t="str">
        <f>IF(AND(F54&gt;0,AC54&gt;0),MIN(F54,AC54),"-")</f>
        <v>-</v>
      </c>
      <c r="BA54" s="59" t="str">
        <f>IF(AND(G54&gt;0,AD54&gt;0),MIN(G54,AD54),"-")</f>
        <v>-</v>
      </c>
      <c r="BB54" s="59" t="str">
        <f>IF(AND(H54&gt;0,AE54&gt;0),MIN(H54,AE54),"-")</f>
        <v>-</v>
      </c>
      <c r="BC54" s="59" t="str">
        <f>IF(AND(I54&gt;0,AF54&gt;0),MIN(I54,AF54),"-")</f>
        <v>-</v>
      </c>
      <c r="BD54" s="59" t="str">
        <f>IF(AND(J54&gt;0,AG54&gt;0),MIN(J54,AG54),"-")</f>
        <v>-</v>
      </c>
      <c r="BE54" s="59" t="str">
        <f>IF(AND(K54&gt;0,AH54&gt;0),MIN(K54,AH54),"-")</f>
        <v>-</v>
      </c>
      <c r="BF54" s="59" t="str">
        <f>IF(AND(L54&gt;0,AI54&gt;0),MIN(L54,AI54),"-")</f>
        <v>-</v>
      </c>
      <c r="BG54" s="59" t="str">
        <f t="shared" si="8"/>
        <v>-</v>
      </c>
      <c r="BH54" s="59" t="str">
        <f>IF(AND(N54&gt;0,AK54&gt;0),MIN(N54,AK54),"-")</f>
        <v>-</v>
      </c>
      <c r="BI54" s="59" t="str">
        <f>IF(AND(O54&gt;0,AL54&gt;0),MIN(O54,AL54),"-")</f>
        <v>-</v>
      </c>
      <c r="BJ54" s="59" t="str">
        <f>IF(AND(P54&gt;0,AM54&gt;0),MIN(P54,AM54),"-")</f>
        <v>-</v>
      </c>
      <c r="BK54" s="59" t="str">
        <f>IF(AND(Q54&gt;0,AN54&gt;0),MIN(Q54,AN54),"-")</f>
        <v>-</v>
      </c>
      <c r="BL54" s="59" t="str">
        <f>IF(AND(R54&gt;0,AO54&gt;0),MIN(R54,AO54),"-")</f>
        <v>-</v>
      </c>
      <c r="BM54" s="59" t="str">
        <f>IF(AND(S54&gt;0,AP54&gt;0),MIN(S54,AP54),"-")</f>
        <v>-</v>
      </c>
      <c r="BN54" s="59" t="str">
        <f>IF(AND(T54&gt;0,AQ54&gt;0),MIN(T54,AQ54),"-")</f>
        <v>-</v>
      </c>
      <c r="BO54" s="59" t="str">
        <f>IF(AND(U54&gt;0,AR54&gt;0),MIN(U54,AR54),"-")</f>
        <v>-</v>
      </c>
      <c r="BP54" s="59" t="str">
        <f>IF(AND(V54&gt;0,AS54&gt;0),MIN(V54,AS54),"-")</f>
        <v>-</v>
      </c>
      <c r="BQ54" s="59" t="str">
        <f t="shared" si="9"/>
        <v>-</v>
      </c>
      <c r="BR54" s="59" t="str">
        <f t="shared" si="10"/>
        <v>-</v>
      </c>
      <c r="BS54" s="59" t="str">
        <f t="shared" si="11"/>
        <v>-</v>
      </c>
      <c r="BT54" s="98" t="str">
        <f>IF(ISNUMBER(BS54),BS54-(C54*Rules!$P$9/100),"-")</f>
        <v>-</v>
      </c>
      <c r="BU54" s="59" t="e">
        <f>RANK($BT54,$BT$5:$BT$106,1)+COUNTIF(BT$5:BT54,BT54)-1</f>
        <v>#VALUE!</v>
      </c>
      <c r="BV54" s="59" t="e">
        <f t="shared" si="12"/>
        <v>#VALUE!</v>
      </c>
      <c r="BW54" s="59" t="str">
        <f t="shared" si="13"/>
        <v xml:space="preserve"> </v>
      </c>
      <c r="BX54" s="59" t="str">
        <f t="shared" si="13"/>
        <v>-</v>
      </c>
      <c r="BY54" s="59" t="str">
        <f t="shared" si="14"/>
        <v>-</v>
      </c>
      <c r="CC54" s="4">
        <v>50</v>
      </c>
      <c r="CD54" s="2" t="e">
        <f>VLOOKUP(CC54,$BV$5:BY$215,1,FALSE)</f>
        <v>#N/A</v>
      </c>
      <c r="CE54" s="6" t="e">
        <f>VLOOKUP(CC54,$BV$5:BY$215,2,FALSE)</f>
        <v>#N/A</v>
      </c>
      <c r="CF54" s="103" t="e">
        <f>VLOOKUP(CC54,$BV$5:BY$215,4,FALSE)</f>
        <v>#N/A</v>
      </c>
      <c r="CL54" s="77">
        <v>1</v>
      </c>
    </row>
    <row r="55" spans="1:90" ht="17.45" customHeight="1">
      <c r="A55" s="58">
        <v>51</v>
      </c>
      <c r="B55" s="59" t="str">
        <f>'B Div'!A55 &amp; " " &amp; 'B Div'!B55</f>
        <v xml:space="preserve"> </v>
      </c>
      <c r="C55" s="59" t="str">
        <f>'B Div'!E55</f>
        <v>-</v>
      </c>
      <c r="D55" s="60"/>
      <c r="E55" s="60"/>
      <c r="F55" s="60"/>
      <c r="G55" s="60"/>
      <c r="H55" s="60"/>
      <c r="I55" s="60"/>
      <c r="J55" s="60"/>
      <c r="K55" s="60"/>
      <c r="L55" s="60"/>
      <c r="M55" s="74" t="str">
        <f t="shared" si="0"/>
        <v>-</v>
      </c>
      <c r="N55" s="60"/>
      <c r="O55" s="60"/>
      <c r="P55" s="60"/>
      <c r="Q55" s="60"/>
      <c r="R55" s="60"/>
      <c r="S55" s="60"/>
      <c r="T55" s="60"/>
      <c r="U55" s="60"/>
      <c r="V55" s="60"/>
      <c r="W55" s="74" t="str">
        <f t="shared" si="1"/>
        <v>-</v>
      </c>
      <c r="X55" s="74" t="str">
        <f t="shared" si="2"/>
        <v>-</v>
      </c>
      <c r="Y55" s="74" t="str">
        <f t="shared" si="3"/>
        <v>-</v>
      </c>
      <c r="AA55" s="60"/>
      <c r="AB55" s="60"/>
      <c r="AC55" s="60"/>
      <c r="AD55" s="60"/>
      <c r="AE55" s="60"/>
      <c r="AF55" s="60"/>
      <c r="AG55" s="60"/>
      <c r="AH55" s="60"/>
      <c r="AI55" s="60"/>
      <c r="AJ55" s="74" t="str">
        <f t="shared" si="4"/>
        <v>-</v>
      </c>
      <c r="AK55" s="60"/>
      <c r="AL55" s="60"/>
      <c r="AM55" s="60"/>
      <c r="AN55" s="60"/>
      <c r="AO55" s="60"/>
      <c r="AP55" s="60"/>
      <c r="AQ55" s="60"/>
      <c r="AR55" s="60"/>
      <c r="AS55" s="60"/>
      <c r="AT55" s="74" t="str">
        <f t="shared" si="5"/>
        <v>-</v>
      </c>
      <c r="AU55" s="74" t="str">
        <f t="shared" si="6"/>
        <v>-</v>
      </c>
      <c r="AV55" s="74" t="str">
        <f t="shared" si="7"/>
        <v>-</v>
      </c>
      <c r="AX55" s="59" t="str">
        <f>IF(AND(D55&gt;0,AA55&gt;0),MIN(D55,AA55),"-")</f>
        <v>-</v>
      </c>
      <c r="AY55" s="59" t="str">
        <f>IF(AND(E55&gt;0,AB55&gt;0),MIN(E55,AB55),"-")</f>
        <v>-</v>
      </c>
      <c r="AZ55" s="59" t="str">
        <f>IF(AND(F55&gt;0,AC55&gt;0),MIN(F55,AC55),"-")</f>
        <v>-</v>
      </c>
      <c r="BA55" s="59" t="str">
        <f>IF(AND(G55&gt;0,AD55&gt;0),MIN(G55,AD55),"-")</f>
        <v>-</v>
      </c>
      <c r="BB55" s="59" t="str">
        <f>IF(AND(H55&gt;0,AE55&gt;0),MIN(H55,AE55),"-")</f>
        <v>-</v>
      </c>
      <c r="BC55" s="59" t="str">
        <f>IF(AND(I55&gt;0,AF55&gt;0),MIN(I55,AF55),"-")</f>
        <v>-</v>
      </c>
      <c r="BD55" s="59" t="str">
        <f>IF(AND(J55&gt;0,AG55&gt;0),MIN(J55,AG55),"-")</f>
        <v>-</v>
      </c>
      <c r="BE55" s="59" t="str">
        <f>IF(AND(K55&gt;0,AH55&gt;0),MIN(K55,AH55),"-")</f>
        <v>-</v>
      </c>
      <c r="BF55" s="59" t="str">
        <f>IF(AND(L55&gt;0,AI55&gt;0),MIN(L55,AI55),"-")</f>
        <v>-</v>
      </c>
      <c r="BG55" s="59" t="str">
        <f t="shared" si="8"/>
        <v>-</v>
      </c>
      <c r="BH55" s="59" t="str">
        <f>IF(AND(N55&gt;0,AK55&gt;0),MIN(N55,AK55),"-")</f>
        <v>-</v>
      </c>
      <c r="BI55" s="59" t="str">
        <f>IF(AND(O55&gt;0,AL55&gt;0),MIN(O55,AL55),"-")</f>
        <v>-</v>
      </c>
      <c r="BJ55" s="59" t="str">
        <f>IF(AND(P55&gt;0,AM55&gt;0),MIN(P55,AM55),"-")</f>
        <v>-</v>
      </c>
      <c r="BK55" s="59" t="str">
        <f>IF(AND(Q55&gt;0,AN55&gt;0),MIN(Q55,AN55),"-")</f>
        <v>-</v>
      </c>
      <c r="BL55" s="59" t="str">
        <f>IF(AND(R55&gt;0,AO55&gt;0),MIN(R55,AO55),"-")</f>
        <v>-</v>
      </c>
      <c r="BM55" s="59" t="str">
        <f>IF(AND(S55&gt;0,AP55&gt;0),MIN(S55,AP55),"-")</f>
        <v>-</v>
      </c>
      <c r="BN55" s="59" t="str">
        <f>IF(AND(T55&gt;0,AQ55&gt;0),MIN(T55,AQ55),"-")</f>
        <v>-</v>
      </c>
      <c r="BO55" s="59" t="str">
        <f>IF(AND(U55&gt;0,AR55&gt;0),MIN(U55,AR55),"-")</f>
        <v>-</v>
      </c>
      <c r="BP55" s="59" t="str">
        <f>IF(AND(V55&gt;0,AS55&gt;0),MIN(V55,AS55),"-")</f>
        <v>-</v>
      </c>
      <c r="BQ55" s="59" t="str">
        <f t="shared" si="9"/>
        <v>-</v>
      </c>
      <c r="BR55" s="59" t="str">
        <f t="shared" si="10"/>
        <v>-</v>
      </c>
      <c r="BS55" s="59" t="str">
        <f t="shared" si="11"/>
        <v>-</v>
      </c>
      <c r="BT55" s="98" t="str">
        <f>IF(ISNUMBER(BS55),BS55-(C55*Rules!$P$9/100),"-")</f>
        <v>-</v>
      </c>
      <c r="BU55" s="59" t="e">
        <f>RANK($BT55,$BT$5:$BT$106,1)+COUNTIF(BT$5:BT55,BT55)-1</f>
        <v>#VALUE!</v>
      </c>
      <c r="BV55" s="59" t="e">
        <f t="shared" si="12"/>
        <v>#VALUE!</v>
      </c>
      <c r="BW55" s="59" t="str">
        <f t="shared" si="13"/>
        <v xml:space="preserve"> </v>
      </c>
      <c r="BX55" s="59" t="str">
        <f t="shared" si="13"/>
        <v>-</v>
      </c>
      <c r="BY55" s="59" t="str">
        <f t="shared" si="14"/>
        <v>-</v>
      </c>
      <c r="CC55" s="4">
        <v>51</v>
      </c>
      <c r="CD55" s="2" t="e">
        <f>VLOOKUP(CC55,$BV$5:BY$215,1,FALSE)</f>
        <v>#N/A</v>
      </c>
      <c r="CE55" s="6" t="e">
        <f>VLOOKUP(CC55,$BV$5:BY$215,2,FALSE)</f>
        <v>#N/A</v>
      </c>
      <c r="CF55" s="103" t="e">
        <f>VLOOKUP(CC55,$BV$5:BY$215,4,FALSE)</f>
        <v>#N/A</v>
      </c>
      <c r="CL55" s="77">
        <v>1</v>
      </c>
    </row>
    <row r="56" spans="1:90" ht="17.45" customHeight="1">
      <c r="A56" s="58">
        <v>52</v>
      </c>
      <c r="B56" s="59" t="str">
        <f>'B Div'!A56 &amp; " " &amp; 'B Div'!B56</f>
        <v xml:space="preserve"> </v>
      </c>
      <c r="C56" s="59" t="str">
        <f>'B Div'!E56</f>
        <v>-</v>
      </c>
      <c r="D56" s="60"/>
      <c r="E56" s="60"/>
      <c r="F56" s="60"/>
      <c r="G56" s="60"/>
      <c r="H56" s="60"/>
      <c r="I56" s="60"/>
      <c r="J56" s="60"/>
      <c r="K56" s="60"/>
      <c r="L56" s="60"/>
      <c r="M56" s="74" t="str">
        <f t="shared" si="0"/>
        <v>-</v>
      </c>
      <c r="N56" s="60"/>
      <c r="O56" s="60"/>
      <c r="P56" s="60"/>
      <c r="Q56" s="60"/>
      <c r="R56" s="60"/>
      <c r="S56" s="60"/>
      <c r="T56" s="60"/>
      <c r="U56" s="60"/>
      <c r="V56" s="60"/>
      <c r="W56" s="74" t="str">
        <f t="shared" si="1"/>
        <v>-</v>
      </c>
      <c r="X56" s="74" t="str">
        <f t="shared" si="2"/>
        <v>-</v>
      </c>
      <c r="Y56" s="74" t="str">
        <f t="shared" si="3"/>
        <v>-</v>
      </c>
      <c r="AA56" s="60"/>
      <c r="AB56" s="60"/>
      <c r="AC56" s="60"/>
      <c r="AD56" s="60"/>
      <c r="AE56" s="60"/>
      <c r="AF56" s="60"/>
      <c r="AG56" s="60"/>
      <c r="AH56" s="60"/>
      <c r="AI56" s="60"/>
      <c r="AJ56" s="74" t="str">
        <f t="shared" si="4"/>
        <v>-</v>
      </c>
      <c r="AK56" s="60"/>
      <c r="AL56" s="60"/>
      <c r="AM56" s="60"/>
      <c r="AN56" s="60"/>
      <c r="AO56" s="60"/>
      <c r="AP56" s="60"/>
      <c r="AQ56" s="60"/>
      <c r="AR56" s="60"/>
      <c r="AS56" s="60"/>
      <c r="AT56" s="74" t="str">
        <f t="shared" si="5"/>
        <v>-</v>
      </c>
      <c r="AU56" s="74" t="str">
        <f t="shared" si="6"/>
        <v>-</v>
      </c>
      <c r="AV56" s="74" t="str">
        <f t="shared" si="7"/>
        <v>-</v>
      </c>
      <c r="AX56" s="59" t="str">
        <f>IF(AND(D56&gt;0,AA56&gt;0),MIN(D56,AA56),"-")</f>
        <v>-</v>
      </c>
      <c r="AY56" s="59" t="str">
        <f>IF(AND(E56&gt;0,AB56&gt;0),MIN(E56,AB56),"-")</f>
        <v>-</v>
      </c>
      <c r="AZ56" s="59" t="str">
        <f>IF(AND(F56&gt;0,AC56&gt;0),MIN(F56,AC56),"-")</f>
        <v>-</v>
      </c>
      <c r="BA56" s="59" t="str">
        <f>IF(AND(G56&gt;0,AD56&gt;0),MIN(G56,AD56),"-")</f>
        <v>-</v>
      </c>
      <c r="BB56" s="59" t="str">
        <f>IF(AND(H56&gt;0,AE56&gt;0),MIN(H56,AE56),"-")</f>
        <v>-</v>
      </c>
      <c r="BC56" s="59" t="str">
        <f>IF(AND(I56&gt;0,AF56&gt;0),MIN(I56,AF56),"-")</f>
        <v>-</v>
      </c>
      <c r="BD56" s="59" t="str">
        <f>IF(AND(J56&gt;0,AG56&gt;0),MIN(J56,AG56),"-")</f>
        <v>-</v>
      </c>
      <c r="BE56" s="59" t="str">
        <f>IF(AND(K56&gt;0,AH56&gt;0),MIN(K56,AH56),"-")</f>
        <v>-</v>
      </c>
      <c r="BF56" s="59" t="str">
        <f>IF(AND(L56&gt;0,AI56&gt;0),MIN(L56,AI56),"-")</f>
        <v>-</v>
      </c>
      <c r="BG56" s="59" t="str">
        <f t="shared" si="8"/>
        <v>-</v>
      </c>
      <c r="BH56" s="59" t="str">
        <f>IF(AND(N56&gt;0,AK56&gt;0),MIN(N56,AK56),"-")</f>
        <v>-</v>
      </c>
      <c r="BI56" s="59" t="str">
        <f>IF(AND(O56&gt;0,AL56&gt;0),MIN(O56,AL56),"-")</f>
        <v>-</v>
      </c>
      <c r="BJ56" s="59" t="str">
        <f>IF(AND(P56&gt;0,AM56&gt;0),MIN(P56,AM56),"-")</f>
        <v>-</v>
      </c>
      <c r="BK56" s="59" t="str">
        <f>IF(AND(Q56&gt;0,AN56&gt;0),MIN(Q56,AN56),"-")</f>
        <v>-</v>
      </c>
      <c r="BL56" s="59" t="str">
        <f>IF(AND(R56&gt;0,AO56&gt;0),MIN(R56,AO56),"-")</f>
        <v>-</v>
      </c>
      <c r="BM56" s="59" t="str">
        <f>IF(AND(S56&gt;0,AP56&gt;0),MIN(S56,AP56),"-")</f>
        <v>-</v>
      </c>
      <c r="BN56" s="59" t="str">
        <f>IF(AND(T56&gt;0,AQ56&gt;0),MIN(T56,AQ56),"-")</f>
        <v>-</v>
      </c>
      <c r="BO56" s="59" t="str">
        <f>IF(AND(U56&gt;0,AR56&gt;0),MIN(U56,AR56),"-")</f>
        <v>-</v>
      </c>
      <c r="BP56" s="59" t="str">
        <f>IF(AND(V56&gt;0,AS56&gt;0),MIN(V56,AS56),"-")</f>
        <v>-</v>
      </c>
      <c r="BQ56" s="59" t="str">
        <f t="shared" si="9"/>
        <v>-</v>
      </c>
      <c r="BR56" s="59" t="str">
        <f t="shared" si="10"/>
        <v>-</v>
      </c>
      <c r="BS56" s="59" t="str">
        <f t="shared" si="11"/>
        <v>-</v>
      </c>
      <c r="BT56" s="98" t="str">
        <f>IF(ISNUMBER(BS56),BS56-(C56*Rules!$P$9/100),"-")</f>
        <v>-</v>
      </c>
      <c r="BU56" s="59" t="e">
        <f>RANK($BT56,$BT$5:$BT$106,1)+COUNTIF(BT$5:BT56,BT56)-1</f>
        <v>#VALUE!</v>
      </c>
      <c r="BV56" s="59" t="e">
        <f t="shared" si="12"/>
        <v>#VALUE!</v>
      </c>
      <c r="BW56" s="59" t="str">
        <f t="shared" si="13"/>
        <v xml:space="preserve"> </v>
      </c>
      <c r="BX56" s="59" t="str">
        <f t="shared" si="13"/>
        <v>-</v>
      </c>
      <c r="BY56" s="59" t="str">
        <f t="shared" si="14"/>
        <v>-</v>
      </c>
      <c r="CC56" s="4">
        <v>52</v>
      </c>
      <c r="CD56" s="2" t="e">
        <f>VLOOKUP(CC56,$BV$5:BY$215,1,FALSE)</f>
        <v>#N/A</v>
      </c>
      <c r="CE56" s="6" t="e">
        <f>VLOOKUP(CC56,$BV$5:BY$215,2,FALSE)</f>
        <v>#N/A</v>
      </c>
      <c r="CF56" s="103" t="e">
        <f>VLOOKUP(CC56,$BV$5:BY$215,4,FALSE)</f>
        <v>#N/A</v>
      </c>
      <c r="CL56" s="77">
        <v>1</v>
      </c>
    </row>
    <row r="57" spans="1:90" ht="17.45" customHeight="1">
      <c r="A57" s="58">
        <v>53</v>
      </c>
      <c r="B57" s="59" t="str">
        <f>'B Div'!A57 &amp; " " &amp; 'B Div'!B57</f>
        <v xml:space="preserve"> </v>
      </c>
      <c r="C57" s="59" t="str">
        <f>'B Div'!E57</f>
        <v>-</v>
      </c>
      <c r="D57" s="60"/>
      <c r="E57" s="60"/>
      <c r="F57" s="60"/>
      <c r="G57" s="60"/>
      <c r="H57" s="60"/>
      <c r="I57" s="60"/>
      <c r="J57" s="60"/>
      <c r="K57" s="60"/>
      <c r="L57" s="60"/>
      <c r="M57" s="74" t="str">
        <f t="shared" si="0"/>
        <v>-</v>
      </c>
      <c r="N57" s="60"/>
      <c r="O57" s="60"/>
      <c r="P57" s="60"/>
      <c r="Q57" s="60"/>
      <c r="R57" s="60"/>
      <c r="S57" s="60"/>
      <c r="T57" s="60"/>
      <c r="U57" s="60"/>
      <c r="V57" s="60"/>
      <c r="W57" s="74" t="str">
        <f t="shared" si="1"/>
        <v>-</v>
      </c>
      <c r="X57" s="74" t="str">
        <f t="shared" si="2"/>
        <v>-</v>
      </c>
      <c r="Y57" s="74" t="str">
        <f t="shared" si="3"/>
        <v>-</v>
      </c>
      <c r="AA57" s="60"/>
      <c r="AB57" s="60"/>
      <c r="AC57" s="60"/>
      <c r="AD57" s="60"/>
      <c r="AE57" s="60"/>
      <c r="AF57" s="60"/>
      <c r="AG57" s="60"/>
      <c r="AH57" s="60"/>
      <c r="AI57" s="60"/>
      <c r="AJ57" s="74" t="str">
        <f t="shared" si="4"/>
        <v>-</v>
      </c>
      <c r="AK57" s="60"/>
      <c r="AL57" s="60"/>
      <c r="AM57" s="60"/>
      <c r="AN57" s="60"/>
      <c r="AO57" s="60"/>
      <c r="AP57" s="60"/>
      <c r="AQ57" s="60"/>
      <c r="AR57" s="60"/>
      <c r="AS57" s="60"/>
      <c r="AT57" s="74" t="str">
        <f t="shared" si="5"/>
        <v>-</v>
      </c>
      <c r="AU57" s="74" t="str">
        <f t="shared" si="6"/>
        <v>-</v>
      </c>
      <c r="AV57" s="74" t="str">
        <f t="shared" si="7"/>
        <v>-</v>
      </c>
      <c r="AX57" s="59" t="str">
        <f>IF(AND(D57&gt;0,AA57&gt;0),MIN(D57,AA57),"-")</f>
        <v>-</v>
      </c>
      <c r="AY57" s="59" t="str">
        <f>IF(AND(E57&gt;0,AB57&gt;0),MIN(E57,AB57),"-")</f>
        <v>-</v>
      </c>
      <c r="AZ57" s="59" t="str">
        <f>IF(AND(F57&gt;0,AC57&gt;0),MIN(F57,AC57),"-")</f>
        <v>-</v>
      </c>
      <c r="BA57" s="59" t="str">
        <f>IF(AND(G57&gt;0,AD57&gt;0),MIN(G57,AD57),"-")</f>
        <v>-</v>
      </c>
      <c r="BB57" s="59" t="str">
        <f>IF(AND(H57&gt;0,AE57&gt;0),MIN(H57,AE57),"-")</f>
        <v>-</v>
      </c>
      <c r="BC57" s="59" t="str">
        <f>IF(AND(I57&gt;0,AF57&gt;0),MIN(I57,AF57),"-")</f>
        <v>-</v>
      </c>
      <c r="BD57" s="59" t="str">
        <f>IF(AND(J57&gt;0,AG57&gt;0),MIN(J57,AG57),"-")</f>
        <v>-</v>
      </c>
      <c r="BE57" s="59" t="str">
        <f>IF(AND(K57&gt;0,AH57&gt;0),MIN(K57,AH57),"-")</f>
        <v>-</v>
      </c>
      <c r="BF57" s="59" t="str">
        <f>IF(AND(L57&gt;0,AI57&gt;0),MIN(L57,AI57),"-")</f>
        <v>-</v>
      </c>
      <c r="BG57" s="59" t="str">
        <f t="shared" si="8"/>
        <v>-</v>
      </c>
      <c r="BH57" s="59" t="str">
        <f>IF(AND(N57&gt;0,AK57&gt;0),MIN(N57,AK57),"-")</f>
        <v>-</v>
      </c>
      <c r="BI57" s="59" t="str">
        <f>IF(AND(O57&gt;0,AL57&gt;0),MIN(O57,AL57),"-")</f>
        <v>-</v>
      </c>
      <c r="BJ57" s="59" t="str">
        <f>IF(AND(P57&gt;0,AM57&gt;0),MIN(P57,AM57),"-")</f>
        <v>-</v>
      </c>
      <c r="BK57" s="59" t="str">
        <f>IF(AND(Q57&gt;0,AN57&gt;0),MIN(Q57,AN57),"-")</f>
        <v>-</v>
      </c>
      <c r="BL57" s="59" t="str">
        <f>IF(AND(R57&gt;0,AO57&gt;0),MIN(R57,AO57),"-")</f>
        <v>-</v>
      </c>
      <c r="BM57" s="59" t="str">
        <f>IF(AND(S57&gt;0,AP57&gt;0),MIN(S57,AP57),"-")</f>
        <v>-</v>
      </c>
      <c r="BN57" s="59" t="str">
        <f>IF(AND(T57&gt;0,AQ57&gt;0),MIN(T57,AQ57),"-")</f>
        <v>-</v>
      </c>
      <c r="BO57" s="59" t="str">
        <f>IF(AND(U57&gt;0,AR57&gt;0),MIN(U57,AR57),"-")</f>
        <v>-</v>
      </c>
      <c r="BP57" s="59" t="str">
        <f>IF(AND(V57&gt;0,AS57&gt;0),MIN(V57,AS57),"-")</f>
        <v>-</v>
      </c>
      <c r="BQ57" s="59" t="str">
        <f t="shared" si="9"/>
        <v>-</v>
      </c>
      <c r="BR57" s="59" t="str">
        <f t="shared" si="10"/>
        <v>-</v>
      </c>
      <c r="BS57" s="59" t="str">
        <f t="shared" si="11"/>
        <v>-</v>
      </c>
      <c r="BT57" s="98" t="str">
        <f>IF(ISNUMBER(BS57),BS57-(C57*Rules!$P$9/100),"-")</f>
        <v>-</v>
      </c>
      <c r="BU57" s="59" t="e">
        <f>RANK($BT57,$BT$5:$BT$106,1)+COUNTIF(BT$5:BT57,BT57)-1</f>
        <v>#VALUE!</v>
      </c>
      <c r="BV57" s="59" t="e">
        <f t="shared" si="12"/>
        <v>#VALUE!</v>
      </c>
      <c r="BW57" s="59" t="str">
        <f t="shared" si="13"/>
        <v xml:space="preserve"> </v>
      </c>
      <c r="BX57" s="59" t="str">
        <f t="shared" si="13"/>
        <v>-</v>
      </c>
      <c r="BY57" s="59" t="str">
        <f t="shared" si="14"/>
        <v>-</v>
      </c>
      <c r="CC57" s="4">
        <v>53</v>
      </c>
      <c r="CD57" s="2" t="e">
        <f>VLOOKUP(CC57,$BV$5:BY$215,1,FALSE)</f>
        <v>#N/A</v>
      </c>
      <c r="CE57" s="6" t="e">
        <f>VLOOKUP(CC57,$BV$5:BY$215,2,FALSE)</f>
        <v>#N/A</v>
      </c>
      <c r="CF57" s="103" t="e">
        <f>VLOOKUP(CC57,$BV$5:BY$215,4,FALSE)</f>
        <v>#N/A</v>
      </c>
      <c r="CL57" s="77">
        <v>1</v>
      </c>
    </row>
    <row r="58" spans="1:90" ht="17.45" customHeight="1">
      <c r="A58" s="58">
        <v>54</v>
      </c>
      <c r="B58" s="59" t="str">
        <f>'B Div'!A58 &amp; " " &amp; 'B Div'!B58</f>
        <v xml:space="preserve"> </v>
      </c>
      <c r="C58" s="59" t="str">
        <f>'B Div'!E58</f>
        <v>-</v>
      </c>
      <c r="D58" s="60"/>
      <c r="E58" s="60"/>
      <c r="F58" s="60"/>
      <c r="G58" s="60"/>
      <c r="H58" s="60"/>
      <c r="I58" s="60"/>
      <c r="J58" s="60"/>
      <c r="K58" s="60"/>
      <c r="L58" s="60"/>
      <c r="M58" s="74" t="str">
        <f t="shared" si="0"/>
        <v>-</v>
      </c>
      <c r="N58" s="60"/>
      <c r="O58" s="60"/>
      <c r="P58" s="60"/>
      <c r="Q58" s="60"/>
      <c r="R58" s="60"/>
      <c r="S58" s="60"/>
      <c r="T58" s="60"/>
      <c r="U58" s="60"/>
      <c r="V58" s="60"/>
      <c r="W58" s="74" t="str">
        <f t="shared" si="1"/>
        <v>-</v>
      </c>
      <c r="X58" s="74" t="str">
        <f t="shared" si="2"/>
        <v>-</v>
      </c>
      <c r="Y58" s="74" t="str">
        <f t="shared" si="3"/>
        <v>-</v>
      </c>
      <c r="AA58" s="60"/>
      <c r="AB58" s="60"/>
      <c r="AC58" s="60"/>
      <c r="AD58" s="60"/>
      <c r="AE58" s="60"/>
      <c r="AF58" s="60"/>
      <c r="AG58" s="60"/>
      <c r="AH58" s="60"/>
      <c r="AI58" s="60"/>
      <c r="AJ58" s="74" t="str">
        <f t="shared" si="4"/>
        <v>-</v>
      </c>
      <c r="AK58" s="60"/>
      <c r="AL58" s="60"/>
      <c r="AM58" s="60"/>
      <c r="AN58" s="60"/>
      <c r="AO58" s="60"/>
      <c r="AP58" s="60"/>
      <c r="AQ58" s="60"/>
      <c r="AR58" s="60"/>
      <c r="AS58" s="60"/>
      <c r="AT58" s="74" t="str">
        <f t="shared" si="5"/>
        <v>-</v>
      </c>
      <c r="AU58" s="74" t="str">
        <f t="shared" si="6"/>
        <v>-</v>
      </c>
      <c r="AV58" s="74" t="str">
        <f t="shared" si="7"/>
        <v>-</v>
      </c>
      <c r="AX58" s="59" t="str">
        <f>IF(AND(D58&gt;0,AA58&gt;0),MIN(D58,AA58),"-")</f>
        <v>-</v>
      </c>
      <c r="AY58" s="59" t="str">
        <f>IF(AND(E58&gt;0,AB58&gt;0),MIN(E58,AB58),"-")</f>
        <v>-</v>
      </c>
      <c r="AZ58" s="59" t="str">
        <f>IF(AND(F58&gt;0,AC58&gt;0),MIN(F58,AC58),"-")</f>
        <v>-</v>
      </c>
      <c r="BA58" s="59" t="str">
        <f>IF(AND(G58&gt;0,AD58&gt;0),MIN(G58,AD58),"-")</f>
        <v>-</v>
      </c>
      <c r="BB58" s="59" t="str">
        <f>IF(AND(H58&gt;0,AE58&gt;0),MIN(H58,AE58),"-")</f>
        <v>-</v>
      </c>
      <c r="BC58" s="59" t="str">
        <f>IF(AND(I58&gt;0,AF58&gt;0),MIN(I58,AF58),"-")</f>
        <v>-</v>
      </c>
      <c r="BD58" s="59" t="str">
        <f>IF(AND(J58&gt;0,AG58&gt;0),MIN(J58,AG58),"-")</f>
        <v>-</v>
      </c>
      <c r="BE58" s="59" t="str">
        <f>IF(AND(K58&gt;0,AH58&gt;0),MIN(K58,AH58),"-")</f>
        <v>-</v>
      </c>
      <c r="BF58" s="59" t="str">
        <f>IF(AND(L58&gt;0,AI58&gt;0),MIN(L58,AI58),"-")</f>
        <v>-</v>
      </c>
      <c r="BG58" s="59" t="str">
        <f t="shared" si="8"/>
        <v>-</v>
      </c>
      <c r="BH58" s="59" t="str">
        <f>IF(AND(N58&gt;0,AK58&gt;0),MIN(N58,AK58),"-")</f>
        <v>-</v>
      </c>
      <c r="BI58" s="59" t="str">
        <f>IF(AND(O58&gt;0,AL58&gt;0),MIN(O58,AL58),"-")</f>
        <v>-</v>
      </c>
      <c r="BJ58" s="59" t="str">
        <f>IF(AND(P58&gt;0,AM58&gt;0),MIN(P58,AM58),"-")</f>
        <v>-</v>
      </c>
      <c r="BK58" s="59" t="str">
        <f>IF(AND(Q58&gt;0,AN58&gt;0),MIN(Q58,AN58),"-")</f>
        <v>-</v>
      </c>
      <c r="BL58" s="59" t="str">
        <f>IF(AND(R58&gt;0,AO58&gt;0),MIN(R58,AO58),"-")</f>
        <v>-</v>
      </c>
      <c r="BM58" s="59" t="str">
        <f>IF(AND(S58&gt;0,AP58&gt;0),MIN(S58,AP58),"-")</f>
        <v>-</v>
      </c>
      <c r="BN58" s="59" t="str">
        <f>IF(AND(T58&gt;0,AQ58&gt;0),MIN(T58,AQ58),"-")</f>
        <v>-</v>
      </c>
      <c r="BO58" s="59" t="str">
        <f>IF(AND(U58&gt;0,AR58&gt;0),MIN(U58,AR58),"-")</f>
        <v>-</v>
      </c>
      <c r="BP58" s="59" t="str">
        <f>IF(AND(V58&gt;0,AS58&gt;0),MIN(V58,AS58),"-")</f>
        <v>-</v>
      </c>
      <c r="BQ58" s="59" t="str">
        <f t="shared" si="9"/>
        <v>-</v>
      </c>
      <c r="BR58" s="59" t="str">
        <f t="shared" si="10"/>
        <v>-</v>
      </c>
      <c r="BS58" s="59" t="str">
        <f t="shared" si="11"/>
        <v>-</v>
      </c>
      <c r="BT58" s="98" t="str">
        <f>IF(ISNUMBER(BS58),BS58-(C58*Rules!$P$9/100),"-")</f>
        <v>-</v>
      </c>
      <c r="BU58" s="59" t="e">
        <f>RANK($BT58,$BT$5:$BT$106,1)+COUNTIF(BT$5:BT58,BT58)-1</f>
        <v>#VALUE!</v>
      </c>
      <c r="BV58" s="59" t="e">
        <f t="shared" si="12"/>
        <v>#VALUE!</v>
      </c>
      <c r="BW58" s="59" t="str">
        <f t="shared" si="13"/>
        <v xml:space="preserve"> </v>
      </c>
      <c r="BX58" s="59" t="str">
        <f t="shared" si="13"/>
        <v>-</v>
      </c>
      <c r="BY58" s="59" t="str">
        <f t="shared" si="14"/>
        <v>-</v>
      </c>
      <c r="CC58" s="4">
        <v>54</v>
      </c>
      <c r="CD58" s="2" t="e">
        <f>VLOOKUP(CC58,$BV$5:BY$215,1,FALSE)</f>
        <v>#N/A</v>
      </c>
      <c r="CE58" s="6" t="e">
        <f>VLOOKUP(CC58,$BV$5:BY$215,2,FALSE)</f>
        <v>#N/A</v>
      </c>
      <c r="CF58" s="103" t="e">
        <f>VLOOKUP(CC58,$BV$5:BY$215,4,FALSE)</f>
        <v>#N/A</v>
      </c>
      <c r="CL58" s="77">
        <v>1</v>
      </c>
    </row>
    <row r="59" spans="1:90" ht="17.45" customHeight="1">
      <c r="A59" s="58">
        <v>55</v>
      </c>
      <c r="B59" s="59" t="str">
        <f>'B Div'!A59 &amp; " " &amp; 'B Div'!B59</f>
        <v xml:space="preserve"> </v>
      </c>
      <c r="C59" s="59" t="str">
        <f>'B Div'!E59</f>
        <v>-</v>
      </c>
      <c r="D59" s="60"/>
      <c r="E59" s="60"/>
      <c r="F59" s="60"/>
      <c r="G59" s="60"/>
      <c r="H59" s="60"/>
      <c r="I59" s="60"/>
      <c r="J59" s="60"/>
      <c r="K59" s="60"/>
      <c r="L59" s="60"/>
      <c r="M59" s="74" t="str">
        <f t="shared" si="0"/>
        <v>-</v>
      </c>
      <c r="N59" s="60"/>
      <c r="O59" s="60"/>
      <c r="P59" s="60"/>
      <c r="Q59" s="60"/>
      <c r="R59" s="60"/>
      <c r="S59" s="60"/>
      <c r="T59" s="60"/>
      <c r="U59" s="60"/>
      <c r="V59" s="60"/>
      <c r="W59" s="74" t="str">
        <f t="shared" si="1"/>
        <v>-</v>
      </c>
      <c r="X59" s="74" t="str">
        <f t="shared" si="2"/>
        <v>-</v>
      </c>
      <c r="Y59" s="74" t="str">
        <f t="shared" si="3"/>
        <v>-</v>
      </c>
      <c r="AA59" s="60"/>
      <c r="AB59" s="60"/>
      <c r="AC59" s="60"/>
      <c r="AD59" s="60"/>
      <c r="AE59" s="60"/>
      <c r="AF59" s="60"/>
      <c r="AG59" s="60"/>
      <c r="AH59" s="60"/>
      <c r="AI59" s="60"/>
      <c r="AJ59" s="74" t="str">
        <f t="shared" si="4"/>
        <v>-</v>
      </c>
      <c r="AK59" s="60"/>
      <c r="AL59" s="60"/>
      <c r="AM59" s="60"/>
      <c r="AN59" s="60"/>
      <c r="AO59" s="60"/>
      <c r="AP59" s="60"/>
      <c r="AQ59" s="60"/>
      <c r="AR59" s="60"/>
      <c r="AS59" s="60"/>
      <c r="AT59" s="74" t="str">
        <f t="shared" si="5"/>
        <v>-</v>
      </c>
      <c r="AU59" s="74" t="str">
        <f t="shared" si="6"/>
        <v>-</v>
      </c>
      <c r="AV59" s="74" t="str">
        <f t="shared" si="7"/>
        <v>-</v>
      </c>
      <c r="AX59" s="59" t="str">
        <f>IF(AND(D59&gt;0,AA59&gt;0),MIN(D59,AA59),"-")</f>
        <v>-</v>
      </c>
      <c r="AY59" s="59" t="str">
        <f>IF(AND(E59&gt;0,AB59&gt;0),MIN(E59,AB59),"-")</f>
        <v>-</v>
      </c>
      <c r="AZ59" s="59" t="str">
        <f>IF(AND(F59&gt;0,AC59&gt;0),MIN(F59,AC59),"-")</f>
        <v>-</v>
      </c>
      <c r="BA59" s="59" t="str">
        <f>IF(AND(G59&gt;0,AD59&gt;0),MIN(G59,AD59),"-")</f>
        <v>-</v>
      </c>
      <c r="BB59" s="59" t="str">
        <f>IF(AND(H59&gt;0,AE59&gt;0),MIN(H59,AE59),"-")</f>
        <v>-</v>
      </c>
      <c r="BC59" s="59" t="str">
        <f>IF(AND(I59&gt;0,AF59&gt;0),MIN(I59,AF59),"-")</f>
        <v>-</v>
      </c>
      <c r="BD59" s="59" t="str">
        <f>IF(AND(J59&gt;0,AG59&gt;0),MIN(J59,AG59),"-")</f>
        <v>-</v>
      </c>
      <c r="BE59" s="59" t="str">
        <f>IF(AND(K59&gt;0,AH59&gt;0),MIN(K59,AH59),"-")</f>
        <v>-</v>
      </c>
      <c r="BF59" s="59" t="str">
        <f>IF(AND(L59&gt;0,AI59&gt;0),MIN(L59,AI59),"-")</f>
        <v>-</v>
      </c>
      <c r="BG59" s="59" t="str">
        <f t="shared" si="8"/>
        <v>-</v>
      </c>
      <c r="BH59" s="59" t="str">
        <f>IF(AND(N59&gt;0,AK59&gt;0),MIN(N59,AK59),"-")</f>
        <v>-</v>
      </c>
      <c r="BI59" s="59" t="str">
        <f>IF(AND(O59&gt;0,AL59&gt;0),MIN(O59,AL59),"-")</f>
        <v>-</v>
      </c>
      <c r="BJ59" s="59" t="str">
        <f>IF(AND(P59&gt;0,AM59&gt;0),MIN(P59,AM59),"-")</f>
        <v>-</v>
      </c>
      <c r="BK59" s="59" t="str">
        <f>IF(AND(Q59&gt;0,AN59&gt;0),MIN(Q59,AN59),"-")</f>
        <v>-</v>
      </c>
      <c r="BL59" s="59" t="str">
        <f>IF(AND(R59&gt;0,AO59&gt;0),MIN(R59,AO59),"-")</f>
        <v>-</v>
      </c>
      <c r="BM59" s="59" t="str">
        <f>IF(AND(S59&gt;0,AP59&gt;0),MIN(S59,AP59),"-")</f>
        <v>-</v>
      </c>
      <c r="BN59" s="59" t="str">
        <f>IF(AND(T59&gt;0,AQ59&gt;0),MIN(T59,AQ59),"-")</f>
        <v>-</v>
      </c>
      <c r="BO59" s="59" t="str">
        <f>IF(AND(U59&gt;0,AR59&gt;0),MIN(U59,AR59),"-")</f>
        <v>-</v>
      </c>
      <c r="BP59" s="59" t="str">
        <f>IF(AND(V59&gt;0,AS59&gt;0),MIN(V59,AS59),"-")</f>
        <v>-</v>
      </c>
      <c r="BQ59" s="59" t="str">
        <f t="shared" si="9"/>
        <v>-</v>
      </c>
      <c r="BR59" s="59" t="str">
        <f t="shared" si="10"/>
        <v>-</v>
      </c>
      <c r="BS59" s="59" t="str">
        <f t="shared" si="11"/>
        <v>-</v>
      </c>
      <c r="BT59" s="98" t="str">
        <f>IF(ISNUMBER(BS59),BS59-(C59*Rules!$P$9/100),"-")</f>
        <v>-</v>
      </c>
      <c r="BU59" s="59" t="e">
        <f>RANK($BT59,$BT$5:$BT$106,1)+COUNTIF(BT$5:BT59,BT59)-1</f>
        <v>#VALUE!</v>
      </c>
      <c r="BV59" s="59" t="e">
        <f t="shared" si="12"/>
        <v>#VALUE!</v>
      </c>
      <c r="BW59" s="59" t="str">
        <f t="shared" si="13"/>
        <v xml:space="preserve"> </v>
      </c>
      <c r="BX59" s="59" t="str">
        <f t="shared" si="13"/>
        <v>-</v>
      </c>
      <c r="BY59" s="59" t="str">
        <f t="shared" si="14"/>
        <v>-</v>
      </c>
      <c r="CC59" s="4">
        <v>55</v>
      </c>
      <c r="CD59" s="2" t="e">
        <f>VLOOKUP(CC59,$BV$5:BY$215,1,FALSE)</f>
        <v>#N/A</v>
      </c>
      <c r="CE59" s="6" t="e">
        <f>VLOOKUP(CC59,$BV$5:BY$215,2,FALSE)</f>
        <v>#N/A</v>
      </c>
      <c r="CF59" s="103" t="e">
        <f>VLOOKUP(CC59,$BV$5:BY$215,4,FALSE)</f>
        <v>#N/A</v>
      </c>
      <c r="CL59" s="77">
        <v>1</v>
      </c>
    </row>
    <row r="60" spans="1:90" ht="17.45" customHeight="1">
      <c r="A60" s="58">
        <v>56</v>
      </c>
      <c r="B60" s="59" t="str">
        <f>'B Div'!A60 &amp; " " &amp; 'B Div'!B60</f>
        <v xml:space="preserve"> </v>
      </c>
      <c r="C60" s="59" t="str">
        <f>'B Div'!E60</f>
        <v>-</v>
      </c>
      <c r="D60" s="60"/>
      <c r="E60" s="60"/>
      <c r="F60" s="60"/>
      <c r="G60" s="60"/>
      <c r="H60" s="60"/>
      <c r="I60" s="60"/>
      <c r="J60" s="60"/>
      <c r="K60" s="60"/>
      <c r="L60" s="60"/>
      <c r="M60" s="74" t="str">
        <f t="shared" si="0"/>
        <v>-</v>
      </c>
      <c r="N60" s="60"/>
      <c r="O60" s="60"/>
      <c r="P60" s="60"/>
      <c r="Q60" s="60"/>
      <c r="R60" s="60"/>
      <c r="S60" s="60"/>
      <c r="T60" s="60"/>
      <c r="U60" s="60"/>
      <c r="V60" s="60"/>
      <c r="W60" s="74" t="str">
        <f t="shared" si="1"/>
        <v>-</v>
      </c>
      <c r="X60" s="74" t="str">
        <f t="shared" si="2"/>
        <v>-</v>
      </c>
      <c r="Y60" s="74" t="str">
        <f t="shared" si="3"/>
        <v>-</v>
      </c>
      <c r="AA60" s="60"/>
      <c r="AB60" s="60"/>
      <c r="AC60" s="60"/>
      <c r="AD60" s="60"/>
      <c r="AE60" s="60"/>
      <c r="AF60" s="60"/>
      <c r="AG60" s="60"/>
      <c r="AH60" s="60"/>
      <c r="AI60" s="60"/>
      <c r="AJ60" s="74" t="str">
        <f t="shared" si="4"/>
        <v>-</v>
      </c>
      <c r="AK60" s="60"/>
      <c r="AL60" s="60"/>
      <c r="AM60" s="60"/>
      <c r="AN60" s="60"/>
      <c r="AO60" s="60"/>
      <c r="AP60" s="60"/>
      <c r="AQ60" s="60"/>
      <c r="AR60" s="60"/>
      <c r="AS60" s="60"/>
      <c r="AT60" s="74" t="str">
        <f t="shared" si="5"/>
        <v>-</v>
      </c>
      <c r="AU60" s="74" t="str">
        <f t="shared" si="6"/>
        <v>-</v>
      </c>
      <c r="AV60" s="74" t="str">
        <f t="shared" si="7"/>
        <v>-</v>
      </c>
      <c r="AX60" s="59" t="str">
        <f>IF(AND(D60&gt;0,AA60&gt;0),MIN(D60,AA60),"-")</f>
        <v>-</v>
      </c>
      <c r="AY60" s="59" t="str">
        <f>IF(AND(E60&gt;0,AB60&gt;0),MIN(E60,AB60),"-")</f>
        <v>-</v>
      </c>
      <c r="AZ60" s="59" t="str">
        <f>IF(AND(F60&gt;0,AC60&gt;0),MIN(F60,AC60),"-")</f>
        <v>-</v>
      </c>
      <c r="BA60" s="59" t="str">
        <f>IF(AND(G60&gt;0,AD60&gt;0),MIN(G60,AD60),"-")</f>
        <v>-</v>
      </c>
      <c r="BB60" s="59" t="str">
        <f>IF(AND(H60&gt;0,AE60&gt;0),MIN(H60,AE60),"-")</f>
        <v>-</v>
      </c>
      <c r="BC60" s="59" t="str">
        <f>IF(AND(I60&gt;0,AF60&gt;0),MIN(I60,AF60),"-")</f>
        <v>-</v>
      </c>
      <c r="BD60" s="59" t="str">
        <f>IF(AND(J60&gt;0,AG60&gt;0),MIN(J60,AG60),"-")</f>
        <v>-</v>
      </c>
      <c r="BE60" s="59" t="str">
        <f>IF(AND(K60&gt;0,AH60&gt;0),MIN(K60,AH60),"-")</f>
        <v>-</v>
      </c>
      <c r="BF60" s="59" t="str">
        <f>IF(AND(L60&gt;0,AI60&gt;0),MIN(L60,AI60),"-")</f>
        <v>-</v>
      </c>
      <c r="BG60" s="59" t="str">
        <f t="shared" si="8"/>
        <v>-</v>
      </c>
      <c r="BH60" s="59" t="str">
        <f>IF(AND(N60&gt;0,AK60&gt;0),MIN(N60,AK60),"-")</f>
        <v>-</v>
      </c>
      <c r="BI60" s="59" t="str">
        <f>IF(AND(O60&gt;0,AL60&gt;0),MIN(O60,AL60),"-")</f>
        <v>-</v>
      </c>
      <c r="BJ60" s="59" t="str">
        <f>IF(AND(P60&gt;0,AM60&gt;0),MIN(P60,AM60),"-")</f>
        <v>-</v>
      </c>
      <c r="BK60" s="59" t="str">
        <f>IF(AND(Q60&gt;0,AN60&gt;0),MIN(Q60,AN60),"-")</f>
        <v>-</v>
      </c>
      <c r="BL60" s="59" t="str">
        <f>IF(AND(R60&gt;0,AO60&gt;0),MIN(R60,AO60),"-")</f>
        <v>-</v>
      </c>
      <c r="BM60" s="59" t="str">
        <f>IF(AND(S60&gt;0,AP60&gt;0),MIN(S60,AP60),"-")</f>
        <v>-</v>
      </c>
      <c r="BN60" s="59" t="str">
        <f>IF(AND(T60&gt;0,AQ60&gt;0),MIN(T60,AQ60),"-")</f>
        <v>-</v>
      </c>
      <c r="BO60" s="59" t="str">
        <f>IF(AND(U60&gt;0,AR60&gt;0),MIN(U60,AR60),"-")</f>
        <v>-</v>
      </c>
      <c r="BP60" s="59" t="str">
        <f>IF(AND(V60&gt;0,AS60&gt;0),MIN(V60,AS60),"-")</f>
        <v>-</v>
      </c>
      <c r="BQ60" s="59" t="str">
        <f t="shared" si="9"/>
        <v>-</v>
      </c>
      <c r="BR60" s="59" t="str">
        <f t="shared" si="10"/>
        <v>-</v>
      </c>
      <c r="BS60" s="59" t="str">
        <f t="shared" si="11"/>
        <v>-</v>
      </c>
      <c r="BT60" s="98" t="str">
        <f>IF(ISNUMBER(BS60),BS60-(C60*Rules!$P$9/100),"-")</f>
        <v>-</v>
      </c>
      <c r="BU60" s="59" t="e">
        <f>RANK($BT60,$BT$5:$BT$106,1)+COUNTIF(BT$5:BT60,BT60)-1</f>
        <v>#VALUE!</v>
      </c>
      <c r="BV60" s="59" t="e">
        <f t="shared" si="12"/>
        <v>#VALUE!</v>
      </c>
      <c r="BW60" s="59" t="str">
        <f t="shared" si="13"/>
        <v xml:space="preserve"> </v>
      </c>
      <c r="BX60" s="59" t="str">
        <f t="shared" si="13"/>
        <v>-</v>
      </c>
      <c r="BY60" s="59" t="str">
        <f t="shared" si="14"/>
        <v>-</v>
      </c>
      <c r="CC60" s="4">
        <v>56</v>
      </c>
      <c r="CD60" s="2" t="e">
        <f>VLOOKUP(CC60,$BV$5:BY$215,1,FALSE)</f>
        <v>#N/A</v>
      </c>
      <c r="CE60" s="6" t="e">
        <f>VLOOKUP(CC60,$BV$5:BY$215,2,FALSE)</f>
        <v>#N/A</v>
      </c>
      <c r="CF60" s="103" t="e">
        <f>VLOOKUP(CC60,$BV$5:BY$215,4,FALSE)</f>
        <v>#N/A</v>
      </c>
      <c r="CL60" s="77">
        <v>1</v>
      </c>
    </row>
    <row r="61" spans="1:90" ht="17.45" customHeight="1">
      <c r="A61" s="58">
        <v>57</v>
      </c>
      <c r="B61" s="59" t="str">
        <f>'B Div'!A61 &amp; " " &amp; 'B Div'!B61</f>
        <v xml:space="preserve"> </v>
      </c>
      <c r="C61" s="59" t="str">
        <f>'B Div'!E61</f>
        <v>-</v>
      </c>
      <c r="D61" s="60"/>
      <c r="E61" s="60"/>
      <c r="F61" s="60"/>
      <c r="G61" s="60"/>
      <c r="H61" s="60"/>
      <c r="I61" s="60"/>
      <c r="J61" s="60"/>
      <c r="K61" s="60"/>
      <c r="L61" s="60"/>
      <c r="M61" s="74" t="str">
        <f t="shared" si="0"/>
        <v>-</v>
      </c>
      <c r="N61" s="60"/>
      <c r="O61" s="60"/>
      <c r="P61" s="60"/>
      <c r="Q61" s="60"/>
      <c r="R61" s="60"/>
      <c r="S61" s="60"/>
      <c r="T61" s="60"/>
      <c r="U61" s="60"/>
      <c r="V61" s="60"/>
      <c r="W61" s="74" t="str">
        <f t="shared" si="1"/>
        <v>-</v>
      </c>
      <c r="X61" s="74" t="str">
        <f t="shared" si="2"/>
        <v>-</v>
      </c>
      <c r="Y61" s="74" t="str">
        <f t="shared" si="3"/>
        <v>-</v>
      </c>
      <c r="AA61" s="60"/>
      <c r="AB61" s="60"/>
      <c r="AC61" s="60"/>
      <c r="AD61" s="60"/>
      <c r="AE61" s="60"/>
      <c r="AF61" s="60"/>
      <c r="AG61" s="60"/>
      <c r="AH61" s="60"/>
      <c r="AI61" s="60"/>
      <c r="AJ61" s="74" t="str">
        <f t="shared" si="4"/>
        <v>-</v>
      </c>
      <c r="AK61" s="60"/>
      <c r="AL61" s="60"/>
      <c r="AM61" s="60"/>
      <c r="AN61" s="60"/>
      <c r="AO61" s="60"/>
      <c r="AP61" s="60"/>
      <c r="AQ61" s="60"/>
      <c r="AR61" s="60"/>
      <c r="AS61" s="60"/>
      <c r="AT61" s="74" t="str">
        <f t="shared" si="5"/>
        <v>-</v>
      </c>
      <c r="AU61" s="74" t="str">
        <f t="shared" si="6"/>
        <v>-</v>
      </c>
      <c r="AV61" s="74" t="str">
        <f t="shared" si="7"/>
        <v>-</v>
      </c>
      <c r="AX61" s="59" t="str">
        <f>IF(AND(D61&gt;0,AA61&gt;0),MIN(D61,AA61),"-")</f>
        <v>-</v>
      </c>
      <c r="AY61" s="59" t="str">
        <f>IF(AND(E61&gt;0,AB61&gt;0),MIN(E61,AB61),"-")</f>
        <v>-</v>
      </c>
      <c r="AZ61" s="59" t="str">
        <f>IF(AND(F61&gt;0,AC61&gt;0),MIN(F61,AC61),"-")</f>
        <v>-</v>
      </c>
      <c r="BA61" s="59" t="str">
        <f>IF(AND(G61&gt;0,AD61&gt;0),MIN(G61,AD61),"-")</f>
        <v>-</v>
      </c>
      <c r="BB61" s="59" t="str">
        <f>IF(AND(H61&gt;0,AE61&gt;0),MIN(H61,AE61),"-")</f>
        <v>-</v>
      </c>
      <c r="BC61" s="59" t="str">
        <f>IF(AND(I61&gt;0,AF61&gt;0),MIN(I61,AF61),"-")</f>
        <v>-</v>
      </c>
      <c r="BD61" s="59" t="str">
        <f>IF(AND(J61&gt;0,AG61&gt;0),MIN(J61,AG61),"-")</f>
        <v>-</v>
      </c>
      <c r="BE61" s="59" t="str">
        <f>IF(AND(K61&gt;0,AH61&gt;0),MIN(K61,AH61),"-")</f>
        <v>-</v>
      </c>
      <c r="BF61" s="59" t="str">
        <f>IF(AND(L61&gt;0,AI61&gt;0),MIN(L61,AI61),"-")</f>
        <v>-</v>
      </c>
      <c r="BG61" s="59" t="str">
        <f t="shared" si="8"/>
        <v>-</v>
      </c>
      <c r="BH61" s="59" t="str">
        <f>IF(AND(N61&gt;0,AK61&gt;0),MIN(N61,AK61),"-")</f>
        <v>-</v>
      </c>
      <c r="BI61" s="59" t="str">
        <f>IF(AND(O61&gt;0,AL61&gt;0),MIN(O61,AL61),"-")</f>
        <v>-</v>
      </c>
      <c r="BJ61" s="59" t="str">
        <f>IF(AND(P61&gt;0,AM61&gt;0),MIN(P61,AM61),"-")</f>
        <v>-</v>
      </c>
      <c r="BK61" s="59" t="str">
        <f>IF(AND(Q61&gt;0,AN61&gt;0),MIN(Q61,AN61),"-")</f>
        <v>-</v>
      </c>
      <c r="BL61" s="59" t="str">
        <f>IF(AND(R61&gt;0,AO61&gt;0),MIN(R61,AO61),"-")</f>
        <v>-</v>
      </c>
      <c r="BM61" s="59" t="str">
        <f>IF(AND(S61&gt;0,AP61&gt;0),MIN(S61,AP61),"-")</f>
        <v>-</v>
      </c>
      <c r="BN61" s="59" t="str">
        <f>IF(AND(T61&gt;0,AQ61&gt;0),MIN(T61,AQ61),"-")</f>
        <v>-</v>
      </c>
      <c r="BO61" s="59" t="str">
        <f>IF(AND(U61&gt;0,AR61&gt;0),MIN(U61,AR61),"-")</f>
        <v>-</v>
      </c>
      <c r="BP61" s="59" t="str">
        <f>IF(AND(V61&gt;0,AS61&gt;0),MIN(V61,AS61),"-")</f>
        <v>-</v>
      </c>
      <c r="BQ61" s="59" t="str">
        <f t="shared" si="9"/>
        <v>-</v>
      </c>
      <c r="BR61" s="59" t="str">
        <f t="shared" si="10"/>
        <v>-</v>
      </c>
      <c r="BS61" s="59" t="str">
        <f t="shared" si="11"/>
        <v>-</v>
      </c>
      <c r="BT61" s="98" t="str">
        <f>IF(ISNUMBER(BS61),BS61-(C61*Rules!$P$9/100),"-")</f>
        <v>-</v>
      </c>
      <c r="BU61" s="59" t="e">
        <f>RANK($BT61,$BT$5:$BT$106,1)+COUNTIF(BT$5:BT61,BT61)-1</f>
        <v>#VALUE!</v>
      </c>
      <c r="BV61" s="59" t="e">
        <f t="shared" si="12"/>
        <v>#VALUE!</v>
      </c>
      <c r="BW61" s="59" t="str">
        <f t="shared" si="13"/>
        <v xml:space="preserve"> </v>
      </c>
      <c r="BX61" s="59" t="str">
        <f t="shared" si="13"/>
        <v>-</v>
      </c>
      <c r="BY61" s="59" t="str">
        <f t="shared" si="14"/>
        <v>-</v>
      </c>
      <c r="CC61" s="4">
        <v>57</v>
      </c>
      <c r="CD61" s="2" t="e">
        <f>VLOOKUP(CC61,$BV$5:BY$215,1,FALSE)</f>
        <v>#N/A</v>
      </c>
      <c r="CE61" s="6" t="e">
        <f>VLOOKUP(CC61,$BV$5:BY$215,2,FALSE)</f>
        <v>#N/A</v>
      </c>
      <c r="CF61" s="103" t="e">
        <f>VLOOKUP(CC61,$BV$5:BY$215,4,FALSE)</f>
        <v>#N/A</v>
      </c>
      <c r="CL61" s="77">
        <v>1</v>
      </c>
    </row>
    <row r="62" spans="1:90" ht="17.45" customHeight="1">
      <c r="A62" s="58">
        <v>58</v>
      </c>
      <c r="B62" s="59" t="str">
        <f>'B Div'!A62 &amp; " " &amp; 'B Div'!B62</f>
        <v xml:space="preserve"> </v>
      </c>
      <c r="C62" s="59" t="str">
        <f>'B Div'!E62</f>
        <v>-</v>
      </c>
      <c r="D62" s="60"/>
      <c r="E62" s="60"/>
      <c r="F62" s="60"/>
      <c r="G62" s="60"/>
      <c r="H62" s="60"/>
      <c r="I62" s="60"/>
      <c r="J62" s="60"/>
      <c r="K62" s="60"/>
      <c r="L62" s="60"/>
      <c r="M62" s="74" t="str">
        <f t="shared" si="0"/>
        <v>-</v>
      </c>
      <c r="N62" s="60"/>
      <c r="O62" s="60"/>
      <c r="P62" s="60"/>
      <c r="Q62" s="60"/>
      <c r="R62" s="60"/>
      <c r="S62" s="60"/>
      <c r="T62" s="60"/>
      <c r="U62" s="60"/>
      <c r="V62" s="60"/>
      <c r="W62" s="74" t="str">
        <f t="shared" si="1"/>
        <v>-</v>
      </c>
      <c r="X62" s="74" t="str">
        <f t="shared" si="2"/>
        <v>-</v>
      </c>
      <c r="Y62" s="74" t="str">
        <f t="shared" si="3"/>
        <v>-</v>
      </c>
      <c r="AA62" s="60"/>
      <c r="AB62" s="60"/>
      <c r="AC62" s="60"/>
      <c r="AD62" s="60"/>
      <c r="AE62" s="60"/>
      <c r="AF62" s="60"/>
      <c r="AG62" s="60"/>
      <c r="AH62" s="60"/>
      <c r="AI62" s="60"/>
      <c r="AJ62" s="74" t="str">
        <f t="shared" si="4"/>
        <v>-</v>
      </c>
      <c r="AK62" s="60"/>
      <c r="AL62" s="60"/>
      <c r="AM62" s="60"/>
      <c r="AN62" s="60"/>
      <c r="AO62" s="60"/>
      <c r="AP62" s="60"/>
      <c r="AQ62" s="60"/>
      <c r="AR62" s="60"/>
      <c r="AS62" s="60"/>
      <c r="AT62" s="74" t="str">
        <f t="shared" si="5"/>
        <v>-</v>
      </c>
      <c r="AU62" s="74" t="str">
        <f t="shared" si="6"/>
        <v>-</v>
      </c>
      <c r="AV62" s="74" t="str">
        <f t="shared" si="7"/>
        <v>-</v>
      </c>
      <c r="AX62" s="59" t="str">
        <f>IF(AND(D62&gt;0,AA62&gt;0),MIN(D62,AA62),"-")</f>
        <v>-</v>
      </c>
      <c r="AY62" s="59" t="str">
        <f>IF(AND(E62&gt;0,AB62&gt;0),MIN(E62,AB62),"-")</f>
        <v>-</v>
      </c>
      <c r="AZ62" s="59" t="str">
        <f>IF(AND(F62&gt;0,AC62&gt;0),MIN(F62,AC62),"-")</f>
        <v>-</v>
      </c>
      <c r="BA62" s="59" t="str">
        <f>IF(AND(G62&gt;0,AD62&gt;0),MIN(G62,AD62),"-")</f>
        <v>-</v>
      </c>
      <c r="BB62" s="59" t="str">
        <f>IF(AND(H62&gt;0,AE62&gt;0),MIN(H62,AE62),"-")</f>
        <v>-</v>
      </c>
      <c r="BC62" s="59" t="str">
        <f>IF(AND(I62&gt;0,AF62&gt;0),MIN(I62,AF62),"-")</f>
        <v>-</v>
      </c>
      <c r="BD62" s="59" t="str">
        <f>IF(AND(J62&gt;0,AG62&gt;0),MIN(J62,AG62),"-")</f>
        <v>-</v>
      </c>
      <c r="BE62" s="59" t="str">
        <f>IF(AND(K62&gt;0,AH62&gt;0),MIN(K62,AH62),"-")</f>
        <v>-</v>
      </c>
      <c r="BF62" s="59" t="str">
        <f>IF(AND(L62&gt;0,AI62&gt;0),MIN(L62,AI62),"-")</f>
        <v>-</v>
      </c>
      <c r="BG62" s="59" t="str">
        <f t="shared" si="8"/>
        <v>-</v>
      </c>
      <c r="BH62" s="59" t="str">
        <f>IF(AND(N62&gt;0,AK62&gt;0),MIN(N62,AK62),"-")</f>
        <v>-</v>
      </c>
      <c r="BI62" s="59" t="str">
        <f>IF(AND(O62&gt;0,AL62&gt;0),MIN(O62,AL62),"-")</f>
        <v>-</v>
      </c>
      <c r="BJ62" s="59" t="str">
        <f>IF(AND(P62&gt;0,AM62&gt;0),MIN(P62,AM62),"-")</f>
        <v>-</v>
      </c>
      <c r="BK62" s="59" t="str">
        <f>IF(AND(Q62&gt;0,AN62&gt;0),MIN(Q62,AN62),"-")</f>
        <v>-</v>
      </c>
      <c r="BL62" s="59" t="str">
        <f>IF(AND(R62&gt;0,AO62&gt;0),MIN(R62,AO62),"-")</f>
        <v>-</v>
      </c>
      <c r="BM62" s="59" t="str">
        <f>IF(AND(S62&gt;0,AP62&gt;0),MIN(S62,AP62),"-")</f>
        <v>-</v>
      </c>
      <c r="BN62" s="59" t="str">
        <f>IF(AND(T62&gt;0,AQ62&gt;0),MIN(T62,AQ62),"-")</f>
        <v>-</v>
      </c>
      <c r="BO62" s="59" t="str">
        <f>IF(AND(U62&gt;0,AR62&gt;0),MIN(U62,AR62),"-")</f>
        <v>-</v>
      </c>
      <c r="BP62" s="59" t="str">
        <f>IF(AND(V62&gt;0,AS62&gt;0),MIN(V62,AS62),"-")</f>
        <v>-</v>
      </c>
      <c r="BQ62" s="59" t="str">
        <f t="shared" si="9"/>
        <v>-</v>
      </c>
      <c r="BR62" s="59" t="str">
        <f t="shared" si="10"/>
        <v>-</v>
      </c>
      <c r="BS62" s="59" t="str">
        <f t="shared" si="11"/>
        <v>-</v>
      </c>
      <c r="BT62" s="98" t="str">
        <f>IF(ISNUMBER(BS62),BS62-(C62*Rules!$P$9/100),"-")</f>
        <v>-</v>
      </c>
      <c r="BU62" s="59" t="e">
        <f>RANK($BT62,$BT$5:$BT$106,1)+COUNTIF(BT$5:BT62,BT62)-1</f>
        <v>#VALUE!</v>
      </c>
      <c r="BV62" s="59" t="e">
        <f t="shared" si="12"/>
        <v>#VALUE!</v>
      </c>
      <c r="BW62" s="59" t="str">
        <f t="shared" si="13"/>
        <v xml:space="preserve"> </v>
      </c>
      <c r="BX62" s="59" t="str">
        <f t="shared" si="13"/>
        <v>-</v>
      </c>
      <c r="BY62" s="59" t="str">
        <f t="shared" si="14"/>
        <v>-</v>
      </c>
      <c r="CC62" s="4">
        <v>58</v>
      </c>
      <c r="CD62" s="2" t="e">
        <f>VLOOKUP(CC62,$BV$5:BY$215,1,FALSE)</f>
        <v>#N/A</v>
      </c>
      <c r="CE62" s="6" t="e">
        <f>VLOOKUP(CC62,$BV$5:BY$215,2,FALSE)</f>
        <v>#N/A</v>
      </c>
      <c r="CF62" s="103" t="e">
        <f>VLOOKUP(CC62,$BV$5:BY$215,4,FALSE)</f>
        <v>#N/A</v>
      </c>
      <c r="CL62" s="77">
        <v>1</v>
      </c>
    </row>
    <row r="63" spans="1:90" ht="17.45" customHeight="1">
      <c r="A63" s="58">
        <v>59</v>
      </c>
      <c r="B63" s="59" t="str">
        <f>'B Div'!A63 &amp; " " &amp; 'B Div'!B63</f>
        <v xml:space="preserve"> </v>
      </c>
      <c r="C63" s="59" t="str">
        <f>'B Div'!E63</f>
        <v>-</v>
      </c>
      <c r="D63" s="60"/>
      <c r="E63" s="60"/>
      <c r="F63" s="60"/>
      <c r="G63" s="60"/>
      <c r="H63" s="60"/>
      <c r="I63" s="60"/>
      <c r="J63" s="60"/>
      <c r="K63" s="60"/>
      <c r="L63" s="60"/>
      <c r="M63" s="74" t="str">
        <f t="shared" si="0"/>
        <v>-</v>
      </c>
      <c r="N63" s="60"/>
      <c r="O63" s="60"/>
      <c r="P63" s="60"/>
      <c r="Q63" s="60"/>
      <c r="R63" s="60"/>
      <c r="S63" s="60"/>
      <c r="T63" s="60"/>
      <c r="U63" s="60"/>
      <c r="V63" s="60"/>
      <c r="W63" s="74" t="str">
        <f t="shared" si="1"/>
        <v>-</v>
      </c>
      <c r="X63" s="74" t="str">
        <f t="shared" si="2"/>
        <v>-</v>
      </c>
      <c r="Y63" s="74" t="str">
        <f t="shared" si="3"/>
        <v>-</v>
      </c>
      <c r="AA63" s="60"/>
      <c r="AB63" s="60"/>
      <c r="AC63" s="60"/>
      <c r="AD63" s="60"/>
      <c r="AE63" s="60"/>
      <c r="AF63" s="60"/>
      <c r="AG63" s="60"/>
      <c r="AH63" s="60"/>
      <c r="AI63" s="60"/>
      <c r="AJ63" s="74" t="str">
        <f t="shared" si="4"/>
        <v>-</v>
      </c>
      <c r="AK63" s="60"/>
      <c r="AL63" s="60"/>
      <c r="AM63" s="60"/>
      <c r="AN63" s="60"/>
      <c r="AO63" s="60"/>
      <c r="AP63" s="60"/>
      <c r="AQ63" s="60"/>
      <c r="AR63" s="60"/>
      <c r="AS63" s="60"/>
      <c r="AT63" s="74" t="str">
        <f t="shared" si="5"/>
        <v>-</v>
      </c>
      <c r="AU63" s="74" t="str">
        <f t="shared" si="6"/>
        <v>-</v>
      </c>
      <c r="AV63" s="74" t="str">
        <f t="shared" si="7"/>
        <v>-</v>
      </c>
      <c r="AX63" s="59" t="str">
        <f>IF(AND(D63&gt;0,AA63&gt;0),MIN(D63,AA63),"-")</f>
        <v>-</v>
      </c>
      <c r="AY63" s="59" t="str">
        <f>IF(AND(E63&gt;0,AB63&gt;0),MIN(E63,AB63),"-")</f>
        <v>-</v>
      </c>
      <c r="AZ63" s="59" t="str">
        <f>IF(AND(F63&gt;0,AC63&gt;0),MIN(F63,AC63),"-")</f>
        <v>-</v>
      </c>
      <c r="BA63" s="59" t="str">
        <f>IF(AND(G63&gt;0,AD63&gt;0),MIN(G63,AD63),"-")</f>
        <v>-</v>
      </c>
      <c r="BB63" s="59" t="str">
        <f>IF(AND(H63&gt;0,AE63&gt;0),MIN(H63,AE63),"-")</f>
        <v>-</v>
      </c>
      <c r="BC63" s="59" t="str">
        <f>IF(AND(I63&gt;0,AF63&gt;0),MIN(I63,AF63),"-")</f>
        <v>-</v>
      </c>
      <c r="BD63" s="59" t="str">
        <f>IF(AND(J63&gt;0,AG63&gt;0),MIN(J63,AG63),"-")</f>
        <v>-</v>
      </c>
      <c r="BE63" s="59" t="str">
        <f>IF(AND(K63&gt;0,AH63&gt;0),MIN(K63,AH63),"-")</f>
        <v>-</v>
      </c>
      <c r="BF63" s="59" t="str">
        <f>IF(AND(L63&gt;0,AI63&gt;0),MIN(L63,AI63),"-")</f>
        <v>-</v>
      </c>
      <c r="BG63" s="59" t="str">
        <f t="shared" si="8"/>
        <v>-</v>
      </c>
      <c r="BH63" s="59" t="str">
        <f>IF(AND(N63&gt;0,AK63&gt;0),MIN(N63,AK63),"-")</f>
        <v>-</v>
      </c>
      <c r="BI63" s="59" t="str">
        <f>IF(AND(O63&gt;0,AL63&gt;0),MIN(O63,AL63),"-")</f>
        <v>-</v>
      </c>
      <c r="BJ63" s="59" t="str">
        <f>IF(AND(P63&gt;0,AM63&gt;0),MIN(P63,AM63),"-")</f>
        <v>-</v>
      </c>
      <c r="BK63" s="59" t="str">
        <f>IF(AND(Q63&gt;0,AN63&gt;0),MIN(Q63,AN63),"-")</f>
        <v>-</v>
      </c>
      <c r="BL63" s="59" t="str">
        <f>IF(AND(R63&gt;0,AO63&gt;0),MIN(R63,AO63),"-")</f>
        <v>-</v>
      </c>
      <c r="BM63" s="59" t="str">
        <f>IF(AND(S63&gt;0,AP63&gt;0),MIN(S63,AP63),"-")</f>
        <v>-</v>
      </c>
      <c r="BN63" s="59" t="str">
        <f>IF(AND(T63&gt;0,AQ63&gt;0),MIN(T63,AQ63),"-")</f>
        <v>-</v>
      </c>
      <c r="BO63" s="59" t="str">
        <f>IF(AND(U63&gt;0,AR63&gt;0),MIN(U63,AR63),"-")</f>
        <v>-</v>
      </c>
      <c r="BP63" s="59" t="str">
        <f>IF(AND(V63&gt;0,AS63&gt;0),MIN(V63,AS63),"-")</f>
        <v>-</v>
      </c>
      <c r="BQ63" s="59" t="str">
        <f t="shared" si="9"/>
        <v>-</v>
      </c>
      <c r="BR63" s="59" t="str">
        <f t="shared" si="10"/>
        <v>-</v>
      </c>
      <c r="BS63" s="59" t="str">
        <f t="shared" si="11"/>
        <v>-</v>
      </c>
      <c r="BT63" s="98" t="str">
        <f>IF(ISNUMBER(BS63),BS63-(C63*Rules!$P$9/100),"-")</f>
        <v>-</v>
      </c>
      <c r="BU63" s="59" t="e">
        <f>RANK($BT63,$BT$5:$BT$106,1)+COUNTIF(BT$5:BT63,BT63)-1</f>
        <v>#VALUE!</v>
      </c>
      <c r="BV63" s="59" t="e">
        <f t="shared" si="12"/>
        <v>#VALUE!</v>
      </c>
      <c r="BW63" s="59" t="str">
        <f t="shared" si="13"/>
        <v xml:space="preserve"> </v>
      </c>
      <c r="BX63" s="59" t="str">
        <f t="shared" si="13"/>
        <v>-</v>
      </c>
      <c r="BY63" s="59" t="str">
        <f t="shared" si="14"/>
        <v>-</v>
      </c>
      <c r="CC63" s="4">
        <v>59</v>
      </c>
      <c r="CD63" s="2" t="e">
        <f>VLOOKUP(CC63,$BV$5:BY$215,1,FALSE)</f>
        <v>#N/A</v>
      </c>
      <c r="CE63" s="6" t="e">
        <f>VLOOKUP(CC63,$BV$5:BY$215,2,FALSE)</f>
        <v>#N/A</v>
      </c>
      <c r="CF63" s="103" t="e">
        <f>VLOOKUP(CC63,$BV$5:BY$215,4,FALSE)</f>
        <v>#N/A</v>
      </c>
      <c r="CL63" s="77">
        <v>1</v>
      </c>
    </row>
    <row r="64" spans="1:90" ht="17.45" customHeight="1">
      <c r="A64" s="58">
        <v>60</v>
      </c>
      <c r="B64" s="59" t="str">
        <f>'B Div'!A64 &amp; " " &amp; 'B Div'!B64</f>
        <v xml:space="preserve"> </v>
      </c>
      <c r="C64" s="59" t="str">
        <f>'B Div'!E64</f>
        <v>-</v>
      </c>
      <c r="D64" s="60"/>
      <c r="E64" s="60"/>
      <c r="F64" s="60"/>
      <c r="G64" s="60"/>
      <c r="H64" s="60"/>
      <c r="I64" s="60"/>
      <c r="J64" s="60"/>
      <c r="K64" s="60"/>
      <c r="L64" s="60"/>
      <c r="M64" s="74" t="str">
        <f t="shared" si="0"/>
        <v>-</v>
      </c>
      <c r="N64" s="60"/>
      <c r="O64" s="60"/>
      <c r="P64" s="60"/>
      <c r="Q64" s="60"/>
      <c r="R64" s="60"/>
      <c r="S64" s="60"/>
      <c r="T64" s="60"/>
      <c r="U64" s="60"/>
      <c r="V64" s="60"/>
      <c r="W64" s="74" t="str">
        <f t="shared" si="1"/>
        <v>-</v>
      </c>
      <c r="X64" s="74" t="str">
        <f t="shared" si="2"/>
        <v>-</v>
      </c>
      <c r="Y64" s="74" t="str">
        <f t="shared" si="3"/>
        <v>-</v>
      </c>
      <c r="AA64" s="60"/>
      <c r="AB64" s="60"/>
      <c r="AC64" s="60"/>
      <c r="AD64" s="60"/>
      <c r="AE64" s="60"/>
      <c r="AF64" s="60"/>
      <c r="AG64" s="60"/>
      <c r="AH64" s="60"/>
      <c r="AI64" s="60"/>
      <c r="AJ64" s="74" t="str">
        <f t="shared" si="4"/>
        <v>-</v>
      </c>
      <c r="AK64" s="60"/>
      <c r="AL64" s="60"/>
      <c r="AM64" s="60"/>
      <c r="AN64" s="60"/>
      <c r="AO64" s="60"/>
      <c r="AP64" s="60"/>
      <c r="AQ64" s="60"/>
      <c r="AR64" s="60"/>
      <c r="AS64" s="60"/>
      <c r="AT64" s="74" t="str">
        <f t="shared" si="5"/>
        <v>-</v>
      </c>
      <c r="AU64" s="74" t="str">
        <f t="shared" si="6"/>
        <v>-</v>
      </c>
      <c r="AV64" s="74" t="str">
        <f t="shared" si="7"/>
        <v>-</v>
      </c>
      <c r="AX64" s="59" t="str">
        <f>IF(AND(D64&gt;0,AA64&gt;0),MIN(D64,AA64),"-")</f>
        <v>-</v>
      </c>
      <c r="AY64" s="59" t="str">
        <f>IF(AND(E64&gt;0,AB64&gt;0),MIN(E64,AB64),"-")</f>
        <v>-</v>
      </c>
      <c r="AZ64" s="59" t="str">
        <f>IF(AND(F64&gt;0,AC64&gt;0),MIN(F64,AC64),"-")</f>
        <v>-</v>
      </c>
      <c r="BA64" s="59" t="str">
        <f>IF(AND(G64&gt;0,AD64&gt;0),MIN(G64,AD64),"-")</f>
        <v>-</v>
      </c>
      <c r="BB64" s="59" t="str">
        <f>IF(AND(H64&gt;0,AE64&gt;0),MIN(H64,AE64),"-")</f>
        <v>-</v>
      </c>
      <c r="BC64" s="59" t="str">
        <f>IF(AND(I64&gt;0,AF64&gt;0),MIN(I64,AF64),"-")</f>
        <v>-</v>
      </c>
      <c r="BD64" s="59" t="str">
        <f>IF(AND(J64&gt;0,AG64&gt;0),MIN(J64,AG64),"-")</f>
        <v>-</v>
      </c>
      <c r="BE64" s="59" t="str">
        <f>IF(AND(K64&gt;0,AH64&gt;0),MIN(K64,AH64),"-")</f>
        <v>-</v>
      </c>
      <c r="BF64" s="59" t="str">
        <f>IF(AND(L64&gt;0,AI64&gt;0),MIN(L64,AI64),"-")</f>
        <v>-</v>
      </c>
      <c r="BG64" s="59" t="str">
        <f t="shared" si="8"/>
        <v>-</v>
      </c>
      <c r="BH64" s="59" t="str">
        <f>IF(AND(N64&gt;0,AK64&gt;0),MIN(N64,AK64),"-")</f>
        <v>-</v>
      </c>
      <c r="BI64" s="59" t="str">
        <f>IF(AND(O64&gt;0,AL64&gt;0),MIN(O64,AL64),"-")</f>
        <v>-</v>
      </c>
      <c r="BJ64" s="59" t="str">
        <f>IF(AND(P64&gt;0,AM64&gt;0),MIN(P64,AM64),"-")</f>
        <v>-</v>
      </c>
      <c r="BK64" s="59" t="str">
        <f>IF(AND(Q64&gt;0,AN64&gt;0),MIN(Q64,AN64),"-")</f>
        <v>-</v>
      </c>
      <c r="BL64" s="59" t="str">
        <f>IF(AND(R64&gt;0,AO64&gt;0),MIN(R64,AO64),"-")</f>
        <v>-</v>
      </c>
      <c r="BM64" s="59" t="str">
        <f>IF(AND(S64&gt;0,AP64&gt;0),MIN(S64,AP64),"-")</f>
        <v>-</v>
      </c>
      <c r="BN64" s="59" t="str">
        <f>IF(AND(T64&gt;0,AQ64&gt;0),MIN(T64,AQ64),"-")</f>
        <v>-</v>
      </c>
      <c r="BO64" s="59" t="str">
        <f>IF(AND(U64&gt;0,AR64&gt;0),MIN(U64,AR64),"-")</f>
        <v>-</v>
      </c>
      <c r="BP64" s="59" t="str">
        <f>IF(AND(V64&gt;0,AS64&gt;0),MIN(V64,AS64),"-")</f>
        <v>-</v>
      </c>
      <c r="BQ64" s="59" t="str">
        <f t="shared" si="9"/>
        <v>-</v>
      </c>
      <c r="BR64" s="59" t="str">
        <f t="shared" si="10"/>
        <v>-</v>
      </c>
      <c r="BS64" s="59" t="str">
        <f t="shared" si="11"/>
        <v>-</v>
      </c>
      <c r="BT64" s="98" t="str">
        <f>IF(ISNUMBER(BS64),BS64-(C64*Rules!$P$9/100),"-")</f>
        <v>-</v>
      </c>
      <c r="BU64" s="59" t="e">
        <f>RANK($BT64,$BT$5:$BT$106,1)+COUNTIF(BT$5:BT64,BT64)-1</f>
        <v>#VALUE!</v>
      </c>
      <c r="BV64" s="59" t="e">
        <f t="shared" si="12"/>
        <v>#VALUE!</v>
      </c>
      <c r="BW64" s="59" t="str">
        <f t="shared" si="13"/>
        <v xml:space="preserve"> </v>
      </c>
      <c r="BX64" s="59" t="str">
        <f t="shared" si="13"/>
        <v>-</v>
      </c>
      <c r="BY64" s="59" t="str">
        <f t="shared" si="14"/>
        <v>-</v>
      </c>
      <c r="CC64" s="4">
        <v>60</v>
      </c>
      <c r="CD64" s="2" t="e">
        <f>VLOOKUP(CC64,$BV$5:BY$215,1,FALSE)</f>
        <v>#N/A</v>
      </c>
      <c r="CE64" s="6" t="e">
        <f>VLOOKUP(CC64,$BV$5:BY$215,2,FALSE)</f>
        <v>#N/A</v>
      </c>
      <c r="CF64" s="103" t="e">
        <f>VLOOKUP(CC64,$BV$5:BY$215,4,FALSE)</f>
        <v>#N/A</v>
      </c>
      <c r="CL64" s="77">
        <v>1</v>
      </c>
    </row>
    <row r="65" spans="1:90" ht="17.45" customHeight="1">
      <c r="A65" s="58">
        <v>61</v>
      </c>
      <c r="B65" s="59" t="str">
        <f>'B Div'!A65 &amp; " " &amp; 'B Div'!B65</f>
        <v xml:space="preserve"> </v>
      </c>
      <c r="C65" s="59" t="str">
        <f>'B Div'!E65</f>
        <v>-</v>
      </c>
      <c r="D65" s="60"/>
      <c r="E65" s="60"/>
      <c r="F65" s="60"/>
      <c r="G65" s="60"/>
      <c r="H65" s="60"/>
      <c r="I65" s="60"/>
      <c r="J65" s="60"/>
      <c r="K65" s="60"/>
      <c r="L65" s="60"/>
      <c r="M65" s="74" t="str">
        <f t="shared" si="0"/>
        <v>-</v>
      </c>
      <c r="N65" s="60"/>
      <c r="O65" s="60"/>
      <c r="P65" s="60"/>
      <c r="Q65" s="60"/>
      <c r="R65" s="60"/>
      <c r="S65" s="60"/>
      <c r="T65" s="60"/>
      <c r="U65" s="60"/>
      <c r="V65" s="60"/>
      <c r="W65" s="74" t="str">
        <f t="shared" si="1"/>
        <v>-</v>
      </c>
      <c r="X65" s="74" t="str">
        <f t="shared" si="2"/>
        <v>-</v>
      </c>
      <c r="Y65" s="74" t="str">
        <f t="shared" si="3"/>
        <v>-</v>
      </c>
      <c r="AA65" s="60"/>
      <c r="AB65" s="60"/>
      <c r="AC65" s="60"/>
      <c r="AD65" s="60"/>
      <c r="AE65" s="60"/>
      <c r="AF65" s="60"/>
      <c r="AG65" s="60"/>
      <c r="AH65" s="60"/>
      <c r="AI65" s="60"/>
      <c r="AJ65" s="74" t="str">
        <f t="shared" si="4"/>
        <v>-</v>
      </c>
      <c r="AK65" s="60"/>
      <c r="AL65" s="60"/>
      <c r="AM65" s="60"/>
      <c r="AN65" s="60"/>
      <c r="AO65" s="60"/>
      <c r="AP65" s="60"/>
      <c r="AQ65" s="60"/>
      <c r="AR65" s="60"/>
      <c r="AS65" s="60"/>
      <c r="AT65" s="74" t="str">
        <f t="shared" si="5"/>
        <v>-</v>
      </c>
      <c r="AU65" s="74" t="str">
        <f t="shared" si="6"/>
        <v>-</v>
      </c>
      <c r="AV65" s="74" t="str">
        <f t="shared" si="7"/>
        <v>-</v>
      </c>
      <c r="AX65" s="59" t="str">
        <f>IF(AND(D65&gt;0,AA65&gt;0),MIN(D65,AA65),"-")</f>
        <v>-</v>
      </c>
      <c r="AY65" s="59" t="str">
        <f>IF(AND(E65&gt;0,AB65&gt;0),MIN(E65,AB65),"-")</f>
        <v>-</v>
      </c>
      <c r="AZ65" s="59" t="str">
        <f>IF(AND(F65&gt;0,AC65&gt;0),MIN(F65,AC65),"-")</f>
        <v>-</v>
      </c>
      <c r="BA65" s="59" t="str">
        <f>IF(AND(G65&gt;0,AD65&gt;0),MIN(G65,AD65),"-")</f>
        <v>-</v>
      </c>
      <c r="BB65" s="59" t="str">
        <f>IF(AND(H65&gt;0,AE65&gt;0),MIN(H65,AE65),"-")</f>
        <v>-</v>
      </c>
      <c r="BC65" s="59" t="str">
        <f>IF(AND(I65&gt;0,AF65&gt;0),MIN(I65,AF65),"-")</f>
        <v>-</v>
      </c>
      <c r="BD65" s="59" t="str">
        <f>IF(AND(J65&gt;0,AG65&gt;0),MIN(J65,AG65),"-")</f>
        <v>-</v>
      </c>
      <c r="BE65" s="59" t="str">
        <f>IF(AND(K65&gt;0,AH65&gt;0),MIN(K65,AH65),"-")</f>
        <v>-</v>
      </c>
      <c r="BF65" s="59" t="str">
        <f>IF(AND(L65&gt;0,AI65&gt;0),MIN(L65,AI65),"-")</f>
        <v>-</v>
      </c>
      <c r="BG65" s="59" t="str">
        <f t="shared" si="8"/>
        <v>-</v>
      </c>
      <c r="BH65" s="59" t="str">
        <f>IF(AND(N65&gt;0,AK65&gt;0),MIN(N65,AK65),"-")</f>
        <v>-</v>
      </c>
      <c r="BI65" s="59" t="str">
        <f>IF(AND(O65&gt;0,AL65&gt;0),MIN(O65,AL65),"-")</f>
        <v>-</v>
      </c>
      <c r="BJ65" s="59" t="str">
        <f>IF(AND(P65&gt;0,AM65&gt;0),MIN(P65,AM65),"-")</f>
        <v>-</v>
      </c>
      <c r="BK65" s="59" t="str">
        <f>IF(AND(Q65&gt;0,AN65&gt;0),MIN(Q65,AN65),"-")</f>
        <v>-</v>
      </c>
      <c r="BL65" s="59" t="str">
        <f>IF(AND(R65&gt;0,AO65&gt;0),MIN(R65,AO65),"-")</f>
        <v>-</v>
      </c>
      <c r="BM65" s="59" t="str">
        <f>IF(AND(S65&gt;0,AP65&gt;0),MIN(S65,AP65),"-")</f>
        <v>-</v>
      </c>
      <c r="BN65" s="59" t="str">
        <f>IF(AND(T65&gt;0,AQ65&gt;0),MIN(T65,AQ65),"-")</f>
        <v>-</v>
      </c>
      <c r="BO65" s="59" t="str">
        <f>IF(AND(U65&gt;0,AR65&gt;0),MIN(U65,AR65),"-")</f>
        <v>-</v>
      </c>
      <c r="BP65" s="59" t="str">
        <f>IF(AND(V65&gt;0,AS65&gt;0),MIN(V65,AS65),"-")</f>
        <v>-</v>
      </c>
      <c r="BQ65" s="59" t="str">
        <f t="shared" si="9"/>
        <v>-</v>
      </c>
      <c r="BR65" s="59" t="str">
        <f t="shared" si="10"/>
        <v>-</v>
      </c>
      <c r="BS65" s="59" t="str">
        <f t="shared" si="11"/>
        <v>-</v>
      </c>
      <c r="BT65" s="98" t="str">
        <f>IF(ISNUMBER(BS65),BS65-(C65*Rules!$P$9/100),"-")</f>
        <v>-</v>
      </c>
      <c r="BU65" s="59" t="e">
        <f>RANK($BT65,$BT$5:$BT$106,1)+COUNTIF(BT$5:BT65,BT65)-1</f>
        <v>#VALUE!</v>
      </c>
      <c r="BV65" s="59" t="e">
        <f t="shared" si="12"/>
        <v>#VALUE!</v>
      </c>
      <c r="BW65" s="59" t="str">
        <f t="shared" si="13"/>
        <v xml:space="preserve"> </v>
      </c>
      <c r="BX65" s="59" t="str">
        <f t="shared" si="13"/>
        <v>-</v>
      </c>
      <c r="BY65" s="59" t="str">
        <f t="shared" si="14"/>
        <v>-</v>
      </c>
      <c r="CC65" s="4">
        <v>61</v>
      </c>
      <c r="CD65" s="2" t="e">
        <f>VLOOKUP(CC65,$BV$5:BY$215,1,FALSE)</f>
        <v>#N/A</v>
      </c>
      <c r="CE65" s="6" t="e">
        <f>VLOOKUP(CC65,$BV$5:BY$215,2,FALSE)</f>
        <v>#N/A</v>
      </c>
      <c r="CF65" s="103" t="e">
        <f>VLOOKUP(CC65,$BV$5:BY$215,4,FALSE)</f>
        <v>#N/A</v>
      </c>
      <c r="CL65" s="77">
        <v>1</v>
      </c>
    </row>
    <row r="66" spans="1:90" ht="17.45" customHeight="1">
      <c r="A66" s="58">
        <v>62</v>
      </c>
      <c r="B66" s="59" t="str">
        <f>'B Div'!A66 &amp; " " &amp; 'B Div'!B66</f>
        <v xml:space="preserve"> </v>
      </c>
      <c r="C66" s="59" t="str">
        <f>'B Div'!E66</f>
        <v>-</v>
      </c>
      <c r="D66" s="60"/>
      <c r="E66" s="60"/>
      <c r="F66" s="60"/>
      <c r="G66" s="60"/>
      <c r="H66" s="60"/>
      <c r="I66" s="60"/>
      <c r="J66" s="60"/>
      <c r="K66" s="60"/>
      <c r="L66" s="60"/>
      <c r="M66" s="74" t="str">
        <f t="shared" si="0"/>
        <v>-</v>
      </c>
      <c r="N66" s="60"/>
      <c r="O66" s="60"/>
      <c r="P66" s="60"/>
      <c r="Q66" s="60"/>
      <c r="R66" s="60"/>
      <c r="S66" s="60"/>
      <c r="T66" s="60"/>
      <c r="U66" s="60"/>
      <c r="V66" s="60"/>
      <c r="W66" s="74" t="str">
        <f t="shared" si="1"/>
        <v>-</v>
      </c>
      <c r="X66" s="74" t="str">
        <f t="shared" si="2"/>
        <v>-</v>
      </c>
      <c r="Y66" s="74" t="str">
        <f t="shared" si="3"/>
        <v>-</v>
      </c>
      <c r="AA66" s="60"/>
      <c r="AB66" s="60"/>
      <c r="AC66" s="60"/>
      <c r="AD66" s="60"/>
      <c r="AE66" s="60"/>
      <c r="AF66" s="60"/>
      <c r="AG66" s="60"/>
      <c r="AH66" s="60"/>
      <c r="AI66" s="60"/>
      <c r="AJ66" s="74" t="str">
        <f t="shared" si="4"/>
        <v>-</v>
      </c>
      <c r="AK66" s="60"/>
      <c r="AL66" s="60"/>
      <c r="AM66" s="60"/>
      <c r="AN66" s="60"/>
      <c r="AO66" s="60"/>
      <c r="AP66" s="60"/>
      <c r="AQ66" s="60"/>
      <c r="AR66" s="60"/>
      <c r="AS66" s="60"/>
      <c r="AT66" s="74" t="str">
        <f t="shared" si="5"/>
        <v>-</v>
      </c>
      <c r="AU66" s="74" t="str">
        <f t="shared" si="6"/>
        <v>-</v>
      </c>
      <c r="AV66" s="74" t="str">
        <f t="shared" si="7"/>
        <v>-</v>
      </c>
      <c r="AX66" s="59" t="str">
        <f>IF(AND(D66&gt;0,AA66&gt;0),MIN(D66,AA66),"-")</f>
        <v>-</v>
      </c>
      <c r="AY66" s="59" t="str">
        <f>IF(AND(E66&gt;0,AB66&gt;0),MIN(E66,AB66),"-")</f>
        <v>-</v>
      </c>
      <c r="AZ66" s="59" t="str">
        <f>IF(AND(F66&gt;0,AC66&gt;0),MIN(F66,AC66),"-")</f>
        <v>-</v>
      </c>
      <c r="BA66" s="59" t="str">
        <f>IF(AND(G66&gt;0,AD66&gt;0),MIN(G66,AD66),"-")</f>
        <v>-</v>
      </c>
      <c r="BB66" s="59" t="str">
        <f>IF(AND(H66&gt;0,AE66&gt;0),MIN(H66,AE66),"-")</f>
        <v>-</v>
      </c>
      <c r="BC66" s="59" t="str">
        <f>IF(AND(I66&gt;0,AF66&gt;0),MIN(I66,AF66),"-")</f>
        <v>-</v>
      </c>
      <c r="BD66" s="59" t="str">
        <f>IF(AND(J66&gt;0,AG66&gt;0),MIN(J66,AG66),"-")</f>
        <v>-</v>
      </c>
      <c r="BE66" s="59" t="str">
        <f>IF(AND(K66&gt;0,AH66&gt;0),MIN(K66,AH66),"-")</f>
        <v>-</v>
      </c>
      <c r="BF66" s="59" t="str">
        <f>IF(AND(L66&gt;0,AI66&gt;0),MIN(L66,AI66),"-")</f>
        <v>-</v>
      </c>
      <c r="BG66" s="59" t="str">
        <f t="shared" si="8"/>
        <v>-</v>
      </c>
      <c r="BH66" s="59" t="str">
        <f>IF(AND(N66&gt;0,AK66&gt;0),MIN(N66,AK66),"-")</f>
        <v>-</v>
      </c>
      <c r="BI66" s="59" t="str">
        <f>IF(AND(O66&gt;0,AL66&gt;0),MIN(O66,AL66),"-")</f>
        <v>-</v>
      </c>
      <c r="BJ66" s="59" t="str">
        <f>IF(AND(P66&gt;0,AM66&gt;0),MIN(P66,AM66),"-")</f>
        <v>-</v>
      </c>
      <c r="BK66" s="59" t="str">
        <f>IF(AND(Q66&gt;0,AN66&gt;0),MIN(Q66,AN66),"-")</f>
        <v>-</v>
      </c>
      <c r="BL66" s="59" t="str">
        <f>IF(AND(R66&gt;0,AO66&gt;0),MIN(R66,AO66),"-")</f>
        <v>-</v>
      </c>
      <c r="BM66" s="59" t="str">
        <f>IF(AND(S66&gt;0,AP66&gt;0),MIN(S66,AP66),"-")</f>
        <v>-</v>
      </c>
      <c r="BN66" s="59" t="str">
        <f>IF(AND(T66&gt;0,AQ66&gt;0),MIN(T66,AQ66),"-")</f>
        <v>-</v>
      </c>
      <c r="BO66" s="59" t="str">
        <f>IF(AND(U66&gt;0,AR66&gt;0),MIN(U66,AR66),"-")</f>
        <v>-</v>
      </c>
      <c r="BP66" s="59" t="str">
        <f>IF(AND(V66&gt;0,AS66&gt;0),MIN(V66,AS66),"-")</f>
        <v>-</v>
      </c>
      <c r="BQ66" s="59" t="str">
        <f t="shared" si="9"/>
        <v>-</v>
      </c>
      <c r="BR66" s="59" t="str">
        <f t="shared" si="10"/>
        <v>-</v>
      </c>
      <c r="BS66" s="59" t="str">
        <f t="shared" si="11"/>
        <v>-</v>
      </c>
      <c r="BT66" s="98" t="str">
        <f>IF(ISNUMBER(BS66),BS66-(C66*Rules!$P$9/100),"-")</f>
        <v>-</v>
      </c>
      <c r="BU66" s="59" t="e">
        <f>RANK($BT66,$BT$5:$BT$106,1)+COUNTIF(BT$5:BT66,BT66)-1</f>
        <v>#VALUE!</v>
      </c>
      <c r="BV66" s="59" t="e">
        <f t="shared" si="12"/>
        <v>#VALUE!</v>
      </c>
      <c r="BW66" s="59" t="str">
        <f t="shared" si="13"/>
        <v xml:space="preserve"> </v>
      </c>
      <c r="BX66" s="59" t="str">
        <f t="shared" si="13"/>
        <v>-</v>
      </c>
      <c r="BY66" s="59" t="str">
        <f t="shared" si="14"/>
        <v>-</v>
      </c>
      <c r="CC66" s="4">
        <v>62</v>
      </c>
      <c r="CD66" s="2" t="e">
        <f>VLOOKUP(CC66,$BV$5:BY$215,1,FALSE)</f>
        <v>#N/A</v>
      </c>
      <c r="CE66" s="6" t="e">
        <f>VLOOKUP(CC66,$BV$5:BY$215,2,FALSE)</f>
        <v>#N/A</v>
      </c>
      <c r="CF66" s="103" t="e">
        <f>VLOOKUP(CC66,$BV$5:BY$215,4,FALSE)</f>
        <v>#N/A</v>
      </c>
      <c r="CL66" s="77">
        <v>1</v>
      </c>
    </row>
    <row r="67" spans="1:90" ht="17.45" customHeight="1">
      <c r="A67" s="58">
        <v>63</v>
      </c>
      <c r="B67" s="59" t="str">
        <f>'B Div'!A67 &amp; " " &amp; 'B Div'!B67</f>
        <v xml:space="preserve"> </v>
      </c>
      <c r="C67" s="59" t="str">
        <f>'B Div'!E67</f>
        <v>-</v>
      </c>
      <c r="D67" s="60"/>
      <c r="E67" s="60"/>
      <c r="F67" s="60"/>
      <c r="G67" s="60"/>
      <c r="H67" s="60"/>
      <c r="I67" s="60"/>
      <c r="J67" s="60"/>
      <c r="K67" s="60"/>
      <c r="L67" s="60"/>
      <c r="M67" s="74" t="str">
        <f t="shared" si="0"/>
        <v>-</v>
      </c>
      <c r="N67" s="60"/>
      <c r="O67" s="60"/>
      <c r="P67" s="60"/>
      <c r="Q67" s="60"/>
      <c r="R67" s="60"/>
      <c r="S67" s="60"/>
      <c r="T67" s="60"/>
      <c r="U67" s="60"/>
      <c r="V67" s="60"/>
      <c r="W67" s="74" t="str">
        <f t="shared" si="1"/>
        <v>-</v>
      </c>
      <c r="X67" s="74" t="str">
        <f t="shared" si="2"/>
        <v>-</v>
      </c>
      <c r="Y67" s="74" t="str">
        <f t="shared" si="3"/>
        <v>-</v>
      </c>
      <c r="AA67" s="60"/>
      <c r="AB67" s="60"/>
      <c r="AC67" s="60"/>
      <c r="AD67" s="60"/>
      <c r="AE67" s="60"/>
      <c r="AF67" s="60"/>
      <c r="AG67" s="60"/>
      <c r="AH67" s="60"/>
      <c r="AI67" s="60"/>
      <c r="AJ67" s="74" t="str">
        <f t="shared" si="4"/>
        <v>-</v>
      </c>
      <c r="AK67" s="60"/>
      <c r="AL67" s="60"/>
      <c r="AM67" s="60"/>
      <c r="AN67" s="60"/>
      <c r="AO67" s="60"/>
      <c r="AP67" s="60"/>
      <c r="AQ67" s="60"/>
      <c r="AR67" s="60"/>
      <c r="AS67" s="60"/>
      <c r="AT67" s="74" t="str">
        <f t="shared" si="5"/>
        <v>-</v>
      </c>
      <c r="AU67" s="74" t="str">
        <f t="shared" si="6"/>
        <v>-</v>
      </c>
      <c r="AV67" s="74" t="str">
        <f t="shared" si="7"/>
        <v>-</v>
      </c>
      <c r="AX67" s="59" t="str">
        <f>IF(AND(D67&gt;0,AA67&gt;0),MIN(D67,AA67),"-")</f>
        <v>-</v>
      </c>
      <c r="AY67" s="59" t="str">
        <f>IF(AND(E67&gt;0,AB67&gt;0),MIN(E67,AB67),"-")</f>
        <v>-</v>
      </c>
      <c r="AZ67" s="59" t="str">
        <f>IF(AND(F67&gt;0,AC67&gt;0),MIN(F67,AC67),"-")</f>
        <v>-</v>
      </c>
      <c r="BA67" s="59" t="str">
        <f>IF(AND(G67&gt;0,AD67&gt;0),MIN(G67,AD67),"-")</f>
        <v>-</v>
      </c>
      <c r="BB67" s="59" t="str">
        <f>IF(AND(H67&gt;0,AE67&gt;0),MIN(H67,AE67),"-")</f>
        <v>-</v>
      </c>
      <c r="BC67" s="59" t="str">
        <f>IF(AND(I67&gt;0,AF67&gt;0),MIN(I67,AF67),"-")</f>
        <v>-</v>
      </c>
      <c r="BD67" s="59" t="str">
        <f>IF(AND(J67&gt;0,AG67&gt;0),MIN(J67,AG67),"-")</f>
        <v>-</v>
      </c>
      <c r="BE67" s="59" t="str">
        <f>IF(AND(K67&gt;0,AH67&gt;0),MIN(K67,AH67),"-")</f>
        <v>-</v>
      </c>
      <c r="BF67" s="59" t="str">
        <f>IF(AND(L67&gt;0,AI67&gt;0),MIN(L67,AI67),"-")</f>
        <v>-</v>
      </c>
      <c r="BG67" s="59" t="str">
        <f t="shared" si="8"/>
        <v>-</v>
      </c>
      <c r="BH67" s="59" t="str">
        <f>IF(AND(N67&gt;0,AK67&gt;0),MIN(N67,AK67),"-")</f>
        <v>-</v>
      </c>
      <c r="BI67" s="59" t="str">
        <f>IF(AND(O67&gt;0,AL67&gt;0),MIN(O67,AL67),"-")</f>
        <v>-</v>
      </c>
      <c r="BJ67" s="59" t="str">
        <f>IF(AND(P67&gt;0,AM67&gt;0),MIN(P67,AM67),"-")</f>
        <v>-</v>
      </c>
      <c r="BK67" s="59" t="str">
        <f>IF(AND(Q67&gt;0,AN67&gt;0),MIN(Q67,AN67),"-")</f>
        <v>-</v>
      </c>
      <c r="BL67" s="59" t="str">
        <f>IF(AND(R67&gt;0,AO67&gt;0),MIN(R67,AO67),"-")</f>
        <v>-</v>
      </c>
      <c r="BM67" s="59" t="str">
        <f>IF(AND(S67&gt;0,AP67&gt;0),MIN(S67,AP67),"-")</f>
        <v>-</v>
      </c>
      <c r="BN67" s="59" t="str">
        <f>IF(AND(T67&gt;0,AQ67&gt;0),MIN(T67,AQ67),"-")</f>
        <v>-</v>
      </c>
      <c r="BO67" s="59" t="str">
        <f>IF(AND(U67&gt;0,AR67&gt;0),MIN(U67,AR67),"-")</f>
        <v>-</v>
      </c>
      <c r="BP67" s="59" t="str">
        <f>IF(AND(V67&gt;0,AS67&gt;0),MIN(V67,AS67),"-")</f>
        <v>-</v>
      </c>
      <c r="BQ67" s="59" t="str">
        <f t="shared" si="9"/>
        <v>-</v>
      </c>
      <c r="BR67" s="59" t="str">
        <f t="shared" si="10"/>
        <v>-</v>
      </c>
      <c r="BS67" s="59" t="str">
        <f t="shared" si="11"/>
        <v>-</v>
      </c>
      <c r="BT67" s="98" t="str">
        <f>IF(ISNUMBER(BS67),BS67-(C67*Rules!$P$9/100),"-")</f>
        <v>-</v>
      </c>
      <c r="BU67" s="59" t="e">
        <f>RANK($BT67,$BT$5:$BT$106,1)+COUNTIF(BT$5:BT67,BT67)-1</f>
        <v>#VALUE!</v>
      </c>
      <c r="BV67" s="59" t="e">
        <f t="shared" si="12"/>
        <v>#VALUE!</v>
      </c>
      <c r="BW67" s="59" t="str">
        <f t="shared" si="13"/>
        <v xml:space="preserve"> </v>
      </c>
      <c r="BX67" s="59" t="str">
        <f t="shared" si="13"/>
        <v>-</v>
      </c>
      <c r="BY67" s="59" t="str">
        <f t="shared" si="14"/>
        <v>-</v>
      </c>
      <c r="CC67" s="4">
        <v>63</v>
      </c>
      <c r="CD67" s="2" t="e">
        <f>VLOOKUP(CC67,$BV$5:BY$215,1,FALSE)</f>
        <v>#N/A</v>
      </c>
      <c r="CE67" s="6" t="e">
        <f>VLOOKUP(CC67,$BV$5:BY$215,2,FALSE)</f>
        <v>#N/A</v>
      </c>
      <c r="CF67" s="103" t="e">
        <f>VLOOKUP(CC67,$BV$5:BY$215,4,FALSE)</f>
        <v>#N/A</v>
      </c>
      <c r="CL67" s="77">
        <v>1</v>
      </c>
    </row>
    <row r="68" spans="1:90" ht="17.45" customHeight="1">
      <c r="A68" s="58">
        <v>64</v>
      </c>
      <c r="B68" s="59" t="str">
        <f>'B Div'!A68 &amp; " " &amp; 'B Div'!B68</f>
        <v xml:space="preserve"> </v>
      </c>
      <c r="C68" s="59" t="str">
        <f>'B Div'!E68</f>
        <v>-</v>
      </c>
      <c r="D68" s="60"/>
      <c r="E68" s="60"/>
      <c r="F68" s="60"/>
      <c r="G68" s="60"/>
      <c r="H68" s="60"/>
      <c r="I68" s="60"/>
      <c r="J68" s="60"/>
      <c r="K68" s="60"/>
      <c r="L68" s="60"/>
      <c r="M68" s="74" t="str">
        <f t="shared" si="0"/>
        <v>-</v>
      </c>
      <c r="N68" s="60"/>
      <c r="O68" s="60"/>
      <c r="P68" s="60"/>
      <c r="Q68" s="60"/>
      <c r="R68" s="60"/>
      <c r="S68" s="60"/>
      <c r="T68" s="60"/>
      <c r="U68" s="60"/>
      <c r="V68" s="60"/>
      <c r="W68" s="74" t="str">
        <f t="shared" si="1"/>
        <v>-</v>
      </c>
      <c r="X68" s="74" t="str">
        <f t="shared" si="2"/>
        <v>-</v>
      </c>
      <c r="Y68" s="74" t="str">
        <f t="shared" si="3"/>
        <v>-</v>
      </c>
      <c r="AA68" s="60"/>
      <c r="AB68" s="60"/>
      <c r="AC68" s="60"/>
      <c r="AD68" s="60"/>
      <c r="AE68" s="60"/>
      <c r="AF68" s="60"/>
      <c r="AG68" s="60"/>
      <c r="AH68" s="60"/>
      <c r="AI68" s="60"/>
      <c r="AJ68" s="74" t="str">
        <f t="shared" si="4"/>
        <v>-</v>
      </c>
      <c r="AK68" s="60"/>
      <c r="AL68" s="60"/>
      <c r="AM68" s="60"/>
      <c r="AN68" s="60"/>
      <c r="AO68" s="60"/>
      <c r="AP68" s="60"/>
      <c r="AQ68" s="60"/>
      <c r="AR68" s="60"/>
      <c r="AS68" s="60"/>
      <c r="AT68" s="74" t="str">
        <f t="shared" si="5"/>
        <v>-</v>
      </c>
      <c r="AU68" s="74" t="str">
        <f t="shared" si="6"/>
        <v>-</v>
      </c>
      <c r="AV68" s="74" t="str">
        <f t="shared" si="7"/>
        <v>-</v>
      </c>
      <c r="AX68" s="59" t="str">
        <f>IF(AND(D68&gt;0,AA68&gt;0),MIN(D68,AA68),"-")</f>
        <v>-</v>
      </c>
      <c r="AY68" s="59" t="str">
        <f>IF(AND(E68&gt;0,AB68&gt;0),MIN(E68,AB68),"-")</f>
        <v>-</v>
      </c>
      <c r="AZ68" s="59" t="str">
        <f>IF(AND(F68&gt;0,AC68&gt;0),MIN(F68,AC68),"-")</f>
        <v>-</v>
      </c>
      <c r="BA68" s="59" t="str">
        <f>IF(AND(G68&gt;0,AD68&gt;0),MIN(G68,AD68),"-")</f>
        <v>-</v>
      </c>
      <c r="BB68" s="59" t="str">
        <f>IF(AND(H68&gt;0,AE68&gt;0),MIN(H68,AE68),"-")</f>
        <v>-</v>
      </c>
      <c r="BC68" s="59" t="str">
        <f>IF(AND(I68&gt;0,AF68&gt;0),MIN(I68,AF68),"-")</f>
        <v>-</v>
      </c>
      <c r="BD68" s="59" t="str">
        <f>IF(AND(J68&gt;0,AG68&gt;0),MIN(J68,AG68),"-")</f>
        <v>-</v>
      </c>
      <c r="BE68" s="59" t="str">
        <f>IF(AND(K68&gt;0,AH68&gt;0),MIN(K68,AH68),"-")</f>
        <v>-</v>
      </c>
      <c r="BF68" s="59" t="str">
        <f>IF(AND(L68&gt;0,AI68&gt;0),MIN(L68,AI68),"-")</f>
        <v>-</v>
      </c>
      <c r="BG68" s="59" t="str">
        <f t="shared" si="8"/>
        <v>-</v>
      </c>
      <c r="BH68" s="59" t="str">
        <f>IF(AND(N68&gt;0,AK68&gt;0),MIN(N68,AK68),"-")</f>
        <v>-</v>
      </c>
      <c r="BI68" s="59" t="str">
        <f>IF(AND(O68&gt;0,AL68&gt;0),MIN(O68,AL68),"-")</f>
        <v>-</v>
      </c>
      <c r="BJ68" s="59" t="str">
        <f>IF(AND(P68&gt;0,AM68&gt;0),MIN(P68,AM68),"-")</f>
        <v>-</v>
      </c>
      <c r="BK68" s="59" t="str">
        <f>IF(AND(Q68&gt;0,AN68&gt;0),MIN(Q68,AN68),"-")</f>
        <v>-</v>
      </c>
      <c r="BL68" s="59" t="str">
        <f>IF(AND(R68&gt;0,AO68&gt;0),MIN(R68,AO68),"-")</f>
        <v>-</v>
      </c>
      <c r="BM68" s="59" t="str">
        <f>IF(AND(S68&gt;0,AP68&gt;0),MIN(S68,AP68),"-")</f>
        <v>-</v>
      </c>
      <c r="BN68" s="59" t="str">
        <f>IF(AND(T68&gt;0,AQ68&gt;0),MIN(T68,AQ68),"-")</f>
        <v>-</v>
      </c>
      <c r="BO68" s="59" t="str">
        <f>IF(AND(U68&gt;0,AR68&gt;0),MIN(U68,AR68),"-")</f>
        <v>-</v>
      </c>
      <c r="BP68" s="59" t="str">
        <f>IF(AND(V68&gt;0,AS68&gt;0),MIN(V68,AS68),"-")</f>
        <v>-</v>
      </c>
      <c r="BQ68" s="59" t="str">
        <f t="shared" si="9"/>
        <v>-</v>
      </c>
      <c r="BR68" s="59" t="str">
        <f t="shared" si="10"/>
        <v>-</v>
      </c>
      <c r="BS68" s="59" t="str">
        <f t="shared" si="11"/>
        <v>-</v>
      </c>
      <c r="BT68" s="98" t="str">
        <f>IF(ISNUMBER(BS68),BS68-(C68*Rules!$P$9/100),"-")</f>
        <v>-</v>
      </c>
      <c r="BU68" s="59" t="e">
        <f>RANK($BT68,$BT$5:$BT$106,1)+COUNTIF(BT$5:BT68,BT68)-1</f>
        <v>#VALUE!</v>
      </c>
      <c r="BV68" s="59" t="e">
        <f t="shared" si="12"/>
        <v>#VALUE!</v>
      </c>
      <c r="BW68" s="59" t="str">
        <f t="shared" si="13"/>
        <v xml:space="preserve"> </v>
      </c>
      <c r="BX68" s="59" t="str">
        <f t="shared" si="13"/>
        <v>-</v>
      </c>
      <c r="BY68" s="59" t="str">
        <f t="shared" si="14"/>
        <v>-</v>
      </c>
      <c r="CC68" s="4">
        <v>64</v>
      </c>
      <c r="CD68" s="2" t="e">
        <f>VLOOKUP(CC68,$BV$5:BY$215,1,FALSE)</f>
        <v>#N/A</v>
      </c>
      <c r="CE68" s="6" t="e">
        <f>VLOOKUP(CC68,$BV$5:BY$215,2,FALSE)</f>
        <v>#N/A</v>
      </c>
      <c r="CF68" s="103" t="e">
        <f>VLOOKUP(CC68,$BV$5:BY$215,4,FALSE)</f>
        <v>#N/A</v>
      </c>
      <c r="CL68" s="77">
        <v>1</v>
      </c>
    </row>
    <row r="69" spans="1:90" ht="17.45" customHeight="1">
      <c r="A69" s="58">
        <v>65</v>
      </c>
      <c r="B69" s="59" t="str">
        <f>'B Div'!A69 &amp; " " &amp; 'B Div'!B69</f>
        <v xml:space="preserve"> </v>
      </c>
      <c r="C69" s="59" t="str">
        <f>'B Div'!E69</f>
        <v>-</v>
      </c>
      <c r="D69" s="60"/>
      <c r="E69" s="60"/>
      <c r="F69" s="60"/>
      <c r="G69" s="60"/>
      <c r="H69" s="60"/>
      <c r="I69" s="60"/>
      <c r="J69" s="60"/>
      <c r="K69" s="60"/>
      <c r="L69" s="60"/>
      <c r="M69" s="74" t="str">
        <f t="shared" si="0"/>
        <v>-</v>
      </c>
      <c r="N69" s="60"/>
      <c r="O69" s="60"/>
      <c r="P69" s="60"/>
      <c r="Q69" s="60"/>
      <c r="R69" s="60"/>
      <c r="S69" s="60"/>
      <c r="T69" s="60"/>
      <c r="U69" s="60"/>
      <c r="V69" s="60"/>
      <c r="W69" s="74" t="str">
        <f t="shared" si="1"/>
        <v>-</v>
      </c>
      <c r="X69" s="74" t="str">
        <f t="shared" si="2"/>
        <v>-</v>
      </c>
      <c r="Y69" s="74" t="str">
        <f t="shared" si="3"/>
        <v>-</v>
      </c>
      <c r="AA69" s="60"/>
      <c r="AB69" s="60"/>
      <c r="AC69" s="60"/>
      <c r="AD69" s="60"/>
      <c r="AE69" s="60"/>
      <c r="AF69" s="60"/>
      <c r="AG69" s="60"/>
      <c r="AH69" s="60"/>
      <c r="AI69" s="60"/>
      <c r="AJ69" s="74" t="str">
        <f t="shared" si="4"/>
        <v>-</v>
      </c>
      <c r="AK69" s="60"/>
      <c r="AL69" s="60"/>
      <c r="AM69" s="60"/>
      <c r="AN69" s="60"/>
      <c r="AO69" s="60"/>
      <c r="AP69" s="60"/>
      <c r="AQ69" s="60"/>
      <c r="AR69" s="60"/>
      <c r="AS69" s="60"/>
      <c r="AT69" s="74" t="str">
        <f t="shared" si="5"/>
        <v>-</v>
      </c>
      <c r="AU69" s="74" t="str">
        <f t="shared" si="6"/>
        <v>-</v>
      </c>
      <c r="AV69" s="74" t="str">
        <f t="shared" si="7"/>
        <v>-</v>
      </c>
      <c r="AX69" s="59" t="str">
        <f>IF(AND(D69&gt;0,AA69&gt;0),MIN(D69,AA69),"-")</f>
        <v>-</v>
      </c>
      <c r="AY69" s="59" t="str">
        <f>IF(AND(E69&gt;0,AB69&gt;0),MIN(E69,AB69),"-")</f>
        <v>-</v>
      </c>
      <c r="AZ69" s="59" t="str">
        <f>IF(AND(F69&gt;0,AC69&gt;0),MIN(F69,AC69),"-")</f>
        <v>-</v>
      </c>
      <c r="BA69" s="59" t="str">
        <f>IF(AND(G69&gt;0,AD69&gt;0),MIN(G69,AD69),"-")</f>
        <v>-</v>
      </c>
      <c r="BB69" s="59" t="str">
        <f>IF(AND(H69&gt;0,AE69&gt;0),MIN(H69,AE69),"-")</f>
        <v>-</v>
      </c>
      <c r="BC69" s="59" t="str">
        <f>IF(AND(I69&gt;0,AF69&gt;0),MIN(I69,AF69),"-")</f>
        <v>-</v>
      </c>
      <c r="BD69" s="59" t="str">
        <f>IF(AND(J69&gt;0,AG69&gt;0),MIN(J69,AG69),"-")</f>
        <v>-</v>
      </c>
      <c r="BE69" s="59" t="str">
        <f>IF(AND(K69&gt;0,AH69&gt;0),MIN(K69,AH69),"-")</f>
        <v>-</v>
      </c>
      <c r="BF69" s="59" t="str">
        <f>IF(AND(L69&gt;0,AI69&gt;0),MIN(L69,AI69),"-")</f>
        <v>-</v>
      </c>
      <c r="BG69" s="59" t="str">
        <f t="shared" si="8"/>
        <v>-</v>
      </c>
      <c r="BH69" s="59" t="str">
        <f>IF(AND(N69&gt;0,AK69&gt;0),MIN(N69,AK69),"-")</f>
        <v>-</v>
      </c>
      <c r="BI69" s="59" t="str">
        <f>IF(AND(O69&gt;0,AL69&gt;0),MIN(O69,AL69),"-")</f>
        <v>-</v>
      </c>
      <c r="BJ69" s="59" t="str">
        <f>IF(AND(P69&gt;0,AM69&gt;0),MIN(P69,AM69),"-")</f>
        <v>-</v>
      </c>
      <c r="BK69" s="59" t="str">
        <f>IF(AND(Q69&gt;0,AN69&gt;0),MIN(Q69,AN69),"-")</f>
        <v>-</v>
      </c>
      <c r="BL69" s="59" t="str">
        <f>IF(AND(R69&gt;0,AO69&gt;0),MIN(R69,AO69),"-")</f>
        <v>-</v>
      </c>
      <c r="BM69" s="59" t="str">
        <f>IF(AND(S69&gt;0,AP69&gt;0),MIN(S69,AP69),"-")</f>
        <v>-</v>
      </c>
      <c r="BN69" s="59" t="str">
        <f>IF(AND(T69&gt;0,AQ69&gt;0),MIN(T69,AQ69),"-")</f>
        <v>-</v>
      </c>
      <c r="BO69" s="59" t="str">
        <f>IF(AND(U69&gt;0,AR69&gt;0),MIN(U69,AR69),"-")</f>
        <v>-</v>
      </c>
      <c r="BP69" s="59" t="str">
        <f>IF(AND(V69&gt;0,AS69&gt;0),MIN(V69,AS69),"-")</f>
        <v>-</v>
      </c>
      <c r="BQ69" s="59" t="str">
        <f t="shared" si="9"/>
        <v>-</v>
      </c>
      <c r="BR69" s="59" t="str">
        <f t="shared" si="10"/>
        <v>-</v>
      </c>
      <c r="BS69" s="59" t="str">
        <f t="shared" si="11"/>
        <v>-</v>
      </c>
      <c r="BT69" s="98" t="str">
        <f>IF(ISNUMBER(BS69),BS69-(C69*Rules!$P$9/100),"-")</f>
        <v>-</v>
      </c>
      <c r="BU69" s="59" t="e">
        <f>RANK($BT69,$BT$5:$BT$106,1)+COUNTIF(BT$5:BT69,BT69)-1</f>
        <v>#VALUE!</v>
      </c>
      <c r="BV69" s="59" t="e">
        <f t="shared" si="12"/>
        <v>#VALUE!</v>
      </c>
      <c r="BW69" s="59" t="str">
        <f t="shared" si="13"/>
        <v xml:space="preserve"> </v>
      </c>
      <c r="BX69" s="59" t="str">
        <f t="shared" si="13"/>
        <v>-</v>
      </c>
      <c r="BY69" s="59" t="str">
        <f t="shared" si="14"/>
        <v>-</v>
      </c>
      <c r="CC69" s="4">
        <v>65</v>
      </c>
      <c r="CD69" s="2" t="e">
        <f>VLOOKUP(CC69,$BV$5:BY$215,1,FALSE)</f>
        <v>#N/A</v>
      </c>
      <c r="CE69" s="6" t="e">
        <f>VLOOKUP(CC69,$BV$5:BY$215,2,FALSE)</f>
        <v>#N/A</v>
      </c>
      <c r="CF69" s="103" t="e">
        <f>VLOOKUP(CC69,$BV$5:BY$215,4,FALSE)</f>
        <v>#N/A</v>
      </c>
      <c r="CL69" s="77">
        <v>1</v>
      </c>
    </row>
    <row r="70" spans="1:90" ht="17.45" customHeight="1">
      <c r="A70" s="58">
        <v>66</v>
      </c>
      <c r="B70" s="59" t="str">
        <f>'B Div'!A70 &amp; " " &amp; 'B Div'!B70</f>
        <v xml:space="preserve"> </v>
      </c>
      <c r="C70" s="59" t="str">
        <f>'B Div'!E70</f>
        <v>-</v>
      </c>
      <c r="D70" s="60"/>
      <c r="E70" s="60"/>
      <c r="F70" s="60"/>
      <c r="G70" s="60"/>
      <c r="H70" s="60"/>
      <c r="I70" s="60"/>
      <c r="J70" s="60"/>
      <c r="K70" s="60"/>
      <c r="L70" s="60"/>
      <c r="M70" s="74" t="str">
        <f t="shared" ref="M70:M133" si="15">IF(COUNTIF(D70:L70,"&lt;&gt;"&amp;"")=9,SUM(D70:L70),"-")</f>
        <v>-</v>
      </c>
      <c r="N70" s="60"/>
      <c r="O70" s="60"/>
      <c r="P70" s="60"/>
      <c r="Q70" s="60"/>
      <c r="R70" s="60"/>
      <c r="S70" s="60"/>
      <c r="T70" s="60"/>
      <c r="U70" s="60"/>
      <c r="V70" s="60"/>
      <c r="W70" s="74" t="str">
        <f t="shared" ref="W70:W133" si="16">IF(COUNTIF(N70:V70,"&lt;&gt;"&amp;"")=9,SUM(N70:V70),"-")</f>
        <v>-</v>
      </c>
      <c r="X70" s="74" t="str">
        <f t="shared" ref="X70:X133" si="17">IF(AND(ISNUMBER(M70),ISNUMBER(W70)),M70+W70,"-")</f>
        <v>-</v>
      </c>
      <c r="Y70" s="74" t="str">
        <f t="shared" ref="Y70:Y133" si="18">IF(ISNUMBER(X70),X70-C70,"-")</f>
        <v>-</v>
      </c>
      <c r="AA70" s="60"/>
      <c r="AB70" s="60"/>
      <c r="AC70" s="60"/>
      <c r="AD70" s="60"/>
      <c r="AE70" s="60"/>
      <c r="AF70" s="60"/>
      <c r="AG70" s="60"/>
      <c r="AH70" s="60"/>
      <c r="AI70" s="60"/>
      <c r="AJ70" s="74" t="str">
        <f t="shared" ref="AJ70:AJ133" si="19">IF(COUNTIF(AA70:AI70,"&lt;&gt;"&amp;"")=9,SUM(AA70:AI70),"-")</f>
        <v>-</v>
      </c>
      <c r="AK70" s="60"/>
      <c r="AL70" s="60"/>
      <c r="AM70" s="60"/>
      <c r="AN70" s="60"/>
      <c r="AO70" s="60"/>
      <c r="AP70" s="60"/>
      <c r="AQ70" s="60"/>
      <c r="AR70" s="60"/>
      <c r="AS70" s="60"/>
      <c r="AT70" s="74" t="str">
        <f t="shared" ref="AT70:AT133" si="20">IF(COUNTIF(AK70:AS70,"&lt;&gt;"&amp;"")=9,SUM(AK70:AS70),"-")</f>
        <v>-</v>
      </c>
      <c r="AU70" s="74" t="str">
        <f t="shared" ref="AU70:AU133" si="21">IF(AND(ISNUMBER(AJ70),ISNUMBER(AT70)),AJ70+AT70,"-")</f>
        <v>-</v>
      </c>
      <c r="AV70" s="74" t="str">
        <f t="shared" ref="AV70:AV133" si="22">IF(ISNUMBER(AU70),AU70-C70,"-")</f>
        <v>-</v>
      </c>
      <c r="AX70" s="59" t="str">
        <f>IF(AND(D70&gt;0,AA70&gt;0),MIN(D70,AA70),"-")</f>
        <v>-</v>
      </c>
      <c r="AY70" s="59" t="str">
        <f>IF(AND(E70&gt;0,AB70&gt;0),MIN(E70,AB70),"-")</f>
        <v>-</v>
      </c>
      <c r="AZ70" s="59" t="str">
        <f>IF(AND(F70&gt;0,AC70&gt;0),MIN(F70,AC70),"-")</f>
        <v>-</v>
      </c>
      <c r="BA70" s="59" t="str">
        <f>IF(AND(G70&gt;0,AD70&gt;0),MIN(G70,AD70),"-")</f>
        <v>-</v>
      </c>
      <c r="BB70" s="59" t="str">
        <f>IF(AND(H70&gt;0,AE70&gt;0),MIN(H70,AE70),"-")</f>
        <v>-</v>
      </c>
      <c r="BC70" s="59" t="str">
        <f>IF(AND(I70&gt;0,AF70&gt;0),MIN(I70,AF70),"-")</f>
        <v>-</v>
      </c>
      <c r="BD70" s="59" t="str">
        <f>IF(AND(J70&gt;0,AG70&gt;0),MIN(J70,AG70),"-")</f>
        <v>-</v>
      </c>
      <c r="BE70" s="59" t="str">
        <f>IF(AND(K70&gt;0,AH70&gt;0),MIN(K70,AH70),"-")</f>
        <v>-</v>
      </c>
      <c r="BF70" s="59" t="str">
        <f>IF(AND(L70&gt;0,AI70&gt;0),MIN(L70,AI70),"-")</f>
        <v>-</v>
      </c>
      <c r="BG70" s="59" t="str">
        <f t="shared" ref="BG70:BG133" si="23">IF(COUNTIF(AX70:BF70,"&lt;&gt;-")=9,SUM(AX70:BF70),"-")</f>
        <v>-</v>
      </c>
      <c r="BH70" s="59" t="str">
        <f>IF(AND(N70&gt;0,AK70&gt;0),MIN(N70,AK70),"-")</f>
        <v>-</v>
      </c>
      <c r="BI70" s="59" t="str">
        <f>IF(AND(O70&gt;0,AL70&gt;0),MIN(O70,AL70),"-")</f>
        <v>-</v>
      </c>
      <c r="BJ70" s="59" t="str">
        <f>IF(AND(P70&gt;0,AM70&gt;0),MIN(P70,AM70),"-")</f>
        <v>-</v>
      </c>
      <c r="BK70" s="59" t="str">
        <f>IF(AND(Q70&gt;0,AN70&gt;0),MIN(Q70,AN70),"-")</f>
        <v>-</v>
      </c>
      <c r="BL70" s="59" t="str">
        <f>IF(AND(R70&gt;0,AO70&gt;0),MIN(R70,AO70),"-")</f>
        <v>-</v>
      </c>
      <c r="BM70" s="59" t="str">
        <f>IF(AND(S70&gt;0,AP70&gt;0),MIN(S70,AP70),"-")</f>
        <v>-</v>
      </c>
      <c r="BN70" s="59" t="str">
        <f>IF(AND(T70&gt;0,AQ70&gt;0),MIN(T70,AQ70),"-")</f>
        <v>-</v>
      </c>
      <c r="BO70" s="59" t="str">
        <f>IF(AND(U70&gt;0,AR70&gt;0),MIN(U70,AR70),"-")</f>
        <v>-</v>
      </c>
      <c r="BP70" s="59" t="str">
        <f>IF(AND(V70&gt;0,AS70&gt;0),MIN(V70,AS70),"-")</f>
        <v>-</v>
      </c>
      <c r="BQ70" s="59" t="str">
        <f t="shared" ref="BQ70:BQ133" si="24">IF(COUNTIF(BH70:BP70,"&lt;&gt;-")=9,SUM(BH70:BP70),"-")</f>
        <v>-</v>
      </c>
      <c r="BR70" s="59" t="str">
        <f t="shared" ref="BR70:BR133" si="25">BG70</f>
        <v>-</v>
      </c>
      <c r="BS70" s="59" t="str">
        <f t="shared" ref="BS70:BS133" si="26">IF(COUNTIF(BQ70:BR70,"&lt;&gt;-")=2,SUM(BQ70:BR70),"-")</f>
        <v>-</v>
      </c>
      <c r="BT70" s="98" t="str">
        <f>IF(ISNUMBER(BS70),BS70-(C70*Rules!$P$9/100),"-")</f>
        <v>-</v>
      </c>
      <c r="BU70" s="59" t="e">
        <f>RANK($BT70,$BT$5:$BT$106,1)+COUNTIF(BT$5:BT70,BT70)-1</f>
        <v>#VALUE!</v>
      </c>
      <c r="BV70" s="59" t="e">
        <f t="shared" ref="BV70:BV133" si="27">RANK(BT70,$BT$5:$BT$215,1)</f>
        <v>#VALUE!</v>
      </c>
      <c r="BW70" s="59" t="str">
        <f t="shared" ref="BW70:BX133" si="28">B70</f>
        <v xml:space="preserve"> </v>
      </c>
      <c r="BX70" s="59" t="str">
        <f t="shared" si="28"/>
        <v>-</v>
      </c>
      <c r="BY70" s="59" t="str">
        <f t="shared" ref="BY70:BY133" si="29">BT70</f>
        <v>-</v>
      </c>
      <c r="CC70" s="4">
        <v>66</v>
      </c>
      <c r="CD70" s="2" t="e">
        <f>VLOOKUP(CC70,$BV$5:BY$215,1,FALSE)</f>
        <v>#N/A</v>
      </c>
      <c r="CE70" s="6" t="e">
        <f>VLOOKUP(CC70,$BV$5:BY$215,2,FALSE)</f>
        <v>#N/A</v>
      </c>
      <c r="CF70" s="103" t="e">
        <f>VLOOKUP(CC70,$BV$5:BY$215,4,FALSE)</f>
        <v>#N/A</v>
      </c>
      <c r="CL70" s="77">
        <v>1</v>
      </c>
    </row>
    <row r="71" spans="1:90" ht="17.45" customHeight="1">
      <c r="A71" s="58">
        <v>67</v>
      </c>
      <c r="B71" s="59" t="str">
        <f>'B Div'!A71 &amp; " " &amp; 'B Div'!B71</f>
        <v xml:space="preserve"> </v>
      </c>
      <c r="C71" s="59" t="str">
        <f>'B Div'!E71</f>
        <v>-</v>
      </c>
      <c r="D71" s="60"/>
      <c r="E71" s="60"/>
      <c r="F71" s="60"/>
      <c r="G71" s="60"/>
      <c r="H71" s="60"/>
      <c r="I71" s="60"/>
      <c r="J71" s="60"/>
      <c r="K71" s="60"/>
      <c r="L71" s="60"/>
      <c r="M71" s="74" t="str">
        <f t="shared" si="15"/>
        <v>-</v>
      </c>
      <c r="N71" s="60"/>
      <c r="O71" s="60"/>
      <c r="P71" s="60"/>
      <c r="Q71" s="60"/>
      <c r="R71" s="60"/>
      <c r="S71" s="60"/>
      <c r="T71" s="60"/>
      <c r="U71" s="60"/>
      <c r="V71" s="60"/>
      <c r="W71" s="74" t="str">
        <f t="shared" si="16"/>
        <v>-</v>
      </c>
      <c r="X71" s="74" t="str">
        <f t="shared" si="17"/>
        <v>-</v>
      </c>
      <c r="Y71" s="74" t="str">
        <f t="shared" si="18"/>
        <v>-</v>
      </c>
      <c r="AA71" s="60"/>
      <c r="AB71" s="60"/>
      <c r="AC71" s="60"/>
      <c r="AD71" s="60"/>
      <c r="AE71" s="60"/>
      <c r="AF71" s="60"/>
      <c r="AG71" s="60"/>
      <c r="AH71" s="60"/>
      <c r="AI71" s="60"/>
      <c r="AJ71" s="74" t="str">
        <f t="shared" si="19"/>
        <v>-</v>
      </c>
      <c r="AK71" s="60"/>
      <c r="AL71" s="60"/>
      <c r="AM71" s="60"/>
      <c r="AN71" s="60"/>
      <c r="AO71" s="60"/>
      <c r="AP71" s="60"/>
      <c r="AQ71" s="60"/>
      <c r="AR71" s="60"/>
      <c r="AS71" s="60"/>
      <c r="AT71" s="74" t="str">
        <f t="shared" si="20"/>
        <v>-</v>
      </c>
      <c r="AU71" s="74" t="str">
        <f t="shared" si="21"/>
        <v>-</v>
      </c>
      <c r="AV71" s="74" t="str">
        <f t="shared" si="22"/>
        <v>-</v>
      </c>
      <c r="AX71" s="59" t="str">
        <f>IF(AND(D71&gt;0,AA71&gt;0),MIN(D71,AA71),"-")</f>
        <v>-</v>
      </c>
      <c r="AY71" s="59" t="str">
        <f>IF(AND(E71&gt;0,AB71&gt;0),MIN(E71,AB71),"-")</f>
        <v>-</v>
      </c>
      <c r="AZ71" s="59" t="str">
        <f>IF(AND(F71&gt;0,AC71&gt;0),MIN(F71,AC71),"-")</f>
        <v>-</v>
      </c>
      <c r="BA71" s="59" t="str">
        <f>IF(AND(G71&gt;0,AD71&gt;0),MIN(G71,AD71),"-")</f>
        <v>-</v>
      </c>
      <c r="BB71" s="59" t="str">
        <f>IF(AND(H71&gt;0,AE71&gt;0),MIN(H71,AE71),"-")</f>
        <v>-</v>
      </c>
      <c r="BC71" s="59" t="str">
        <f>IF(AND(I71&gt;0,AF71&gt;0),MIN(I71,AF71),"-")</f>
        <v>-</v>
      </c>
      <c r="BD71" s="59" t="str">
        <f>IF(AND(J71&gt;0,AG71&gt;0),MIN(J71,AG71),"-")</f>
        <v>-</v>
      </c>
      <c r="BE71" s="59" t="str">
        <f>IF(AND(K71&gt;0,AH71&gt;0),MIN(K71,AH71),"-")</f>
        <v>-</v>
      </c>
      <c r="BF71" s="59" t="str">
        <f>IF(AND(L71&gt;0,AI71&gt;0),MIN(L71,AI71),"-")</f>
        <v>-</v>
      </c>
      <c r="BG71" s="59" t="str">
        <f t="shared" si="23"/>
        <v>-</v>
      </c>
      <c r="BH71" s="59" t="str">
        <f>IF(AND(N71&gt;0,AK71&gt;0),MIN(N71,AK71),"-")</f>
        <v>-</v>
      </c>
      <c r="BI71" s="59" t="str">
        <f>IF(AND(O71&gt;0,AL71&gt;0),MIN(O71,AL71),"-")</f>
        <v>-</v>
      </c>
      <c r="BJ71" s="59" t="str">
        <f>IF(AND(P71&gt;0,AM71&gt;0),MIN(P71,AM71),"-")</f>
        <v>-</v>
      </c>
      <c r="BK71" s="59" t="str">
        <f>IF(AND(Q71&gt;0,AN71&gt;0),MIN(Q71,AN71),"-")</f>
        <v>-</v>
      </c>
      <c r="BL71" s="59" t="str">
        <f>IF(AND(R71&gt;0,AO71&gt;0),MIN(R71,AO71),"-")</f>
        <v>-</v>
      </c>
      <c r="BM71" s="59" t="str">
        <f>IF(AND(S71&gt;0,AP71&gt;0),MIN(S71,AP71),"-")</f>
        <v>-</v>
      </c>
      <c r="BN71" s="59" t="str">
        <f>IF(AND(T71&gt;0,AQ71&gt;0),MIN(T71,AQ71),"-")</f>
        <v>-</v>
      </c>
      <c r="BO71" s="59" t="str">
        <f>IF(AND(U71&gt;0,AR71&gt;0),MIN(U71,AR71),"-")</f>
        <v>-</v>
      </c>
      <c r="BP71" s="59" t="str">
        <f>IF(AND(V71&gt;0,AS71&gt;0),MIN(V71,AS71),"-")</f>
        <v>-</v>
      </c>
      <c r="BQ71" s="59" t="str">
        <f t="shared" si="24"/>
        <v>-</v>
      </c>
      <c r="BR71" s="59" t="str">
        <f t="shared" si="25"/>
        <v>-</v>
      </c>
      <c r="BS71" s="59" t="str">
        <f t="shared" si="26"/>
        <v>-</v>
      </c>
      <c r="BT71" s="98" t="str">
        <f>IF(ISNUMBER(BS71),BS71-(C71*Rules!$P$9/100),"-")</f>
        <v>-</v>
      </c>
      <c r="BU71" s="59" t="e">
        <f>RANK($BT71,$BT$5:$BT$106,1)+COUNTIF(BT$5:BT71,BT71)-1</f>
        <v>#VALUE!</v>
      </c>
      <c r="BV71" s="59" t="e">
        <f t="shared" si="27"/>
        <v>#VALUE!</v>
      </c>
      <c r="BW71" s="59" t="str">
        <f t="shared" si="28"/>
        <v xml:space="preserve"> </v>
      </c>
      <c r="BX71" s="59" t="str">
        <f t="shared" si="28"/>
        <v>-</v>
      </c>
      <c r="BY71" s="59" t="str">
        <f t="shared" si="29"/>
        <v>-</v>
      </c>
      <c r="CC71" s="4">
        <v>67</v>
      </c>
      <c r="CD71" s="2" t="e">
        <f>VLOOKUP(CC71,$BV$5:BY$215,1,FALSE)</f>
        <v>#N/A</v>
      </c>
      <c r="CE71" s="6" t="e">
        <f>VLOOKUP(CC71,$BV$5:BY$215,2,FALSE)</f>
        <v>#N/A</v>
      </c>
      <c r="CF71" s="103" t="e">
        <f>VLOOKUP(CC71,$BV$5:BY$215,4,FALSE)</f>
        <v>#N/A</v>
      </c>
      <c r="CL71" s="77">
        <v>1</v>
      </c>
    </row>
    <row r="72" spans="1:90" ht="17.45" customHeight="1">
      <c r="A72" s="58">
        <v>68</v>
      </c>
      <c r="B72" s="59" t="str">
        <f>'B Div'!A72 &amp; " " &amp; 'B Div'!B72</f>
        <v xml:space="preserve"> </v>
      </c>
      <c r="C72" s="59" t="str">
        <f>'B Div'!E72</f>
        <v>-</v>
      </c>
      <c r="D72" s="60"/>
      <c r="E72" s="60"/>
      <c r="F72" s="60"/>
      <c r="G72" s="60"/>
      <c r="H72" s="60"/>
      <c r="I72" s="60"/>
      <c r="J72" s="60"/>
      <c r="K72" s="60"/>
      <c r="L72" s="60"/>
      <c r="M72" s="74" t="str">
        <f t="shared" si="15"/>
        <v>-</v>
      </c>
      <c r="N72" s="60"/>
      <c r="O72" s="60"/>
      <c r="P72" s="60"/>
      <c r="Q72" s="60"/>
      <c r="R72" s="60"/>
      <c r="S72" s="60"/>
      <c r="T72" s="60"/>
      <c r="U72" s="60"/>
      <c r="V72" s="60"/>
      <c r="W72" s="74" t="str">
        <f t="shared" si="16"/>
        <v>-</v>
      </c>
      <c r="X72" s="74" t="str">
        <f t="shared" si="17"/>
        <v>-</v>
      </c>
      <c r="Y72" s="74" t="str">
        <f t="shared" si="18"/>
        <v>-</v>
      </c>
      <c r="AA72" s="60"/>
      <c r="AB72" s="60"/>
      <c r="AC72" s="60"/>
      <c r="AD72" s="60"/>
      <c r="AE72" s="60"/>
      <c r="AF72" s="60"/>
      <c r="AG72" s="60"/>
      <c r="AH72" s="60"/>
      <c r="AI72" s="60"/>
      <c r="AJ72" s="74" t="str">
        <f t="shared" si="19"/>
        <v>-</v>
      </c>
      <c r="AK72" s="60"/>
      <c r="AL72" s="60"/>
      <c r="AM72" s="60"/>
      <c r="AN72" s="60"/>
      <c r="AO72" s="60"/>
      <c r="AP72" s="60"/>
      <c r="AQ72" s="60"/>
      <c r="AR72" s="60"/>
      <c r="AS72" s="60"/>
      <c r="AT72" s="74" t="str">
        <f t="shared" si="20"/>
        <v>-</v>
      </c>
      <c r="AU72" s="74" t="str">
        <f t="shared" si="21"/>
        <v>-</v>
      </c>
      <c r="AV72" s="74" t="str">
        <f t="shared" si="22"/>
        <v>-</v>
      </c>
      <c r="AX72" s="59" t="str">
        <f>IF(AND(D72&gt;0,AA72&gt;0),MIN(D72,AA72),"-")</f>
        <v>-</v>
      </c>
      <c r="AY72" s="59" t="str">
        <f>IF(AND(E72&gt;0,AB72&gt;0),MIN(E72,AB72),"-")</f>
        <v>-</v>
      </c>
      <c r="AZ72" s="59" t="str">
        <f>IF(AND(F72&gt;0,AC72&gt;0),MIN(F72,AC72),"-")</f>
        <v>-</v>
      </c>
      <c r="BA72" s="59" t="str">
        <f>IF(AND(G72&gt;0,AD72&gt;0),MIN(G72,AD72),"-")</f>
        <v>-</v>
      </c>
      <c r="BB72" s="59" t="str">
        <f>IF(AND(H72&gt;0,AE72&gt;0),MIN(H72,AE72),"-")</f>
        <v>-</v>
      </c>
      <c r="BC72" s="59" t="str">
        <f>IF(AND(I72&gt;0,AF72&gt;0),MIN(I72,AF72),"-")</f>
        <v>-</v>
      </c>
      <c r="BD72" s="59" t="str">
        <f>IF(AND(J72&gt;0,AG72&gt;0),MIN(J72,AG72),"-")</f>
        <v>-</v>
      </c>
      <c r="BE72" s="59" t="str">
        <f>IF(AND(K72&gt;0,AH72&gt;0),MIN(K72,AH72),"-")</f>
        <v>-</v>
      </c>
      <c r="BF72" s="59" t="str">
        <f>IF(AND(L72&gt;0,AI72&gt;0),MIN(L72,AI72),"-")</f>
        <v>-</v>
      </c>
      <c r="BG72" s="59" t="str">
        <f t="shared" si="23"/>
        <v>-</v>
      </c>
      <c r="BH72" s="59" t="str">
        <f>IF(AND(N72&gt;0,AK72&gt;0),MIN(N72,AK72),"-")</f>
        <v>-</v>
      </c>
      <c r="BI72" s="59" t="str">
        <f>IF(AND(O72&gt;0,AL72&gt;0),MIN(O72,AL72),"-")</f>
        <v>-</v>
      </c>
      <c r="BJ72" s="59" t="str">
        <f>IF(AND(P72&gt;0,AM72&gt;0),MIN(P72,AM72),"-")</f>
        <v>-</v>
      </c>
      <c r="BK72" s="59" t="str">
        <f>IF(AND(Q72&gt;0,AN72&gt;0),MIN(Q72,AN72),"-")</f>
        <v>-</v>
      </c>
      <c r="BL72" s="59" t="str">
        <f>IF(AND(R72&gt;0,AO72&gt;0),MIN(R72,AO72),"-")</f>
        <v>-</v>
      </c>
      <c r="BM72" s="59" t="str">
        <f>IF(AND(S72&gt;0,AP72&gt;0),MIN(S72,AP72),"-")</f>
        <v>-</v>
      </c>
      <c r="BN72" s="59" t="str">
        <f>IF(AND(T72&gt;0,AQ72&gt;0),MIN(T72,AQ72),"-")</f>
        <v>-</v>
      </c>
      <c r="BO72" s="59" t="str">
        <f>IF(AND(U72&gt;0,AR72&gt;0),MIN(U72,AR72),"-")</f>
        <v>-</v>
      </c>
      <c r="BP72" s="59" t="str">
        <f>IF(AND(V72&gt;0,AS72&gt;0),MIN(V72,AS72),"-")</f>
        <v>-</v>
      </c>
      <c r="BQ72" s="59" t="str">
        <f t="shared" si="24"/>
        <v>-</v>
      </c>
      <c r="BR72" s="59" t="str">
        <f t="shared" si="25"/>
        <v>-</v>
      </c>
      <c r="BS72" s="59" t="str">
        <f t="shared" si="26"/>
        <v>-</v>
      </c>
      <c r="BT72" s="98" t="str">
        <f>IF(ISNUMBER(BS72),BS72-(C72*Rules!$P$9/100),"-")</f>
        <v>-</v>
      </c>
      <c r="BU72" s="59" t="e">
        <f>RANK($BT72,$BT$5:$BT$106,1)+COUNTIF(BT$5:BT72,BT72)-1</f>
        <v>#VALUE!</v>
      </c>
      <c r="BV72" s="59" t="e">
        <f t="shared" si="27"/>
        <v>#VALUE!</v>
      </c>
      <c r="BW72" s="59" t="str">
        <f t="shared" si="28"/>
        <v xml:space="preserve"> </v>
      </c>
      <c r="BX72" s="59" t="str">
        <f t="shared" si="28"/>
        <v>-</v>
      </c>
      <c r="BY72" s="59" t="str">
        <f t="shared" si="29"/>
        <v>-</v>
      </c>
      <c r="CC72" s="4">
        <v>68</v>
      </c>
      <c r="CD72" s="2" t="e">
        <f>VLOOKUP(CC72,$BV$5:BY$215,1,FALSE)</f>
        <v>#N/A</v>
      </c>
      <c r="CE72" s="6" t="e">
        <f>VLOOKUP(CC72,$BV$5:BY$215,2,FALSE)</f>
        <v>#N/A</v>
      </c>
      <c r="CF72" s="103" t="e">
        <f>VLOOKUP(CC72,$BV$5:BY$215,4,FALSE)</f>
        <v>#N/A</v>
      </c>
      <c r="CL72" s="77">
        <v>1</v>
      </c>
    </row>
    <row r="73" spans="1:90" ht="17.45" customHeight="1">
      <c r="A73" s="58">
        <v>69</v>
      </c>
      <c r="B73" s="59" t="str">
        <f>'B Div'!A73 &amp; " " &amp; 'B Div'!B73</f>
        <v xml:space="preserve"> </v>
      </c>
      <c r="C73" s="59" t="str">
        <f>'B Div'!E73</f>
        <v>-</v>
      </c>
      <c r="D73" s="60"/>
      <c r="E73" s="60"/>
      <c r="F73" s="60"/>
      <c r="G73" s="60"/>
      <c r="H73" s="60"/>
      <c r="I73" s="60"/>
      <c r="J73" s="60"/>
      <c r="K73" s="60"/>
      <c r="L73" s="60"/>
      <c r="M73" s="74" t="str">
        <f t="shared" si="15"/>
        <v>-</v>
      </c>
      <c r="N73" s="60"/>
      <c r="O73" s="60"/>
      <c r="P73" s="60"/>
      <c r="Q73" s="60"/>
      <c r="R73" s="60"/>
      <c r="S73" s="60"/>
      <c r="T73" s="60"/>
      <c r="U73" s="60"/>
      <c r="V73" s="60"/>
      <c r="W73" s="74" t="str">
        <f t="shared" si="16"/>
        <v>-</v>
      </c>
      <c r="X73" s="74" t="str">
        <f t="shared" si="17"/>
        <v>-</v>
      </c>
      <c r="Y73" s="74" t="str">
        <f t="shared" si="18"/>
        <v>-</v>
      </c>
      <c r="AA73" s="60"/>
      <c r="AB73" s="60"/>
      <c r="AC73" s="60"/>
      <c r="AD73" s="60"/>
      <c r="AE73" s="60"/>
      <c r="AF73" s="60"/>
      <c r="AG73" s="60"/>
      <c r="AH73" s="60"/>
      <c r="AI73" s="60"/>
      <c r="AJ73" s="74" t="str">
        <f t="shared" si="19"/>
        <v>-</v>
      </c>
      <c r="AK73" s="60"/>
      <c r="AL73" s="60"/>
      <c r="AM73" s="60"/>
      <c r="AN73" s="60"/>
      <c r="AO73" s="60"/>
      <c r="AP73" s="60"/>
      <c r="AQ73" s="60"/>
      <c r="AR73" s="60"/>
      <c r="AS73" s="60"/>
      <c r="AT73" s="74" t="str">
        <f t="shared" si="20"/>
        <v>-</v>
      </c>
      <c r="AU73" s="74" t="str">
        <f t="shared" si="21"/>
        <v>-</v>
      </c>
      <c r="AV73" s="74" t="str">
        <f t="shared" si="22"/>
        <v>-</v>
      </c>
      <c r="AX73" s="59" t="str">
        <f>IF(AND(D73&gt;0,AA73&gt;0),MIN(D73,AA73),"-")</f>
        <v>-</v>
      </c>
      <c r="AY73" s="59" t="str">
        <f>IF(AND(E73&gt;0,AB73&gt;0),MIN(E73,AB73),"-")</f>
        <v>-</v>
      </c>
      <c r="AZ73" s="59" t="str">
        <f>IF(AND(F73&gt;0,AC73&gt;0),MIN(F73,AC73),"-")</f>
        <v>-</v>
      </c>
      <c r="BA73" s="59" t="str">
        <f>IF(AND(G73&gt;0,AD73&gt;0),MIN(G73,AD73),"-")</f>
        <v>-</v>
      </c>
      <c r="BB73" s="59" t="str">
        <f>IF(AND(H73&gt;0,AE73&gt;0),MIN(H73,AE73),"-")</f>
        <v>-</v>
      </c>
      <c r="BC73" s="59" t="str">
        <f>IF(AND(I73&gt;0,AF73&gt;0),MIN(I73,AF73),"-")</f>
        <v>-</v>
      </c>
      <c r="BD73" s="59" t="str">
        <f>IF(AND(J73&gt;0,AG73&gt;0),MIN(J73,AG73),"-")</f>
        <v>-</v>
      </c>
      <c r="BE73" s="59" t="str">
        <f>IF(AND(K73&gt;0,AH73&gt;0),MIN(K73,AH73),"-")</f>
        <v>-</v>
      </c>
      <c r="BF73" s="59" t="str">
        <f>IF(AND(L73&gt;0,AI73&gt;0),MIN(L73,AI73),"-")</f>
        <v>-</v>
      </c>
      <c r="BG73" s="59" t="str">
        <f t="shared" si="23"/>
        <v>-</v>
      </c>
      <c r="BH73" s="59" t="str">
        <f>IF(AND(N73&gt;0,AK73&gt;0),MIN(N73,AK73),"-")</f>
        <v>-</v>
      </c>
      <c r="BI73" s="59" t="str">
        <f>IF(AND(O73&gt;0,AL73&gt;0),MIN(O73,AL73),"-")</f>
        <v>-</v>
      </c>
      <c r="BJ73" s="59" t="str">
        <f>IF(AND(P73&gt;0,AM73&gt;0),MIN(P73,AM73),"-")</f>
        <v>-</v>
      </c>
      <c r="BK73" s="59" t="str">
        <f>IF(AND(Q73&gt;0,AN73&gt;0),MIN(Q73,AN73),"-")</f>
        <v>-</v>
      </c>
      <c r="BL73" s="59" t="str">
        <f>IF(AND(R73&gt;0,AO73&gt;0),MIN(R73,AO73),"-")</f>
        <v>-</v>
      </c>
      <c r="BM73" s="59" t="str">
        <f>IF(AND(S73&gt;0,AP73&gt;0),MIN(S73,AP73),"-")</f>
        <v>-</v>
      </c>
      <c r="BN73" s="59" t="str">
        <f>IF(AND(T73&gt;0,AQ73&gt;0),MIN(T73,AQ73),"-")</f>
        <v>-</v>
      </c>
      <c r="BO73" s="59" t="str">
        <f>IF(AND(U73&gt;0,AR73&gt;0),MIN(U73,AR73),"-")</f>
        <v>-</v>
      </c>
      <c r="BP73" s="59" t="str">
        <f>IF(AND(V73&gt;0,AS73&gt;0),MIN(V73,AS73),"-")</f>
        <v>-</v>
      </c>
      <c r="BQ73" s="59" t="str">
        <f t="shared" si="24"/>
        <v>-</v>
      </c>
      <c r="BR73" s="59" t="str">
        <f t="shared" si="25"/>
        <v>-</v>
      </c>
      <c r="BS73" s="59" t="str">
        <f t="shared" si="26"/>
        <v>-</v>
      </c>
      <c r="BT73" s="98" t="str">
        <f>IF(ISNUMBER(BS73),BS73-(C73*Rules!$P$9/100),"-")</f>
        <v>-</v>
      </c>
      <c r="BU73" s="59" t="e">
        <f>RANK($BT73,$BT$5:$BT$106,1)+COUNTIF(BT$5:BT73,BT73)-1</f>
        <v>#VALUE!</v>
      </c>
      <c r="BV73" s="59" t="e">
        <f t="shared" si="27"/>
        <v>#VALUE!</v>
      </c>
      <c r="BW73" s="59" t="str">
        <f t="shared" si="28"/>
        <v xml:space="preserve"> </v>
      </c>
      <c r="BX73" s="59" t="str">
        <f t="shared" si="28"/>
        <v>-</v>
      </c>
      <c r="BY73" s="59" t="str">
        <f t="shared" si="29"/>
        <v>-</v>
      </c>
      <c r="CC73" s="4">
        <v>69</v>
      </c>
      <c r="CD73" s="2" t="e">
        <f>VLOOKUP(CC73,$BV$5:BY$215,1,FALSE)</f>
        <v>#N/A</v>
      </c>
      <c r="CE73" s="6" t="e">
        <f>VLOOKUP(CC73,$BV$5:BY$215,2,FALSE)</f>
        <v>#N/A</v>
      </c>
      <c r="CF73" s="103" t="e">
        <f>VLOOKUP(CC73,$BV$5:BY$215,4,FALSE)</f>
        <v>#N/A</v>
      </c>
      <c r="CL73" s="77">
        <v>1</v>
      </c>
    </row>
    <row r="74" spans="1:90" ht="17.45" customHeight="1">
      <c r="A74" s="58">
        <v>70</v>
      </c>
      <c r="B74" s="59" t="str">
        <f>'B Div'!A74 &amp; " " &amp; 'B Div'!B74</f>
        <v xml:space="preserve"> </v>
      </c>
      <c r="C74" s="59" t="str">
        <f>'B Div'!E74</f>
        <v>-</v>
      </c>
      <c r="D74" s="60"/>
      <c r="E74" s="60"/>
      <c r="F74" s="60"/>
      <c r="G74" s="60"/>
      <c r="H74" s="60"/>
      <c r="I74" s="60"/>
      <c r="J74" s="60"/>
      <c r="K74" s="60"/>
      <c r="L74" s="60"/>
      <c r="M74" s="74" t="str">
        <f t="shared" si="15"/>
        <v>-</v>
      </c>
      <c r="N74" s="60"/>
      <c r="O74" s="60"/>
      <c r="P74" s="60"/>
      <c r="Q74" s="60"/>
      <c r="R74" s="60"/>
      <c r="S74" s="60"/>
      <c r="T74" s="60"/>
      <c r="U74" s="60"/>
      <c r="V74" s="60"/>
      <c r="W74" s="74" t="str">
        <f t="shared" si="16"/>
        <v>-</v>
      </c>
      <c r="X74" s="74" t="str">
        <f t="shared" si="17"/>
        <v>-</v>
      </c>
      <c r="Y74" s="74" t="str">
        <f t="shared" si="18"/>
        <v>-</v>
      </c>
      <c r="AA74" s="60"/>
      <c r="AB74" s="60"/>
      <c r="AC74" s="60"/>
      <c r="AD74" s="60"/>
      <c r="AE74" s="60"/>
      <c r="AF74" s="60"/>
      <c r="AG74" s="60"/>
      <c r="AH74" s="60"/>
      <c r="AI74" s="60"/>
      <c r="AJ74" s="74" t="str">
        <f t="shared" si="19"/>
        <v>-</v>
      </c>
      <c r="AK74" s="60"/>
      <c r="AL74" s="60"/>
      <c r="AM74" s="60"/>
      <c r="AN74" s="60"/>
      <c r="AO74" s="60"/>
      <c r="AP74" s="60"/>
      <c r="AQ74" s="60"/>
      <c r="AR74" s="60"/>
      <c r="AS74" s="60"/>
      <c r="AT74" s="74" t="str">
        <f t="shared" si="20"/>
        <v>-</v>
      </c>
      <c r="AU74" s="74" t="str">
        <f t="shared" si="21"/>
        <v>-</v>
      </c>
      <c r="AV74" s="74" t="str">
        <f t="shared" si="22"/>
        <v>-</v>
      </c>
      <c r="AX74" s="59" t="str">
        <f>IF(AND(D74&gt;0,AA74&gt;0),MIN(D74,AA74),"-")</f>
        <v>-</v>
      </c>
      <c r="AY74" s="59" t="str">
        <f>IF(AND(E74&gt;0,AB74&gt;0),MIN(E74,AB74),"-")</f>
        <v>-</v>
      </c>
      <c r="AZ74" s="59" t="str">
        <f>IF(AND(F74&gt;0,AC74&gt;0),MIN(F74,AC74),"-")</f>
        <v>-</v>
      </c>
      <c r="BA74" s="59" t="str">
        <f>IF(AND(G74&gt;0,AD74&gt;0),MIN(G74,AD74),"-")</f>
        <v>-</v>
      </c>
      <c r="BB74" s="59" t="str">
        <f>IF(AND(H74&gt;0,AE74&gt;0),MIN(H74,AE74),"-")</f>
        <v>-</v>
      </c>
      <c r="BC74" s="59" t="str">
        <f>IF(AND(I74&gt;0,AF74&gt;0),MIN(I74,AF74),"-")</f>
        <v>-</v>
      </c>
      <c r="BD74" s="59" t="str">
        <f>IF(AND(J74&gt;0,AG74&gt;0),MIN(J74,AG74),"-")</f>
        <v>-</v>
      </c>
      <c r="BE74" s="59" t="str">
        <f>IF(AND(K74&gt;0,AH74&gt;0),MIN(K74,AH74),"-")</f>
        <v>-</v>
      </c>
      <c r="BF74" s="59" t="str">
        <f>IF(AND(L74&gt;0,AI74&gt;0),MIN(L74,AI74),"-")</f>
        <v>-</v>
      </c>
      <c r="BG74" s="59" t="str">
        <f t="shared" si="23"/>
        <v>-</v>
      </c>
      <c r="BH74" s="59" t="str">
        <f>IF(AND(N74&gt;0,AK74&gt;0),MIN(N74,AK74),"-")</f>
        <v>-</v>
      </c>
      <c r="BI74" s="59" t="str">
        <f>IF(AND(O74&gt;0,AL74&gt;0),MIN(O74,AL74),"-")</f>
        <v>-</v>
      </c>
      <c r="BJ74" s="59" t="str">
        <f>IF(AND(P74&gt;0,AM74&gt;0),MIN(P74,AM74),"-")</f>
        <v>-</v>
      </c>
      <c r="BK74" s="59" t="str">
        <f>IF(AND(Q74&gt;0,AN74&gt;0),MIN(Q74,AN74),"-")</f>
        <v>-</v>
      </c>
      <c r="BL74" s="59" t="str">
        <f>IF(AND(R74&gt;0,AO74&gt;0),MIN(R74,AO74),"-")</f>
        <v>-</v>
      </c>
      <c r="BM74" s="59" t="str">
        <f>IF(AND(S74&gt;0,AP74&gt;0),MIN(S74,AP74),"-")</f>
        <v>-</v>
      </c>
      <c r="BN74" s="59" t="str">
        <f>IF(AND(T74&gt;0,AQ74&gt;0),MIN(T74,AQ74),"-")</f>
        <v>-</v>
      </c>
      <c r="BO74" s="59" t="str">
        <f>IF(AND(U74&gt;0,AR74&gt;0),MIN(U74,AR74),"-")</f>
        <v>-</v>
      </c>
      <c r="BP74" s="59" t="str">
        <f>IF(AND(V74&gt;0,AS74&gt;0),MIN(V74,AS74),"-")</f>
        <v>-</v>
      </c>
      <c r="BQ74" s="59" t="str">
        <f t="shared" si="24"/>
        <v>-</v>
      </c>
      <c r="BR74" s="59" t="str">
        <f t="shared" si="25"/>
        <v>-</v>
      </c>
      <c r="BS74" s="59" t="str">
        <f t="shared" si="26"/>
        <v>-</v>
      </c>
      <c r="BT74" s="98" t="str">
        <f>IF(ISNUMBER(BS74),BS74-(C74*Rules!$P$9/100),"-")</f>
        <v>-</v>
      </c>
      <c r="BU74" s="59" t="e">
        <f>RANK($BT74,$BT$5:$BT$106,1)+COUNTIF(BT$5:BT74,BT74)-1</f>
        <v>#VALUE!</v>
      </c>
      <c r="BV74" s="59" t="e">
        <f t="shared" si="27"/>
        <v>#VALUE!</v>
      </c>
      <c r="BW74" s="59" t="str">
        <f t="shared" si="28"/>
        <v xml:space="preserve"> </v>
      </c>
      <c r="BX74" s="59" t="str">
        <f t="shared" si="28"/>
        <v>-</v>
      </c>
      <c r="BY74" s="59" t="str">
        <f t="shared" si="29"/>
        <v>-</v>
      </c>
      <c r="CC74" s="4">
        <v>70</v>
      </c>
      <c r="CD74" s="2" t="e">
        <f>VLOOKUP(CC74,$BV$5:BY$215,1,FALSE)</f>
        <v>#N/A</v>
      </c>
      <c r="CE74" s="6" t="e">
        <f>VLOOKUP(CC74,$BV$5:BY$215,2,FALSE)</f>
        <v>#N/A</v>
      </c>
      <c r="CF74" s="103" t="e">
        <f>VLOOKUP(CC74,$BV$5:BY$215,4,FALSE)</f>
        <v>#N/A</v>
      </c>
      <c r="CL74" s="77">
        <v>1</v>
      </c>
    </row>
    <row r="75" spans="1:90" ht="17.45" customHeight="1">
      <c r="A75" s="58">
        <v>71</v>
      </c>
      <c r="B75" s="59" t="str">
        <f>'B Div'!A75 &amp; " " &amp; 'B Div'!B75</f>
        <v xml:space="preserve"> </v>
      </c>
      <c r="C75" s="59" t="str">
        <f>'B Div'!E75</f>
        <v>-</v>
      </c>
      <c r="D75" s="60"/>
      <c r="E75" s="60"/>
      <c r="F75" s="60"/>
      <c r="G75" s="60"/>
      <c r="H75" s="60"/>
      <c r="I75" s="60"/>
      <c r="J75" s="60"/>
      <c r="K75" s="60"/>
      <c r="L75" s="60"/>
      <c r="M75" s="74" t="str">
        <f t="shared" si="15"/>
        <v>-</v>
      </c>
      <c r="N75" s="60"/>
      <c r="O75" s="60"/>
      <c r="P75" s="60"/>
      <c r="Q75" s="60"/>
      <c r="R75" s="60"/>
      <c r="S75" s="60"/>
      <c r="T75" s="60"/>
      <c r="U75" s="60"/>
      <c r="V75" s="60"/>
      <c r="W75" s="74" t="str">
        <f t="shared" si="16"/>
        <v>-</v>
      </c>
      <c r="X75" s="74" t="str">
        <f t="shared" si="17"/>
        <v>-</v>
      </c>
      <c r="Y75" s="74" t="str">
        <f t="shared" si="18"/>
        <v>-</v>
      </c>
      <c r="AA75" s="60"/>
      <c r="AB75" s="60"/>
      <c r="AC75" s="60"/>
      <c r="AD75" s="60"/>
      <c r="AE75" s="60"/>
      <c r="AF75" s="60"/>
      <c r="AG75" s="60"/>
      <c r="AH75" s="60"/>
      <c r="AI75" s="60"/>
      <c r="AJ75" s="74" t="str">
        <f t="shared" si="19"/>
        <v>-</v>
      </c>
      <c r="AK75" s="60"/>
      <c r="AL75" s="60"/>
      <c r="AM75" s="60"/>
      <c r="AN75" s="60"/>
      <c r="AO75" s="60"/>
      <c r="AP75" s="60"/>
      <c r="AQ75" s="60"/>
      <c r="AR75" s="60"/>
      <c r="AS75" s="60"/>
      <c r="AT75" s="74" t="str">
        <f t="shared" si="20"/>
        <v>-</v>
      </c>
      <c r="AU75" s="74" t="str">
        <f t="shared" si="21"/>
        <v>-</v>
      </c>
      <c r="AV75" s="74" t="str">
        <f t="shared" si="22"/>
        <v>-</v>
      </c>
      <c r="AX75" s="59" t="str">
        <f>IF(AND(D75&gt;0,AA75&gt;0),MIN(D75,AA75),"-")</f>
        <v>-</v>
      </c>
      <c r="AY75" s="59" t="str">
        <f>IF(AND(E75&gt;0,AB75&gt;0),MIN(E75,AB75),"-")</f>
        <v>-</v>
      </c>
      <c r="AZ75" s="59" t="str">
        <f>IF(AND(F75&gt;0,AC75&gt;0),MIN(F75,AC75),"-")</f>
        <v>-</v>
      </c>
      <c r="BA75" s="59" t="str">
        <f>IF(AND(G75&gt;0,AD75&gt;0),MIN(G75,AD75),"-")</f>
        <v>-</v>
      </c>
      <c r="BB75" s="59" t="str">
        <f>IF(AND(H75&gt;0,AE75&gt;0),MIN(H75,AE75),"-")</f>
        <v>-</v>
      </c>
      <c r="BC75" s="59" t="str">
        <f>IF(AND(I75&gt;0,AF75&gt;0),MIN(I75,AF75),"-")</f>
        <v>-</v>
      </c>
      <c r="BD75" s="59" t="str">
        <f>IF(AND(J75&gt;0,AG75&gt;0),MIN(J75,AG75),"-")</f>
        <v>-</v>
      </c>
      <c r="BE75" s="59" t="str">
        <f>IF(AND(K75&gt;0,AH75&gt;0),MIN(K75,AH75),"-")</f>
        <v>-</v>
      </c>
      <c r="BF75" s="59" t="str">
        <f>IF(AND(L75&gt;0,AI75&gt;0),MIN(L75,AI75),"-")</f>
        <v>-</v>
      </c>
      <c r="BG75" s="59" t="str">
        <f t="shared" si="23"/>
        <v>-</v>
      </c>
      <c r="BH75" s="59" t="str">
        <f>IF(AND(N75&gt;0,AK75&gt;0),MIN(N75,AK75),"-")</f>
        <v>-</v>
      </c>
      <c r="BI75" s="59" t="str">
        <f>IF(AND(O75&gt;0,AL75&gt;0),MIN(O75,AL75),"-")</f>
        <v>-</v>
      </c>
      <c r="BJ75" s="59" t="str">
        <f>IF(AND(P75&gt;0,AM75&gt;0),MIN(P75,AM75),"-")</f>
        <v>-</v>
      </c>
      <c r="BK75" s="59" t="str">
        <f>IF(AND(Q75&gt;0,AN75&gt;0),MIN(Q75,AN75),"-")</f>
        <v>-</v>
      </c>
      <c r="BL75" s="59" t="str">
        <f>IF(AND(R75&gt;0,AO75&gt;0),MIN(R75,AO75),"-")</f>
        <v>-</v>
      </c>
      <c r="BM75" s="59" t="str">
        <f>IF(AND(S75&gt;0,AP75&gt;0),MIN(S75,AP75),"-")</f>
        <v>-</v>
      </c>
      <c r="BN75" s="59" t="str">
        <f>IF(AND(T75&gt;0,AQ75&gt;0),MIN(T75,AQ75),"-")</f>
        <v>-</v>
      </c>
      <c r="BO75" s="59" t="str">
        <f>IF(AND(U75&gt;0,AR75&gt;0),MIN(U75,AR75),"-")</f>
        <v>-</v>
      </c>
      <c r="BP75" s="59" t="str">
        <f>IF(AND(V75&gt;0,AS75&gt;0),MIN(V75,AS75),"-")</f>
        <v>-</v>
      </c>
      <c r="BQ75" s="59" t="str">
        <f t="shared" si="24"/>
        <v>-</v>
      </c>
      <c r="BR75" s="59" t="str">
        <f t="shared" si="25"/>
        <v>-</v>
      </c>
      <c r="BS75" s="59" t="str">
        <f t="shared" si="26"/>
        <v>-</v>
      </c>
      <c r="BT75" s="98" t="str">
        <f>IF(ISNUMBER(BS75),BS75-(C75*Rules!$P$9/100),"-")</f>
        <v>-</v>
      </c>
      <c r="BU75" s="59" t="e">
        <f>RANK($BT75,$BT$5:$BT$106,1)+COUNTIF(BT$5:BT75,BT75)-1</f>
        <v>#VALUE!</v>
      </c>
      <c r="BV75" s="59" t="e">
        <f t="shared" si="27"/>
        <v>#VALUE!</v>
      </c>
      <c r="BW75" s="59" t="str">
        <f t="shared" si="28"/>
        <v xml:space="preserve"> </v>
      </c>
      <c r="BX75" s="59" t="str">
        <f t="shared" si="28"/>
        <v>-</v>
      </c>
      <c r="BY75" s="59" t="str">
        <f t="shared" si="29"/>
        <v>-</v>
      </c>
      <c r="CC75" s="4">
        <v>71</v>
      </c>
      <c r="CD75" s="2" t="e">
        <f>VLOOKUP(CC75,$BV$5:BY$215,1,FALSE)</f>
        <v>#N/A</v>
      </c>
      <c r="CE75" s="6" t="e">
        <f>VLOOKUP(CC75,$BV$5:BY$215,2,FALSE)</f>
        <v>#N/A</v>
      </c>
      <c r="CF75" s="103" t="e">
        <f>VLOOKUP(CC75,$BV$5:BY$215,4,FALSE)</f>
        <v>#N/A</v>
      </c>
      <c r="CL75" s="77">
        <v>1</v>
      </c>
    </row>
    <row r="76" spans="1:90" ht="17.45" customHeight="1">
      <c r="A76" s="58">
        <v>72</v>
      </c>
      <c r="B76" s="59" t="str">
        <f>'B Div'!A76 &amp; " " &amp; 'B Div'!B76</f>
        <v xml:space="preserve"> </v>
      </c>
      <c r="C76" s="59" t="str">
        <f>'B Div'!E76</f>
        <v>-</v>
      </c>
      <c r="D76" s="60"/>
      <c r="E76" s="60"/>
      <c r="F76" s="60"/>
      <c r="G76" s="60"/>
      <c r="H76" s="60"/>
      <c r="I76" s="60"/>
      <c r="J76" s="60"/>
      <c r="K76" s="60"/>
      <c r="L76" s="60"/>
      <c r="M76" s="74" t="str">
        <f t="shared" si="15"/>
        <v>-</v>
      </c>
      <c r="N76" s="60"/>
      <c r="O76" s="60"/>
      <c r="P76" s="60"/>
      <c r="Q76" s="60"/>
      <c r="R76" s="60"/>
      <c r="S76" s="60"/>
      <c r="T76" s="60"/>
      <c r="U76" s="60"/>
      <c r="V76" s="60"/>
      <c r="W76" s="74" t="str">
        <f t="shared" si="16"/>
        <v>-</v>
      </c>
      <c r="X76" s="74" t="str">
        <f t="shared" si="17"/>
        <v>-</v>
      </c>
      <c r="Y76" s="74" t="str">
        <f t="shared" si="18"/>
        <v>-</v>
      </c>
      <c r="AA76" s="60"/>
      <c r="AB76" s="60"/>
      <c r="AC76" s="60"/>
      <c r="AD76" s="60"/>
      <c r="AE76" s="60"/>
      <c r="AF76" s="60"/>
      <c r="AG76" s="60"/>
      <c r="AH76" s="60"/>
      <c r="AI76" s="60"/>
      <c r="AJ76" s="74" t="str">
        <f t="shared" si="19"/>
        <v>-</v>
      </c>
      <c r="AK76" s="60"/>
      <c r="AL76" s="60"/>
      <c r="AM76" s="60"/>
      <c r="AN76" s="60"/>
      <c r="AO76" s="60"/>
      <c r="AP76" s="60"/>
      <c r="AQ76" s="60"/>
      <c r="AR76" s="60"/>
      <c r="AS76" s="60"/>
      <c r="AT76" s="74" t="str">
        <f t="shared" si="20"/>
        <v>-</v>
      </c>
      <c r="AU76" s="74" t="str">
        <f t="shared" si="21"/>
        <v>-</v>
      </c>
      <c r="AV76" s="74" t="str">
        <f t="shared" si="22"/>
        <v>-</v>
      </c>
      <c r="AX76" s="59" t="str">
        <f>IF(AND(D76&gt;0,AA76&gt;0),MIN(D76,AA76),"-")</f>
        <v>-</v>
      </c>
      <c r="AY76" s="59" t="str">
        <f>IF(AND(E76&gt;0,AB76&gt;0),MIN(E76,AB76),"-")</f>
        <v>-</v>
      </c>
      <c r="AZ76" s="59" t="str">
        <f>IF(AND(F76&gt;0,AC76&gt;0),MIN(F76,AC76),"-")</f>
        <v>-</v>
      </c>
      <c r="BA76" s="59" t="str">
        <f>IF(AND(G76&gt;0,AD76&gt;0),MIN(G76,AD76),"-")</f>
        <v>-</v>
      </c>
      <c r="BB76" s="59" t="str">
        <f>IF(AND(H76&gt;0,AE76&gt;0),MIN(H76,AE76),"-")</f>
        <v>-</v>
      </c>
      <c r="BC76" s="59" t="str">
        <f>IF(AND(I76&gt;0,AF76&gt;0),MIN(I76,AF76),"-")</f>
        <v>-</v>
      </c>
      <c r="BD76" s="59" t="str">
        <f>IF(AND(J76&gt;0,AG76&gt;0),MIN(J76,AG76),"-")</f>
        <v>-</v>
      </c>
      <c r="BE76" s="59" t="str">
        <f>IF(AND(K76&gt;0,AH76&gt;0),MIN(K76,AH76),"-")</f>
        <v>-</v>
      </c>
      <c r="BF76" s="59" t="str">
        <f>IF(AND(L76&gt;0,AI76&gt;0),MIN(L76,AI76),"-")</f>
        <v>-</v>
      </c>
      <c r="BG76" s="59" t="str">
        <f t="shared" si="23"/>
        <v>-</v>
      </c>
      <c r="BH76" s="59" t="str">
        <f>IF(AND(N76&gt;0,AK76&gt;0),MIN(N76,AK76),"-")</f>
        <v>-</v>
      </c>
      <c r="BI76" s="59" t="str">
        <f>IF(AND(O76&gt;0,AL76&gt;0),MIN(O76,AL76),"-")</f>
        <v>-</v>
      </c>
      <c r="BJ76" s="59" t="str">
        <f>IF(AND(P76&gt;0,AM76&gt;0),MIN(P76,AM76),"-")</f>
        <v>-</v>
      </c>
      <c r="BK76" s="59" t="str">
        <f>IF(AND(Q76&gt;0,AN76&gt;0),MIN(Q76,AN76),"-")</f>
        <v>-</v>
      </c>
      <c r="BL76" s="59" t="str">
        <f>IF(AND(R76&gt;0,AO76&gt;0),MIN(R76,AO76),"-")</f>
        <v>-</v>
      </c>
      <c r="BM76" s="59" t="str">
        <f>IF(AND(S76&gt;0,AP76&gt;0),MIN(S76,AP76),"-")</f>
        <v>-</v>
      </c>
      <c r="BN76" s="59" t="str">
        <f>IF(AND(T76&gt;0,AQ76&gt;0),MIN(T76,AQ76),"-")</f>
        <v>-</v>
      </c>
      <c r="BO76" s="59" t="str">
        <f>IF(AND(U76&gt;0,AR76&gt;0),MIN(U76,AR76),"-")</f>
        <v>-</v>
      </c>
      <c r="BP76" s="59" t="str">
        <f>IF(AND(V76&gt;0,AS76&gt;0),MIN(V76,AS76),"-")</f>
        <v>-</v>
      </c>
      <c r="BQ76" s="59" t="str">
        <f t="shared" si="24"/>
        <v>-</v>
      </c>
      <c r="BR76" s="59" t="str">
        <f t="shared" si="25"/>
        <v>-</v>
      </c>
      <c r="BS76" s="59" t="str">
        <f t="shared" si="26"/>
        <v>-</v>
      </c>
      <c r="BT76" s="98" t="str">
        <f>IF(ISNUMBER(BS76),BS76-(C76*Rules!$P$9/100),"-")</f>
        <v>-</v>
      </c>
      <c r="BU76" s="59" t="e">
        <f>RANK($BT76,$BT$5:$BT$106,1)+COUNTIF(BT$5:BT76,BT76)-1</f>
        <v>#VALUE!</v>
      </c>
      <c r="BV76" s="59" t="e">
        <f t="shared" si="27"/>
        <v>#VALUE!</v>
      </c>
      <c r="BW76" s="59" t="str">
        <f t="shared" si="28"/>
        <v xml:space="preserve"> </v>
      </c>
      <c r="BX76" s="59" t="str">
        <f t="shared" si="28"/>
        <v>-</v>
      </c>
      <c r="BY76" s="59" t="str">
        <f t="shared" si="29"/>
        <v>-</v>
      </c>
      <c r="CC76" s="4">
        <v>72</v>
      </c>
      <c r="CD76" s="2" t="e">
        <f>VLOOKUP(CC76,$BV$5:BY$215,1,FALSE)</f>
        <v>#N/A</v>
      </c>
      <c r="CE76" s="6" t="e">
        <f>VLOOKUP(CC76,$BV$5:BY$215,2,FALSE)</f>
        <v>#N/A</v>
      </c>
      <c r="CF76" s="103" t="e">
        <f>VLOOKUP(CC76,$BV$5:BY$215,4,FALSE)</f>
        <v>#N/A</v>
      </c>
      <c r="CL76" s="77">
        <v>1</v>
      </c>
    </row>
    <row r="77" spans="1:90" ht="17.45" customHeight="1">
      <c r="A77" s="58">
        <v>73</v>
      </c>
      <c r="B77" s="59" t="str">
        <f>'B Div'!A77 &amp; " " &amp; 'B Div'!B77</f>
        <v xml:space="preserve"> </v>
      </c>
      <c r="C77" s="59" t="str">
        <f>'B Div'!E77</f>
        <v>-</v>
      </c>
      <c r="D77" s="60"/>
      <c r="E77" s="60"/>
      <c r="F77" s="60"/>
      <c r="G77" s="60"/>
      <c r="H77" s="60"/>
      <c r="I77" s="60"/>
      <c r="J77" s="60"/>
      <c r="K77" s="60"/>
      <c r="L77" s="60"/>
      <c r="M77" s="74" t="str">
        <f t="shared" si="15"/>
        <v>-</v>
      </c>
      <c r="N77" s="60"/>
      <c r="O77" s="60"/>
      <c r="P77" s="60"/>
      <c r="Q77" s="60"/>
      <c r="R77" s="60"/>
      <c r="S77" s="60"/>
      <c r="T77" s="60"/>
      <c r="U77" s="60"/>
      <c r="V77" s="60"/>
      <c r="W77" s="74" t="str">
        <f t="shared" si="16"/>
        <v>-</v>
      </c>
      <c r="X77" s="74" t="str">
        <f t="shared" si="17"/>
        <v>-</v>
      </c>
      <c r="Y77" s="74" t="str">
        <f t="shared" si="18"/>
        <v>-</v>
      </c>
      <c r="AA77" s="60"/>
      <c r="AB77" s="60"/>
      <c r="AC77" s="60"/>
      <c r="AD77" s="60"/>
      <c r="AE77" s="60"/>
      <c r="AF77" s="60"/>
      <c r="AG77" s="60"/>
      <c r="AH77" s="60"/>
      <c r="AI77" s="60"/>
      <c r="AJ77" s="74" t="str">
        <f t="shared" si="19"/>
        <v>-</v>
      </c>
      <c r="AK77" s="60"/>
      <c r="AL77" s="60"/>
      <c r="AM77" s="60"/>
      <c r="AN77" s="60"/>
      <c r="AO77" s="60"/>
      <c r="AP77" s="60"/>
      <c r="AQ77" s="60"/>
      <c r="AR77" s="60"/>
      <c r="AS77" s="60"/>
      <c r="AT77" s="74" t="str">
        <f t="shared" si="20"/>
        <v>-</v>
      </c>
      <c r="AU77" s="74" t="str">
        <f t="shared" si="21"/>
        <v>-</v>
      </c>
      <c r="AV77" s="74" t="str">
        <f t="shared" si="22"/>
        <v>-</v>
      </c>
      <c r="AX77" s="59" t="str">
        <f>IF(AND(D77&gt;0,AA77&gt;0),MIN(D77,AA77),"-")</f>
        <v>-</v>
      </c>
      <c r="AY77" s="59" t="str">
        <f>IF(AND(E77&gt;0,AB77&gt;0),MIN(E77,AB77),"-")</f>
        <v>-</v>
      </c>
      <c r="AZ77" s="59" t="str">
        <f>IF(AND(F77&gt;0,AC77&gt;0),MIN(F77,AC77),"-")</f>
        <v>-</v>
      </c>
      <c r="BA77" s="59" t="str">
        <f>IF(AND(G77&gt;0,AD77&gt;0),MIN(G77,AD77),"-")</f>
        <v>-</v>
      </c>
      <c r="BB77" s="59" t="str">
        <f>IF(AND(H77&gt;0,AE77&gt;0),MIN(H77,AE77),"-")</f>
        <v>-</v>
      </c>
      <c r="BC77" s="59" t="str">
        <f>IF(AND(I77&gt;0,AF77&gt;0),MIN(I77,AF77),"-")</f>
        <v>-</v>
      </c>
      <c r="BD77" s="59" t="str">
        <f>IF(AND(J77&gt;0,AG77&gt;0),MIN(J77,AG77),"-")</f>
        <v>-</v>
      </c>
      <c r="BE77" s="59" t="str">
        <f>IF(AND(K77&gt;0,AH77&gt;0),MIN(K77,AH77),"-")</f>
        <v>-</v>
      </c>
      <c r="BF77" s="59" t="str">
        <f>IF(AND(L77&gt;0,AI77&gt;0),MIN(L77,AI77),"-")</f>
        <v>-</v>
      </c>
      <c r="BG77" s="59" t="str">
        <f t="shared" si="23"/>
        <v>-</v>
      </c>
      <c r="BH77" s="59" t="str">
        <f>IF(AND(N77&gt;0,AK77&gt;0),MIN(N77,AK77),"-")</f>
        <v>-</v>
      </c>
      <c r="BI77" s="59" t="str">
        <f>IF(AND(O77&gt;0,AL77&gt;0),MIN(O77,AL77),"-")</f>
        <v>-</v>
      </c>
      <c r="BJ77" s="59" t="str">
        <f>IF(AND(P77&gt;0,AM77&gt;0),MIN(P77,AM77),"-")</f>
        <v>-</v>
      </c>
      <c r="BK77" s="59" t="str">
        <f>IF(AND(Q77&gt;0,AN77&gt;0),MIN(Q77,AN77),"-")</f>
        <v>-</v>
      </c>
      <c r="BL77" s="59" t="str">
        <f>IF(AND(R77&gt;0,AO77&gt;0),MIN(R77,AO77),"-")</f>
        <v>-</v>
      </c>
      <c r="BM77" s="59" t="str">
        <f>IF(AND(S77&gt;0,AP77&gt;0),MIN(S77,AP77),"-")</f>
        <v>-</v>
      </c>
      <c r="BN77" s="59" t="str">
        <f>IF(AND(T77&gt;0,AQ77&gt;0),MIN(T77,AQ77),"-")</f>
        <v>-</v>
      </c>
      <c r="BO77" s="59" t="str">
        <f>IF(AND(U77&gt;0,AR77&gt;0),MIN(U77,AR77),"-")</f>
        <v>-</v>
      </c>
      <c r="BP77" s="59" t="str">
        <f>IF(AND(V77&gt;0,AS77&gt;0),MIN(V77,AS77),"-")</f>
        <v>-</v>
      </c>
      <c r="BQ77" s="59" t="str">
        <f t="shared" si="24"/>
        <v>-</v>
      </c>
      <c r="BR77" s="59" t="str">
        <f t="shared" si="25"/>
        <v>-</v>
      </c>
      <c r="BS77" s="59" t="str">
        <f t="shared" si="26"/>
        <v>-</v>
      </c>
      <c r="BT77" s="98" t="str">
        <f>IF(ISNUMBER(BS77),BS77-(C77*Rules!$P$9/100),"-")</f>
        <v>-</v>
      </c>
      <c r="BU77" s="59" t="e">
        <f>RANK($BT77,$BT$5:$BT$106,1)+COUNTIF(BT$5:BT77,BT77)-1</f>
        <v>#VALUE!</v>
      </c>
      <c r="BV77" s="59" t="e">
        <f t="shared" si="27"/>
        <v>#VALUE!</v>
      </c>
      <c r="BW77" s="59" t="str">
        <f t="shared" si="28"/>
        <v xml:space="preserve"> </v>
      </c>
      <c r="BX77" s="59" t="str">
        <f t="shared" si="28"/>
        <v>-</v>
      </c>
      <c r="BY77" s="59" t="str">
        <f t="shared" si="29"/>
        <v>-</v>
      </c>
      <c r="CC77" s="4">
        <v>73</v>
      </c>
      <c r="CD77" s="2" t="e">
        <f>VLOOKUP(CC77,$BV$5:BY$215,1,FALSE)</f>
        <v>#N/A</v>
      </c>
      <c r="CE77" s="6" t="e">
        <f>VLOOKUP(CC77,$BV$5:BY$215,2,FALSE)</f>
        <v>#N/A</v>
      </c>
      <c r="CF77" s="103" t="e">
        <f>VLOOKUP(CC77,$BV$5:BY$215,4,FALSE)</f>
        <v>#N/A</v>
      </c>
      <c r="CL77" s="77">
        <v>1</v>
      </c>
    </row>
    <row r="78" spans="1:90" ht="17.45" customHeight="1">
      <c r="A78" s="58">
        <v>74</v>
      </c>
      <c r="B78" s="59" t="str">
        <f>'B Div'!A78 &amp; " " &amp; 'B Div'!B78</f>
        <v xml:space="preserve"> </v>
      </c>
      <c r="C78" s="59" t="str">
        <f>'B Div'!E78</f>
        <v>-</v>
      </c>
      <c r="D78" s="60"/>
      <c r="E78" s="60"/>
      <c r="F78" s="60"/>
      <c r="G78" s="60"/>
      <c r="H78" s="60"/>
      <c r="I78" s="60"/>
      <c r="J78" s="60"/>
      <c r="K78" s="60"/>
      <c r="L78" s="60"/>
      <c r="M78" s="74" t="str">
        <f t="shared" si="15"/>
        <v>-</v>
      </c>
      <c r="N78" s="60"/>
      <c r="O78" s="60"/>
      <c r="P78" s="60"/>
      <c r="Q78" s="60"/>
      <c r="R78" s="60"/>
      <c r="S78" s="60"/>
      <c r="T78" s="60"/>
      <c r="U78" s="60"/>
      <c r="V78" s="60"/>
      <c r="W78" s="74" t="str">
        <f t="shared" si="16"/>
        <v>-</v>
      </c>
      <c r="X78" s="74" t="str">
        <f t="shared" si="17"/>
        <v>-</v>
      </c>
      <c r="Y78" s="74" t="str">
        <f t="shared" si="18"/>
        <v>-</v>
      </c>
      <c r="AA78" s="60"/>
      <c r="AB78" s="60"/>
      <c r="AC78" s="60"/>
      <c r="AD78" s="60"/>
      <c r="AE78" s="60"/>
      <c r="AF78" s="60"/>
      <c r="AG78" s="60"/>
      <c r="AH78" s="60"/>
      <c r="AI78" s="60"/>
      <c r="AJ78" s="74" t="str">
        <f t="shared" si="19"/>
        <v>-</v>
      </c>
      <c r="AK78" s="60"/>
      <c r="AL78" s="60"/>
      <c r="AM78" s="60"/>
      <c r="AN78" s="60"/>
      <c r="AO78" s="60"/>
      <c r="AP78" s="60"/>
      <c r="AQ78" s="60"/>
      <c r="AR78" s="60"/>
      <c r="AS78" s="60"/>
      <c r="AT78" s="74" t="str">
        <f t="shared" si="20"/>
        <v>-</v>
      </c>
      <c r="AU78" s="74" t="str">
        <f t="shared" si="21"/>
        <v>-</v>
      </c>
      <c r="AV78" s="74" t="str">
        <f t="shared" si="22"/>
        <v>-</v>
      </c>
      <c r="AX78" s="59" t="str">
        <f>IF(AND(D78&gt;0,AA78&gt;0),MIN(D78,AA78),"-")</f>
        <v>-</v>
      </c>
      <c r="AY78" s="59" t="str">
        <f>IF(AND(E78&gt;0,AB78&gt;0),MIN(E78,AB78),"-")</f>
        <v>-</v>
      </c>
      <c r="AZ78" s="59" t="str">
        <f>IF(AND(F78&gt;0,AC78&gt;0),MIN(F78,AC78),"-")</f>
        <v>-</v>
      </c>
      <c r="BA78" s="59" t="str">
        <f>IF(AND(G78&gt;0,AD78&gt;0),MIN(G78,AD78),"-")</f>
        <v>-</v>
      </c>
      <c r="BB78" s="59" t="str">
        <f>IF(AND(H78&gt;0,AE78&gt;0),MIN(H78,AE78),"-")</f>
        <v>-</v>
      </c>
      <c r="BC78" s="59" t="str">
        <f>IF(AND(I78&gt;0,AF78&gt;0),MIN(I78,AF78),"-")</f>
        <v>-</v>
      </c>
      <c r="BD78" s="59" t="str">
        <f>IF(AND(J78&gt;0,AG78&gt;0),MIN(J78,AG78),"-")</f>
        <v>-</v>
      </c>
      <c r="BE78" s="59" t="str">
        <f>IF(AND(K78&gt;0,AH78&gt;0),MIN(K78,AH78),"-")</f>
        <v>-</v>
      </c>
      <c r="BF78" s="59" t="str">
        <f>IF(AND(L78&gt;0,AI78&gt;0),MIN(L78,AI78),"-")</f>
        <v>-</v>
      </c>
      <c r="BG78" s="59" t="str">
        <f t="shared" si="23"/>
        <v>-</v>
      </c>
      <c r="BH78" s="59" t="str">
        <f>IF(AND(N78&gt;0,AK78&gt;0),MIN(N78,AK78),"-")</f>
        <v>-</v>
      </c>
      <c r="BI78" s="59" t="str">
        <f>IF(AND(O78&gt;0,AL78&gt;0),MIN(O78,AL78),"-")</f>
        <v>-</v>
      </c>
      <c r="BJ78" s="59" t="str">
        <f>IF(AND(P78&gt;0,AM78&gt;0),MIN(P78,AM78),"-")</f>
        <v>-</v>
      </c>
      <c r="BK78" s="59" t="str">
        <f>IF(AND(Q78&gt;0,AN78&gt;0),MIN(Q78,AN78),"-")</f>
        <v>-</v>
      </c>
      <c r="BL78" s="59" t="str">
        <f>IF(AND(R78&gt;0,AO78&gt;0),MIN(R78,AO78),"-")</f>
        <v>-</v>
      </c>
      <c r="BM78" s="59" t="str">
        <f>IF(AND(S78&gt;0,AP78&gt;0),MIN(S78,AP78),"-")</f>
        <v>-</v>
      </c>
      <c r="BN78" s="59" t="str">
        <f>IF(AND(T78&gt;0,AQ78&gt;0),MIN(T78,AQ78),"-")</f>
        <v>-</v>
      </c>
      <c r="BO78" s="59" t="str">
        <f>IF(AND(U78&gt;0,AR78&gt;0),MIN(U78,AR78),"-")</f>
        <v>-</v>
      </c>
      <c r="BP78" s="59" t="str">
        <f>IF(AND(V78&gt;0,AS78&gt;0),MIN(V78,AS78),"-")</f>
        <v>-</v>
      </c>
      <c r="BQ78" s="59" t="str">
        <f t="shared" si="24"/>
        <v>-</v>
      </c>
      <c r="BR78" s="59" t="str">
        <f t="shared" si="25"/>
        <v>-</v>
      </c>
      <c r="BS78" s="59" t="str">
        <f t="shared" si="26"/>
        <v>-</v>
      </c>
      <c r="BT78" s="98" t="str">
        <f>IF(ISNUMBER(BS78),BS78-(C78*Rules!$P$9/100),"-")</f>
        <v>-</v>
      </c>
      <c r="BU78" s="59" t="e">
        <f>RANK($BT78,$BT$5:$BT$106,1)+COUNTIF(BT$5:BT78,BT78)-1</f>
        <v>#VALUE!</v>
      </c>
      <c r="BV78" s="59" t="e">
        <f t="shared" si="27"/>
        <v>#VALUE!</v>
      </c>
      <c r="BW78" s="59" t="str">
        <f t="shared" si="28"/>
        <v xml:space="preserve"> </v>
      </c>
      <c r="BX78" s="59" t="str">
        <f t="shared" si="28"/>
        <v>-</v>
      </c>
      <c r="BY78" s="59" t="str">
        <f t="shared" si="29"/>
        <v>-</v>
      </c>
      <c r="CC78" s="4">
        <v>74</v>
      </c>
      <c r="CD78" s="2" t="e">
        <f>VLOOKUP(CC78,$BV$5:BY$215,1,FALSE)</f>
        <v>#N/A</v>
      </c>
      <c r="CE78" s="6" t="e">
        <f>VLOOKUP(CC78,$BV$5:BY$215,2,FALSE)</f>
        <v>#N/A</v>
      </c>
      <c r="CF78" s="103" t="e">
        <f>VLOOKUP(CC78,$BV$5:BY$215,4,FALSE)</f>
        <v>#N/A</v>
      </c>
      <c r="CL78" s="77">
        <v>1</v>
      </c>
    </row>
    <row r="79" spans="1:90" ht="17.45" customHeight="1">
      <c r="A79" s="58">
        <v>75</v>
      </c>
      <c r="B79" s="59" t="str">
        <f>'B Div'!A79 &amp; " " &amp; 'B Div'!B79</f>
        <v xml:space="preserve"> </v>
      </c>
      <c r="C79" s="59" t="str">
        <f>'B Div'!E79</f>
        <v>-</v>
      </c>
      <c r="D79" s="60"/>
      <c r="E79" s="60"/>
      <c r="F79" s="60"/>
      <c r="G79" s="60"/>
      <c r="H79" s="60"/>
      <c r="I79" s="60"/>
      <c r="J79" s="60"/>
      <c r="K79" s="60"/>
      <c r="L79" s="60"/>
      <c r="M79" s="74" t="str">
        <f t="shared" si="15"/>
        <v>-</v>
      </c>
      <c r="N79" s="60"/>
      <c r="O79" s="60"/>
      <c r="P79" s="60"/>
      <c r="Q79" s="60"/>
      <c r="R79" s="60"/>
      <c r="S79" s="60"/>
      <c r="T79" s="60"/>
      <c r="U79" s="60"/>
      <c r="V79" s="60"/>
      <c r="W79" s="74" t="str">
        <f t="shared" si="16"/>
        <v>-</v>
      </c>
      <c r="X79" s="74" t="str">
        <f t="shared" si="17"/>
        <v>-</v>
      </c>
      <c r="Y79" s="74" t="str">
        <f t="shared" si="18"/>
        <v>-</v>
      </c>
      <c r="AA79" s="60"/>
      <c r="AB79" s="60"/>
      <c r="AC79" s="60"/>
      <c r="AD79" s="60"/>
      <c r="AE79" s="60"/>
      <c r="AF79" s="60"/>
      <c r="AG79" s="60"/>
      <c r="AH79" s="60"/>
      <c r="AI79" s="60"/>
      <c r="AJ79" s="74" t="str">
        <f t="shared" si="19"/>
        <v>-</v>
      </c>
      <c r="AK79" s="60"/>
      <c r="AL79" s="60"/>
      <c r="AM79" s="60"/>
      <c r="AN79" s="60"/>
      <c r="AO79" s="60"/>
      <c r="AP79" s="60"/>
      <c r="AQ79" s="60"/>
      <c r="AR79" s="60"/>
      <c r="AS79" s="60"/>
      <c r="AT79" s="74" t="str">
        <f t="shared" si="20"/>
        <v>-</v>
      </c>
      <c r="AU79" s="74" t="str">
        <f t="shared" si="21"/>
        <v>-</v>
      </c>
      <c r="AV79" s="74" t="str">
        <f t="shared" si="22"/>
        <v>-</v>
      </c>
      <c r="AX79" s="59" t="str">
        <f>IF(AND(D79&gt;0,AA79&gt;0),MIN(D79,AA79),"-")</f>
        <v>-</v>
      </c>
      <c r="AY79" s="59" t="str">
        <f>IF(AND(E79&gt;0,AB79&gt;0),MIN(E79,AB79),"-")</f>
        <v>-</v>
      </c>
      <c r="AZ79" s="59" t="str">
        <f>IF(AND(F79&gt;0,AC79&gt;0),MIN(F79,AC79),"-")</f>
        <v>-</v>
      </c>
      <c r="BA79" s="59" t="str">
        <f>IF(AND(G79&gt;0,AD79&gt;0),MIN(G79,AD79),"-")</f>
        <v>-</v>
      </c>
      <c r="BB79" s="59" t="str">
        <f>IF(AND(H79&gt;0,AE79&gt;0),MIN(H79,AE79),"-")</f>
        <v>-</v>
      </c>
      <c r="BC79" s="59" t="str">
        <f>IF(AND(I79&gt;0,AF79&gt;0),MIN(I79,AF79),"-")</f>
        <v>-</v>
      </c>
      <c r="BD79" s="59" t="str">
        <f>IF(AND(J79&gt;0,AG79&gt;0),MIN(J79,AG79),"-")</f>
        <v>-</v>
      </c>
      <c r="BE79" s="59" t="str">
        <f>IF(AND(K79&gt;0,AH79&gt;0),MIN(K79,AH79),"-")</f>
        <v>-</v>
      </c>
      <c r="BF79" s="59" t="str">
        <f>IF(AND(L79&gt;0,AI79&gt;0),MIN(L79,AI79),"-")</f>
        <v>-</v>
      </c>
      <c r="BG79" s="59" t="str">
        <f t="shared" si="23"/>
        <v>-</v>
      </c>
      <c r="BH79" s="59" t="str">
        <f>IF(AND(N79&gt;0,AK79&gt;0),MIN(N79,AK79),"-")</f>
        <v>-</v>
      </c>
      <c r="BI79" s="59" t="str">
        <f>IF(AND(O79&gt;0,AL79&gt;0),MIN(O79,AL79),"-")</f>
        <v>-</v>
      </c>
      <c r="BJ79" s="59" t="str">
        <f>IF(AND(P79&gt;0,AM79&gt;0),MIN(P79,AM79),"-")</f>
        <v>-</v>
      </c>
      <c r="BK79" s="59" t="str">
        <f>IF(AND(Q79&gt;0,AN79&gt;0),MIN(Q79,AN79),"-")</f>
        <v>-</v>
      </c>
      <c r="BL79" s="59" t="str">
        <f>IF(AND(R79&gt;0,AO79&gt;0),MIN(R79,AO79),"-")</f>
        <v>-</v>
      </c>
      <c r="BM79" s="59" t="str">
        <f>IF(AND(S79&gt;0,AP79&gt;0),MIN(S79,AP79),"-")</f>
        <v>-</v>
      </c>
      <c r="BN79" s="59" t="str">
        <f>IF(AND(T79&gt;0,AQ79&gt;0),MIN(T79,AQ79),"-")</f>
        <v>-</v>
      </c>
      <c r="BO79" s="59" t="str">
        <f>IF(AND(U79&gt;0,AR79&gt;0),MIN(U79,AR79),"-")</f>
        <v>-</v>
      </c>
      <c r="BP79" s="59" t="str">
        <f>IF(AND(V79&gt;0,AS79&gt;0),MIN(V79,AS79),"-")</f>
        <v>-</v>
      </c>
      <c r="BQ79" s="59" t="str">
        <f t="shared" si="24"/>
        <v>-</v>
      </c>
      <c r="BR79" s="59" t="str">
        <f t="shared" si="25"/>
        <v>-</v>
      </c>
      <c r="BS79" s="59" t="str">
        <f t="shared" si="26"/>
        <v>-</v>
      </c>
      <c r="BT79" s="98" t="str">
        <f>IF(ISNUMBER(BS79),BS79-(C79*Rules!$P$9/100),"-")</f>
        <v>-</v>
      </c>
      <c r="BU79" s="59" t="e">
        <f>RANK($BT79,$BT$5:$BT$106,1)+COUNTIF(BT$5:BT79,BT79)-1</f>
        <v>#VALUE!</v>
      </c>
      <c r="BV79" s="59" t="e">
        <f t="shared" si="27"/>
        <v>#VALUE!</v>
      </c>
      <c r="BW79" s="59" t="str">
        <f t="shared" si="28"/>
        <v xml:space="preserve"> </v>
      </c>
      <c r="BX79" s="59" t="str">
        <f t="shared" si="28"/>
        <v>-</v>
      </c>
      <c r="BY79" s="59" t="str">
        <f t="shared" si="29"/>
        <v>-</v>
      </c>
      <c r="CC79" s="4">
        <v>75</v>
      </c>
      <c r="CD79" s="2" t="e">
        <f>VLOOKUP(CC79,$BV$5:BY$215,1,FALSE)</f>
        <v>#N/A</v>
      </c>
      <c r="CE79" s="6" t="e">
        <f>VLOOKUP(CC79,$BV$5:BY$215,2,FALSE)</f>
        <v>#N/A</v>
      </c>
      <c r="CF79" s="103" t="e">
        <f>VLOOKUP(CC79,$BV$5:BY$215,4,FALSE)</f>
        <v>#N/A</v>
      </c>
      <c r="CL79" s="77">
        <v>1</v>
      </c>
    </row>
    <row r="80" spans="1:90" ht="17.45" customHeight="1">
      <c r="A80" s="58">
        <v>76</v>
      </c>
      <c r="B80" s="59" t="str">
        <f>'B Div'!A80 &amp; " " &amp; 'B Div'!B80</f>
        <v xml:space="preserve"> </v>
      </c>
      <c r="C80" s="59" t="str">
        <f>'B Div'!E80</f>
        <v>-</v>
      </c>
      <c r="D80" s="60"/>
      <c r="E80" s="60"/>
      <c r="F80" s="60"/>
      <c r="G80" s="60"/>
      <c r="H80" s="60"/>
      <c r="I80" s="60"/>
      <c r="J80" s="60"/>
      <c r="K80" s="60"/>
      <c r="L80" s="60"/>
      <c r="M80" s="74" t="str">
        <f t="shared" si="15"/>
        <v>-</v>
      </c>
      <c r="N80" s="60"/>
      <c r="O80" s="60"/>
      <c r="P80" s="60"/>
      <c r="Q80" s="60"/>
      <c r="R80" s="60"/>
      <c r="S80" s="60"/>
      <c r="T80" s="60"/>
      <c r="U80" s="60"/>
      <c r="V80" s="60"/>
      <c r="W80" s="74" t="str">
        <f t="shared" si="16"/>
        <v>-</v>
      </c>
      <c r="X80" s="74" t="str">
        <f t="shared" si="17"/>
        <v>-</v>
      </c>
      <c r="Y80" s="74" t="str">
        <f t="shared" si="18"/>
        <v>-</v>
      </c>
      <c r="AA80" s="60"/>
      <c r="AB80" s="60"/>
      <c r="AC80" s="60"/>
      <c r="AD80" s="60"/>
      <c r="AE80" s="60"/>
      <c r="AF80" s="60"/>
      <c r="AG80" s="60"/>
      <c r="AH80" s="60"/>
      <c r="AI80" s="60"/>
      <c r="AJ80" s="74" t="str">
        <f t="shared" si="19"/>
        <v>-</v>
      </c>
      <c r="AK80" s="60"/>
      <c r="AL80" s="60"/>
      <c r="AM80" s="60"/>
      <c r="AN80" s="60"/>
      <c r="AO80" s="60"/>
      <c r="AP80" s="60"/>
      <c r="AQ80" s="60"/>
      <c r="AR80" s="60"/>
      <c r="AS80" s="60"/>
      <c r="AT80" s="74" t="str">
        <f t="shared" si="20"/>
        <v>-</v>
      </c>
      <c r="AU80" s="74" t="str">
        <f t="shared" si="21"/>
        <v>-</v>
      </c>
      <c r="AV80" s="74" t="str">
        <f t="shared" si="22"/>
        <v>-</v>
      </c>
      <c r="AX80" s="59" t="str">
        <f>IF(AND(D80&gt;0,AA80&gt;0),MIN(D80,AA80),"-")</f>
        <v>-</v>
      </c>
      <c r="AY80" s="59" t="str">
        <f>IF(AND(E80&gt;0,AB80&gt;0),MIN(E80,AB80),"-")</f>
        <v>-</v>
      </c>
      <c r="AZ80" s="59" t="str">
        <f>IF(AND(F80&gt;0,AC80&gt;0),MIN(F80,AC80),"-")</f>
        <v>-</v>
      </c>
      <c r="BA80" s="59" t="str">
        <f>IF(AND(G80&gt;0,AD80&gt;0),MIN(G80,AD80),"-")</f>
        <v>-</v>
      </c>
      <c r="BB80" s="59" t="str">
        <f>IF(AND(H80&gt;0,AE80&gt;0),MIN(H80,AE80),"-")</f>
        <v>-</v>
      </c>
      <c r="BC80" s="59" t="str">
        <f>IF(AND(I80&gt;0,AF80&gt;0),MIN(I80,AF80),"-")</f>
        <v>-</v>
      </c>
      <c r="BD80" s="59" t="str">
        <f>IF(AND(J80&gt;0,AG80&gt;0),MIN(J80,AG80),"-")</f>
        <v>-</v>
      </c>
      <c r="BE80" s="59" t="str">
        <f>IF(AND(K80&gt;0,AH80&gt;0),MIN(K80,AH80),"-")</f>
        <v>-</v>
      </c>
      <c r="BF80" s="59" t="str">
        <f>IF(AND(L80&gt;0,AI80&gt;0),MIN(L80,AI80),"-")</f>
        <v>-</v>
      </c>
      <c r="BG80" s="59" t="str">
        <f t="shared" si="23"/>
        <v>-</v>
      </c>
      <c r="BH80" s="59" t="str">
        <f>IF(AND(N80&gt;0,AK80&gt;0),MIN(N80,AK80),"-")</f>
        <v>-</v>
      </c>
      <c r="BI80" s="59" t="str">
        <f>IF(AND(O80&gt;0,AL80&gt;0),MIN(O80,AL80),"-")</f>
        <v>-</v>
      </c>
      <c r="BJ80" s="59" t="str">
        <f>IF(AND(P80&gt;0,AM80&gt;0),MIN(P80,AM80),"-")</f>
        <v>-</v>
      </c>
      <c r="BK80" s="59" t="str">
        <f>IF(AND(Q80&gt;0,AN80&gt;0),MIN(Q80,AN80),"-")</f>
        <v>-</v>
      </c>
      <c r="BL80" s="59" t="str">
        <f>IF(AND(R80&gt;0,AO80&gt;0),MIN(R80,AO80),"-")</f>
        <v>-</v>
      </c>
      <c r="BM80" s="59" t="str">
        <f>IF(AND(S80&gt;0,AP80&gt;0),MIN(S80,AP80),"-")</f>
        <v>-</v>
      </c>
      <c r="BN80" s="59" t="str">
        <f>IF(AND(T80&gt;0,AQ80&gt;0),MIN(T80,AQ80),"-")</f>
        <v>-</v>
      </c>
      <c r="BO80" s="59" t="str">
        <f>IF(AND(U80&gt;0,AR80&gt;0),MIN(U80,AR80),"-")</f>
        <v>-</v>
      </c>
      <c r="BP80" s="59" t="str">
        <f>IF(AND(V80&gt;0,AS80&gt;0),MIN(V80,AS80),"-")</f>
        <v>-</v>
      </c>
      <c r="BQ80" s="59" t="str">
        <f t="shared" si="24"/>
        <v>-</v>
      </c>
      <c r="BR80" s="59" t="str">
        <f t="shared" si="25"/>
        <v>-</v>
      </c>
      <c r="BS80" s="59" t="str">
        <f t="shared" si="26"/>
        <v>-</v>
      </c>
      <c r="BT80" s="98" t="str">
        <f>IF(ISNUMBER(BS80),BS80-(C80*Rules!$P$9/100),"-")</f>
        <v>-</v>
      </c>
      <c r="BU80" s="59" t="e">
        <f>RANK($BT80,$BT$5:$BT$106,1)+COUNTIF(BT$5:BT80,BT80)-1</f>
        <v>#VALUE!</v>
      </c>
      <c r="BV80" s="59" t="e">
        <f t="shared" si="27"/>
        <v>#VALUE!</v>
      </c>
      <c r="BW80" s="59" t="str">
        <f t="shared" si="28"/>
        <v xml:space="preserve"> </v>
      </c>
      <c r="BX80" s="59" t="str">
        <f t="shared" si="28"/>
        <v>-</v>
      </c>
      <c r="BY80" s="59" t="str">
        <f t="shared" si="29"/>
        <v>-</v>
      </c>
      <c r="CC80" s="4">
        <v>76</v>
      </c>
      <c r="CD80" s="2" t="e">
        <f>VLOOKUP(CC80,$BV$5:BY$215,1,FALSE)</f>
        <v>#N/A</v>
      </c>
      <c r="CE80" s="6" t="e">
        <f>VLOOKUP(CC80,$BV$5:BY$215,2,FALSE)</f>
        <v>#N/A</v>
      </c>
      <c r="CF80" s="103" t="e">
        <f>VLOOKUP(CC80,$BV$5:BY$215,4,FALSE)</f>
        <v>#N/A</v>
      </c>
      <c r="CL80" s="77">
        <v>1</v>
      </c>
    </row>
    <row r="81" spans="1:90" ht="17.45" customHeight="1">
      <c r="A81" s="58">
        <v>77</v>
      </c>
      <c r="B81" s="59" t="str">
        <f>'B Div'!A81 &amp; " " &amp; 'B Div'!B81</f>
        <v xml:space="preserve"> </v>
      </c>
      <c r="C81" s="59" t="str">
        <f>'B Div'!E81</f>
        <v>-</v>
      </c>
      <c r="D81" s="60"/>
      <c r="E81" s="60"/>
      <c r="F81" s="60"/>
      <c r="G81" s="60"/>
      <c r="H81" s="60"/>
      <c r="I81" s="60"/>
      <c r="J81" s="60"/>
      <c r="K81" s="60"/>
      <c r="L81" s="60"/>
      <c r="M81" s="74" t="str">
        <f t="shared" si="15"/>
        <v>-</v>
      </c>
      <c r="N81" s="60"/>
      <c r="O81" s="60"/>
      <c r="P81" s="60"/>
      <c r="Q81" s="60"/>
      <c r="R81" s="60"/>
      <c r="S81" s="60"/>
      <c r="T81" s="60"/>
      <c r="U81" s="60"/>
      <c r="V81" s="60"/>
      <c r="W81" s="74" t="str">
        <f t="shared" si="16"/>
        <v>-</v>
      </c>
      <c r="X81" s="74" t="str">
        <f t="shared" si="17"/>
        <v>-</v>
      </c>
      <c r="Y81" s="74" t="str">
        <f t="shared" si="18"/>
        <v>-</v>
      </c>
      <c r="AA81" s="60"/>
      <c r="AB81" s="60"/>
      <c r="AC81" s="60"/>
      <c r="AD81" s="60"/>
      <c r="AE81" s="60"/>
      <c r="AF81" s="60"/>
      <c r="AG81" s="60"/>
      <c r="AH81" s="60"/>
      <c r="AI81" s="60"/>
      <c r="AJ81" s="74" t="str">
        <f t="shared" si="19"/>
        <v>-</v>
      </c>
      <c r="AK81" s="60"/>
      <c r="AL81" s="60"/>
      <c r="AM81" s="60"/>
      <c r="AN81" s="60"/>
      <c r="AO81" s="60"/>
      <c r="AP81" s="60"/>
      <c r="AQ81" s="60"/>
      <c r="AR81" s="60"/>
      <c r="AS81" s="60"/>
      <c r="AT81" s="74" t="str">
        <f t="shared" si="20"/>
        <v>-</v>
      </c>
      <c r="AU81" s="74" t="str">
        <f t="shared" si="21"/>
        <v>-</v>
      </c>
      <c r="AV81" s="74" t="str">
        <f t="shared" si="22"/>
        <v>-</v>
      </c>
      <c r="AX81" s="59" t="str">
        <f>IF(AND(D81&gt;0,AA81&gt;0),MIN(D81,AA81),"-")</f>
        <v>-</v>
      </c>
      <c r="AY81" s="59" t="str">
        <f>IF(AND(E81&gt;0,AB81&gt;0),MIN(E81,AB81),"-")</f>
        <v>-</v>
      </c>
      <c r="AZ81" s="59" t="str">
        <f>IF(AND(F81&gt;0,AC81&gt;0),MIN(F81,AC81),"-")</f>
        <v>-</v>
      </c>
      <c r="BA81" s="59" t="str">
        <f>IF(AND(G81&gt;0,AD81&gt;0),MIN(G81,AD81),"-")</f>
        <v>-</v>
      </c>
      <c r="BB81" s="59" t="str">
        <f>IF(AND(H81&gt;0,AE81&gt;0),MIN(H81,AE81),"-")</f>
        <v>-</v>
      </c>
      <c r="BC81" s="59" t="str">
        <f>IF(AND(I81&gt;0,AF81&gt;0),MIN(I81,AF81),"-")</f>
        <v>-</v>
      </c>
      <c r="BD81" s="59" t="str">
        <f>IF(AND(J81&gt;0,AG81&gt;0),MIN(J81,AG81),"-")</f>
        <v>-</v>
      </c>
      <c r="BE81" s="59" t="str">
        <f>IF(AND(K81&gt;0,AH81&gt;0),MIN(K81,AH81),"-")</f>
        <v>-</v>
      </c>
      <c r="BF81" s="59" t="str">
        <f>IF(AND(L81&gt;0,AI81&gt;0),MIN(L81,AI81),"-")</f>
        <v>-</v>
      </c>
      <c r="BG81" s="59" t="str">
        <f t="shared" si="23"/>
        <v>-</v>
      </c>
      <c r="BH81" s="59" t="str">
        <f>IF(AND(N81&gt;0,AK81&gt;0),MIN(N81,AK81),"-")</f>
        <v>-</v>
      </c>
      <c r="BI81" s="59" t="str">
        <f>IF(AND(O81&gt;0,AL81&gt;0),MIN(O81,AL81),"-")</f>
        <v>-</v>
      </c>
      <c r="BJ81" s="59" t="str">
        <f>IF(AND(P81&gt;0,AM81&gt;0),MIN(P81,AM81),"-")</f>
        <v>-</v>
      </c>
      <c r="BK81" s="59" t="str">
        <f>IF(AND(Q81&gt;0,AN81&gt;0),MIN(Q81,AN81),"-")</f>
        <v>-</v>
      </c>
      <c r="BL81" s="59" t="str">
        <f>IF(AND(R81&gt;0,AO81&gt;0),MIN(R81,AO81),"-")</f>
        <v>-</v>
      </c>
      <c r="BM81" s="59" t="str">
        <f>IF(AND(S81&gt;0,AP81&gt;0),MIN(S81,AP81),"-")</f>
        <v>-</v>
      </c>
      <c r="BN81" s="59" t="str">
        <f>IF(AND(T81&gt;0,AQ81&gt;0),MIN(T81,AQ81),"-")</f>
        <v>-</v>
      </c>
      <c r="BO81" s="59" t="str">
        <f>IF(AND(U81&gt;0,AR81&gt;0),MIN(U81,AR81),"-")</f>
        <v>-</v>
      </c>
      <c r="BP81" s="59" t="str">
        <f>IF(AND(V81&gt;0,AS81&gt;0),MIN(V81,AS81),"-")</f>
        <v>-</v>
      </c>
      <c r="BQ81" s="59" t="str">
        <f t="shared" si="24"/>
        <v>-</v>
      </c>
      <c r="BR81" s="59" t="str">
        <f t="shared" si="25"/>
        <v>-</v>
      </c>
      <c r="BS81" s="59" t="str">
        <f t="shared" si="26"/>
        <v>-</v>
      </c>
      <c r="BT81" s="98" t="str">
        <f>IF(ISNUMBER(BS81),BS81-(C81*Rules!$P$9/100),"-")</f>
        <v>-</v>
      </c>
      <c r="BU81" s="59" t="e">
        <f>RANK($BT81,$BT$5:$BT$106,1)+COUNTIF(BT$5:BT81,BT81)-1</f>
        <v>#VALUE!</v>
      </c>
      <c r="BV81" s="59" t="e">
        <f t="shared" si="27"/>
        <v>#VALUE!</v>
      </c>
      <c r="BW81" s="59" t="str">
        <f t="shared" si="28"/>
        <v xml:space="preserve"> </v>
      </c>
      <c r="BX81" s="59" t="str">
        <f t="shared" si="28"/>
        <v>-</v>
      </c>
      <c r="BY81" s="59" t="str">
        <f t="shared" si="29"/>
        <v>-</v>
      </c>
      <c r="CC81" s="4">
        <v>77</v>
      </c>
      <c r="CD81" s="2" t="e">
        <f>VLOOKUP(CC81,$BV$5:BY$215,1,FALSE)</f>
        <v>#N/A</v>
      </c>
      <c r="CE81" s="6" t="e">
        <f>VLOOKUP(CC81,$BV$5:BY$215,2,FALSE)</f>
        <v>#N/A</v>
      </c>
      <c r="CF81" s="103" t="e">
        <f>VLOOKUP(CC81,$BV$5:BY$215,4,FALSE)</f>
        <v>#N/A</v>
      </c>
      <c r="CL81" s="77">
        <v>1</v>
      </c>
    </row>
    <row r="82" spans="1:90" ht="17.45" customHeight="1">
      <c r="A82" s="58">
        <v>78</v>
      </c>
      <c r="B82" s="59" t="str">
        <f>'B Div'!A82 &amp; " " &amp; 'B Div'!B82</f>
        <v xml:space="preserve"> </v>
      </c>
      <c r="C82" s="59" t="str">
        <f>'B Div'!E82</f>
        <v>-</v>
      </c>
      <c r="D82" s="60"/>
      <c r="E82" s="60"/>
      <c r="F82" s="60"/>
      <c r="G82" s="60"/>
      <c r="H82" s="60"/>
      <c r="I82" s="60"/>
      <c r="J82" s="60"/>
      <c r="K82" s="60"/>
      <c r="L82" s="60"/>
      <c r="M82" s="74" t="str">
        <f t="shared" si="15"/>
        <v>-</v>
      </c>
      <c r="N82" s="60"/>
      <c r="O82" s="60"/>
      <c r="P82" s="60"/>
      <c r="Q82" s="60"/>
      <c r="R82" s="60"/>
      <c r="S82" s="60"/>
      <c r="T82" s="60"/>
      <c r="U82" s="60"/>
      <c r="V82" s="60"/>
      <c r="W82" s="74" t="str">
        <f t="shared" si="16"/>
        <v>-</v>
      </c>
      <c r="X82" s="74" t="str">
        <f t="shared" si="17"/>
        <v>-</v>
      </c>
      <c r="Y82" s="74" t="str">
        <f t="shared" si="18"/>
        <v>-</v>
      </c>
      <c r="AA82" s="60"/>
      <c r="AB82" s="60"/>
      <c r="AC82" s="60"/>
      <c r="AD82" s="60"/>
      <c r="AE82" s="60"/>
      <c r="AF82" s="60"/>
      <c r="AG82" s="60"/>
      <c r="AH82" s="60"/>
      <c r="AI82" s="60"/>
      <c r="AJ82" s="74" t="str">
        <f t="shared" si="19"/>
        <v>-</v>
      </c>
      <c r="AK82" s="60"/>
      <c r="AL82" s="60"/>
      <c r="AM82" s="60"/>
      <c r="AN82" s="60"/>
      <c r="AO82" s="60"/>
      <c r="AP82" s="60"/>
      <c r="AQ82" s="60"/>
      <c r="AR82" s="60"/>
      <c r="AS82" s="60"/>
      <c r="AT82" s="74" t="str">
        <f t="shared" si="20"/>
        <v>-</v>
      </c>
      <c r="AU82" s="74" t="str">
        <f t="shared" si="21"/>
        <v>-</v>
      </c>
      <c r="AV82" s="74" t="str">
        <f t="shared" si="22"/>
        <v>-</v>
      </c>
      <c r="AX82" s="59" t="str">
        <f>IF(AND(D82&gt;0,AA82&gt;0),MIN(D82,AA82),"-")</f>
        <v>-</v>
      </c>
      <c r="AY82" s="59" t="str">
        <f>IF(AND(E82&gt;0,AB82&gt;0),MIN(E82,AB82),"-")</f>
        <v>-</v>
      </c>
      <c r="AZ82" s="59" t="str">
        <f>IF(AND(F82&gt;0,AC82&gt;0),MIN(F82,AC82),"-")</f>
        <v>-</v>
      </c>
      <c r="BA82" s="59" t="str">
        <f>IF(AND(G82&gt;0,AD82&gt;0),MIN(G82,AD82),"-")</f>
        <v>-</v>
      </c>
      <c r="BB82" s="59" t="str">
        <f>IF(AND(H82&gt;0,AE82&gt;0),MIN(H82,AE82),"-")</f>
        <v>-</v>
      </c>
      <c r="BC82" s="59" t="str">
        <f>IF(AND(I82&gt;0,AF82&gt;0),MIN(I82,AF82),"-")</f>
        <v>-</v>
      </c>
      <c r="BD82" s="59" t="str">
        <f>IF(AND(J82&gt;0,AG82&gt;0),MIN(J82,AG82),"-")</f>
        <v>-</v>
      </c>
      <c r="BE82" s="59" t="str">
        <f>IF(AND(K82&gt;0,AH82&gt;0),MIN(K82,AH82),"-")</f>
        <v>-</v>
      </c>
      <c r="BF82" s="59" t="str">
        <f>IF(AND(L82&gt;0,AI82&gt;0),MIN(L82,AI82),"-")</f>
        <v>-</v>
      </c>
      <c r="BG82" s="59" t="str">
        <f t="shared" si="23"/>
        <v>-</v>
      </c>
      <c r="BH82" s="59" t="str">
        <f>IF(AND(N82&gt;0,AK82&gt;0),MIN(N82,AK82),"-")</f>
        <v>-</v>
      </c>
      <c r="BI82" s="59" t="str">
        <f>IF(AND(O82&gt;0,AL82&gt;0),MIN(O82,AL82),"-")</f>
        <v>-</v>
      </c>
      <c r="BJ82" s="59" t="str">
        <f>IF(AND(P82&gt;0,AM82&gt;0),MIN(P82,AM82),"-")</f>
        <v>-</v>
      </c>
      <c r="BK82" s="59" t="str">
        <f>IF(AND(Q82&gt;0,AN82&gt;0),MIN(Q82,AN82),"-")</f>
        <v>-</v>
      </c>
      <c r="BL82" s="59" t="str">
        <f>IF(AND(R82&gt;0,AO82&gt;0),MIN(R82,AO82),"-")</f>
        <v>-</v>
      </c>
      <c r="BM82" s="59" t="str">
        <f>IF(AND(S82&gt;0,AP82&gt;0),MIN(S82,AP82),"-")</f>
        <v>-</v>
      </c>
      <c r="BN82" s="59" t="str">
        <f>IF(AND(T82&gt;0,AQ82&gt;0),MIN(T82,AQ82),"-")</f>
        <v>-</v>
      </c>
      <c r="BO82" s="59" t="str">
        <f>IF(AND(U82&gt;0,AR82&gt;0),MIN(U82,AR82),"-")</f>
        <v>-</v>
      </c>
      <c r="BP82" s="59" t="str">
        <f>IF(AND(V82&gt;0,AS82&gt;0),MIN(V82,AS82),"-")</f>
        <v>-</v>
      </c>
      <c r="BQ82" s="59" t="str">
        <f t="shared" si="24"/>
        <v>-</v>
      </c>
      <c r="BR82" s="59" t="str">
        <f t="shared" si="25"/>
        <v>-</v>
      </c>
      <c r="BS82" s="59" t="str">
        <f t="shared" si="26"/>
        <v>-</v>
      </c>
      <c r="BT82" s="98" t="str">
        <f>IF(ISNUMBER(BS82),BS82-(C82*Rules!$P$9/100),"-")</f>
        <v>-</v>
      </c>
      <c r="BU82" s="59" t="e">
        <f>RANK($BT82,$BT$5:$BT$106,1)+COUNTIF(BT$5:BT82,BT82)-1</f>
        <v>#VALUE!</v>
      </c>
      <c r="BV82" s="59" t="e">
        <f t="shared" si="27"/>
        <v>#VALUE!</v>
      </c>
      <c r="BW82" s="59" t="str">
        <f t="shared" si="28"/>
        <v xml:space="preserve"> </v>
      </c>
      <c r="BX82" s="59" t="str">
        <f t="shared" si="28"/>
        <v>-</v>
      </c>
      <c r="BY82" s="59" t="str">
        <f t="shared" si="29"/>
        <v>-</v>
      </c>
      <c r="CC82" s="4">
        <v>78</v>
      </c>
      <c r="CD82" s="2" t="e">
        <f>VLOOKUP(CC82,$BV$5:BY$215,1,FALSE)</f>
        <v>#N/A</v>
      </c>
      <c r="CE82" s="6" t="e">
        <f>VLOOKUP(CC82,$BV$5:BY$215,2,FALSE)</f>
        <v>#N/A</v>
      </c>
      <c r="CF82" s="103" t="e">
        <f>VLOOKUP(CC82,$BV$5:BY$215,4,FALSE)</f>
        <v>#N/A</v>
      </c>
      <c r="CL82" s="77">
        <v>1</v>
      </c>
    </row>
    <row r="83" spans="1:90" ht="17.45" customHeight="1">
      <c r="A83" s="58">
        <v>79</v>
      </c>
      <c r="B83" s="59" t="str">
        <f>'B Div'!A83 &amp; " " &amp; 'B Div'!B83</f>
        <v xml:space="preserve"> </v>
      </c>
      <c r="C83" s="59" t="str">
        <f>'B Div'!E83</f>
        <v>-</v>
      </c>
      <c r="D83" s="60"/>
      <c r="E83" s="60"/>
      <c r="F83" s="60"/>
      <c r="G83" s="60"/>
      <c r="H83" s="60"/>
      <c r="I83" s="60"/>
      <c r="J83" s="60"/>
      <c r="K83" s="60"/>
      <c r="L83" s="60"/>
      <c r="M83" s="74" t="str">
        <f t="shared" si="15"/>
        <v>-</v>
      </c>
      <c r="N83" s="60"/>
      <c r="O83" s="60"/>
      <c r="P83" s="60"/>
      <c r="Q83" s="60"/>
      <c r="R83" s="60"/>
      <c r="S83" s="60"/>
      <c r="T83" s="60"/>
      <c r="U83" s="60"/>
      <c r="V83" s="60"/>
      <c r="W83" s="74" t="str">
        <f t="shared" si="16"/>
        <v>-</v>
      </c>
      <c r="X83" s="74" t="str">
        <f t="shared" si="17"/>
        <v>-</v>
      </c>
      <c r="Y83" s="74" t="str">
        <f t="shared" si="18"/>
        <v>-</v>
      </c>
      <c r="AA83" s="60"/>
      <c r="AB83" s="60"/>
      <c r="AC83" s="60"/>
      <c r="AD83" s="60"/>
      <c r="AE83" s="60"/>
      <c r="AF83" s="60"/>
      <c r="AG83" s="60"/>
      <c r="AH83" s="60"/>
      <c r="AI83" s="60"/>
      <c r="AJ83" s="74" t="str">
        <f t="shared" si="19"/>
        <v>-</v>
      </c>
      <c r="AK83" s="60"/>
      <c r="AL83" s="60"/>
      <c r="AM83" s="60"/>
      <c r="AN83" s="60"/>
      <c r="AO83" s="60"/>
      <c r="AP83" s="60"/>
      <c r="AQ83" s="60"/>
      <c r="AR83" s="60"/>
      <c r="AS83" s="60"/>
      <c r="AT83" s="74" t="str">
        <f t="shared" si="20"/>
        <v>-</v>
      </c>
      <c r="AU83" s="74" t="str">
        <f t="shared" si="21"/>
        <v>-</v>
      </c>
      <c r="AV83" s="74" t="str">
        <f t="shared" si="22"/>
        <v>-</v>
      </c>
      <c r="AX83" s="59" t="str">
        <f>IF(AND(D83&gt;0,AA83&gt;0),MIN(D83,AA83),"-")</f>
        <v>-</v>
      </c>
      <c r="AY83" s="59" t="str">
        <f>IF(AND(E83&gt;0,AB83&gt;0),MIN(E83,AB83),"-")</f>
        <v>-</v>
      </c>
      <c r="AZ83" s="59" t="str">
        <f>IF(AND(F83&gt;0,AC83&gt;0),MIN(F83,AC83),"-")</f>
        <v>-</v>
      </c>
      <c r="BA83" s="59" t="str">
        <f>IF(AND(G83&gt;0,AD83&gt;0),MIN(G83,AD83),"-")</f>
        <v>-</v>
      </c>
      <c r="BB83" s="59" t="str">
        <f>IF(AND(H83&gt;0,AE83&gt;0),MIN(H83,AE83),"-")</f>
        <v>-</v>
      </c>
      <c r="BC83" s="59" t="str">
        <f>IF(AND(I83&gt;0,AF83&gt;0),MIN(I83,AF83),"-")</f>
        <v>-</v>
      </c>
      <c r="BD83" s="59" t="str">
        <f>IF(AND(J83&gt;0,AG83&gt;0),MIN(J83,AG83),"-")</f>
        <v>-</v>
      </c>
      <c r="BE83" s="59" t="str">
        <f>IF(AND(K83&gt;0,AH83&gt;0),MIN(K83,AH83),"-")</f>
        <v>-</v>
      </c>
      <c r="BF83" s="59" t="str">
        <f>IF(AND(L83&gt;0,AI83&gt;0),MIN(L83,AI83),"-")</f>
        <v>-</v>
      </c>
      <c r="BG83" s="59" t="str">
        <f t="shared" si="23"/>
        <v>-</v>
      </c>
      <c r="BH83" s="59" t="str">
        <f>IF(AND(N83&gt;0,AK83&gt;0),MIN(N83,AK83),"-")</f>
        <v>-</v>
      </c>
      <c r="BI83" s="59" t="str">
        <f>IF(AND(O83&gt;0,AL83&gt;0),MIN(O83,AL83),"-")</f>
        <v>-</v>
      </c>
      <c r="BJ83" s="59" t="str">
        <f>IF(AND(P83&gt;0,AM83&gt;0),MIN(P83,AM83),"-")</f>
        <v>-</v>
      </c>
      <c r="BK83" s="59" t="str">
        <f>IF(AND(Q83&gt;0,AN83&gt;0),MIN(Q83,AN83),"-")</f>
        <v>-</v>
      </c>
      <c r="BL83" s="59" t="str">
        <f>IF(AND(R83&gt;0,AO83&gt;0),MIN(R83,AO83),"-")</f>
        <v>-</v>
      </c>
      <c r="BM83" s="59" t="str">
        <f>IF(AND(S83&gt;0,AP83&gt;0),MIN(S83,AP83),"-")</f>
        <v>-</v>
      </c>
      <c r="BN83" s="59" t="str">
        <f>IF(AND(T83&gt;0,AQ83&gt;0),MIN(T83,AQ83),"-")</f>
        <v>-</v>
      </c>
      <c r="BO83" s="59" t="str">
        <f>IF(AND(U83&gt;0,AR83&gt;0),MIN(U83,AR83),"-")</f>
        <v>-</v>
      </c>
      <c r="BP83" s="59" t="str">
        <f>IF(AND(V83&gt;0,AS83&gt;0),MIN(V83,AS83),"-")</f>
        <v>-</v>
      </c>
      <c r="BQ83" s="59" t="str">
        <f t="shared" si="24"/>
        <v>-</v>
      </c>
      <c r="BR83" s="59" t="str">
        <f t="shared" si="25"/>
        <v>-</v>
      </c>
      <c r="BS83" s="59" t="str">
        <f t="shared" si="26"/>
        <v>-</v>
      </c>
      <c r="BT83" s="98" t="str">
        <f>IF(ISNUMBER(BS83),BS83-(C83*Rules!$P$9/100),"-")</f>
        <v>-</v>
      </c>
      <c r="BU83" s="59" t="e">
        <f>RANK($BT83,$BT$5:$BT$106,1)+COUNTIF(BT$5:BT83,BT83)-1</f>
        <v>#VALUE!</v>
      </c>
      <c r="BV83" s="59" t="e">
        <f t="shared" si="27"/>
        <v>#VALUE!</v>
      </c>
      <c r="BW83" s="59" t="str">
        <f t="shared" si="28"/>
        <v xml:space="preserve"> </v>
      </c>
      <c r="BX83" s="59" t="str">
        <f t="shared" si="28"/>
        <v>-</v>
      </c>
      <c r="BY83" s="59" t="str">
        <f t="shared" si="29"/>
        <v>-</v>
      </c>
      <c r="CC83" s="4">
        <v>79</v>
      </c>
      <c r="CD83" s="2" t="e">
        <f>VLOOKUP(CC83,$BV$5:BY$215,1,FALSE)</f>
        <v>#N/A</v>
      </c>
      <c r="CE83" s="6" t="e">
        <f>VLOOKUP(CC83,$BV$5:BY$215,2,FALSE)</f>
        <v>#N/A</v>
      </c>
      <c r="CF83" s="103" t="e">
        <f>VLOOKUP(CC83,$BV$5:BY$215,4,FALSE)</f>
        <v>#N/A</v>
      </c>
      <c r="CL83" s="77">
        <v>1</v>
      </c>
    </row>
    <row r="84" spans="1:90" ht="17.45" customHeight="1">
      <c r="A84" s="58">
        <v>80</v>
      </c>
      <c r="B84" s="59" t="str">
        <f>'B Div'!A84 &amp; " " &amp; 'B Div'!B84</f>
        <v xml:space="preserve"> </v>
      </c>
      <c r="C84" s="59" t="str">
        <f>'B Div'!E84</f>
        <v>-</v>
      </c>
      <c r="D84" s="60"/>
      <c r="E84" s="60"/>
      <c r="F84" s="60"/>
      <c r="G84" s="60"/>
      <c r="H84" s="60"/>
      <c r="I84" s="60"/>
      <c r="J84" s="60"/>
      <c r="K84" s="60"/>
      <c r="L84" s="60"/>
      <c r="M84" s="74" t="str">
        <f t="shared" si="15"/>
        <v>-</v>
      </c>
      <c r="N84" s="60"/>
      <c r="O84" s="60"/>
      <c r="P84" s="60"/>
      <c r="Q84" s="60"/>
      <c r="R84" s="60"/>
      <c r="S84" s="60"/>
      <c r="T84" s="60"/>
      <c r="U84" s="60"/>
      <c r="V84" s="60"/>
      <c r="W84" s="74" t="str">
        <f t="shared" si="16"/>
        <v>-</v>
      </c>
      <c r="X84" s="74" t="str">
        <f t="shared" si="17"/>
        <v>-</v>
      </c>
      <c r="Y84" s="74" t="str">
        <f t="shared" si="18"/>
        <v>-</v>
      </c>
      <c r="AA84" s="60"/>
      <c r="AB84" s="60"/>
      <c r="AC84" s="60"/>
      <c r="AD84" s="60"/>
      <c r="AE84" s="60"/>
      <c r="AF84" s="60"/>
      <c r="AG84" s="60"/>
      <c r="AH84" s="60"/>
      <c r="AI84" s="60"/>
      <c r="AJ84" s="74" t="str">
        <f t="shared" si="19"/>
        <v>-</v>
      </c>
      <c r="AK84" s="60"/>
      <c r="AL84" s="60"/>
      <c r="AM84" s="60"/>
      <c r="AN84" s="60"/>
      <c r="AO84" s="60"/>
      <c r="AP84" s="60"/>
      <c r="AQ84" s="60"/>
      <c r="AR84" s="60"/>
      <c r="AS84" s="60"/>
      <c r="AT84" s="74" t="str">
        <f t="shared" si="20"/>
        <v>-</v>
      </c>
      <c r="AU84" s="74" t="str">
        <f t="shared" si="21"/>
        <v>-</v>
      </c>
      <c r="AV84" s="74" t="str">
        <f t="shared" si="22"/>
        <v>-</v>
      </c>
      <c r="AX84" s="59" t="str">
        <f>IF(AND(D84&gt;0,AA84&gt;0),MIN(D84,AA84),"-")</f>
        <v>-</v>
      </c>
      <c r="AY84" s="59" t="str">
        <f>IF(AND(E84&gt;0,AB84&gt;0),MIN(E84,AB84),"-")</f>
        <v>-</v>
      </c>
      <c r="AZ84" s="59" t="str">
        <f>IF(AND(F84&gt;0,AC84&gt;0),MIN(F84,AC84),"-")</f>
        <v>-</v>
      </c>
      <c r="BA84" s="59" t="str">
        <f>IF(AND(G84&gt;0,AD84&gt;0),MIN(G84,AD84),"-")</f>
        <v>-</v>
      </c>
      <c r="BB84" s="59" t="str">
        <f>IF(AND(H84&gt;0,AE84&gt;0),MIN(H84,AE84),"-")</f>
        <v>-</v>
      </c>
      <c r="BC84" s="59" t="str">
        <f>IF(AND(I84&gt;0,AF84&gt;0),MIN(I84,AF84),"-")</f>
        <v>-</v>
      </c>
      <c r="BD84" s="59" t="str">
        <f>IF(AND(J84&gt;0,AG84&gt;0),MIN(J84,AG84),"-")</f>
        <v>-</v>
      </c>
      <c r="BE84" s="59" t="str">
        <f>IF(AND(K84&gt;0,AH84&gt;0),MIN(K84,AH84),"-")</f>
        <v>-</v>
      </c>
      <c r="BF84" s="59" t="str">
        <f>IF(AND(L84&gt;0,AI84&gt;0),MIN(L84,AI84),"-")</f>
        <v>-</v>
      </c>
      <c r="BG84" s="59" t="str">
        <f t="shared" si="23"/>
        <v>-</v>
      </c>
      <c r="BH84" s="59" t="str">
        <f>IF(AND(N84&gt;0,AK84&gt;0),MIN(N84,AK84),"-")</f>
        <v>-</v>
      </c>
      <c r="BI84" s="59" t="str">
        <f>IF(AND(O84&gt;0,AL84&gt;0),MIN(O84,AL84),"-")</f>
        <v>-</v>
      </c>
      <c r="BJ84" s="59" t="str">
        <f>IF(AND(P84&gt;0,AM84&gt;0),MIN(P84,AM84),"-")</f>
        <v>-</v>
      </c>
      <c r="BK84" s="59" t="str">
        <f>IF(AND(Q84&gt;0,AN84&gt;0),MIN(Q84,AN84),"-")</f>
        <v>-</v>
      </c>
      <c r="BL84" s="59" t="str">
        <f>IF(AND(R84&gt;0,AO84&gt;0),MIN(R84,AO84),"-")</f>
        <v>-</v>
      </c>
      <c r="BM84" s="59" t="str">
        <f>IF(AND(S84&gt;0,AP84&gt;0),MIN(S84,AP84),"-")</f>
        <v>-</v>
      </c>
      <c r="BN84" s="59" t="str">
        <f>IF(AND(T84&gt;0,AQ84&gt;0),MIN(T84,AQ84),"-")</f>
        <v>-</v>
      </c>
      <c r="BO84" s="59" t="str">
        <f>IF(AND(U84&gt;0,AR84&gt;0),MIN(U84,AR84),"-")</f>
        <v>-</v>
      </c>
      <c r="BP84" s="59" t="str">
        <f>IF(AND(V84&gt;0,AS84&gt;0),MIN(V84,AS84),"-")</f>
        <v>-</v>
      </c>
      <c r="BQ84" s="59" t="str">
        <f t="shared" si="24"/>
        <v>-</v>
      </c>
      <c r="BR84" s="59" t="str">
        <f t="shared" si="25"/>
        <v>-</v>
      </c>
      <c r="BS84" s="59" t="str">
        <f t="shared" si="26"/>
        <v>-</v>
      </c>
      <c r="BT84" s="98" t="str">
        <f>IF(ISNUMBER(BS84),BS84-(C84*Rules!$P$9/100),"-")</f>
        <v>-</v>
      </c>
      <c r="BU84" s="59" t="e">
        <f>RANK($BT84,$BT$5:$BT$106,1)+COUNTIF(BT$5:BT84,BT84)-1</f>
        <v>#VALUE!</v>
      </c>
      <c r="BV84" s="59" t="e">
        <f t="shared" si="27"/>
        <v>#VALUE!</v>
      </c>
      <c r="BW84" s="59" t="str">
        <f t="shared" si="28"/>
        <v xml:space="preserve"> </v>
      </c>
      <c r="BX84" s="59" t="str">
        <f t="shared" si="28"/>
        <v>-</v>
      </c>
      <c r="BY84" s="59" t="str">
        <f t="shared" si="29"/>
        <v>-</v>
      </c>
      <c r="CC84" s="4">
        <v>80</v>
      </c>
      <c r="CD84" s="2" t="e">
        <f>VLOOKUP(CC84,$BV$5:BY$215,1,FALSE)</f>
        <v>#N/A</v>
      </c>
      <c r="CE84" s="6" t="e">
        <f>VLOOKUP(CC84,$BV$5:BY$215,2,FALSE)</f>
        <v>#N/A</v>
      </c>
      <c r="CF84" s="103" t="e">
        <f>VLOOKUP(CC84,$BV$5:BY$215,4,FALSE)</f>
        <v>#N/A</v>
      </c>
      <c r="CL84" s="77">
        <v>1</v>
      </c>
    </row>
    <row r="85" spans="1:90" ht="17.45" customHeight="1">
      <c r="A85" s="58">
        <v>81</v>
      </c>
      <c r="B85" s="59" t="str">
        <f>'B Div'!A85 &amp; " " &amp; 'B Div'!B85</f>
        <v xml:space="preserve"> </v>
      </c>
      <c r="C85" s="59" t="str">
        <f>'B Div'!E85</f>
        <v>-</v>
      </c>
      <c r="D85" s="60"/>
      <c r="E85" s="60"/>
      <c r="F85" s="60"/>
      <c r="G85" s="60"/>
      <c r="H85" s="60"/>
      <c r="I85" s="60"/>
      <c r="J85" s="60"/>
      <c r="K85" s="60"/>
      <c r="L85" s="60"/>
      <c r="M85" s="74" t="str">
        <f t="shared" si="15"/>
        <v>-</v>
      </c>
      <c r="N85" s="60"/>
      <c r="O85" s="60"/>
      <c r="P85" s="60"/>
      <c r="Q85" s="60"/>
      <c r="R85" s="60"/>
      <c r="S85" s="60"/>
      <c r="T85" s="60"/>
      <c r="U85" s="60"/>
      <c r="V85" s="60"/>
      <c r="W85" s="74" t="str">
        <f t="shared" si="16"/>
        <v>-</v>
      </c>
      <c r="X85" s="74" t="str">
        <f t="shared" si="17"/>
        <v>-</v>
      </c>
      <c r="Y85" s="74" t="str">
        <f t="shared" si="18"/>
        <v>-</v>
      </c>
      <c r="AA85" s="60"/>
      <c r="AB85" s="60"/>
      <c r="AC85" s="60"/>
      <c r="AD85" s="60"/>
      <c r="AE85" s="60"/>
      <c r="AF85" s="60"/>
      <c r="AG85" s="60"/>
      <c r="AH85" s="60"/>
      <c r="AI85" s="60"/>
      <c r="AJ85" s="74" t="str">
        <f t="shared" si="19"/>
        <v>-</v>
      </c>
      <c r="AK85" s="60"/>
      <c r="AL85" s="60"/>
      <c r="AM85" s="60"/>
      <c r="AN85" s="60"/>
      <c r="AO85" s="60"/>
      <c r="AP85" s="60"/>
      <c r="AQ85" s="60"/>
      <c r="AR85" s="60"/>
      <c r="AS85" s="60"/>
      <c r="AT85" s="74" t="str">
        <f t="shared" si="20"/>
        <v>-</v>
      </c>
      <c r="AU85" s="74" t="str">
        <f t="shared" si="21"/>
        <v>-</v>
      </c>
      <c r="AV85" s="74" t="str">
        <f t="shared" si="22"/>
        <v>-</v>
      </c>
      <c r="AX85" s="59" t="str">
        <f>IF(AND(D85&gt;0,AA85&gt;0),MIN(D85,AA85),"-")</f>
        <v>-</v>
      </c>
      <c r="AY85" s="59" t="str">
        <f>IF(AND(E85&gt;0,AB85&gt;0),MIN(E85,AB85),"-")</f>
        <v>-</v>
      </c>
      <c r="AZ85" s="59" t="str">
        <f>IF(AND(F85&gt;0,AC85&gt;0),MIN(F85,AC85),"-")</f>
        <v>-</v>
      </c>
      <c r="BA85" s="59" t="str">
        <f>IF(AND(G85&gt;0,AD85&gt;0),MIN(G85,AD85),"-")</f>
        <v>-</v>
      </c>
      <c r="BB85" s="59" t="str">
        <f>IF(AND(H85&gt;0,AE85&gt;0),MIN(H85,AE85),"-")</f>
        <v>-</v>
      </c>
      <c r="BC85" s="59" t="str">
        <f>IF(AND(I85&gt;0,AF85&gt;0),MIN(I85,AF85),"-")</f>
        <v>-</v>
      </c>
      <c r="BD85" s="59" t="str">
        <f>IF(AND(J85&gt;0,AG85&gt;0),MIN(J85,AG85),"-")</f>
        <v>-</v>
      </c>
      <c r="BE85" s="59" t="str">
        <f>IF(AND(K85&gt;0,AH85&gt;0),MIN(K85,AH85),"-")</f>
        <v>-</v>
      </c>
      <c r="BF85" s="59" t="str">
        <f>IF(AND(L85&gt;0,AI85&gt;0),MIN(L85,AI85),"-")</f>
        <v>-</v>
      </c>
      <c r="BG85" s="59" t="str">
        <f t="shared" si="23"/>
        <v>-</v>
      </c>
      <c r="BH85" s="59" t="str">
        <f>IF(AND(N85&gt;0,AK85&gt;0),MIN(N85,AK85),"-")</f>
        <v>-</v>
      </c>
      <c r="BI85" s="59" t="str">
        <f>IF(AND(O85&gt;0,AL85&gt;0),MIN(O85,AL85),"-")</f>
        <v>-</v>
      </c>
      <c r="BJ85" s="59" t="str">
        <f>IF(AND(P85&gt;0,AM85&gt;0),MIN(P85,AM85),"-")</f>
        <v>-</v>
      </c>
      <c r="BK85" s="59" t="str">
        <f>IF(AND(Q85&gt;0,AN85&gt;0),MIN(Q85,AN85),"-")</f>
        <v>-</v>
      </c>
      <c r="BL85" s="59" t="str">
        <f>IF(AND(R85&gt;0,AO85&gt;0),MIN(R85,AO85),"-")</f>
        <v>-</v>
      </c>
      <c r="BM85" s="59" t="str">
        <f>IF(AND(S85&gt;0,AP85&gt;0),MIN(S85,AP85),"-")</f>
        <v>-</v>
      </c>
      <c r="BN85" s="59" t="str">
        <f>IF(AND(T85&gt;0,AQ85&gt;0),MIN(T85,AQ85),"-")</f>
        <v>-</v>
      </c>
      <c r="BO85" s="59" t="str">
        <f>IF(AND(U85&gt;0,AR85&gt;0),MIN(U85,AR85),"-")</f>
        <v>-</v>
      </c>
      <c r="BP85" s="59" t="str">
        <f>IF(AND(V85&gt;0,AS85&gt;0),MIN(V85,AS85),"-")</f>
        <v>-</v>
      </c>
      <c r="BQ85" s="59" t="str">
        <f t="shared" si="24"/>
        <v>-</v>
      </c>
      <c r="BR85" s="59" t="str">
        <f t="shared" si="25"/>
        <v>-</v>
      </c>
      <c r="BS85" s="59" t="str">
        <f t="shared" si="26"/>
        <v>-</v>
      </c>
      <c r="BT85" s="98" t="str">
        <f>IF(ISNUMBER(BS85),BS85-(C85*Rules!$P$9/100),"-")</f>
        <v>-</v>
      </c>
      <c r="BU85" s="59" t="e">
        <f>RANK($BT85,$BT$5:$BT$106,1)+COUNTIF(BT$5:BT85,BT85)-1</f>
        <v>#VALUE!</v>
      </c>
      <c r="BV85" s="59" t="e">
        <f t="shared" si="27"/>
        <v>#VALUE!</v>
      </c>
      <c r="BW85" s="59" t="str">
        <f t="shared" si="28"/>
        <v xml:space="preserve"> </v>
      </c>
      <c r="BX85" s="59" t="str">
        <f t="shared" si="28"/>
        <v>-</v>
      </c>
      <c r="BY85" s="59" t="str">
        <f t="shared" si="29"/>
        <v>-</v>
      </c>
      <c r="CC85" s="4">
        <v>81</v>
      </c>
      <c r="CD85" s="2" t="e">
        <f>VLOOKUP(CC85,$BV$5:BY$215,1,FALSE)</f>
        <v>#N/A</v>
      </c>
      <c r="CE85" s="6" t="e">
        <f>VLOOKUP(CC85,$BV$5:BY$215,2,FALSE)</f>
        <v>#N/A</v>
      </c>
      <c r="CF85" s="103" t="e">
        <f>VLOOKUP(CC85,$BV$5:BY$215,4,FALSE)</f>
        <v>#N/A</v>
      </c>
      <c r="CL85" s="77">
        <v>1</v>
      </c>
    </row>
    <row r="86" spans="1:90" ht="17.45" customHeight="1">
      <c r="A86" s="58">
        <v>82</v>
      </c>
      <c r="B86" s="59" t="str">
        <f>'B Div'!A86 &amp; " " &amp; 'B Div'!B86</f>
        <v xml:space="preserve"> </v>
      </c>
      <c r="C86" s="59" t="str">
        <f>'B Div'!E86</f>
        <v>-</v>
      </c>
      <c r="D86" s="60"/>
      <c r="E86" s="60"/>
      <c r="F86" s="60"/>
      <c r="G86" s="60"/>
      <c r="H86" s="60"/>
      <c r="I86" s="60"/>
      <c r="J86" s="60"/>
      <c r="K86" s="60"/>
      <c r="L86" s="60"/>
      <c r="M86" s="74" t="str">
        <f t="shared" si="15"/>
        <v>-</v>
      </c>
      <c r="N86" s="60"/>
      <c r="O86" s="60"/>
      <c r="P86" s="60"/>
      <c r="Q86" s="60"/>
      <c r="R86" s="60"/>
      <c r="S86" s="60"/>
      <c r="T86" s="60"/>
      <c r="U86" s="60"/>
      <c r="V86" s="60"/>
      <c r="W86" s="74" t="str">
        <f t="shared" si="16"/>
        <v>-</v>
      </c>
      <c r="X86" s="74" t="str">
        <f t="shared" si="17"/>
        <v>-</v>
      </c>
      <c r="Y86" s="74" t="str">
        <f t="shared" si="18"/>
        <v>-</v>
      </c>
      <c r="AA86" s="60"/>
      <c r="AB86" s="60"/>
      <c r="AC86" s="60"/>
      <c r="AD86" s="60"/>
      <c r="AE86" s="60"/>
      <c r="AF86" s="60"/>
      <c r="AG86" s="60"/>
      <c r="AH86" s="60"/>
      <c r="AI86" s="60"/>
      <c r="AJ86" s="74" t="str">
        <f t="shared" si="19"/>
        <v>-</v>
      </c>
      <c r="AK86" s="60"/>
      <c r="AL86" s="60"/>
      <c r="AM86" s="60"/>
      <c r="AN86" s="60"/>
      <c r="AO86" s="60"/>
      <c r="AP86" s="60"/>
      <c r="AQ86" s="60"/>
      <c r="AR86" s="60"/>
      <c r="AS86" s="60"/>
      <c r="AT86" s="74" t="str">
        <f t="shared" si="20"/>
        <v>-</v>
      </c>
      <c r="AU86" s="74" t="str">
        <f t="shared" si="21"/>
        <v>-</v>
      </c>
      <c r="AV86" s="74" t="str">
        <f t="shared" si="22"/>
        <v>-</v>
      </c>
      <c r="AX86" s="59" t="str">
        <f>IF(AND(D86&gt;0,AA86&gt;0),MIN(D86,AA86),"-")</f>
        <v>-</v>
      </c>
      <c r="AY86" s="59" t="str">
        <f>IF(AND(E86&gt;0,AB86&gt;0),MIN(E86,AB86),"-")</f>
        <v>-</v>
      </c>
      <c r="AZ86" s="59" t="str">
        <f>IF(AND(F86&gt;0,AC86&gt;0),MIN(F86,AC86),"-")</f>
        <v>-</v>
      </c>
      <c r="BA86" s="59" t="str">
        <f>IF(AND(G86&gt;0,AD86&gt;0),MIN(G86,AD86),"-")</f>
        <v>-</v>
      </c>
      <c r="BB86" s="59" t="str">
        <f>IF(AND(H86&gt;0,AE86&gt;0),MIN(H86,AE86),"-")</f>
        <v>-</v>
      </c>
      <c r="BC86" s="59" t="str">
        <f>IF(AND(I86&gt;0,AF86&gt;0),MIN(I86,AF86),"-")</f>
        <v>-</v>
      </c>
      <c r="BD86" s="59" t="str">
        <f>IF(AND(J86&gt;0,AG86&gt;0),MIN(J86,AG86),"-")</f>
        <v>-</v>
      </c>
      <c r="BE86" s="59" t="str">
        <f>IF(AND(K86&gt;0,AH86&gt;0),MIN(K86,AH86),"-")</f>
        <v>-</v>
      </c>
      <c r="BF86" s="59" t="str">
        <f>IF(AND(L86&gt;0,AI86&gt;0),MIN(L86,AI86),"-")</f>
        <v>-</v>
      </c>
      <c r="BG86" s="59" t="str">
        <f t="shared" si="23"/>
        <v>-</v>
      </c>
      <c r="BH86" s="59" t="str">
        <f>IF(AND(N86&gt;0,AK86&gt;0),MIN(N86,AK86),"-")</f>
        <v>-</v>
      </c>
      <c r="BI86" s="59" t="str">
        <f>IF(AND(O86&gt;0,AL86&gt;0),MIN(O86,AL86),"-")</f>
        <v>-</v>
      </c>
      <c r="BJ86" s="59" t="str">
        <f>IF(AND(P86&gt;0,AM86&gt;0),MIN(P86,AM86),"-")</f>
        <v>-</v>
      </c>
      <c r="BK86" s="59" t="str">
        <f>IF(AND(Q86&gt;0,AN86&gt;0),MIN(Q86,AN86),"-")</f>
        <v>-</v>
      </c>
      <c r="BL86" s="59" t="str">
        <f>IF(AND(R86&gt;0,AO86&gt;0),MIN(R86,AO86),"-")</f>
        <v>-</v>
      </c>
      <c r="BM86" s="59" t="str">
        <f>IF(AND(S86&gt;0,AP86&gt;0),MIN(S86,AP86),"-")</f>
        <v>-</v>
      </c>
      <c r="BN86" s="59" t="str">
        <f>IF(AND(T86&gt;0,AQ86&gt;0),MIN(T86,AQ86),"-")</f>
        <v>-</v>
      </c>
      <c r="BO86" s="59" t="str">
        <f>IF(AND(U86&gt;0,AR86&gt;0),MIN(U86,AR86),"-")</f>
        <v>-</v>
      </c>
      <c r="BP86" s="59" t="str">
        <f>IF(AND(V86&gt;0,AS86&gt;0),MIN(V86,AS86),"-")</f>
        <v>-</v>
      </c>
      <c r="BQ86" s="59" t="str">
        <f t="shared" si="24"/>
        <v>-</v>
      </c>
      <c r="BR86" s="59" t="str">
        <f t="shared" si="25"/>
        <v>-</v>
      </c>
      <c r="BS86" s="59" t="str">
        <f t="shared" si="26"/>
        <v>-</v>
      </c>
      <c r="BT86" s="98" t="str">
        <f>IF(ISNUMBER(BS86),BS86-(C86*Rules!$P$9/100),"-")</f>
        <v>-</v>
      </c>
      <c r="BU86" s="59" t="e">
        <f>RANK($BT86,$BT$5:$BT$106,1)+COUNTIF(BT$5:BT86,BT86)-1</f>
        <v>#VALUE!</v>
      </c>
      <c r="BV86" s="59" t="e">
        <f t="shared" si="27"/>
        <v>#VALUE!</v>
      </c>
      <c r="BW86" s="59" t="str">
        <f t="shared" si="28"/>
        <v xml:space="preserve"> </v>
      </c>
      <c r="BX86" s="59" t="str">
        <f t="shared" si="28"/>
        <v>-</v>
      </c>
      <c r="BY86" s="59" t="str">
        <f t="shared" si="29"/>
        <v>-</v>
      </c>
      <c r="CC86" s="4">
        <v>82</v>
      </c>
      <c r="CD86" s="2" t="e">
        <f>VLOOKUP(CC86,$BV$5:BY$215,1,FALSE)</f>
        <v>#N/A</v>
      </c>
      <c r="CE86" s="6" t="e">
        <f>VLOOKUP(CC86,$BV$5:BY$215,2,FALSE)</f>
        <v>#N/A</v>
      </c>
      <c r="CF86" s="103" t="e">
        <f>VLOOKUP(CC86,$BV$5:BY$215,4,FALSE)</f>
        <v>#N/A</v>
      </c>
      <c r="CL86" s="77">
        <v>1</v>
      </c>
    </row>
    <row r="87" spans="1:90" ht="17.45" customHeight="1">
      <c r="A87" s="58">
        <v>83</v>
      </c>
      <c r="B87" s="59" t="str">
        <f>'B Div'!A87 &amp; " " &amp; 'B Div'!B87</f>
        <v xml:space="preserve"> </v>
      </c>
      <c r="C87" s="59" t="str">
        <f>'B Div'!E87</f>
        <v>-</v>
      </c>
      <c r="D87" s="60"/>
      <c r="E87" s="60"/>
      <c r="F87" s="60"/>
      <c r="G87" s="60"/>
      <c r="H87" s="60"/>
      <c r="I87" s="60"/>
      <c r="J87" s="60"/>
      <c r="K87" s="60"/>
      <c r="L87" s="60"/>
      <c r="M87" s="74" t="str">
        <f t="shared" si="15"/>
        <v>-</v>
      </c>
      <c r="N87" s="60"/>
      <c r="O87" s="60"/>
      <c r="P87" s="60"/>
      <c r="Q87" s="60"/>
      <c r="R87" s="60"/>
      <c r="S87" s="60"/>
      <c r="T87" s="60"/>
      <c r="U87" s="60"/>
      <c r="V87" s="60"/>
      <c r="W87" s="74" t="str">
        <f t="shared" si="16"/>
        <v>-</v>
      </c>
      <c r="X87" s="74" t="str">
        <f t="shared" si="17"/>
        <v>-</v>
      </c>
      <c r="Y87" s="74" t="str">
        <f t="shared" si="18"/>
        <v>-</v>
      </c>
      <c r="AA87" s="60"/>
      <c r="AB87" s="60"/>
      <c r="AC87" s="60"/>
      <c r="AD87" s="60"/>
      <c r="AE87" s="60"/>
      <c r="AF87" s="60"/>
      <c r="AG87" s="60"/>
      <c r="AH87" s="60"/>
      <c r="AI87" s="60"/>
      <c r="AJ87" s="74" t="str">
        <f t="shared" si="19"/>
        <v>-</v>
      </c>
      <c r="AK87" s="60"/>
      <c r="AL87" s="60"/>
      <c r="AM87" s="60"/>
      <c r="AN87" s="60"/>
      <c r="AO87" s="60"/>
      <c r="AP87" s="60"/>
      <c r="AQ87" s="60"/>
      <c r="AR87" s="60"/>
      <c r="AS87" s="60"/>
      <c r="AT87" s="74" t="str">
        <f t="shared" si="20"/>
        <v>-</v>
      </c>
      <c r="AU87" s="74" t="str">
        <f t="shared" si="21"/>
        <v>-</v>
      </c>
      <c r="AV87" s="74" t="str">
        <f t="shared" si="22"/>
        <v>-</v>
      </c>
      <c r="AX87" s="59" t="str">
        <f>IF(AND(D87&gt;0,AA87&gt;0),MIN(D87,AA87),"-")</f>
        <v>-</v>
      </c>
      <c r="AY87" s="59" t="str">
        <f>IF(AND(E87&gt;0,AB87&gt;0),MIN(E87,AB87),"-")</f>
        <v>-</v>
      </c>
      <c r="AZ87" s="59" t="str">
        <f>IF(AND(F87&gt;0,AC87&gt;0),MIN(F87,AC87),"-")</f>
        <v>-</v>
      </c>
      <c r="BA87" s="59" t="str">
        <f>IF(AND(G87&gt;0,AD87&gt;0),MIN(G87,AD87),"-")</f>
        <v>-</v>
      </c>
      <c r="BB87" s="59" t="str">
        <f>IF(AND(H87&gt;0,AE87&gt;0),MIN(H87,AE87),"-")</f>
        <v>-</v>
      </c>
      <c r="BC87" s="59" t="str">
        <f>IF(AND(I87&gt;0,AF87&gt;0),MIN(I87,AF87),"-")</f>
        <v>-</v>
      </c>
      <c r="BD87" s="59" t="str">
        <f>IF(AND(J87&gt;0,AG87&gt;0),MIN(J87,AG87),"-")</f>
        <v>-</v>
      </c>
      <c r="BE87" s="59" t="str">
        <f>IF(AND(K87&gt;0,AH87&gt;0),MIN(K87,AH87),"-")</f>
        <v>-</v>
      </c>
      <c r="BF87" s="59" t="str">
        <f>IF(AND(L87&gt;0,AI87&gt;0),MIN(L87,AI87),"-")</f>
        <v>-</v>
      </c>
      <c r="BG87" s="59" t="str">
        <f t="shared" si="23"/>
        <v>-</v>
      </c>
      <c r="BH87" s="59" t="str">
        <f>IF(AND(N87&gt;0,AK87&gt;0),MIN(N87,AK87),"-")</f>
        <v>-</v>
      </c>
      <c r="BI87" s="59" t="str">
        <f>IF(AND(O87&gt;0,AL87&gt;0),MIN(O87,AL87),"-")</f>
        <v>-</v>
      </c>
      <c r="BJ87" s="59" t="str">
        <f>IF(AND(P87&gt;0,AM87&gt;0),MIN(P87,AM87),"-")</f>
        <v>-</v>
      </c>
      <c r="BK87" s="59" t="str">
        <f>IF(AND(Q87&gt;0,AN87&gt;0),MIN(Q87,AN87),"-")</f>
        <v>-</v>
      </c>
      <c r="BL87" s="59" t="str">
        <f>IF(AND(R87&gt;0,AO87&gt;0),MIN(R87,AO87),"-")</f>
        <v>-</v>
      </c>
      <c r="BM87" s="59" t="str">
        <f>IF(AND(S87&gt;0,AP87&gt;0),MIN(S87,AP87),"-")</f>
        <v>-</v>
      </c>
      <c r="BN87" s="59" t="str">
        <f>IF(AND(T87&gt;0,AQ87&gt;0),MIN(T87,AQ87),"-")</f>
        <v>-</v>
      </c>
      <c r="BO87" s="59" t="str">
        <f>IF(AND(U87&gt;0,AR87&gt;0),MIN(U87,AR87),"-")</f>
        <v>-</v>
      </c>
      <c r="BP87" s="59" t="str">
        <f>IF(AND(V87&gt;0,AS87&gt;0),MIN(V87,AS87),"-")</f>
        <v>-</v>
      </c>
      <c r="BQ87" s="59" t="str">
        <f t="shared" si="24"/>
        <v>-</v>
      </c>
      <c r="BR87" s="59" t="str">
        <f t="shared" si="25"/>
        <v>-</v>
      </c>
      <c r="BS87" s="59" t="str">
        <f t="shared" si="26"/>
        <v>-</v>
      </c>
      <c r="BT87" s="98" t="str">
        <f>IF(ISNUMBER(BS87),BS87-(C87*Rules!$P$9/100),"-")</f>
        <v>-</v>
      </c>
      <c r="BU87" s="59" t="e">
        <f>RANK($BT87,$BT$5:$BT$106,1)+COUNTIF(BT$5:BT87,BT87)-1</f>
        <v>#VALUE!</v>
      </c>
      <c r="BV87" s="59" t="e">
        <f t="shared" si="27"/>
        <v>#VALUE!</v>
      </c>
      <c r="BW87" s="59" t="str">
        <f t="shared" si="28"/>
        <v xml:space="preserve"> </v>
      </c>
      <c r="BX87" s="59" t="str">
        <f t="shared" si="28"/>
        <v>-</v>
      </c>
      <c r="BY87" s="59" t="str">
        <f t="shared" si="29"/>
        <v>-</v>
      </c>
      <c r="CC87" s="4">
        <v>83</v>
      </c>
      <c r="CD87" s="2" t="e">
        <f>VLOOKUP(CC87,$BV$5:BY$215,1,FALSE)</f>
        <v>#N/A</v>
      </c>
      <c r="CE87" s="6" t="e">
        <f>VLOOKUP(CC87,$BV$5:BY$215,2,FALSE)</f>
        <v>#N/A</v>
      </c>
      <c r="CF87" s="103" t="e">
        <f>VLOOKUP(CC87,$BV$5:BY$215,4,FALSE)</f>
        <v>#N/A</v>
      </c>
      <c r="CL87" s="77">
        <v>1</v>
      </c>
    </row>
    <row r="88" spans="1:90" ht="17.45" customHeight="1">
      <c r="A88" s="58">
        <v>84</v>
      </c>
      <c r="B88" s="59" t="str">
        <f>'B Div'!A88 &amp; " " &amp; 'B Div'!B88</f>
        <v xml:space="preserve"> </v>
      </c>
      <c r="C88" s="59" t="str">
        <f>'B Div'!E88</f>
        <v>-</v>
      </c>
      <c r="D88" s="60"/>
      <c r="E88" s="60"/>
      <c r="F88" s="60"/>
      <c r="G88" s="60"/>
      <c r="H88" s="60"/>
      <c r="I88" s="60"/>
      <c r="J88" s="60"/>
      <c r="K88" s="60"/>
      <c r="L88" s="60"/>
      <c r="M88" s="74" t="str">
        <f t="shared" si="15"/>
        <v>-</v>
      </c>
      <c r="N88" s="60"/>
      <c r="O88" s="60"/>
      <c r="P88" s="60"/>
      <c r="Q88" s="60"/>
      <c r="R88" s="60"/>
      <c r="S88" s="60"/>
      <c r="T88" s="60"/>
      <c r="U88" s="60"/>
      <c r="V88" s="60"/>
      <c r="W88" s="74" t="str">
        <f t="shared" si="16"/>
        <v>-</v>
      </c>
      <c r="X88" s="74" t="str">
        <f t="shared" si="17"/>
        <v>-</v>
      </c>
      <c r="Y88" s="74" t="str">
        <f t="shared" si="18"/>
        <v>-</v>
      </c>
      <c r="AA88" s="60"/>
      <c r="AB88" s="60"/>
      <c r="AC88" s="60"/>
      <c r="AD88" s="60"/>
      <c r="AE88" s="60"/>
      <c r="AF88" s="60"/>
      <c r="AG88" s="60"/>
      <c r="AH88" s="60"/>
      <c r="AI88" s="60"/>
      <c r="AJ88" s="74" t="str">
        <f t="shared" si="19"/>
        <v>-</v>
      </c>
      <c r="AK88" s="60"/>
      <c r="AL88" s="60"/>
      <c r="AM88" s="60"/>
      <c r="AN88" s="60"/>
      <c r="AO88" s="60"/>
      <c r="AP88" s="60"/>
      <c r="AQ88" s="60"/>
      <c r="AR88" s="60"/>
      <c r="AS88" s="60"/>
      <c r="AT88" s="74" t="str">
        <f t="shared" si="20"/>
        <v>-</v>
      </c>
      <c r="AU88" s="74" t="str">
        <f t="shared" si="21"/>
        <v>-</v>
      </c>
      <c r="AV88" s="74" t="str">
        <f t="shared" si="22"/>
        <v>-</v>
      </c>
      <c r="AX88" s="59" t="str">
        <f>IF(AND(D88&gt;0,AA88&gt;0),MIN(D88,AA88),"-")</f>
        <v>-</v>
      </c>
      <c r="AY88" s="59" t="str">
        <f>IF(AND(E88&gt;0,AB88&gt;0),MIN(E88,AB88),"-")</f>
        <v>-</v>
      </c>
      <c r="AZ88" s="59" t="str">
        <f>IF(AND(F88&gt;0,AC88&gt;0),MIN(F88,AC88),"-")</f>
        <v>-</v>
      </c>
      <c r="BA88" s="59" t="str">
        <f>IF(AND(G88&gt;0,AD88&gt;0),MIN(G88,AD88),"-")</f>
        <v>-</v>
      </c>
      <c r="BB88" s="59" t="str">
        <f>IF(AND(H88&gt;0,AE88&gt;0),MIN(H88,AE88),"-")</f>
        <v>-</v>
      </c>
      <c r="BC88" s="59" t="str">
        <f>IF(AND(I88&gt;0,AF88&gt;0),MIN(I88,AF88),"-")</f>
        <v>-</v>
      </c>
      <c r="BD88" s="59" t="str">
        <f>IF(AND(J88&gt;0,AG88&gt;0),MIN(J88,AG88),"-")</f>
        <v>-</v>
      </c>
      <c r="BE88" s="59" t="str">
        <f>IF(AND(K88&gt;0,AH88&gt;0),MIN(K88,AH88),"-")</f>
        <v>-</v>
      </c>
      <c r="BF88" s="59" t="str">
        <f>IF(AND(L88&gt;0,AI88&gt;0),MIN(L88,AI88),"-")</f>
        <v>-</v>
      </c>
      <c r="BG88" s="59" t="str">
        <f t="shared" si="23"/>
        <v>-</v>
      </c>
      <c r="BH88" s="59" t="str">
        <f>IF(AND(N88&gt;0,AK88&gt;0),MIN(N88,AK88),"-")</f>
        <v>-</v>
      </c>
      <c r="BI88" s="59" t="str">
        <f>IF(AND(O88&gt;0,AL88&gt;0),MIN(O88,AL88),"-")</f>
        <v>-</v>
      </c>
      <c r="BJ88" s="59" t="str">
        <f>IF(AND(P88&gt;0,AM88&gt;0),MIN(P88,AM88),"-")</f>
        <v>-</v>
      </c>
      <c r="BK88" s="59" t="str">
        <f>IF(AND(Q88&gt;0,AN88&gt;0),MIN(Q88,AN88),"-")</f>
        <v>-</v>
      </c>
      <c r="BL88" s="59" t="str">
        <f>IF(AND(R88&gt;0,AO88&gt;0),MIN(R88,AO88),"-")</f>
        <v>-</v>
      </c>
      <c r="BM88" s="59" t="str">
        <f>IF(AND(S88&gt;0,AP88&gt;0),MIN(S88,AP88),"-")</f>
        <v>-</v>
      </c>
      <c r="BN88" s="59" t="str">
        <f>IF(AND(T88&gt;0,AQ88&gt;0),MIN(T88,AQ88),"-")</f>
        <v>-</v>
      </c>
      <c r="BO88" s="59" t="str">
        <f>IF(AND(U88&gt;0,AR88&gt;0),MIN(U88,AR88),"-")</f>
        <v>-</v>
      </c>
      <c r="BP88" s="59" t="str">
        <f>IF(AND(V88&gt;0,AS88&gt;0),MIN(V88,AS88),"-")</f>
        <v>-</v>
      </c>
      <c r="BQ88" s="59" t="str">
        <f t="shared" si="24"/>
        <v>-</v>
      </c>
      <c r="BR88" s="59" t="str">
        <f t="shared" si="25"/>
        <v>-</v>
      </c>
      <c r="BS88" s="59" t="str">
        <f t="shared" si="26"/>
        <v>-</v>
      </c>
      <c r="BT88" s="98" t="str">
        <f>IF(ISNUMBER(BS88),BS88-(C88*Rules!$P$9/100),"-")</f>
        <v>-</v>
      </c>
      <c r="BU88" s="59" t="e">
        <f>RANK($BT88,$BT$5:$BT$106,1)+COUNTIF(BT$5:BT88,BT88)-1</f>
        <v>#VALUE!</v>
      </c>
      <c r="BV88" s="59" t="e">
        <f t="shared" si="27"/>
        <v>#VALUE!</v>
      </c>
      <c r="BW88" s="59" t="str">
        <f t="shared" si="28"/>
        <v xml:space="preserve"> </v>
      </c>
      <c r="BX88" s="59" t="str">
        <f t="shared" si="28"/>
        <v>-</v>
      </c>
      <c r="BY88" s="59" t="str">
        <f t="shared" si="29"/>
        <v>-</v>
      </c>
      <c r="CC88" s="4">
        <v>84</v>
      </c>
      <c r="CD88" s="2" t="e">
        <f>VLOOKUP(CC88,$BV$5:BY$215,1,FALSE)</f>
        <v>#N/A</v>
      </c>
      <c r="CE88" s="6" t="e">
        <f>VLOOKUP(CC88,$BV$5:BY$215,2,FALSE)</f>
        <v>#N/A</v>
      </c>
      <c r="CF88" s="103" t="e">
        <f>VLOOKUP(CC88,$BV$5:BY$215,4,FALSE)</f>
        <v>#N/A</v>
      </c>
      <c r="CL88" s="77">
        <v>1</v>
      </c>
    </row>
    <row r="89" spans="1:90" ht="17.45" customHeight="1">
      <c r="A89" s="58">
        <v>85</v>
      </c>
      <c r="B89" s="59" t="str">
        <f>'B Div'!A89 &amp; " " &amp; 'B Div'!B89</f>
        <v xml:space="preserve"> </v>
      </c>
      <c r="C89" s="59" t="str">
        <f>'B Div'!E89</f>
        <v>-</v>
      </c>
      <c r="D89" s="60"/>
      <c r="E89" s="60"/>
      <c r="F89" s="60"/>
      <c r="G89" s="60"/>
      <c r="H89" s="60"/>
      <c r="I89" s="60"/>
      <c r="J89" s="60"/>
      <c r="K89" s="60"/>
      <c r="L89" s="60"/>
      <c r="M89" s="74" t="str">
        <f t="shared" si="15"/>
        <v>-</v>
      </c>
      <c r="N89" s="60"/>
      <c r="O89" s="60"/>
      <c r="P89" s="60"/>
      <c r="Q89" s="60"/>
      <c r="R89" s="60"/>
      <c r="S89" s="60"/>
      <c r="T89" s="60"/>
      <c r="U89" s="60"/>
      <c r="V89" s="60"/>
      <c r="W89" s="74" t="str">
        <f t="shared" si="16"/>
        <v>-</v>
      </c>
      <c r="X89" s="74" t="str">
        <f t="shared" si="17"/>
        <v>-</v>
      </c>
      <c r="Y89" s="74" t="str">
        <f t="shared" si="18"/>
        <v>-</v>
      </c>
      <c r="AA89" s="60"/>
      <c r="AB89" s="60"/>
      <c r="AC89" s="60"/>
      <c r="AD89" s="60"/>
      <c r="AE89" s="60"/>
      <c r="AF89" s="60"/>
      <c r="AG89" s="60"/>
      <c r="AH89" s="60"/>
      <c r="AI89" s="60"/>
      <c r="AJ89" s="74" t="str">
        <f t="shared" si="19"/>
        <v>-</v>
      </c>
      <c r="AK89" s="60"/>
      <c r="AL89" s="60"/>
      <c r="AM89" s="60"/>
      <c r="AN89" s="60"/>
      <c r="AO89" s="60"/>
      <c r="AP89" s="60"/>
      <c r="AQ89" s="60"/>
      <c r="AR89" s="60"/>
      <c r="AS89" s="60"/>
      <c r="AT89" s="74" t="str">
        <f t="shared" si="20"/>
        <v>-</v>
      </c>
      <c r="AU89" s="74" t="str">
        <f t="shared" si="21"/>
        <v>-</v>
      </c>
      <c r="AV89" s="74" t="str">
        <f t="shared" si="22"/>
        <v>-</v>
      </c>
      <c r="AX89" s="59" t="str">
        <f>IF(AND(D89&gt;0,AA89&gt;0),MIN(D89,AA89),"-")</f>
        <v>-</v>
      </c>
      <c r="AY89" s="59" t="str">
        <f>IF(AND(E89&gt;0,AB89&gt;0),MIN(E89,AB89),"-")</f>
        <v>-</v>
      </c>
      <c r="AZ89" s="59" t="str">
        <f>IF(AND(F89&gt;0,AC89&gt;0),MIN(F89,AC89),"-")</f>
        <v>-</v>
      </c>
      <c r="BA89" s="59" t="str">
        <f>IF(AND(G89&gt;0,AD89&gt;0),MIN(G89,AD89),"-")</f>
        <v>-</v>
      </c>
      <c r="BB89" s="59" t="str">
        <f>IF(AND(H89&gt;0,AE89&gt;0),MIN(H89,AE89),"-")</f>
        <v>-</v>
      </c>
      <c r="BC89" s="59" t="str">
        <f>IF(AND(I89&gt;0,AF89&gt;0),MIN(I89,AF89),"-")</f>
        <v>-</v>
      </c>
      <c r="BD89" s="59" t="str">
        <f>IF(AND(J89&gt;0,AG89&gt;0),MIN(J89,AG89),"-")</f>
        <v>-</v>
      </c>
      <c r="BE89" s="59" t="str">
        <f>IF(AND(K89&gt;0,AH89&gt;0),MIN(K89,AH89),"-")</f>
        <v>-</v>
      </c>
      <c r="BF89" s="59" t="str">
        <f>IF(AND(L89&gt;0,AI89&gt;0),MIN(L89,AI89),"-")</f>
        <v>-</v>
      </c>
      <c r="BG89" s="59" t="str">
        <f t="shared" si="23"/>
        <v>-</v>
      </c>
      <c r="BH89" s="59" t="str">
        <f>IF(AND(N89&gt;0,AK89&gt;0),MIN(N89,AK89),"-")</f>
        <v>-</v>
      </c>
      <c r="BI89" s="59" t="str">
        <f>IF(AND(O89&gt;0,AL89&gt;0),MIN(O89,AL89),"-")</f>
        <v>-</v>
      </c>
      <c r="BJ89" s="59" t="str">
        <f>IF(AND(P89&gt;0,AM89&gt;0),MIN(P89,AM89),"-")</f>
        <v>-</v>
      </c>
      <c r="BK89" s="59" t="str">
        <f>IF(AND(Q89&gt;0,AN89&gt;0),MIN(Q89,AN89),"-")</f>
        <v>-</v>
      </c>
      <c r="BL89" s="59" t="str">
        <f>IF(AND(R89&gt;0,AO89&gt;0),MIN(R89,AO89),"-")</f>
        <v>-</v>
      </c>
      <c r="BM89" s="59" t="str">
        <f>IF(AND(S89&gt;0,AP89&gt;0),MIN(S89,AP89),"-")</f>
        <v>-</v>
      </c>
      <c r="BN89" s="59" t="str">
        <f>IF(AND(T89&gt;0,AQ89&gt;0),MIN(T89,AQ89),"-")</f>
        <v>-</v>
      </c>
      <c r="BO89" s="59" t="str">
        <f>IF(AND(U89&gt;0,AR89&gt;0),MIN(U89,AR89),"-")</f>
        <v>-</v>
      </c>
      <c r="BP89" s="59" t="str">
        <f>IF(AND(V89&gt;0,AS89&gt;0),MIN(V89,AS89),"-")</f>
        <v>-</v>
      </c>
      <c r="BQ89" s="59" t="str">
        <f t="shared" si="24"/>
        <v>-</v>
      </c>
      <c r="BR89" s="59" t="str">
        <f t="shared" si="25"/>
        <v>-</v>
      </c>
      <c r="BS89" s="59" t="str">
        <f t="shared" si="26"/>
        <v>-</v>
      </c>
      <c r="BT89" s="98" t="str">
        <f>IF(ISNUMBER(BS89),BS89-(C89*Rules!$P$9/100),"-")</f>
        <v>-</v>
      </c>
      <c r="BU89" s="59" t="e">
        <f>RANK($BT89,$BT$5:$BT$106,1)+COUNTIF(BT$5:BT89,BT89)-1</f>
        <v>#VALUE!</v>
      </c>
      <c r="BV89" s="59" t="e">
        <f t="shared" si="27"/>
        <v>#VALUE!</v>
      </c>
      <c r="BW89" s="59" t="str">
        <f t="shared" si="28"/>
        <v xml:space="preserve"> </v>
      </c>
      <c r="BX89" s="59" t="str">
        <f t="shared" si="28"/>
        <v>-</v>
      </c>
      <c r="BY89" s="59" t="str">
        <f t="shared" si="29"/>
        <v>-</v>
      </c>
      <c r="CC89" s="4">
        <v>85</v>
      </c>
      <c r="CD89" s="2" t="e">
        <f>VLOOKUP(CC89,$BV$5:BY$215,1,FALSE)</f>
        <v>#N/A</v>
      </c>
      <c r="CE89" s="6" t="e">
        <f>VLOOKUP(CC89,$BV$5:BY$215,2,FALSE)</f>
        <v>#N/A</v>
      </c>
      <c r="CF89" s="103" t="e">
        <f>VLOOKUP(CC89,$BV$5:BY$215,4,FALSE)</f>
        <v>#N/A</v>
      </c>
      <c r="CL89" s="77">
        <v>1</v>
      </c>
    </row>
    <row r="90" spans="1:90" ht="17.45" customHeight="1">
      <c r="A90" s="58">
        <v>86</v>
      </c>
      <c r="B90" s="59" t="str">
        <f>'B Div'!A90 &amp; " " &amp; 'B Div'!B90</f>
        <v xml:space="preserve"> </v>
      </c>
      <c r="C90" s="59" t="str">
        <f>'B Div'!E90</f>
        <v>-</v>
      </c>
      <c r="D90" s="60"/>
      <c r="E90" s="60"/>
      <c r="F90" s="60"/>
      <c r="G90" s="60"/>
      <c r="H90" s="60"/>
      <c r="I90" s="60"/>
      <c r="J90" s="60"/>
      <c r="K90" s="60"/>
      <c r="L90" s="60"/>
      <c r="M90" s="74" t="str">
        <f t="shared" si="15"/>
        <v>-</v>
      </c>
      <c r="N90" s="60"/>
      <c r="O90" s="60"/>
      <c r="P90" s="60"/>
      <c r="Q90" s="60"/>
      <c r="R90" s="60"/>
      <c r="S90" s="60"/>
      <c r="T90" s="60"/>
      <c r="U90" s="60"/>
      <c r="V90" s="60"/>
      <c r="W90" s="74" t="str">
        <f t="shared" si="16"/>
        <v>-</v>
      </c>
      <c r="X90" s="74" t="str">
        <f t="shared" si="17"/>
        <v>-</v>
      </c>
      <c r="Y90" s="74" t="str">
        <f t="shared" si="18"/>
        <v>-</v>
      </c>
      <c r="AA90" s="60"/>
      <c r="AB90" s="60"/>
      <c r="AC90" s="60"/>
      <c r="AD90" s="60"/>
      <c r="AE90" s="60"/>
      <c r="AF90" s="60"/>
      <c r="AG90" s="60"/>
      <c r="AH90" s="60"/>
      <c r="AI90" s="60"/>
      <c r="AJ90" s="74" t="str">
        <f t="shared" si="19"/>
        <v>-</v>
      </c>
      <c r="AK90" s="60"/>
      <c r="AL90" s="60"/>
      <c r="AM90" s="60"/>
      <c r="AN90" s="60"/>
      <c r="AO90" s="60"/>
      <c r="AP90" s="60"/>
      <c r="AQ90" s="60"/>
      <c r="AR90" s="60"/>
      <c r="AS90" s="60"/>
      <c r="AT90" s="74" t="str">
        <f t="shared" si="20"/>
        <v>-</v>
      </c>
      <c r="AU90" s="74" t="str">
        <f t="shared" si="21"/>
        <v>-</v>
      </c>
      <c r="AV90" s="74" t="str">
        <f t="shared" si="22"/>
        <v>-</v>
      </c>
      <c r="AX90" s="59" t="str">
        <f>IF(AND(D90&gt;0,AA90&gt;0),MIN(D90,AA90),"-")</f>
        <v>-</v>
      </c>
      <c r="AY90" s="59" t="str">
        <f>IF(AND(E90&gt;0,AB90&gt;0),MIN(E90,AB90),"-")</f>
        <v>-</v>
      </c>
      <c r="AZ90" s="59" t="str">
        <f>IF(AND(F90&gt;0,AC90&gt;0),MIN(F90,AC90),"-")</f>
        <v>-</v>
      </c>
      <c r="BA90" s="59" t="str">
        <f>IF(AND(G90&gt;0,AD90&gt;0),MIN(G90,AD90),"-")</f>
        <v>-</v>
      </c>
      <c r="BB90" s="59" t="str">
        <f>IF(AND(H90&gt;0,AE90&gt;0),MIN(H90,AE90),"-")</f>
        <v>-</v>
      </c>
      <c r="BC90" s="59" t="str">
        <f>IF(AND(I90&gt;0,AF90&gt;0),MIN(I90,AF90),"-")</f>
        <v>-</v>
      </c>
      <c r="BD90" s="59" t="str">
        <f>IF(AND(J90&gt;0,AG90&gt;0),MIN(J90,AG90),"-")</f>
        <v>-</v>
      </c>
      <c r="BE90" s="59" t="str">
        <f>IF(AND(K90&gt;0,AH90&gt;0),MIN(K90,AH90),"-")</f>
        <v>-</v>
      </c>
      <c r="BF90" s="59" t="str">
        <f>IF(AND(L90&gt;0,AI90&gt;0),MIN(L90,AI90),"-")</f>
        <v>-</v>
      </c>
      <c r="BG90" s="59" t="str">
        <f t="shared" si="23"/>
        <v>-</v>
      </c>
      <c r="BH90" s="59" t="str">
        <f>IF(AND(N90&gt;0,AK90&gt;0),MIN(N90,AK90),"-")</f>
        <v>-</v>
      </c>
      <c r="BI90" s="59" t="str">
        <f>IF(AND(O90&gt;0,AL90&gt;0),MIN(O90,AL90),"-")</f>
        <v>-</v>
      </c>
      <c r="BJ90" s="59" t="str">
        <f>IF(AND(P90&gt;0,AM90&gt;0),MIN(P90,AM90),"-")</f>
        <v>-</v>
      </c>
      <c r="BK90" s="59" t="str">
        <f>IF(AND(Q90&gt;0,AN90&gt;0),MIN(Q90,AN90),"-")</f>
        <v>-</v>
      </c>
      <c r="BL90" s="59" t="str">
        <f>IF(AND(R90&gt;0,AO90&gt;0),MIN(R90,AO90),"-")</f>
        <v>-</v>
      </c>
      <c r="BM90" s="59" t="str">
        <f>IF(AND(S90&gt;0,AP90&gt;0),MIN(S90,AP90),"-")</f>
        <v>-</v>
      </c>
      <c r="BN90" s="59" t="str">
        <f>IF(AND(T90&gt;0,AQ90&gt;0),MIN(T90,AQ90),"-")</f>
        <v>-</v>
      </c>
      <c r="BO90" s="59" t="str">
        <f>IF(AND(U90&gt;0,AR90&gt;0),MIN(U90,AR90),"-")</f>
        <v>-</v>
      </c>
      <c r="BP90" s="59" t="str">
        <f>IF(AND(V90&gt;0,AS90&gt;0),MIN(V90,AS90),"-")</f>
        <v>-</v>
      </c>
      <c r="BQ90" s="59" t="str">
        <f t="shared" si="24"/>
        <v>-</v>
      </c>
      <c r="BR90" s="59" t="str">
        <f t="shared" si="25"/>
        <v>-</v>
      </c>
      <c r="BS90" s="59" t="str">
        <f t="shared" si="26"/>
        <v>-</v>
      </c>
      <c r="BT90" s="98" t="str">
        <f>IF(ISNUMBER(BS90),BS90-(C90*Rules!$P$9/100),"-")</f>
        <v>-</v>
      </c>
      <c r="BU90" s="59" t="e">
        <f>RANK($BT90,$BT$5:$BT$106,1)+COUNTIF(BT$5:BT90,BT90)-1</f>
        <v>#VALUE!</v>
      </c>
      <c r="BV90" s="59" t="e">
        <f t="shared" si="27"/>
        <v>#VALUE!</v>
      </c>
      <c r="BW90" s="59" t="str">
        <f t="shared" si="28"/>
        <v xml:space="preserve"> </v>
      </c>
      <c r="BX90" s="59" t="str">
        <f t="shared" si="28"/>
        <v>-</v>
      </c>
      <c r="BY90" s="59" t="str">
        <f t="shared" si="29"/>
        <v>-</v>
      </c>
      <c r="CC90" s="4">
        <v>86</v>
      </c>
      <c r="CD90" s="2" t="e">
        <f>VLOOKUP(CC90,$BV$5:BY$215,1,FALSE)</f>
        <v>#N/A</v>
      </c>
      <c r="CE90" s="6" t="e">
        <f>VLOOKUP(CC90,$BV$5:BY$215,2,FALSE)</f>
        <v>#N/A</v>
      </c>
      <c r="CF90" s="103" t="e">
        <f>VLOOKUP(CC90,$BV$5:BY$215,4,FALSE)</f>
        <v>#N/A</v>
      </c>
      <c r="CL90" s="77">
        <v>1</v>
      </c>
    </row>
    <row r="91" spans="1:90" ht="17.45" customHeight="1">
      <c r="A91" s="58">
        <v>87</v>
      </c>
      <c r="B91" s="59" t="str">
        <f>'B Div'!A91 &amp; " " &amp; 'B Div'!B91</f>
        <v xml:space="preserve"> </v>
      </c>
      <c r="C91" s="59" t="str">
        <f>'B Div'!E91</f>
        <v>-</v>
      </c>
      <c r="D91" s="60"/>
      <c r="E91" s="60"/>
      <c r="F91" s="60"/>
      <c r="G91" s="60"/>
      <c r="H91" s="60"/>
      <c r="I91" s="60"/>
      <c r="J91" s="60"/>
      <c r="K91" s="60"/>
      <c r="L91" s="60"/>
      <c r="M91" s="74" t="str">
        <f t="shared" si="15"/>
        <v>-</v>
      </c>
      <c r="N91" s="60"/>
      <c r="O91" s="60"/>
      <c r="P91" s="60"/>
      <c r="Q91" s="60"/>
      <c r="R91" s="60"/>
      <c r="S91" s="60"/>
      <c r="T91" s="60"/>
      <c r="U91" s="60"/>
      <c r="V91" s="60"/>
      <c r="W91" s="74" t="str">
        <f t="shared" si="16"/>
        <v>-</v>
      </c>
      <c r="X91" s="74" t="str">
        <f t="shared" si="17"/>
        <v>-</v>
      </c>
      <c r="Y91" s="74" t="str">
        <f t="shared" si="18"/>
        <v>-</v>
      </c>
      <c r="AA91" s="60"/>
      <c r="AB91" s="60"/>
      <c r="AC91" s="60"/>
      <c r="AD91" s="60"/>
      <c r="AE91" s="60"/>
      <c r="AF91" s="60"/>
      <c r="AG91" s="60"/>
      <c r="AH91" s="60"/>
      <c r="AI91" s="60"/>
      <c r="AJ91" s="74" t="str">
        <f t="shared" si="19"/>
        <v>-</v>
      </c>
      <c r="AK91" s="60"/>
      <c r="AL91" s="60"/>
      <c r="AM91" s="60"/>
      <c r="AN91" s="60"/>
      <c r="AO91" s="60"/>
      <c r="AP91" s="60"/>
      <c r="AQ91" s="60"/>
      <c r="AR91" s="60"/>
      <c r="AS91" s="60"/>
      <c r="AT91" s="74" t="str">
        <f t="shared" si="20"/>
        <v>-</v>
      </c>
      <c r="AU91" s="74" t="str">
        <f t="shared" si="21"/>
        <v>-</v>
      </c>
      <c r="AV91" s="74" t="str">
        <f t="shared" si="22"/>
        <v>-</v>
      </c>
      <c r="AX91" s="59" t="str">
        <f>IF(AND(D91&gt;0,AA91&gt;0),MIN(D91,AA91),"-")</f>
        <v>-</v>
      </c>
      <c r="AY91" s="59" t="str">
        <f>IF(AND(E91&gt;0,AB91&gt;0),MIN(E91,AB91),"-")</f>
        <v>-</v>
      </c>
      <c r="AZ91" s="59" t="str">
        <f>IF(AND(F91&gt;0,AC91&gt;0),MIN(F91,AC91),"-")</f>
        <v>-</v>
      </c>
      <c r="BA91" s="59" t="str">
        <f>IF(AND(G91&gt;0,AD91&gt;0),MIN(G91,AD91),"-")</f>
        <v>-</v>
      </c>
      <c r="BB91" s="59" t="str">
        <f>IF(AND(H91&gt;0,AE91&gt;0),MIN(H91,AE91),"-")</f>
        <v>-</v>
      </c>
      <c r="BC91" s="59" t="str">
        <f>IF(AND(I91&gt;0,AF91&gt;0),MIN(I91,AF91),"-")</f>
        <v>-</v>
      </c>
      <c r="BD91" s="59" t="str">
        <f>IF(AND(J91&gt;0,AG91&gt;0),MIN(J91,AG91),"-")</f>
        <v>-</v>
      </c>
      <c r="BE91" s="59" t="str">
        <f>IF(AND(K91&gt;0,AH91&gt;0),MIN(K91,AH91),"-")</f>
        <v>-</v>
      </c>
      <c r="BF91" s="59" t="str">
        <f>IF(AND(L91&gt;0,AI91&gt;0),MIN(L91,AI91),"-")</f>
        <v>-</v>
      </c>
      <c r="BG91" s="59" t="str">
        <f t="shared" si="23"/>
        <v>-</v>
      </c>
      <c r="BH91" s="59" t="str">
        <f>IF(AND(N91&gt;0,AK91&gt;0),MIN(N91,AK91),"-")</f>
        <v>-</v>
      </c>
      <c r="BI91" s="59" t="str">
        <f>IF(AND(O91&gt;0,AL91&gt;0),MIN(O91,AL91),"-")</f>
        <v>-</v>
      </c>
      <c r="BJ91" s="59" t="str">
        <f>IF(AND(P91&gt;0,AM91&gt;0),MIN(P91,AM91),"-")</f>
        <v>-</v>
      </c>
      <c r="BK91" s="59" t="str">
        <f>IF(AND(Q91&gt;0,AN91&gt;0),MIN(Q91,AN91),"-")</f>
        <v>-</v>
      </c>
      <c r="BL91" s="59" t="str">
        <f>IF(AND(R91&gt;0,AO91&gt;0),MIN(R91,AO91),"-")</f>
        <v>-</v>
      </c>
      <c r="BM91" s="59" t="str">
        <f>IF(AND(S91&gt;0,AP91&gt;0),MIN(S91,AP91),"-")</f>
        <v>-</v>
      </c>
      <c r="BN91" s="59" t="str">
        <f>IF(AND(T91&gt;0,AQ91&gt;0),MIN(T91,AQ91),"-")</f>
        <v>-</v>
      </c>
      <c r="BO91" s="59" t="str">
        <f>IF(AND(U91&gt;0,AR91&gt;0),MIN(U91,AR91),"-")</f>
        <v>-</v>
      </c>
      <c r="BP91" s="59" t="str">
        <f>IF(AND(V91&gt;0,AS91&gt;0),MIN(V91,AS91),"-")</f>
        <v>-</v>
      </c>
      <c r="BQ91" s="59" t="str">
        <f t="shared" si="24"/>
        <v>-</v>
      </c>
      <c r="BR91" s="59" t="str">
        <f t="shared" si="25"/>
        <v>-</v>
      </c>
      <c r="BS91" s="59" t="str">
        <f t="shared" si="26"/>
        <v>-</v>
      </c>
      <c r="BT91" s="98" t="str">
        <f>IF(ISNUMBER(BS91),BS91-(C91*Rules!$P$9/100),"-")</f>
        <v>-</v>
      </c>
      <c r="BU91" s="59" t="e">
        <f>RANK($BT91,$BT$5:$BT$106,1)+COUNTIF(BT$5:BT91,BT91)-1</f>
        <v>#VALUE!</v>
      </c>
      <c r="BV91" s="59" t="e">
        <f t="shared" si="27"/>
        <v>#VALUE!</v>
      </c>
      <c r="BW91" s="59" t="str">
        <f t="shared" si="28"/>
        <v xml:space="preserve"> </v>
      </c>
      <c r="BX91" s="59" t="str">
        <f t="shared" si="28"/>
        <v>-</v>
      </c>
      <c r="BY91" s="59" t="str">
        <f t="shared" si="29"/>
        <v>-</v>
      </c>
      <c r="CC91" s="4">
        <v>87</v>
      </c>
      <c r="CD91" s="2" t="e">
        <f>VLOOKUP(CC91,$BV$5:BY$215,1,FALSE)</f>
        <v>#N/A</v>
      </c>
      <c r="CE91" s="6" t="e">
        <f>VLOOKUP(CC91,$BV$5:BY$215,2,FALSE)</f>
        <v>#N/A</v>
      </c>
      <c r="CF91" s="103" t="e">
        <f>VLOOKUP(CC91,$BV$5:BY$215,4,FALSE)</f>
        <v>#N/A</v>
      </c>
      <c r="CL91" s="77">
        <v>1</v>
      </c>
    </row>
    <row r="92" spans="1:90" ht="17.45" customHeight="1">
      <c r="A92" s="58">
        <v>88</v>
      </c>
      <c r="B92" s="59" t="str">
        <f>'B Div'!A92 &amp; " " &amp; 'B Div'!B92</f>
        <v xml:space="preserve"> </v>
      </c>
      <c r="C92" s="59" t="str">
        <f>'B Div'!E92</f>
        <v>-</v>
      </c>
      <c r="D92" s="60"/>
      <c r="E92" s="60"/>
      <c r="F92" s="60"/>
      <c r="G92" s="60"/>
      <c r="H92" s="60"/>
      <c r="I92" s="60"/>
      <c r="J92" s="60"/>
      <c r="K92" s="60"/>
      <c r="L92" s="60"/>
      <c r="M92" s="74" t="str">
        <f t="shared" si="15"/>
        <v>-</v>
      </c>
      <c r="N92" s="60"/>
      <c r="O92" s="60"/>
      <c r="P92" s="60"/>
      <c r="Q92" s="60"/>
      <c r="R92" s="60"/>
      <c r="S92" s="60"/>
      <c r="T92" s="60"/>
      <c r="U92" s="60"/>
      <c r="V92" s="60"/>
      <c r="W92" s="74" t="str">
        <f t="shared" si="16"/>
        <v>-</v>
      </c>
      <c r="X92" s="74" t="str">
        <f t="shared" si="17"/>
        <v>-</v>
      </c>
      <c r="Y92" s="74" t="str">
        <f t="shared" si="18"/>
        <v>-</v>
      </c>
      <c r="AA92" s="60"/>
      <c r="AB92" s="60"/>
      <c r="AC92" s="60"/>
      <c r="AD92" s="60"/>
      <c r="AE92" s="60"/>
      <c r="AF92" s="60"/>
      <c r="AG92" s="60"/>
      <c r="AH92" s="60"/>
      <c r="AI92" s="60"/>
      <c r="AJ92" s="74" t="str">
        <f t="shared" si="19"/>
        <v>-</v>
      </c>
      <c r="AK92" s="60"/>
      <c r="AL92" s="60"/>
      <c r="AM92" s="60"/>
      <c r="AN92" s="60"/>
      <c r="AO92" s="60"/>
      <c r="AP92" s="60"/>
      <c r="AQ92" s="60"/>
      <c r="AR92" s="60"/>
      <c r="AS92" s="60"/>
      <c r="AT92" s="74" t="str">
        <f t="shared" si="20"/>
        <v>-</v>
      </c>
      <c r="AU92" s="74" t="str">
        <f t="shared" si="21"/>
        <v>-</v>
      </c>
      <c r="AV92" s="74" t="str">
        <f t="shared" si="22"/>
        <v>-</v>
      </c>
      <c r="AX92" s="59" t="str">
        <f>IF(AND(D92&gt;0,AA92&gt;0),MIN(D92,AA92),"-")</f>
        <v>-</v>
      </c>
      <c r="AY92" s="59" t="str">
        <f>IF(AND(E92&gt;0,AB92&gt;0),MIN(E92,AB92),"-")</f>
        <v>-</v>
      </c>
      <c r="AZ92" s="59" t="str">
        <f>IF(AND(F92&gt;0,AC92&gt;0),MIN(F92,AC92),"-")</f>
        <v>-</v>
      </c>
      <c r="BA92" s="59" t="str">
        <f>IF(AND(G92&gt;0,AD92&gt;0),MIN(G92,AD92),"-")</f>
        <v>-</v>
      </c>
      <c r="BB92" s="59" t="str">
        <f>IF(AND(H92&gt;0,AE92&gt;0),MIN(H92,AE92),"-")</f>
        <v>-</v>
      </c>
      <c r="BC92" s="59" t="str">
        <f>IF(AND(I92&gt;0,AF92&gt;0),MIN(I92,AF92),"-")</f>
        <v>-</v>
      </c>
      <c r="BD92" s="59" t="str">
        <f>IF(AND(J92&gt;0,AG92&gt;0),MIN(J92,AG92),"-")</f>
        <v>-</v>
      </c>
      <c r="BE92" s="59" t="str">
        <f>IF(AND(K92&gt;0,AH92&gt;0),MIN(K92,AH92),"-")</f>
        <v>-</v>
      </c>
      <c r="BF92" s="59" t="str">
        <f>IF(AND(L92&gt;0,AI92&gt;0),MIN(L92,AI92),"-")</f>
        <v>-</v>
      </c>
      <c r="BG92" s="59" t="str">
        <f t="shared" si="23"/>
        <v>-</v>
      </c>
      <c r="BH92" s="59" t="str">
        <f>IF(AND(N92&gt;0,AK92&gt;0),MIN(N92,AK92),"-")</f>
        <v>-</v>
      </c>
      <c r="BI92" s="59" t="str">
        <f>IF(AND(O92&gt;0,AL92&gt;0),MIN(O92,AL92),"-")</f>
        <v>-</v>
      </c>
      <c r="BJ92" s="59" t="str">
        <f>IF(AND(P92&gt;0,AM92&gt;0),MIN(P92,AM92),"-")</f>
        <v>-</v>
      </c>
      <c r="BK92" s="59" t="str">
        <f>IF(AND(Q92&gt;0,AN92&gt;0),MIN(Q92,AN92),"-")</f>
        <v>-</v>
      </c>
      <c r="BL92" s="59" t="str">
        <f>IF(AND(R92&gt;0,AO92&gt;0),MIN(R92,AO92),"-")</f>
        <v>-</v>
      </c>
      <c r="BM92" s="59" t="str">
        <f>IF(AND(S92&gt;0,AP92&gt;0),MIN(S92,AP92),"-")</f>
        <v>-</v>
      </c>
      <c r="BN92" s="59" t="str">
        <f>IF(AND(T92&gt;0,AQ92&gt;0),MIN(T92,AQ92),"-")</f>
        <v>-</v>
      </c>
      <c r="BO92" s="59" t="str">
        <f>IF(AND(U92&gt;0,AR92&gt;0),MIN(U92,AR92),"-")</f>
        <v>-</v>
      </c>
      <c r="BP92" s="59" t="str">
        <f>IF(AND(V92&gt;0,AS92&gt;0),MIN(V92,AS92),"-")</f>
        <v>-</v>
      </c>
      <c r="BQ92" s="59" t="str">
        <f t="shared" si="24"/>
        <v>-</v>
      </c>
      <c r="BR92" s="59" t="str">
        <f t="shared" si="25"/>
        <v>-</v>
      </c>
      <c r="BS92" s="59" t="str">
        <f t="shared" si="26"/>
        <v>-</v>
      </c>
      <c r="BT92" s="98" t="str">
        <f>IF(ISNUMBER(BS92),BS92-(C92*Rules!$P$9/100),"-")</f>
        <v>-</v>
      </c>
      <c r="BU92" s="59" t="e">
        <f>RANK($BT92,$BT$5:$BT$106,1)+COUNTIF(BT$5:BT92,BT92)-1</f>
        <v>#VALUE!</v>
      </c>
      <c r="BV92" s="59" t="e">
        <f t="shared" si="27"/>
        <v>#VALUE!</v>
      </c>
      <c r="BW92" s="59" t="str">
        <f t="shared" si="28"/>
        <v xml:space="preserve"> </v>
      </c>
      <c r="BX92" s="59" t="str">
        <f t="shared" si="28"/>
        <v>-</v>
      </c>
      <c r="BY92" s="59" t="str">
        <f t="shared" si="29"/>
        <v>-</v>
      </c>
      <c r="CC92" s="4">
        <v>88</v>
      </c>
      <c r="CD92" s="2" t="e">
        <f>VLOOKUP(CC92,$BV$5:BY$215,1,FALSE)</f>
        <v>#N/A</v>
      </c>
      <c r="CE92" s="6" t="e">
        <f>VLOOKUP(CC92,$BV$5:BY$215,2,FALSE)</f>
        <v>#N/A</v>
      </c>
      <c r="CF92" s="103" t="e">
        <f>VLOOKUP(CC92,$BV$5:BY$215,4,FALSE)</f>
        <v>#N/A</v>
      </c>
      <c r="CL92" s="77">
        <v>1</v>
      </c>
    </row>
    <row r="93" spans="1:90" ht="17.45" customHeight="1">
      <c r="A93" s="58">
        <v>89</v>
      </c>
      <c r="B93" s="59" t="str">
        <f>'B Div'!A93 &amp; " " &amp; 'B Div'!B93</f>
        <v xml:space="preserve"> </v>
      </c>
      <c r="C93" s="59" t="str">
        <f>'B Div'!E93</f>
        <v>-</v>
      </c>
      <c r="D93" s="60"/>
      <c r="E93" s="60"/>
      <c r="F93" s="60"/>
      <c r="G93" s="60"/>
      <c r="H93" s="60"/>
      <c r="I93" s="60"/>
      <c r="J93" s="60"/>
      <c r="K93" s="60"/>
      <c r="L93" s="60"/>
      <c r="M93" s="74" t="str">
        <f t="shared" si="15"/>
        <v>-</v>
      </c>
      <c r="N93" s="60"/>
      <c r="O93" s="60"/>
      <c r="P93" s="60"/>
      <c r="Q93" s="60"/>
      <c r="R93" s="60"/>
      <c r="S93" s="60"/>
      <c r="T93" s="60"/>
      <c r="U93" s="60"/>
      <c r="V93" s="60"/>
      <c r="W93" s="74" t="str">
        <f t="shared" si="16"/>
        <v>-</v>
      </c>
      <c r="X93" s="74" t="str">
        <f t="shared" si="17"/>
        <v>-</v>
      </c>
      <c r="Y93" s="74" t="str">
        <f t="shared" si="18"/>
        <v>-</v>
      </c>
      <c r="AA93" s="60"/>
      <c r="AB93" s="60"/>
      <c r="AC93" s="60"/>
      <c r="AD93" s="60"/>
      <c r="AE93" s="60"/>
      <c r="AF93" s="60"/>
      <c r="AG93" s="60"/>
      <c r="AH93" s="60"/>
      <c r="AI93" s="60"/>
      <c r="AJ93" s="74" t="str">
        <f t="shared" si="19"/>
        <v>-</v>
      </c>
      <c r="AK93" s="60"/>
      <c r="AL93" s="60"/>
      <c r="AM93" s="60"/>
      <c r="AN93" s="60"/>
      <c r="AO93" s="60"/>
      <c r="AP93" s="60"/>
      <c r="AQ93" s="60"/>
      <c r="AR93" s="60"/>
      <c r="AS93" s="60"/>
      <c r="AT93" s="74" t="str">
        <f t="shared" si="20"/>
        <v>-</v>
      </c>
      <c r="AU93" s="74" t="str">
        <f t="shared" si="21"/>
        <v>-</v>
      </c>
      <c r="AV93" s="74" t="str">
        <f t="shared" si="22"/>
        <v>-</v>
      </c>
      <c r="AX93" s="59" t="str">
        <f>IF(AND(D93&gt;0,AA93&gt;0),MIN(D93,AA93),"-")</f>
        <v>-</v>
      </c>
      <c r="AY93" s="59" t="str">
        <f>IF(AND(E93&gt;0,AB93&gt;0),MIN(E93,AB93),"-")</f>
        <v>-</v>
      </c>
      <c r="AZ93" s="59" t="str">
        <f>IF(AND(F93&gt;0,AC93&gt;0),MIN(F93,AC93),"-")</f>
        <v>-</v>
      </c>
      <c r="BA93" s="59" t="str">
        <f>IF(AND(G93&gt;0,AD93&gt;0),MIN(G93,AD93),"-")</f>
        <v>-</v>
      </c>
      <c r="BB93" s="59" t="str">
        <f>IF(AND(H93&gt;0,AE93&gt;0),MIN(H93,AE93),"-")</f>
        <v>-</v>
      </c>
      <c r="BC93" s="59" t="str">
        <f>IF(AND(I93&gt;0,AF93&gt;0),MIN(I93,AF93),"-")</f>
        <v>-</v>
      </c>
      <c r="BD93" s="59" t="str">
        <f>IF(AND(J93&gt;0,AG93&gt;0),MIN(J93,AG93),"-")</f>
        <v>-</v>
      </c>
      <c r="BE93" s="59" t="str">
        <f>IF(AND(K93&gt;0,AH93&gt;0),MIN(K93,AH93),"-")</f>
        <v>-</v>
      </c>
      <c r="BF93" s="59" t="str">
        <f>IF(AND(L93&gt;0,AI93&gt;0),MIN(L93,AI93),"-")</f>
        <v>-</v>
      </c>
      <c r="BG93" s="59" t="str">
        <f t="shared" si="23"/>
        <v>-</v>
      </c>
      <c r="BH93" s="59" t="str">
        <f>IF(AND(N93&gt;0,AK93&gt;0),MIN(N93,AK93),"-")</f>
        <v>-</v>
      </c>
      <c r="BI93" s="59" t="str">
        <f>IF(AND(O93&gt;0,AL93&gt;0),MIN(O93,AL93),"-")</f>
        <v>-</v>
      </c>
      <c r="BJ93" s="59" t="str">
        <f>IF(AND(P93&gt;0,AM93&gt;0),MIN(P93,AM93),"-")</f>
        <v>-</v>
      </c>
      <c r="BK93" s="59" t="str">
        <f>IF(AND(Q93&gt;0,AN93&gt;0),MIN(Q93,AN93),"-")</f>
        <v>-</v>
      </c>
      <c r="BL93" s="59" t="str">
        <f>IF(AND(R93&gt;0,AO93&gt;0),MIN(R93,AO93),"-")</f>
        <v>-</v>
      </c>
      <c r="BM93" s="59" t="str">
        <f>IF(AND(S93&gt;0,AP93&gt;0),MIN(S93,AP93),"-")</f>
        <v>-</v>
      </c>
      <c r="BN93" s="59" t="str">
        <f>IF(AND(T93&gt;0,AQ93&gt;0),MIN(T93,AQ93),"-")</f>
        <v>-</v>
      </c>
      <c r="BO93" s="59" t="str">
        <f>IF(AND(U93&gt;0,AR93&gt;0),MIN(U93,AR93),"-")</f>
        <v>-</v>
      </c>
      <c r="BP93" s="59" t="str">
        <f>IF(AND(V93&gt;0,AS93&gt;0),MIN(V93,AS93),"-")</f>
        <v>-</v>
      </c>
      <c r="BQ93" s="59" t="str">
        <f t="shared" si="24"/>
        <v>-</v>
      </c>
      <c r="BR93" s="59" t="str">
        <f t="shared" si="25"/>
        <v>-</v>
      </c>
      <c r="BS93" s="59" t="str">
        <f t="shared" si="26"/>
        <v>-</v>
      </c>
      <c r="BT93" s="98" t="str">
        <f>IF(ISNUMBER(BS93),BS93-(C93*Rules!$P$9/100),"-")</f>
        <v>-</v>
      </c>
      <c r="BU93" s="59" t="e">
        <f>RANK($BT93,$BT$5:$BT$106,1)+COUNTIF(BT$5:BT93,BT93)-1</f>
        <v>#VALUE!</v>
      </c>
      <c r="BV93" s="59" t="e">
        <f t="shared" si="27"/>
        <v>#VALUE!</v>
      </c>
      <c r="BW93" s="59" t="str">
        <f t="shared" si="28"/>
        <v xml:space="preserve"> </v>
      </c>
      <c r="BX93" s="59" t="str">
        <f t="shared" si="28"/>
        <v>-</v>
      </c>
      <c r="BY93" s="59" t="str">
        <f t="shared" si="29"/>
        <v>-</v>
      </c>
      <c r="CC93" s="4">
        <v>89</v>
      </c>
      <c r="CD93" s="2" t="e">
        <f>VLOOKUP(CC93,$BV$5:BY$215,1,FALSE)</f>
        <v>#N/A</v>
      </c>
      <c r="CE93" s="6" t="e">
        <f>VLOOKUP(CC93,$BV$5:BY$215,2,FALSE)</f>
        <v>#N/A</v>
      </c>
      <c r="CF93" s="103" t="e">
        <f>VLOOKUP(CC93,$BV$5:BY$215,4,FALSE)</f>
        <v>#N/A</v>
      </c>
      <c r="CL93" s="77">
        <v>1</v>
      </c>
    </row>
    <row r="94" spans="1:90" ht="17.45" customHeight="1">
      <c r="A94" s="58">
        <v>90</v>
      </c>
      <c r="B94" s="59" t="str">
        <f>'B Div'!A94 &amp; " " &amp; 'B Div'!B94</f>
        <v xml:space="preserve"> </v>
      </c>
      <c r="C94" s="59" t="str">
        <f>'B Div'!E94</f>
        <v>-</v>
      </c>
      <c r="D94" s="60"/>
      <c r="E94" s="60"/>
      <c r="F94" s="60"/>
      <c r="G94" s="60"/>
      <c r="H94" s="60"/>
      <c r="I94" s="60"/>
      <c r="J94" s="60"/>
      <c r="K94" s="60"/>
      <c r="L94" s="60"/>
      <c r="M94" s="74" t="str">
        <f t="shared" si="15"/>
        <v>-</v>
      </c>
      <c r="N94" s="60"/>
      <c r="O94" s="60"/>
      <c r="P94" s="60"/>
      <c r="Q94" s="60"/>
      <c r="R94" s="60"/>
      <c r="S94" s="60"/>
      <c r="T94" s="60"/>
      <c r="U94" s="60"/>
      <c r="V94" s="60"/>
      <c r="W94" s="74" t="str">
        <f t="shared" si="16"/>
        <v>-</v>
      </c>
      <c r="X94" s="74" t="str">
        <f t="shared" si="17"/>
        <v>-</v>
      </c>
      <c r="Y94" s="74" t="str">
        <f t="shared" si="18"/>
        <v>-</v>
      </c>
      <c r="AA94" s="60"/>
      <c r="AB94" s="60"/>
      <c r="AC94" s="60"/>
      <c r="AD94" s="60"/>
      <c r="AE94" s="60"/>
      <c r="AF94" s="60"/>
      <c r="AG94" s="60"/>
      <c r="AH94" s="60"/>
      <c r="AI94" s="60"/>
      <c r="AJ94" s="74" t="str">
        <f t="shared" si="19"/>
        <v>-</v>
      </c>
      <c r="AK94" s="60"/>
      <c r="AL94" s="60"/>
      <c r="AM94" s="60"/>
      <c r="AN94" s="60"/>
      <c r="AO94" s="60"/>
      <c r="AP94" s="60"/>
      <c r="AQ94" s="60"/>
      <c r="AR94" s="60"/>
      <c r="AS94" s="60"/>
      <c r="AT94" s="74" t="str">
        <f t="shared" si="20"/>
        <v>-</v>
      </c>
      <c r="AU94" s="74" t="str">
        <f t="shared" si="21"/>
        <v>-</v>
      </c>
      <c r="AV94" s="74" t="str">
        <f t="shared" si="22"/>
        <v>-</v>
      </c>
      <c r="AX94" s="59" t="str">
        <f>IF(AND(D94&gt;0,AA94&gt;0),MIN(D94,AA94),"-")</f>
        <v>-</v>
      </c>
      <c r="AY94" s="59" t="str">
        <f>IF(AND(E94&gt;0,AB94&gt;0),MIN(E94,AB94),"-")</f>
        <v>-</v>
      </c>
      <c r="AZ94" s="59" t="str">
        <f>IF(AND(F94&gt;0,AC94&gt;0),MIN(F94,AC94),"-")</f>
        <v>-</v>
      </c>
      <c r="BA94" s="59" t="str">
        <f>IF(AND(G94&gt;0,AD94&gt;0),MIN(G94,AD94),"-")</f>
        <v>-</v>
      </c>
      <c r="BB94" s="59" t="str">
        <f>IF(AND(H94&gt;0,AE94&gt;0),MIN(H94,AE94),"-")</f>
        <v>-</v>
      </c>
      <c r="BC94" s="59" t="str">
        <f>IF(AND(I94&gt;0,AF94&gt;0),MIN(I94,AF94),"-")</f>
        <v>-</v>
      </c>
      <c r="BD94" s="59" t="str">
        <f>IF(AND(J94&gt;0,AG94&gt;0),MIN(J94,AG94),"-")</f>
        <v>-</v>
      </c>
      <c r="BE94" s="59" t="str">
        <f>IF(AND(K94&gt;0,AH94&gt;0),MIN(K94,AH94),"-")</f>
        <v>-</v>
      </c>
      <c r="BF94" s="59" t="str">
        <f>IF(AND(L94&gt;0,AI94&gt;0),MIN(L94,AI94),"-")</f>
        <v>-</v>
      </c>
      <c r="BG94" s="59" t="str">
        <f t="shared" si="23"/>
        <v>-</v>
      </c>
      <c r="BH94" s="59" t="str">
        <f>IF(AND(N94&gt;0,AK94&gt;0),MIN(N94,AK94),"-")</f>
        <v>-</v>
      </c>
      <c r="BI94" s="59" t="str">
        <f>IF(AND(O94&gt;0,AL94&gt;0),MIN(O94,AL94),"-")</f>
        <v>-</v>
      </c>
      <c r="BJ94" s="59" t="str">
        <f>IF(AND(P94&gt;0,AM94&gt;0),MIN(P94,AM94),"-")</f>
        <v>-</v>
      </c>
      <c r="BK94" s="59" t="str">
        <f>IF(AND(Q94&gt;0,AN94&gt;0),MIN(Q94,AN94),"-")</f>
        <v>-</v>
      </c>
      <c r="BL94" s="59" t="str">
        <f>IF(AND(R94&gt;0,AO94&gt;0),MIN(R94,AO94),"-")</f>
        <v>-</v>
      </c>
      <c r="BM94" s="59" t="str">
        <f>IF(AND(S94&gt;0,AP94&gt;0),MIN(S94,AP94),"-")</f>
        <v>-</v>
      </c>
      <c r="BN94" s="59" t="str">
        <f>IF(AND(T94&gt;0,AQ94&gt;0),MIN(T94,AQ94),"-")</f>
        <v>-</v>
      </c>
      <c r="BO94" s="59" t="str">
        <f>IF(AND(U94&gt;0,AR94&gt;0),MIN(U94,AR94),"-")</f>
        <v>-</v>
      </c>
      <c r="BP94" s="59" t="str">
        <f>IF(AND(V94&gt;0,AS94&gt;0),MIN(V94,AS94),"-")</f>
        <v>-</v>
      </c>
      <c r="BQ94" s="59" t="str">
        <f t="shared" si="24"/>
        <v>-</v>
      </c>
      <c r="BR94" s="59" t="str">
        <f t="shared" si="25"/>
        <v>-</v>
      </c>
      <c r="BS94" s="59" t="str">
        <f t="shared" si="26"/>
        <v>-</v>
      </c>
      <c r="BT94" s="98" t="str">
        <f>IF(ISNUMBER(BS94),BS94-(C94*Rules!$P$9/100),"-")</f>
        <v>-</v>
      </c>
      <c r="BU94" s="59" t="e">
        <f>RANK($BT94,$BT$5:$BT$106,1)+COUNTIF(BT$5:BT94,BT94)-1</f>
        <v>#VALUE!</v>
      </c>
      <c r="BV94" s="59" t="e">
        <f t="shared" si="27"/>
        <v>#VALUE!</v>
      </c>
      <c r="BW94" s="59" t="str">
        <f t="shared" si="28"/>
        <v xml:space="preserve"> </v>
      </c>
      <c r="BX94" s="59" t="str">
        <f t="shared" si="28"/>
        <v>-</v>
      </c>
      <c r="BY94" s="59" t="str">
        <f t="shared" si="29"/>
        <v>-</v>
      </c>
      <c r="CC94" s="4">
        <v>90</v>
      </c>
      <c r="CD94" s="2" t="e">
        <f>VLOOKUP(CC94,$BV$5:BY$215,1,FALSE)</f>
        <v>#N/A</v>
      </c>
      <c r="CE94" s="6" t="e">
        <f>VLOOKUP(CC94,$BV$5:BY$215,2,FALSE)</f>
        <v>#N/A</v>
      </c>
      <c r="CF94" s="103" t="e">
        <f>VLOOKUP(CC94,$BV$5:BY$215,4,FALSE)</f>
        <v>#N/A</v>
      </c>
      <c r="CL94" s="77">
        <v>1</v>
      </c>
    </row>
    <row r="95" spans="1:90" ht="17.45" customHeight="1">
      <c r="A95" s="58">
        <v>91</v>
      </c>
      <c r="B95" s="59" t="str">
        <f>'B Div'!A95 &amp; " " &amp; 'B Div'!B95</f>
        <v xml:space="preserve"> </v>
      </c>
      <c r="C95" s="59" t="str">
        <f>'B Div'!E95</f>
        <v>-</v>
      </c>
      <c r="D95" s="60"/>
      <c r="E95" s="60"/>
      <c r="F95" s="60"/>
      <c r="G95" s="60"/>
      <c r="H95" s="60"/>
      <c r="I95" s="60"/>
      <c r="J95" s="60"/>
      <c r="K95" s="60"/>
      <c r="L95" s="60"/>
      <c r="M95" s="74" t="str">
        <f t="shared" si="15"/>
        <v>-</v>
      </c>
      <c r="N95" s="60"/>
      <c r="O95" s="60"/>
      <c r="P95" s="60"/>
      <c r="Q95" s="60"/>
      <c r="R95" s="60"/>
      <c r="S95" s="60"/>
      <c r="T95" s="60"/>
      <c r="U95" s="60"/>
      <c r="V95" s="60"/>
      <c r="W95" s="74" t="str">
        <f t="shared" si="16"/>
        <v>-</v>
      </c>
      <c r="X95" s="74" t="str">
        <f t="shared" si="17"/>
        <v>-</v>
      </c>
      <c r="Y95" s="74" t="str">
        <f t="shared" si="18"/>
        <v>-</v>
      </c>
      <c r="AA95" s="60"/>
      <c r="AB95" s="60"/>
      <c r="AC95" s="60"/>
      <c r="AD95" s="60"/>
      <c r="AE95" s="60"/>
      <c r="AF95" s="60"/>
      <c r="AG95" s="60"/>
      <c r="AH95" s="60"/>
      <c r="AI95" s="60"/>
      <c r="AJ95" s="74" t="str">
        <f t="shared" si="19"/>
        <v>-</v>
      </c>
      <c r="AK95" s="60"/>
      <c r="AL95" s="60"/>
      <c r="AM95" s="60"/>
      <c r="AN95" s="60"/>
      <c r="AO95" s="60"/>
      <c r="AP95" s="60"/>
      <c r="AQ95" s="60"/>
      <c r="AR95" s="60"/>
      <c r="AS95" s="60"/>
      <c r="AT95" s="74" t="str">
        <f t="shared" si="20"/>
        <v>-</v>
      </c>
      <c r="AU95" s="74" t="str">
        <f t="shared" si="21"/>
        <v>-</v>
      </c>
      <c r="AV95" s="74" t="str">
        <f t="shared" si="22"/>
        <v>-</v>
      </c>
      <c r="AX95" s="59" t="str">
        <f>IF(AND(D95&gt;0,AA95&gt;0),MIN(D95,AA95),"-")</f>
        <v>-</v>
      </c>
      <c r="AY95" s="59" t="str">
        <f>IF(AND(E95&gt;0,AB95&gt;0),MIN(E95,AB95),"-")</f>
        <v>-</v>
      </c>
      <c r="AZ95" s="59" t="str">
        <f>IF(AND(F95&gt;0,AC95&gt;0),MIN(F95,AC95),"-")</f>
        <v>-</v>
      </c>
      <c r="BA95" s="59" t="str">
        <f>IF(AND(G95&gt;0,AD95&gt;0),MIN(G95,AD95),"-")</f>
        <v>-</v>
      </c>
      <c r="BB95" s="59" t="str">
        <f>IF(AND(H95&gt;0,AE95&gt;0),MIN(H95,AE95),"-")</f>
        <v>-</v>
      </c>
      <c r="BC95" s="59" t="str">
        <f>IF(AND(I95&gt;0,AF95&gt;0),MIN(I95,AF95),"-")</f>
        <v>-</v>
      </c>
      <c r="BD95" s="59" t="str">
        <f>IF(AND(J95&gt;0,AG95&gt;0),MIN(J95,AG95),"-")</f>
        <v>-</v>
      </c>
      <c r="BE95" s="59" t="str">
        <f>IF(AND(K95&gt;0,AH95&gt;0),MIN(K95,AH95),"-")</f>
        <v>-</v>
      </c>
      <c r="BF95" s="59" t="str">
        <f>IF(AND(L95&gt;0,AI95&gt;0),MIN(L95,AI95),"-")</f>
        <v>-</v>
      </c>
      <c r="BG95" s="59" t="str">
        <f t="shared" si="23"/>
        <v>-</v>
      </c>
      <c r="BH95" s="59" t="str">
        <f>IF(AND(N95&gt;0,AK95&gt;0),MIN(N95,AK95),"-")</f>
        <v>-</v>
      </c>
      <c r="BI95" s="59" t="str">
        <f>IF(AND(O95&gt;0,AL95&gt;0),MIN(O95,AL95),"-")</f>
        <v>-</v>
      </c>
      <c r="BJ95" s="59" t="str">
        <f>IF(AND(P95&gt;0,AM95&gt;0),MIN(P95,AM95),"-")</f>
        <v>-</v>
      </c>
      <c r="BK95" s="59" t="str">
        <f>IF(AND(Q95&gt;0,AN95&gt;0),MIN(Q95,AN95),"-")</f>
        <v>-</v>
      </c>
      <c r="BL95" s="59" t="str">
        <f>IF(AND(R95&gt;0,AO95&gt;0),MIN(R95,AO95),"-")</f>
        <v>-</v>
      </c>
      <c r="BM95" s="59" t="str">
        <f>IF(AND(S95&gt;0,AP95&gt;0),MIN(S95,AP95),"-")</f>
        <v>-</v>
      </c>
      <c r="BN95" s="59" t="str">
        <f>IF(AND(T95&gt;0,AQ95&gt;0),MIN(T95,AQ95),"-")</f>
        <v>-</v>
      </c>
      <c r="BO95" s="59" t="str">
        <f>IF(AND(U95&gt;0,AR95&gt;0),MIN(U95,AR95),"-")</f>
        <v>-</v>
      </c>
      <c r="BP95" s="59" t="str">
        <f>IF(AND(V95&gt;0,AS95&gt;0),MIN(V95,AS95),"-")</f>
        <v>-</v>
      </c>
      <c r="BQ95" s="59" t="str">
        <f t="shared" si="24"/>
        <v>-</v>
      </c>
      <c r="BR95" s="59" t="str">
        <f t="shared" si="25"/>
        <v>-</v>
      </c>
      <c r="BS95" s="59" t="str">
        <f t="shared" si="26"/>
        <v>-</v>
      </c>
      <c r="BT95" s="98" t="str">
        <f>IF(ISNUMBER(BS95),BS95-(C95*Rules!$P$9/100),"-")</f>
        <v>-</v>
      </c>
      <c r="BU95" s="59" t="e">
        <f>RANK($BT95,$BT$5:$BT$106,1)+COUNTIF(BT$5:BT95,BT95)-1</f>
        <v>#VALUE!</v>
      </c>
      <c r="BV95" s="59" t="e">
        <f t="shared" si="27"/>
        <v>#VALUE!</v>
      </c>
      <c r="BW95" s="59" t="str">
        <f t="shared" si="28"/>
        <v xml:space="preserve"> </v>
      </c>
      <c r="BX95" s="59" t="str">
        <f t="shared" si="28"/>
        <v>-</v>
      </c>
      <c r="BY95" s="59" t="str">
        <f t="shared" si="29"/>
        <v>-</v>
      </c>
      <c r="CC95" s="4">
        <v>91</v>
      </c>
      <c r="CD95" s="2" t="e">
        <f>VLOOKUP(CC95,$BV$5:BY$215,1,FALSE)</f>
        <v>#N/A</v>
      </c>
      <c r="CE95" s="6" t="e">
        <f>VLOOKUP(CC95,$BV$5:BY$215,2,FALSE)</f>
        <v>#N/A</v>
      </c>
      <c r="CF95" s="103" t="e">
        <f>VLOOKUP(CC95,$BV$5:BY$215,4,FALSE)</f>
        <v>#N/A</v>
      </c>
      <c r="CL95" s="77">
        <v>1</v>
      </c>
    </row>
    <row r="96" spans="1:90" ht="17.45" customHeight="1">
      <c r="A96" s="58">
        <v>92</v>
      </c>
      <c r="B96" s="59" t="str">
        <f>'B Div'!A96 &amp; " " &amp; 'B Div'!B96</f>
        <v xml:space="preserve"> </v>
      </c>
      <c r="C96" s="59" t="str">
        <f>'B Div'!E96</f>
        <v>-</v>
      </c>
      <c r="D96" s="60"/>
      <c r="E96" s="60"/>
      <c r="F96" s="60"/>
      <c r="G96" s="60"/>
      <c r="H96" s="60"/>
      <c r="I96" s="60"/>
      <c r="J96" s="60"/>
      <c r="K96" s="60"/>
      <c r="L96" s="60"/>
      <c r="M96" s="74" t="str">
        <f t="shared" si="15"/>
        <v>-</v>
      </c>
      <c r="N96" s="60"/>
      <c r="O96" s="60"/>
      <c r="P96" s="60"/>
      <c r="Q96" s="60"/>
      <c r="R96" s="60"/>
      <c r="S96" s="60"/>
      <c r="T96" s="60"/>
      <c r="U96" s="60"/>
      <c r="V96" s="60"/>
      <c r="W96" s="74" t="str">
        <f t="shared" si="16"/>
        <v>-</v>
      </c>
      <c r="X96" s="74" t="str">
        <f t="shared" si="17"/>
        <v>-</v>
      </c>
      <c r="Y96" s="74" t="str">
        <f t="shared" si="18"/>
        <v>-</v>
      </c>
      <c r="AA96" s="60"/>
      <c r="AB96" s="60"/>
      <c r="AC96" s="60"/>
      <c r="AD96" s="60"/>
      <c r="AE96" s="60"/>
      <c r="AF96" s="60"/>
      <c r="AG96" s="60"/>
      <c r="AH96" s="60"/>
      <c r="AI96" s="60"/>
      <c r="AJ96" s="74" t="str">
        <f t="shared" si="19"/>
        <v>-</v>
      </c>
      <c r="AK96" s="60"/>
      <c r="AL96" s="60"/>
      <c r="AM96" s="60"/>
      <c r="AN96" s="60"/>
      <c r="AO96" s="60"/>
      <c r="AP96" s="60"/>
      <c r="AQ96" s="60"/>
      <c r="AR96" s="60"/>
      <c r="AS96" s="60"/>
      <c r="AT96" s="74" t="str">
        <f t="shared" si="20"/>
        <v>-</v>
      </c>
      <c r="AU96" s="74" t="str">
        <f t="shared" si="21"/>
        <v>-</v>
      </c>
      <c r="AV96" s="74" t="str">
        <f t="shared" si="22"/>
        <v>-</v>
      </c>
      <c r="AX96" s="59" t="str">
        <f>IF(AND(D96&gt;0,AA96&gt;0),MIN(D96,AA96),"-")</f>
        <v>-</v>
      </c>
      <c r="AY96" s="59" t="str">
        <f>IF(AND(E96&gt;0,AB96&gt;0),MIN(E96,AB96),"-")</f>
        <v>-</v>
      </c>
      <c r="AZ96" s="59" t="str">
        <f>IF(AND(F96&gt;0,AC96&gt;0),MIN(F96,AC96),"-")</f>
        <v>-</v>
      </c>
      <c r="BA96" s="59" t="str">
        <f>IF(AND(G96&gt;0,AD96&gt;0),MIN(G96,AD96),"-")</f>
        <v>-</v>
      </c>
      <c r="BB96" s="59" t="str">
        <f>IF(AND(H96&gt;0,AE96&gt;0),MIN(H96,AE96),"-")</f>
        <v>-</v>
      </c>
      <c r="BC96" s="59" t="str">
        <f>IF(AND(I96&gt;0,AF96&gt;0),MIN(I96,AF96),"-")</f>
        <v>-</v>
      </c>
      <c r="BD96" s="59" t="str">
        <f>IF(AND(J96&gt;0,AG96&gt;0),MIN(J96,AG96),"-")</f>
        <v>-</v>
      </c>
      <c r="BE96" s="59" t="str">
        <f>IF(AND(K96&gt;0,AH96&gt;0),MIN(K96,AH96),"-")</f>
        <v>-</v>
      </c>
      <c r="BF96" s="59" t="str">
        <f>IF(AND(L96&gt;0,AI96&gt;0),MIN(L96,AI96),"-")</f>
        <v>-</v>
      </c>
      <c r="BG96" s="59" t="str">
        <f t="shared" si="23"/>
        <v>-</v>
      </c>
      <c r="BH96" s="59" t="str">
        <f>IF(AND(N96&gt;0,AK96&gt;0),MIN(N96,AK96),"-")</f>
        <v>-</v>
      </c>
      <c r="BI96" s="59" t="str">
        <f>IF(AND(O96&gt;0,AL96&gt;0),MIN(O96,AL96),"-")</f>
        <v>-</v>
      </c>
      <c r="BJ96" s="59" t="str">
        <f>IF(AND(P96&gt;0,AM96&gt;0),MIN(P96,AM96),"-")</f>
        <v>-</v>
      </c>
      <c r="BK96" s="59" t="str">
        <f>IF(AND(Q96&gt;0,AN96&gt;0),MIN(Q96,AN96),"-")</f>
        <v>-</v>
      </c>
      <c r="BL96" s="59" t="str">
        <f>IF(AND(R96&gt;0,AO96&gt;0),MIN(R96,AO96),"-")</f>
        <v>-</v>
      </c>
      <c r="BM96" s="59" t="str">
        <f>IF(AND(S96&gt;0,AP96&gt;0),MIN(S96,AP96),"-")</f>
        <v>-</v>
      </c>
      <c r="BN96" s="59" t="str">
        <f>IF(AND(T96&gt;0,AQ96&gt;0),MIN(T96,AQ96),"-")</f>
        <v>-</v>
      </c>
      <c r="BO96" s="59" t="str">
        <f>IF(AND(U96&gt;0,AR96&gt;0),MIN(U96,AR96),"-")</f>
        <v>-</v>
      </c>
      <c r="BP96" s="59" t="str">
        <f>IF(AND(V96&gt;0,AS96&gt;0),MIN(V96,AS96),"-")</f>
        <v>-</v>
      </c>
      <c r="BQ96" s="59" t="str">
        <f t="shared" si="24"/>
        <v>-</v>
      </c>
      <c r="BR96" s="59" t="str">
        <f t="shared" si="25"/>
        <v>-</v>
      </c>
      <c r="BS96" s="59" t="str">
        <f t="shared" si="26"/>
        <v>-</v>
      </c>
      <c r="BT96" s="98" t="str">
        <f>IF(ISNUMBER(BS96),BS96-(C96*Rules!$P$9/100),"-")</f>
        <v>-</v>
      </c>
      <c r="BU96" s="59" t="e">
        <f>RANK($BT96,$BT$5:$BT$106,1)+COUNTIF(BT$5:BT96,BT96)-1</f>
        <v>#VALUE!</v>
      </c>
      <c r="BV96" s="59" t="e">
        <f t="shared" si="27"/>
        <v>#VALUE!</v>
      </c>
      <c r="BW96" s="59" t="str">
        <f t="shared" si="28"/>
        <v xml:space="preserve"> </v>
      </c>
      <c r="BX96" s="59" t="str">
        <f t="shared" si="28"/>
        <v>-</v>
      </c>
      <c r="BY96" s="59" t="str">
        <f t="shared" si="29"/>
        <v>-</v>
      </c>
      <c r="CC96" s="4">
        <v>92</v>
      </c>
      <c r="CD96" s="2" t="e">
        <f>VLOOKUP(CC96,$BV$5:BY$215,1,FALSE)</f>
        <v>#N/A</v>
      </c>
      <c r="CE96" s="6" t="e">
        <f>VLOOKUP(CC96,$BV$5:BY$215,2,FALSE)</f>
        <v>#N/A</v>
      </c>
      <c r="CF96" s="103" t="e">
        <f>VLOOKUP(CC96,$BV$5:BY$215,4,FALSE)</f>
        <v>#N/A</v>
      </c>
      <c r="CL96" s="77">
        <v>1</v>
      </c>
    </row>
    <row r="97" spans="1:90" ht="17.45" customHeight="1">
      <c r="A97" s="58">
        <v>93</v>
      </c>
      <c r="B97" s="59" t="str">
        <f>'B Div'!A97 &amp; " " &amp; 'B Div'!B97</f>
        <v xml:space="preserve"> </v>
      </c>
      <c r="C97" s="59" t="str">
        <f>'B Div'!E97</f>
        <v>-</v>
      </c>
      <c r="D97" s="60"/>
      <c r="E97" s="60"/>
      <c r="F97" s="60"/>
      <c r="G97" s="60"/>
      <c r="H97" s="60"/>
      <c r="I97" s="60"/>
      <c r="J97" s="60"/>
      <c r="K97" s="60"/>
      <c r="L97" s="60"/>
      <c r="M97" s="74" t="str">
        <f t="shared" si="15"/>
        <v>-</v>
      </c>
      <c r="N97" s="60"/>
      <c r="O97" s="60"/>
      <c r="P97" s="60"/>
      <c r="Q97" s="60"/>
      <c r="R97" s="60"/>
      <c r="S97" s="60"/>
      <c r="T97" s="60"/>
      <c r="U97" s="60"/>
      <c r="V97" s="60"/>
      <c r="W97" s="74" t="str">
        <f t="shared" si="16"/>
        <v>-</v>
      </c>
      <c r="X97" s="74" t="str">
        <f t="shared" si="17"/>
        <v>-</v>
      </c>
      <c r="Y97" s="74" t="str">
        <f t="shared" si="18"/>
        <v>-</v>
      </c>
      <c r="AA97" s="60"/>
      <c r="AB97" s="60"/>
      <c r="AC97" s="60"/>
      <c r="AD97" s="60"/>
      <c r="AE97" s="60"/>
      <c r="AF97" s="60"/>
      <c r="AG97" s="60"/>
      <c r="AH97" s="60"/>
      <c r="AI97" s="60"/>
      <c r="AJ97" s="74" t="str">
        <f t="shared" si="19"/>
        <v>-</v>
      </c>
      <c r="AK97" s="60"/>
      <c r="AL97" s="60"/>
      <c r="AM97" s="60"/>
      <c r="AN97" s="60"/>
      <c r="AO97" s="60"/>
      <c r="AP97" s="60"/>
      <c r="AQ97" s="60"/>
      <c r="AR97" s="60"/>
      <c r="AS97" s="60"/>
      <c r="AT97" s="74" t="str">
        <f t="shared" si="20"/>
        <v>-</v>
      </c>
      <c r="AU97" s="74" t="str">
        <f t="shared" si="21"/>
        <v>-</v>
      </c>
      <c r="AV97" s="74" t="str">
        <f t="shared" si="22"/>
        <v>-</v>
      </c>
      <c r="AX97" s="59" t="str">
        <f>IF(AND(D97&gt;0,AA97&gt;0),MIN(D97,AA97),"-")</f>
        <v>-</v>
      </c>
      <c r="AY97" s="59" t="str">
        <f>IF(AND(E97&gt;0,AB97&gt;0),MIN(E97,AB97),"-")</f>
        <v>-</v>
      </c>
      <c r="AZ97" s="59" t="str">
        <f>IF(AND(F97&gt;0,AC97&gt;0),MIN(F97,AC97),"-")</f>
        <v>-</v>
      </c>
      <c r="BA97" s="59" t="str">
        <f>IF(AND(G97&gt;0,AD97&gt;0),MIN(G97,AD97),"-")</f>
        <v>-</v>
      </c>
      <c r="BB97" s="59" t="str">
        <f>IF(AND(H97&gt;0,AE97&gt;0),MIN(H97,AE97),"-")</f>
        <v>-</v>
      </c>
      <c r="BC97" s="59" t="str">
        <f>IF(AND(I97&gt;0,AF97&gt;0),MIN(I97,AF97),"-")</f>
        <v>-</v>
      </c>
      <c r="BD97" s="59" t="str">
        <f>IF(AND(J97&gt;0,AG97&gt;0),MIN(J97,AG97),"-")</f>
        <v>-</v>
      </c>
      <c r="BE97" s="59" t="str">
        <f>IF(AND(K97&gt;0,AH97&gt;0),MIN(K97,AH97),"-")</f>
        <v>-</v>
      </c>
      <c r="BF97" s="59" t="str">
        <f>IF(AND(L97&gt;0,AI97&gt;0),MIN(L97,AI97),"-")</f>
        <v>-</v>
      </c>
      <c r="BG97" s="59" t="str">
        <f t="shared" si="23"/>
        <v>-</v>
      </c>
      <c r="BH97" s="59" t="str">
        <f>IF(AND(N97&gt;0,AK97&gt;0),MIN(N97,AK97),"-")</f>
        <v>-</v>
      </c>
      <c r="BI97" s="59" t="str">
        <f>IF(AND(O97&gt;0,AL97&gt;0),MIN(O97,AL97),"-")</f>
        <v>-</v>
      </c>
      <c r="BJ97" s="59" t="str">
        <f>IF(AND(P97&gt;0,AM97&gt;0),MIN(P97,AM97),"-")</f>
        <v>-</v>
      </c>
      <c r="BK97" s="59" t="str">
        <f>IF(AND(Q97&gt;0,AN97&gt;0),MIN(Q97,AN97),"-")</f>
        <v>-</v>
      </c>
      <c r="BL97" s="59" t="str">
        <f>IF(AND(R97&gt;0,AO97&gt;0),MIN(R97,AO97),"-")</f>
        <v>-</v>
      </c>
      <c r="BM97" s="59" t="str">
        <f>IF(AND(S97&gt;0,AP97&gt;0),MIN(S97,AP97),"-")</f>
        <v>-</v>
      </c>
      <c r="BN97" s="59" t="str">
        <f>IF(AND(T97&gt;0,AQ97&gt;0),MIN(T97,AQ97),"-")</f>
        <v>-</v>
      </c>
      <c r="BO97" s="59" t="str">
        <f>IF(AND(U97&gt;0,AR97&gt;0),MIN(U97,AR97),"-")</f>
        <v>-</v>
      </c>
      <c r="BP97" s="59" t="str">
        <f>IF(AND(V97&gt;0,AS97&gt;0),MIN(V97,AS97),"-")</f>
        <v>-</v>
      </c>
      <c r="BQ97" s="59" t="str">
        <f t="shared" si="24"/>
        <v>-</v>
      </c>
      <c r="BR97" s="59" t="str">
        <f t="shared" si="25"/>
        <v>-</v>
      </c>
      <c r="BS97" s="59" t="str">
        <f t="shared" si="26"/>
        <v>-</v>
      </c>
      <c r="BT97" s="98" t="str">
        <f>IF(ISNUMBER(BS97),BS97-(C97*Rules!$P$9/100),"-")</f>
        <v>-</v>
      </c>
      <c r="BU97" s="59" t="e">
        <f>RANK($BT97,$BT$5:$BT$106,1)+COUNTIF(BT$5:BT97,BT97)-1</f>
        <v>#VALUE!</v>
      </c>
      <c r="BV97" s="59" t="e">
        <f t="shared" si="27"/>
        <v>#VALUE!</v>
      </c>
      <c r="BW97" s="59" t="str">
        <f t="shared" si="28"/>
        <v xml:space="preserve"> </v>
      </c>
      <c r="BX97" s="59" t="str">
        <f t="shared" si="28"/>
        <v>-</v>
      </c>
      <c r="BY97" s="59" t="str">
        <f t="shared" si="29"/>
        <v>-</v>
      </c>
      <c r="CC97" s="4">
        <v>93</v>
      </c>
      <c r="CD97" s="2" t="e">
        <f>VLOOKUP(CC97,$BV$5:BY$215,1,FALSE)</f>
        <v>#N/A</v>
      </c>
      <c r="CE97" s="6" t="e">
        <f>VLOOKUP(CC97,$BV$5:BY$215,2,FALSE)</f>
        <v>#N/A</v>
      </c>
      <c r="CF97" s="103" t="e">
        <f>VLOOKUP(CC97,$BV$5:BY$215,4,FALSE)</f>
        <v>#N/A</v>
      </c>
      <c r="CL97" s="77">
        <v>1</v>
      </c>
    </row>
    <row r="98" spans="1:90" ht="17.45" customHeight="1">
      <c r="A98" s="58">
        <v>94</v>
      </c>
      <c r="B98" s="59" t="str">
        <f>'B Div'!A98 &amp; " " &amp; 'B Div'!B98</f>
        <v xml:space="preserve"> </v>
      </c>
      <c r="C98" s="59" t="str">
        <f>'B Div'!E98</f>
        <v>-</v>
      </c>
      <c r="D98" s="60"/>
      <c r="E98" s="60"/>
      <c r="F98" s="60"/>
      <c r="G98" s="60"/>
      <c r="H98" s="60"/>
      <c r="I98" s="60"/>
      <c r="J98" s="60"/>
      <c r="K98" s="60"/>
      <c r="L98" s="60"/>
      <c r="M98" s="74" t="str">
        <f t="shared" si="15"/>
        <v>-</v>
      </c>
      <c r="N98" s="60"/>
      <c r="O98" s="60"/>
      <c r="P98" s="60"/>
      <c r="Q98" s="60"/>
      <c r="R98" s="60"/>
      <c r="S98" s="60"/>
      <c r="T98" s="60"/>
      <c r="U98" s="60"/>
      <c r="V98" s="60"/>
      <c r="W98" s="74" t="str">
        <f t="shared" si="16"/>
        <v>-</v>
      </c>
      <c r="X98" s="74" t="str">
        <f t="shared" si="17"/>
        <v>-</v>
      </c>
      <c r="Y98" s="74" t="str">
        <f t="shared" si="18"/>
        <v>-</v>
      </c>
      <c r="AA98" s="60"/>
      <c r="AB98" s="60"/>
      <c r="AC98" s="60"/>
      <c r="AD98" s="60"/>
      <c r="AE98" s="60"/>
      <c r="AF98" s="60"/>
      <c r="AG98" s="60"/>
      <c r="AH98" s="60"/>
      <c r="AI98" s="60"/>
      <c r="AJ98" s="74" t="str">
        <f t="shared" si="19"/>
        <v>-</v>
      </c>
      <c r="AK98" s="60"/>
      <c r="AL98" s="60"/>
      <c r="AM98" s="60"/>
      <c r="AN98" s="60"/>
      <c r="AO98" s="60"/>
      <c r="AP98" s="60"/>
      <c r="AQ98" s="60"/>
      <c r="AR98" s="60"/>
      <c r="AS98" s="60"/>
      <c r="AT98" s="74" t="str">
        <f t="shared" si="20"/>
        <v>-</v>
      </c>
      <c r="AU98" s="74" t="str">
        <f t="shared" si="21"/>
        <v>-</v>
      </c>
      <c r="AV98" s="74" t="str">
        <f t="shared" si="22"/>
        <v>-</v>
      </c>
      <c r="AX98" s="59" t="str">
        <f>IF(AND(D98&gt;0,AA98&gt;0),MIN(D98,AA98),"-")</f>
        <v>-</v>
      </c>
      <c r="AY98" s="59" t="str">
        <f>IF(AND(E98&gt;0,AB98&gt;0),MIN(E98,AB98),"-")</f>
        <v>-</v>
      </c>
      <c r="AZ98" s="59" t="str">
        <f>IF(AND(F98&gt;0,AC98&gt;0),MIN(F98,AC98),"-")</f>
        <v>-</v>
      </c>
      <c r="BA98" s="59" t="str">
        <f>IF(AND(G98&gt;0,AD98&gt;0),MIN(G98,AD98),"-")</f>
        <v>-</v>
      </c>
      <c r="BB98" s="59" t="str">
        <f>IF(AND(H98&gt;0,AE98&gt;0),MIN(H98,AE98),"-")</f>
        <v>-</v>
      </c>
      <c r="BC98" s="59" t="str">
        <f>IF(AND(I98&gt;0,AF98&gt;0),MIN(I98,AF98),"-")</f>
        <v>-</v>
      </c>
      <c r="BD98" s="59" t="str">
        <f>IF(AND(J98&gt;0,AG98&gt;0),MIN(J98,AG98),"-")</f>
        <v>-</v>
      </c>
      <c r="BE98" s="59" t="str">
        <f>IF(AND(K98&gt;0,AH98&gt;0),MIN(K98,AH98),"-")</f>
        <v>-</v>
      </c>
      <c r="BF98" s="59" t="str">
        <f>IF(AND(L98&gt;0,AI98&gt;0),MIN(L98,AI98),"-")</f>
        <v>-</v>
      </c>
      <c r="BG98" s="59" t="str">
        <f t="shared" si="23"/>
        <v>-</v>
      </c>
      <c r="BH98" s="59" t="str">
        <f>IF(AND(N98&gt;0,AK98&gt;0),MIN(N98,AK98),"-")</f>
        <v>-</v>
      </c>
      <c r="BI98" s="59" t="str">
        <f>IF(AND(O98&gt;0,AL98&gt;0),MIN(O98,AL98),"-")</f>
        <v>-</v>
      </c>
      <c r="BJ98" s="59" t="str">
        <f>IF(AND(P98&gt;0,AM98&gt;0),MIN(P98,AM98),"-")</f>
        <v>-</v>
      </c>
      <c r="BK98" s="59" t="str">
        <f>IF(AND(Q98&gt;0,AN98&gt;0),MIN(Q98,AN98),"-")</f>
        <v>-</v>
      </c>
      <c r="BL98" s="59" t="str">
        <f>IF(AND(R98&gt;0,AO98&gt;0),MIN(R98,AO98),"-")</f>
        <v>-</v>
      </c>
      <c r="BM98" s="59" t="str">
        <f>IF(AND(S98&gt;0,AP98&gt;0),MIN(S98,AP98),"-")</f>
        <v>-</v>
      </c>
      <c r="BN98" s="59" t="str">
        <f>IF(AND(T98&gt;0,AQ98&gt;0),MIN(T98,AQ98),"-")</f>
        <v>-</v>
      </c>
      <c r="BO98" s="59" t="str">
        <f>IF(AND(U98&gt;0,AR98&gt;0),MIN(U98,AR98),"-")</f>
        <v>-</v>
      </c>
      <c r="BP98" s="59" t="str">
        <f>IF(AND(V98&gt;0,AS98&gt;0),MIN(V98,AS98),"-")</f>
        <v>-</v>
      </c>
      <c r="BQ98" s="59" t="str">
        <f t="shared" si="24"/>
        <v>-</v>
      </c>
      <c r="BR98" s="59" t="str">
        <f t="shared" si="25"/>
        <v>-</v>
      </c>
      <c r="BS98" s="59" t="str">
        <f t="shared" si="26"/>
        <v>-</v>
      </c>
      <c r="BT98" s="98" t="str">
        <f>IF(ISNUMBER(BS98),BS98-(C98*Rules!$P$9/100),"-")</f>
        <v>-</v>
      </c>
      <c r="BU98" s="59" t="e">
        <f>RANK($BT98,$BT$5:$BT$106,1)+COUNTIF(BT$5:BT98,BT98)-1</f>
        <v>#VALUE!</v>
      </c>
      <c r="BV98" s="59" t="e">
        <f t="shared" si="27"/>
        <v>#VALUE!</v>
      </c>
      <c r="BW98" s="59" t="str">
        <f t="shared" si="28"/>
        <v xml:space="preserve"> </v>
      </c>
      <c r="BX98" s="59" t="str">
        <f t="shared" si="28"/>
        <v>-</v>
      </c>
      <c r="BY98" s="59" t="str">
        <f t="shared" si="29"/>
        <v>-</v>
      </c>
      <c r="CC98" s="4">
        <v>94</v>
      </c>
      <c r="CD98" s="2" t="e">
        <f>VLOOKUP(CC98,$BV$5:BY$215,1,FALSE)</f>
        <v>#N/A</v>
      </c>
      <c r="CE98" s="6" t="e">
        <f>VLOOKUP(CC98,$BV$5:BY$215,2,FALSE)</f>
        <v>#N/A</v>
      </c>
      <c r="CF98" s="103" t="e">
        <f>VLOOKUP(CC98,$BV$5:BY$215,4,FALSE)</f>
        <v>#N/A</v>
      </c>
      <c r="CL98" s="77">
        <v>1</v>
      </c>
    </row>
    <row r="99" spans="1:90" ht="17.45" customHeight="1">
      <c r="A99" s="58">
        <v>95</v>
      </c>
      <c r="B99" s="59" t="str">
        <f>'B Div'!A99 &amp; " " &amp; 'B Div'!B99</f>
        <v xml:space="preserve"> </v>
      </c>
      <c r="C99" s="59" t="str">
        <f>'B Div'!E99</f>
        <v>-</v>
      </c>
      <c r="D99" s="60"/>
      <c r="E99" s="60"/>
      <c r="F99" s="60"/>
      <c r="G99" s="60"/>
      <c r="H99" s="60"/>
      <c r="I99" s="60"/>
      <c r="J99" s="60"/>
      <c r="K99" s="60"/>
      <c r="L99" s="60"/>
      <c r="M99" s="74" t="str">
        <f t="shared" si="15"/>
        <v>-</v>
      </c>
      <c r="N99" s="60"/>
      <c r="O99" s="60"/>
      <c r="P99" s="60"/>
      <c r="Q99" s="60"/>
      <c r="R99" s="60"/>
      <c r="S99" s="60"/>
      <c r="T99" s="60"/>
      <c r="U99" s="60"/>
      <c r="V99" s="60"/>
      <c r="W99" s="74" t="str">
        <f t="shared" si="16"/>
        <v>-</v>
      </c>
      <c r="X99" s="74" t="str">
        <f t="shared" si="17"/>
        <v>-</v>
      </c>
      <c r="Y99" s="74" t="str">
        <f t="shared" si="18"/>
        <v>-</v>
      </c>
      <c r="AA99" s="60"/>
      <c r="AB99" s="60"/>
      <c r="AC99" s="60"/>
      <c r="AD99" s="60"/>
      <c r="AE99" s="60"/>
      <c r="AF99" s="60"/>
      <c r="AG99" s="60"/>
      <c r="AH99" s="60"/>
      <c r="AI99" s="60"/>
      <c r="AJ99" s="74" t="str">
        <f t="shared" si="19"/>
        <v>-</v>
      </c>
      <c r="AK99" s="60"/>
      <c r="AL99" s="60"/>
      <c r="AM99" s="60"/>
      <c r="AN99" s="60"/>
      <c r="AO99" s="60"/>
      <c r="AP99" s="60"/>
      <c r="AQ99" s="60"/>
      <c r="AR99" s="60"/>
      <c r="AS99" s="60"/>
      <c r="AT99" s="74" t="str">
        <f t="shared" si="20"/>
        <v>-</v>
      </c>
      <c r="AU99" s="74" t="str">
        <f t="shared" si="21"/>
        <v>-</v>
      </c>
      <c r="AV99" s="74" t="str">
        <f t="shared" si="22"/>
        <v>-</v>
      </c>
      <c r="AX99" s="59" t="str">
        <f>IF(AND(D99&gt;0,AA99&gt;0),MIN(D99,AA99),"-")</f>
        <v>-</v>
      </c>
      <c r="AY99" s="59" t="str">
        <f>IF(AND(E99&gt;0,AB99&gt;0),MIN(E99,AB99),"-")</f>
        <v>-</v>
      </c>
      <c r="AZ99" s="59" t="str">
        <f>IF(AND(F99&gt;0,AC99&gt;0),MIN(F99,AC99),"-")</f>
        <v>-</v>
      </c>
      <c r="BA99" s="59" t="str">
        <f>IF(AND(G99&gt;0,AD99&gt;0),MIN(G99,AD99),"-")</f>
        <v>-</v>
      </c>
      <c r="BB99" s="59" t="str">
        <f>IF(AND(H99&gt;0,AE99&gt;0),MIN(H99,AE99),"-")</f>
        <v>-</v>
      </c>
      <c r="BC99" s="59" t="str">
        <f>IF(AND(I99&gt;0,AF99&gt;0),MIN(I99,AF99),"-")</f>
        <v>-</v>
      </c>
      <c r="BD99" s="59" t="str">
        <f>IF(AND(J99&gt;0,AG99&gt;0),MIN(J99,AG99),"-")</f>
        <v>-</v>
      </c>
      <c r="BE99" s="59" t="str">
        <f>IF(AND(K99&gt;0,AH99&gt;0),MIN(K99,AH99),"-")</f>
        <v>-</v>
      </c>
      <c r="BF99" s="59" t="str">
        <f>IF(AND(L99&gt;0,AI99&gt;0),MIN(L99,AI99),"-")</f>
        <v>-</v>
      </c>
      <c r="BG99" s="59" t="str">
        <f t="shared" si="23"/>
        <v>-</v>
      </c>
      <c r="BH99" s="59" t="str">
        <f>IF(AND(N99&gt;0,AK99&gt;0),MIN(N99,AK99),"-")</f>
        <v>-</v>
      </c>
      <c r="BI99" s="59" t="str">
        <f>IF(AND(O99&gt;0,AL99&gt;0),MIN(O99,AL99),"-")</f>
        <v>-</v>
      </c>
      <c r="BJ99" s="59" t="str">
        <f>IF(AND(P99&gt;0,AM99&gt;0),MIN(P99,AM99),"-")</f>
        <v>-</v>
      </c>
      <c r="BK99" s="59" t="str">
        <f>IF(AND(Q99&gt;0,AN99&gt;0),MIN(Q99,AN99),"-")</f>
        <v>-</v>
      </c>
      <c r="BL99" s="59" t="str">
        <f>IF(AND(R99&gt;0,AO99&gt;0),MIN(R99,AO99),"-")</f>
        <v>-</v>
      </c>
      <c r="BM99" s="59" t="str">
        <f>IF(AND(S99&gt;0,AP99&gt;0),MIN(S99,AP99),"-")</f>
        <v>-</v>
      </c>
      <c r="BN99" s="59" t="str">
        <f>IF(AND(T99&gt;0,AQ99&gt;0),MIN(T99,AQ99),"-")</f>
        <v>-</v>
      </c>
      <c r="BO99" s="59" t="str">
        <f>IF(AND(U99&gt;0,AR99&gt;0),MIN(U99,AR99),"-")</f>
        <v>-</v>
      </c>
      <c r="BP99" s="59" t="str">
        <f>IF(AND(V99&gt;0,AS99&gt;0),MIN(V99,AS99),"-")</f>
        <v>-</v>
      </c>
      <c r="BQ99" s="59" t="str">
        <f t="shared" si="24"/>
        <v>-</v>
      </c>
      <c r="BR99" s="59" t="str">
        <f t="shared" si="25"/>
        <v>-</v>
      </c>
      <c r="BS99" s="59" t="str">
        <f t="shared" si="26"/>
        <v>-</v>
      </c>
      <c r="BT99" s="98" t="str">
        <f>IF(ISNUMBER(BS99),BS99-(C99*Rules!$P$9/100),"-")</f>
        <v>-</v>
      </c>
      <c r="BU99" s="59" t="e">
        <f>RANK($BT99,$BT$5:$BT$106,1)+COUNTIF(BT$5:BT99,BT99)-1</f>
        <v>#VALUE!</v>
      </c>
      <c r="BV99" s="59" t="e">
        <f t="shared" si="27"/>
        <v>#VALUE!</v>
      </c>
      <c r="BW99" s="59" t="str">
        <f t="shared" si="28"/>
        <v xml:space="preserve"> </v>
      </c>
      <c r="BX99" s="59" t="str">
        <f t="shared" si="28"/>
        <v>-</v>
      </c>
      <c r="BY99" s="59" t="str">
        <f t="shared" si="29"/>
        <v>-</v>
      </c>
      <c r="CC99" s="4">
        <v>95</v>
      </c>
      <c r="CD99" s="2" t="e">
        <f>VLOOKUP(CC99,$BV$5:BY$215,1,FALSE)</f>
        <v>#N/A</v>
      </c>
      <c r="CE99" s="6" t="e">
        <f>VLOOKUP(CC99,$BV$5:BY$215,2,FALSE)</f>
        <v>#N/A</v>
      </c>
      <c r="CF99" s="103" t="e">
        <f>VLOOKUP(CC99,$BV$5:BY$215,4,FALSE)</f>
        <v>#N/A</v>
      </c>
      <c r="CL99" s="77">
        <v>1</v>
      </c>
    </row>
    <row r="100" spans="1:90" ht="17.45" customHeight="1">
      <c r="A100" s="58">
        <v>96</v>
      </c>
      <c r="B100" s="59" t="str">
        <f>'B Div'!A100 &amp; " " &amp; 'B Div'!B100</f>
        <v xml:space="preserve"> </v>
      </c>
      <c r="C100" s="59" t="str">
        <f>'B Div'!E100</f>
        <v>-</v>
      </c>
      <c r="D100" s="60"/>
      <c r="E100" s="60"/>
      <c r="F100" s="60"/>
      <c r="G100" s="60"/>
      <c r="H100" s="60"/>
      <c r="I100" s="60"/>
      <c r="J100" s="60"/>
      <c r="K100" s="60"/>
      <c r="L100" s="60"/>
      <c r="M100" s="74" t="str">
        <f t="shared" si="15"/>
        <v>-</v>
      </c>
      <c r="N100" s="60"/>
      <c r="O100" s="60"/>
      <c r="P100" s="60"/>
      <c r="Q100" s="60"/>
      <c r="R100" s="60"/>
      <c r="S100" s="60"/>
      <c r="T100" s="60"/>
      <c r="U100" s="60"/>
      <c r="V100" s="60"/>
      <c r="W100" s="74" t="str">
        <f t="shared" si="16"/>
        <v>-</v>
      </c>
      <c r="X100" s="74" t="str">
        <f t="shared" si="17"/>
        <v>-</v>
      </c>
      <c r="Y100" s="74" t="str">
        <f t="shared" si="18"/>
        <v>-</v>
      </c>
      <c r="AA100" s="60"/>
      <c r="AB100" s="60"/>
      <c r="AC100" s="60"/>
      <c r="AD100" s="60"/>
      <c r="AE100" s="60"/>
      <c r="AF100" s="60"/>
      <c r="AG100" s="60"/>
      <c r="AH100" s="60"/>
      <c r="AI100" s="60"/>
      <c r="AJ100" s="74" t="str">
        <f t="shared" si="19"/>
        <v>-</v>
      </c>
      <c r="AK100" s="60"/>
      <c r="AL100" s="60"/>
      <c r="AM100" s="60"/>
      <c r="AN100" s="60"/>
      <c r="AO100" s="60"/>
      <c r="AP100" s="60"/>
      <c r="AQ100" s="60"/>
      <c r="AR100" s="60"/>
      <c r="AS100" s="60"/>
      <c r="AT100" s="74" t="str">
        <f t="shared" si="20"/>
        <v>-</v>
      </c>
      <c r="AU100" s="74" t="str">
        <f t="shared" si="21"/>
        <v>-</v>
      </c>
      <c r="AV100" s="74" t="str">
        <f t="shared" si="22"/>
        <v>-</v>
      </c>
      <c r="AX100" s="59" t="str">
        <f>IF(AND(D100&gt;0,AA100&gt;0),MIN(D100,AA100),"-")</f>
        <v>-</v>
      </c>
      <c r="AY100" s="59" t="str">
        <f>IF(AND(E100&gt;0,AB100&gt;0),MIN(E100,AB100),"-")</f>
        <v>-</v>
      </c>
      <c r="AZ100" s="59" t="str">
        <f>IF(AND(F100&gt;0,AC100&gt;0),MIN(F100,AC100),"-")</f>
        <v>-</v>
      </c>
      <c r="BA100" s="59" t="str">
        <f>IF(AND(G100&gt;0,AD100&gt;0),MIN(G100,AD100),"-")</f>
        <v>-</v>
      </c>
      <c r="BB100" s="59" t="str">
        <f>IF(AND(H100&gt;0,AE100&gt;0),MIN(H100,AE100),"-")</f>
        <v>-</v>
      </c>
      <c r="BC100" s="59" t="str">
        <f>IF(AND(I100&gt;0,AF100&gt;0),MIN(I100,AF100),"-")</f>
        <v>-</v>
      </c>
      <c r="BD100" s="59" t="str">
        <f>IF(AND(J100&gt;0,AG100&gt;0),MIN(J100,AG100),"-")</f>
        <v>-</v>
      </c>
      <c r="BE100" s="59" t="str">
        <f>IF(AND(K100&gt;0,AH100&gt;0),MIN(K100,AH100),"-")</f>
        <v>-</v>
      </c>
      <c r="BF100" s="59" t="str">
        <f>IF(AND(L100&gt;0,AI100&gt;0),MIN(L100,AI100),"-")</f>
        <v>-</v>
      </c>
      <c r="BG100" s="59" t="str">
        <f t="shared" si="23"/>
        <v>-</v>
      </c>
      <c r="BH100" s="59" t="str">
        <f>IF(AND(N100&gt;0,AK100&gt;0),MIN(N100,AK100),"-")</f>
        <v>-</v>
      </c>
      <c r="BI100" s="59" t="str">
        <f>IF(AND(O100&gt;0,AL100&gt;0),MIN(O100,AL100),"-")</f>
        <v>-</v>
      </c>
      <c r="BJ100" s="59" t="str">
        <f>IF(AND(P100&gt;0,AM100&gt;0),MIN(P100,AM100),"-")</f>
        <v>-</v>
      </c>
      <c r="BK100" s="59" t="str">
        <f>IF(AND(Q100&gt;0,AN100&gt;0),MIN(Q100,AN100),"-")</f>
        <v>-</v>
      </c>
      <c r="BL100" s="59" t="str">
        <f>IF(AND(R100&gt;0,AO100&gt;0),MIN(R100,AO100),"-")</f>
        <v>-</v>
      </c>
      <c r="BM100" s="59" t="str">
        <f>IF(AND(S100&gt;0,AP100&gt;0),MIN(S100,AP100),"-")</f>
        <v>-</v>
      </c>
      <c r="BN100" s="59" t="str">
        <f>IF(AND(T100&gt;0,AQ100&gt;0),MIN(T100,AQ100),"-")</f>
        <v>-</v>
      </c>
      <c r="BO100" s="59" t="str">
        <f>IF(AND(U100&gt;0,AR100&gt;0),MIN(U100,AR100),"-")</f>
        <v>-</v>
      </c>
      <c r="BP100" s="59" t="str">
        <f>IF(AND(V100&gt;0,AS100&gt;0),MIN(V100,AS100),"-")</f>
        <v>-</v>
      </c>
      <c r="BQ100" s="59" t="str">
        <f t="shared" si="24"/>
        <v>-</v>
      </c>
      <c r="BR100" s="59" t="str">
        <f t="shared" si="25"/>
        <v>-</v>
      </c>
      <c r="BS100" s="59" t="str">
        <f t="shared" si="26"/>
        <v>-</v>
      </c>
      <c r="BT100" s="98" t="str">
        <f>IF(ISNUMBER(BS100),BS100-(C100*Rules!$P$9/100),"-")</f>
        <v>-</v>
      </c>
      <c r="BU100" s="59" t="e">
        <f>RANK($BT100,$BT$5:$BT$106,1)+COUNTIF(BT$5:BT100,BT100)-1</f>
        <v>#VALUE!</v>
      </c>
      <c r="BV100" s="59" t="e">
        <f t="shared" si="27"/>
        <v>#VALUE!</v>
      </c>
      <c r="BW100" s="59" t="str">
        <f t="shared" si="28"/>
        <v xml:space="preserve"> </v>
      </c>
      <c r="BX100" s="59" t="str">
        <f t="shared" si="28"/>
        <v>-</v>
      </c>
      <c r="BY100" s="59" t="str">
        <f t="shared" si="29"/>
        <v>-</v>
      </c>
      <c r="CC100" s="4">
        <v>96</v>
      </c>
      <c r="CD100" s="2" t="e">
        <f>VLOOKUP(CC100,$BV$5:BY$215,1,FALSE)</f>
        <v>#N/A</v>
      </c>
      <c r="CE100" s="6" t="e">
        <f>VLOOKUP(CC100,$BV$5:BY$215,2,FALSE)</f>
        <v>#N/A</v>
      </c>
      <c r="CF100" s="103" t="e">
        <f>VLOOKUP(CC100,$BV$5:BY$215,4,FALSE)</f>
        <v>#N/A</v>
      </c>
      <c r="CL100" s="77">
        <v>1</v>
      </c>
    </row>
    <row r="101" spans="1:90" ht="17.45" customHeight="1">
      <c r="A101" s="58">
        <v>97</v>
      </c>
      <c r="B101" s="59" t="str">
        <f>'B Div'!A101 &amp; " " &amp; 'B Div'!B101</f>
        <v xml:space="preserve"> </v>
      </c>
      <c r="C101" s="59" t="str">
        <f>'B Div'!E101</f>
        <v>-</v>
      </c>
      <c r="D101" s="60"/>
      <c r="E101" s="60"/>
      <c r="F101" s="60"/>
      <c r="G101" s="60"/>
      <c r="H101" s="60"/>
      <c r="I101" s="60"/>
      <c r="J101" s="60"/>
      <c r="K101" s="60"/>
      <c r="L101" s="60"/>
      <c r="M101" s="74" t="str">
        <f t="shared" si="15"/>
        <v>-</v>
      </c>
      <c r="N101" s="60"/>
      <c r="O101" s="60"/>
      <c r="P101" s="60"/>
      <c r="Q101" s="60"/>
      <c r="R101" s="60"/>
      <c r="S101" s="60"/>
      <c r="T101" s="60"/>
      <c r="U101" s="60"/>
      <c r="V101" s="60"/>
      <c r="W101" s="74" t="str">
        <f t="shared" si="16"/>
        <v>-</v>
      </c>
      <c r="X101" s="74" t="str">
        <f t="shared" si="17"/>
        <v>-</v>
      </c>
      <c r="Y101" s="74" t="str">
        <f t="shared" si="18"/>
        <v>-</v>
      </c>
      <c r="AA101" s="60"/>
      <c r="AB101" s="60"/>
      <c r="AC101" s="60"/>
      <c r="AD101" s="60"/>
      <c r="AE101" s="60"/>
      <c r="AF101" s="60"/>
      <c r="AG101" s="60"/>
      <c r="AH101" s="60"/>
      <c r="AI101" s="60"/>
      <c r="AJ101" s="74" t="str">
        <f t="shared" si="19"/>
        <v>-</v>
      </c>
      <c r="AK101" s="60"/>
      <c r="AL101" s="60"/>
      <c r="AM101" s="60"/>
      <c r="AN101" s="60"/>
      <c r="AO101" s="60"/>
      <c r="AP101" s="60"/>
      <c r="AQ101" s="60"/>
      <c r="AR101" s="60"/>
      <c r="AS101" s="60"/>
      <c r="AT101" s="74" t="str">
        <f t="shared" si="20"/>
        <v>-</v>
      </c>
      <c r="AU101" s="74" t="str">
        <f t="shared" si="21"/>
        <v>-</v>
      </c>
      <c r="AV101" s="74" t="str">
        <f t="shared" si="22"/>
        <v>-</v>
      </c>
      <c r="AX101" s="59" t="str">
        <f>IF(AND(D101&gt;0,AA101&gt;0),MIN(D101,AA101),"-")</f>
        <v>-</v>
      </c>
      <c r="AY101" s="59" t="str">
        <f>IF(AND(E101&gt;0,AB101&gt;0),MIN(E101,AB101),"-")</f>
        <v>-</v>
      </c>
      <c r="AZ101" s="59" t="str">
        <f>IF(AND(F101&gt;0,AC101&gt;0),MIN(F101,AC101),"-")</f>
        <v>-</v>
      </c>
      <c r="BA101" s="59" t="str">
        <f>IF(AND(G101&gt;0,AD101&gt;0),MIN(G101,AD101),"-")</f>
        <v>-</v>
      </c>
      <c r="BB101" s="59" t="str">
        <f>IF(AND(H101&gt;0,AE101&gt;0),MIN(H101,AE101),"-")</f>
        <v>-</v>
      </c>
      <c r="BC101" s="59" t="str">
        <f>IF(AND(I101&gt;0,AF101&gt;0),MIN(I101,AF101),"-")</f>
        <v>-</v>
      </c>
      <c r="BD101" s="59" t="str">
        <f>IF(AND(J101&gt;0,AG101&gt;0),MIN(J101,AG101),"-")</f>
        <v>-</v>
      </c>
      <c r="BE101" s="59" t="str">
        <f>IF(AND(K101&gt;0,AH101&gt;0),MIN(K101,AH101),"-")</f>
        <v>-</v>
      </c>
      <c r="BF101" s="59" t="str">
        <f>IF(AND(L101&gt;0,AI101&gt;0),MIN(L101,AI101),"-")</f>
        <v>-</v>
      </c>
      <c r="BG101" s="59" t="str">
        <f t="shared" si="23"/>
        <v>-</v>
      </c>
      <c r="BH101" s="59" t="str">
        <f>IF(AND(N101&gt;0,AK101&gt;0),MIN(N101,AK101),"-")</f>
        <v>-</v>
      </c>
      <c r="BI101" s="59" t="str">
        <f>IF(AND(O101&gt;0,AL101&gt;0),MIN(O101,AL101),"-")</f>
        <v>-</v>
      </c>
      <c r="BJ101" s="59" t="str">
        <f>IF(AND(P101&gt;0,AM101&gt;0),MIN(P101,AM101),"-")</f>
        <v>-</v>
      </c>
      <c r="BK101" s="59" t="str">
        <f>IF(AND(Q101&gt;0,AN101&gt;0),MIN(Q101,AN101),"-")</f>
        <v>-</v>
      </c>
      <c r="BL101" s="59" t="str">
        <f>IF(AND(R101&gt;0,AO101&gt;0),MIN(R101,AO101),"-")</f>
        <v>-</v>
      </c>
      <c r="BM101" s="59" t="str">
        <f>IF(AND(S101&gt;0,AP101&gt;0),MIN(S101,AP101),"-")</f>
        <v>-</v>
      </c>
      <c r="BN101" s="59" t="str">
        <f>IF(AND(T101&gt;0,AQ101&gt;0),MIN(T101,AQ101),"-")</f>
        <v>-</v>
      </c>
      <c r="BO101" s="59" t="str">
        <f>IF(AND(U101&gt;0,AR101&gt;0),MIN(U101,AR101),"-")</f>
        <v>-</v>
      </c>
      <c r="BP101" s="59" t="str">
        <f>IF(AND(V101&gt;0,AS101&gt;0),MIN(V101,AS101),"-")</f>
        <v>-</v>
      </c>
      <c r="BQ101" s="59" t="str">
        <f t="shared" si="24"/>
        <v>-</v>
      </c>
      <c r="BR101" s="59" t="str">
        <f t="shared" si="25"/>
        <v>-</v>
      </c>
      <c r="BS101" s="59" t="str">
        <f t="shared" si="26"/>
        <v>-</v>
      </c>
      <c r="BT101" s="98" t="str">
        <f>IF(ISNUMBER(BS101),BS101-(C101*Rules!$P$9/100),"-")</f>
        <v>-</v>
      </c>
      <c r="BU101" s="59" t="e">
        <f>RANK($BT101,$BT$5:$BT$106,1)+COUNTIF(BT$5:BT101,BT101)-1</f>
        <v>#VALUE!</v>
      </c>
      <c r="BV101" s="59" t="e">
        <f t="shared" si="27"/>
        <v>#VALUE!</v>
      </c>
      <c r="BW101" s="59" t="str">
        <f t="shared" si="28"/>
        <v xml:space="preserve"> </v>
      </c>
      <c r="BX101" s="59" t="str">
        <f t="shared" si="28"/>
        <v>-</v>
      </c>
      <c r="BY101" s="59" t="str">
        <f t="shared" si="29"/>
        <v>-</v>
      </c>
      <c r="CC101" s="4">
        <v>97</v>
      </c>
      <c r="CD101" s="2" t="e">
        <f>VLOOKUP(CC101,$BV$5:BY$215,1,FALSE)</f>
        <v>#N/A</v>
      </c>
      <c r="CE101" s="6" t="e">
        <f>VLOOKUP(CC101,$BV$5:BY$215,2,FALSE)</f>
        <v>#N/A</v>
      </c>
      <c r="CF101" s="103" t="e">
        <f>VLOOKUP(CC101,$BV$5:BY$215,4,FALSE)</f>
        <v>#N/A</v>
      </c>
      <c r="CL101" s="77">
        <v>1</v>
      </c>
    </row>
    <row r="102" spans="1:90" ht="17.45" customHeight="1">
      <c r="A102" s="58">
        <v>98</v>
      </c>
      <c r="B102" s="59" t="str">
        <f>'B Div'!A102 &amp; " " &amp; 'B Div'!B102</f>
        <v xml:space="preserve"> </v>
      </c>
      <c r="C102" s="59" t="str">
        <f>'B Div'!E102</f>
        <v>-</v>
      </c>
      <c r="D102" s="60"/>
      <c r="E102" s="60"/>
      <c r="F102" s="60"/>
      <c r="G102" s="60"/>
      <c r="H102" s="60"/>
      <c r="I102" s="60"/>
      <c r="J102" s="60"/>
      <c r="K102" s="60"/>
      <c r="L102" s="60"/>
      <c r="M102" s="74" t="str">
        <f t="shared" si="15"/>
        <v>-</v>
      </c>
      <c r="N102" s="60"/>
      <c r="O102" s="60"/>
      <c r="P102" s="60"/>
      <c r="Q102" s="60"/>
      <c r="R102" s="60"/>
      <c r="S102" s="60"/>
      <c r="T102" s="60"/>
      <c r="U102" s="60"/>
      <c r="V102" s="60"/>
      <c r="W102" s="74" t="str">
        <f t="shared" si="16"/>
        <v>-</v>
      </c>
      <c r="X102" s="74" t="str">
        <f t="shared" si="17"/>
        <v>-</v>
      </c>
      <c r="Y102" s="74" t="str">
        <f t="shared" si="18"/>
        <v>-</v>
      </c>
      <c r="AA102" s="60"/>
      <c r="AB102" s="60"/>
      <c r="AC102" s="60"/>
      <c r="AD102" s="60"/>
      <c r="AE102" s="60"/>
      <c r="AF102" s="60"/>
      <c r="AG102" s="60"/>
      <c r="AH102" s="60"/>
      <c r="AI102" s="60"/>
      <c r="AJ102" s="74" t="str">
        <f t="shared" si="19"/>
        <v>-</v>
      </c>
      <c r="AK102" s="60"/>
      <c r="AL102" s="60"/>
      <c r="AM102" s="60"/>
      <c r="AN102" s="60"/>
      <c r="AO102" s="60"/>
      <c r="AP102" s="60"/>
      <c r="AQ102" s="60"/>
      <c r="AR102" s="60"/>
      <c r="AS102" s="60"/>
      <c r="AT102" s="74" t="str">
        <f t="shared" si="20"/>
        <v>-</v>
      </c>
      <c r="AU102" s="74" t="str">
        <f t="shared" si="21"/>
        <v>-</v>
      </c>
      <c r="AV102" s="74" t="str">
        <f t="shared" si="22"/>
        <v>-</v>
      </c>
      <c r="AX102" s="59" t="str">
        <f>IF(AND(D102&gt;0,AA102&gt;0),MIN(D102,AA102),"-")</f>
        <v>-</v>
      </c>
      <c r="AY102" s="59" t="str">
        <f>IF(AND(E102&gt;0,AB102&gt;0),MIN(E102,AB102),"-")</f>
        <v>-</v>
      </c>
      <c r="AZ102" s="59" t="str">
        <f>IF(AND(F102&gt;0,AC102&gt;0),MIN(F102,AC102),"-")</f>
        <v>-</v>
      </c>
      <c r="BA102" s="59" t="str">
        <f>IF(AND(G102&gt;0,AD102&gt;0),MIN(G102,AD102),"-")</f>
        <v>-</v>
      </c>
      <c r="BB102" s="59" t="str">
        <f>IF(AND(H102&gt;0,AE102&gt;0),MIN(H102,AE102),"-")</f>
        <v>-</v>
      </c>
      <c r="BC102" s="59" t="str">
        <f>IF(AND(I102&gt;0,AF102&gt;0),MIN(I102,AF102),"-")</f>
        <v>-</v>
      </c>
      <c r="BD102" s="59" t="str">
        <f>IF(AND(J102&gt;0,AG102&gt;0),MIN(J102,AG102),"-")</f>
        <v>-</v>
      </c>
      <c r="BE102" s="59" t="str">
        <f>IF(AND(K102&gt;0,AH102&gt;0),MIN(K102,AH102),"-")</f>
        <v>-</v>
      </c>
      <c r="BF102" s="59" t="str">
        <f>IF(AND(L102&gt;0,AI102&gt;0),MIN(L102,AI102),"-")</f>
        <v>-</v>
      </c>
      <c r="BG102" s="59" t="str">
        <f t="shared" si="23"/>
        <v>-</v>
      </c>
      <c r="BH102" s="59" t="str">
        <f>IF(AND(N102&gt;0,AK102&gt;0),MIN(N102,AK102),"-")</f>
        <v>-</v>
      </c>
      <c r="BI102" s="59" t="str">
        <f>IF(AND(O102&gt;0,AL102&gt;0),MIN(O102,AL102),"-")</f>
        <v>-</v>
      </c>
      <c r="BJ102" s="59" t="str">
        <f>IF(AND(P102&gt;0,AM102&gt;0),MIN(P102,AM102),"-")</f>
        <v>-</v>
      </c>
      <c r="BK102" s="59" t="str">
        <f>IF(AND(Q102&gt;0,AN102&gt;0),MIN(Q102,AN102),"-")</f>
        <v>-</v>
      </c>
      <c r="BL102" s="59" t="str">
        <f>IF(AND(R102&gt;0,AO102&gt;0),MIN(R102,AO102),"-")</f>
        <v>-</v>
      </c>
      <c r="BM102" s="59" t="str">
        <f>IF(AND(S102&gt;0,AP102&gt;0),MIN(S102,AP102),"-")</f>
        <v>-</v>
      </c>
      <c r="BN102" s="59" t="str">
        <f>IF(AND(T102&gt;0,AQ102&gt;0),MIN(T102,AQ102),"-")</f>
        <v>-</v>
      </c>
      <c r="BO102" s="59" t="str">
        <f>IF(AND(U102&gt;0,AR102&gt;0),MIN(U102,AR102),"-")</f>
        <v>-</v>
      </c>
      <c r="BP102" s="59" t="str">
        <f>IF(AND(V102&gt;0,AS102&gt;0),MIN(V102,AS102),"-")</f>
        <v>-</v>
      </c>
      <c r="BQ102" s="59" t="str">
        <f t="shared" si="24"/>
        <v>-</v>
      </c>
      <c r="BR102" s="59" t="str">
        <f t="shared" si="25"/>
        <v>-</v>
      </c>
      <c r="BS102" s="59" t="str">
        <f t="shared" si="26"/>
        <v>-</v>
      </c>
      <c r="BT102" s="98" t="str">
        <f>IF(ISNUMBER(BS102),BS102-(C102*Rules!$P$9/100),"-")</f>
        <v>-</v>
      </c>
      <c r="BU102" s="59" t="e">
        <f>RANK($BT102,$BT$5:$BT$106,1)+COUNTIF(BT$5:BT102,BT102)-1</f>
        <v>#VALUE!</v>
      </c>
      <c r="BV102" s="59" t="e">
        <f t="shared" si="27"/>
        <v>#VALUE!</v>
      </c>
      <c r="BW102" s="59" t="str">
        <f t="shared" si="28"/>
        <v xml:space="preserve"> </v>
      </c>
      <c r="BX102" s="59" t="str">
        <f t="shared" si="28"/>
        <v>-</v>
      </c>
      <c r="BY102" s="59" t="str">
        <f t="shared" si="29"/>
        <v>-</v>
      </c>
      <c r="CC102" s="4">
        <v>98</v>
      </c>
      <c r="CD102" s="2" t="e">
        <f>VLOOKUP(CC102,$BV$5:BY$215,1,FALSE)</f>
        <v>#N/A</v>
      </c>
      <c r="CE102" s="6" t="e">
        <f>VLOOKUP(CC102,$BV$5:BY$215,2,FALSE)</f>
        <v>#N/A</v>
      </c>
      <c r="CF102" s="103" t="e">
        <f>VLOOKUP(CC102,$BV$5:BY$215,4,FALSE)</f>
        <v>#N/A</v>
      </c>
      <c r="CL102" s="77">
        <v>1</v>
      </c>
    </row>
    <row r="103" spans="1:90" ht="17.45" customHeight="1">
      <c r="A103" s="58">
        <v>99</v>
      </c>
      <c r="B103" s="59" t="str">
        <f>'B Div'!A103 &amp; " " &amp; 'B Div'!B103</f>
        <v xml:space="preserve"> </v>
      </c>
      <c r="C103" s="59" t="str">
        <f>'B Div'!E103</f>
        <v>-</v>
      </c>
      <c r="D103" s="60"/>
      <c r="E103" s="60"/>
      <c r="F103" s="60"/>
      <c r="G103" s="60"/>
      <c r="H103" s="60"/>
      <c r="I103" s="60"/>
      <c r="J103" s="60"/>
      <c r="K103" s="60"/>
      <c r="L103" s="60"/>
      <c r="M103" s="74" t="str">
        <f t="shared" si="15"/>
        <v>-</v>
      </c>
      <c r="N103" s="60"/>
      <c r="O103" s="60"/>
      <c r="P103" s="60"/>
      <c r="Q103" s="60"/>
      <c r="R103" s="60"/>
      <c r="S103" s="60"/>
      <c r="T103" s="60"/>
      <c r="U103" s="60"/>
      <c r="V103" s="60"/>
      <c r="W103" s="74" t="str">
        <f t="shared" si="16"/>
        <v>-</v>
      </c>
      <c r="X103" s="74" t="str">
        <f t="shared" si="17"/>
        <v>-</v>
      </c>
      <c r="Y103" s="74" t="str">
        <f t="shared" si="18"/>
        <v>-</v>
      </c>
      <c r="AA103" s="60"/>
      <c r="AB103" s="60"/>
      <c r="AC103" s="60"/>
      <c r="AD103" s="60"/>
      <c r="AE103" s="60"/>
      <c r="AF103" s="60"/>
      <c r="AG103" s="60"/>
      <c r="AH103" s="60"/>
      <c r="AI103" s="60"/>
      <c r="AJ103" s="74" t="str">
        <f t="shared" si="19"/>
        <v>-</v>
      </c>
      <c r="AK103" s="60"/>
      <c r="AL103" s="60"/>
      <c r="AM103" s="60"/>
      <c r="AN103" s="60"/>
      <c r="AO103" s="60"/>
      <c r="AP103" s="60"/>
      <c r="AQ103" s="60"/>
      <c r="AR103" s="60"/>
      <c r="AS103" s="60"/>
      <c r="AT103" s="74" t="str">
        <f t="shared" si="20"/>
        <v>-</v>
      </c>
      <c r="AU103" s="74" t="str">
        <f t="shared" si="21"/>
        <v>-</v>
      </c>
      <c r="AV103" s="74" t="str">
        <f t="shared" si="22"/>
        <v>-</v>
      </c>
      <c r="AX103" s="59" t="str">
        <f>IF(AND(D103&gt;0,AA103&gt;0),MIN(D103,AA103),"-")</f>
        <v>-</v>
      </c>
      <c r="AY103" s="59" t="str">
        <f>IF(AND(E103&gt;0,AB103&gt;0),MIN(E103,AB103),"-")</f>
        <v>-</v>
      </c>
      <c r="AZ103" s="59" t="str">
        <f>IF(AND(F103&gt;0,AC103&gt;0),MIN(F103,AC103),"-")</f>
        <v>-</v>
      </c>
      <c r="BA103" s="59" t="str">
        <f>IF(AND(G103&gt;0,AD103&gt;0),MIN(G103,AD103),"-")</f>
        <v>-</v>
      </c>
      <c r="BB103" s="59" t="str">
        <f>IF(AND(H103&gt;0,AE103&gt;0),MIN(H103,AE103),"-")</f>
        <v>-</v>
      </c>
      <c r="BC103" s="59" t="str">
        <f>IF(AND(I103&gt;0,AF103&gt;0),MIN(I103,AF103),"-")</f>
        <v>-</v>
      </c>
      <c r="BD103" s="59" t="str">
        <f>IF(AND(J103&gt;0,AG103&gt;0),MIN(J103,AG103),"-")</f>
        <v>-</v>
      </c>
      <c r="BE103" s="59" t="str">
        <f>IF(AND(K103&gt;0,AH103&gt;0),MIN(K103,AH103),"-")</f>
        <v>-</v>
      </c>
      <c r="BF103" s="59" t="str">
        <f>IF(AND(L103&gt;0,AI103&gt;0),MIN(L103,AI103),"-")</f>
        <v>-</v>
      </c>
      <c r="BG103" s="59" t="str">
        <f t="shared" si="23"/>
        <v>-</v>
      </c>
      <c r="BH103" s="59" t="str">
        <f>IF(AND(N103&gt;0,AK103&gt;0),MIN(N103,AK103),"-")</f>
        <v>-</v>
      </c>
      <c r="BI103" s="59" t="str">
        <f>IF(AND(O103&gt;0,AL103&gt;0),MIN(O103,AL103),"-")</f>
        <v>-</v>
      </c>
      <c r="BJ103" s="59" t="str">
        <f>IF(AND(P103&gt;0,AM103&gt;0),MIN(P103,AM103),"-")</f>
        <v>-</v>
      </c>
      <c r="BK103" s="59" t="str">
        <f>IF(AND(Q103&gt;0,AN103&gt;0),MIN(Q103,AN103),"-")</f>
        <v>-</v>
      </c>
      <c r="BL103" s="59" t="str">
        <f>IF(AND(R103&gt;0,AO103&gt;0),MIN(R103,AO103),"-")</f>
        <v>-</v>
      </c>
      <c r="BM103" s="59" t="str">
        <f>IF(AND(S103&gt;0,AP103&gt;0),MIN(S103,AP103),"-")</f>
        <v>-</v>
      </c>
      <c r="BN103" s="59" t="str">
        <f>IF(AND(T103&gt;0,AQ103&gt;0),MIN(T103,AQ103),"-")</f>
        <v>-</v>
      </c>
      <c r="BO103" s="59" t="str">
        <f>IF(AND(U103&gt;0,AR103&gt;0),MIN(U103,AR103),"-")</f>
        <v>-</v>
      </c>
      <c r="BP103" s="59" t="str">
        <f>IF(AND(V103&gt;0,AS103&gt;0),MIN(V103,AS103),"-")</f>
        <v>-</v>
      </c>
      <c r="BQ103" s="59" t="str">
        <f t="shared" si="24"/>
        <v>-</v>
      </c>
      <c r="BR103" s="59" t="str">
        <f t="shared" si="25"/>
        <v>-</v>
      </c>
      <c r="BS103" s="59" t="str">
        <f t="shared" si="26"/>
        <v>-</v>
      </c>
      <c r="BT103" s="98" t="str">
        <f>IF(ISNUMBER(BS103),BS103-(C103*Rules!$P$9/100),"-")</f>
        <v>-</v>
      </c>
      <c r="BU103" s="59" t="e">
        <f>RANK($BT103,$BT$5:$BT$106,1)+COUNTIF(BT$5:BT103,BT103)-1</f>
        <v>#VALUE!</v>
      </c>
      <c r="BV103" s="59" t="e">
        <f t="shared" si="27"/>
        <v>#VALUE!</v>
      </c>
      <c r="BW103" s="59" t="str">
        <f t="shared" si="28"/>
        <v xml:space="preserve"> </v>
      </c>
      <c r="BX103" s="59" t="str">
        <f t="shared" si="28"/>
        <v>-</v>
      </c>
      <c r="BY103" s="59" t="str">
        <f t="shared" si="29"/>
        <v>-</v>
      </c>
      <c r="CC103" s="4">
        <v>99</v>
      </c>
      <c r="CD103" s="2" t="e">
        <f>VLOOKUP(CC103,$BV$5:BY$215,1,FALSE)</f>
        <v>#N/A</v>
      </c>
      <c r="CE103" s="6" t="e">
        <f>VLOOKUP(CC103,$BV$5:BY$215,2,FALSE)</f>
        <v>#N/A</v>
      </c>
      <c r="CF103" s="103" t="e">
        <f>VLOOKUP(CC103,$BV$5:BY$215,4,FALSE)</f>
        <v>#N/A</v>
      </c>
      <c r="CL103" s="77">
        <v>1</v>
      </c>
    </row>
    <row r="104" spans="1:90" ht="17.45" customHeight="1">
      <c r="A104" s="58">
        <v>100</v>
      </c>
      <c r="B104" s="59" t="str">
        <f>'B Div'!A104 &amp; " " &amp; 'B Div'!B104</f>
        <v xml:space="preserve"> </v>
      </c>
      <c r="C104" s="59" t="str">
        <f>'B Div'!E104</f>
        <v>-</v>
      </c>
      <c r="D104" s="60"/>
      <c r="E104" s="60"/>
      <c r="F104" s="60"/>
      <c r="G104" s="60"/>
      <c r="H104" s="60"/>
      <c r="I104" s="60"/>
      <c r="J104" s="60"/>
      <c r="K104" s="60"/>
      <c r="L104" s="60"/>
      <c r="M104" s="74" t="str">
        <f t="shared" si="15"/>
        <v>-</v>
      </c>
      <c r="N104" s="60"/>
      <c r="O104" s="60"/>
      <c r="P104" s="60"/>
      <c r="Q104" s="60"/>
      <c r="R104" s="60"/>
      <c r="S104" s="60"/>
      <c r="T104" s="60"/>
      <c r="U104" s="60"/>
      <c r="V104" s="60"/>
      <c r="W104" s="74" t="str">
        <f t="shared" si="16"/>
        <v>-</v>
      </c>
      <c r="X104" s="74" t="str">
        <f t="shared" si="17"/>
        <v>-</v>
      </c>
      <c r="Y104" s="74" t="str">
        <f t="shared" si="18"/>
        <v>-</v>
      </c>
      <c r="AA104" s="60"/>
      <c r="AB104" s="60"/>
      <c r="AC104" s="60"/>
      <c r="AD104" s="60"/>
      <c r="AE104" s="60"/>
      <c r="AF104" s="60"/>
      <c r="AG104" s="60"/>
      <c r="AH104" s="60"/>
      <c r="AI104" s="60"/>
      <c r="AJ104" s="74" t="str">
        <f t="shared" si="19"/>
        <v>-</v>
      </c>
      <c r="AK104" s="60"/>
      <c r="AL104" s="60"/>
      <c r="AM104" s="60"/>
      <c r="AN104" s="60"/>
      <c r="AO104" s="60"/>
      <c r="AP104" s="60"/>
      <c r="AQ104" s="60"/>
      <c r="AR104" s="60"/>
      <c r="AS104" s="60"/>
      <c r="AT104" s="74" t="str">
        <f t="shared" si="20"/>
        <v>-</v>
      </c>
      <c r="AU104" s="74" t="str">
        <f t="shared" si="21"/>
        <v>-</v>
      </c>
      <c r="AV104" s="74" t="str">
        <f t="shared" si="22"/>
        <v>-</v>
      </c>
      <c r="AX104" s="59" t="str">
        <f>IF(AND(D104&gt;0,AA104&gt;0),MIN(D104,AA104),"-")</f>
        <v>-</v>
      </c>
      <c r="AY104" s="59" t="str">
        <f>IF(AND(E104&gt;0,AB104&gt;0),MIN(E104,AB104),"-")</f>
        <v>-</v>
      </c>
      <c r="AZ104" s="59" t="str">
        <f>IF(AND(F104&gt;0,AC104&gt;0),MIN(F104,AC104),"-")</f>
        <v>-</v>
      </c>
      <c r="BA104" s="59" t="str">
        <f>IF(AND(G104&gt;0,AD104&gt;0),MIN(G104,AD104),"-")</f>
        <v>-</v>
      </c>
      <c r="BB104" s="59" t="str">
        <f>IF(AND(H104&gt;0,AE104&gt;0),MIN(H104,AE104),"-")</f>
        <v>-</v>
      </c>
      <c r="BC104" s="59" t="str">
        <f>IF(AND(I104&gt;0,AF104&gt;0),MIN(I104,AF104),"-")</f>
        <v>-</v>
      </c>
      <c r="BD104" s="59" t="str">
        <f>IF(AND(J104&gt;0,AG104&gt;0),MIN(J104,AG104),"-")</f>
        <v>-</v>
      </c>
      <c r="BE104" s="59" t="str">
        <f>IF(AND(K104&gt;0,AH104&gt;0),MIN(K104,AH104),"-")</f>
        <v>-</v>
      </c>
      <c r="BF104" s="59" t="str">
        <f>IF(AND(L104&gt;0,AI104&gt;0),MIN(L104,AI104),"-")</f>
        <v>-</v>
      </c>
      <c r="BG104" s="59" t="str">
        <f t="shared" si="23"/>
        <v>-</v>
      </c>
      <c r="BH104" s="59" t="str">
        <f>IF(AND(N104&gt;0,AK104&gt;0),MIN(N104,AK104),"-")</f>
        <v>-</v>
      </c>
      <c r="BI104" s="59" t="str">
        <f>IF(AND(O104&gt;0,AL104&gt;0),MIN(O104,AL104),"-")</f>
        <v>-</v>
      </c>
      <c r="BJ104" s="59" t="str">
        <f>IF(AND(P104&gt;0,AM104&gt;0),MIN(P104,AM104),"-")</f>
        <v>-</v>
      </c>
      <c r="BK104" s="59" t="str">
        <f>IF(AND(Q104&gt;0,AN104&gt;0),MIN(Q104,AN104),"-")</f>
        <v>-</v>
      </c>
      <c r="BL104" s="59" t="str">
        <f>IF(AND(R104&gt;0,AO104&gt;0),MIN(R104,AO104),"-")</f>
        <v>-</v>
      </c>
      <c r="BM104" s="59" t="str">
        <f>IF(AND(S104&gt;0,AP104&gt;0),MIN(S104,AP104),"-")</f>
        <v>-</v>
      </c>
      <c r="BN104" s="59" t="str">
        <f>IF(AND(T104&gt;0,AQ104&gt;0),MIN(T104,AQ104),"-")</f>
        <v>-</v>
      </c>
      <c r="BO104" s="59" t="str">
        <f>IF(AND(U104&gt;0,AR104&gt;0),MIN(U104,AR104),"-")</f>
        <v>-</v>
      </c>
      <c r="BP104" s="59" t="str">
        <f>IF(AND(V104&gt;0,AS104&gt;0),MIN(V104,AS104),"-")</f>
        <v>-</v>
      </c>
      <c r="BQ104" s="59" t="str">
        <f t="shared" si="24"/>
        <v>-</v>
      </c>
      <c r="BR104" s="59" t="str">
        <f t="shared" si="25"/>
        <v>-</v>
      </c>
      <c r="BS104" s="59" t="str">
        <f t="shared" si="26"/>
        <v>-</v>
      </c>
      <c r="BT104" s="98" t="str">
        <f>IF(ISNUMBER(BS104),BS104-(C104*Rules!$P$9/100),"-")</f>
        <v>-</v>
      </c>
      <c r="BU104" s="59" t="e">
        <f>RANK($BT104,$BT$5:$BT$106,1)+COUNTIF(BT$5:BT104,BT104)-1</f>
        <v>#VALUE!</v>
      </c>
      <c r="BV104" s="59" t="e">
        <f t="shared" si="27"/>
        <v>#VALUE!</v>
      </c>
      <c r="BW104" s="59" t="str">
        <f t="shared" si="28"/>
        <v xml:space="preserve"> </v>
      </c>
      <c r="BX104" s="59" t="str">
        <f t="shared" si="28"/>
        <v>-</v>
      </c>
      <c r="BY104" s="59" t="str">
        <f t="shared" si="29"/>
        <v>-</v>
      </c>
      <c r="CC104" s="78">
        <v>100</v>
      </c>
      <c r="CD104" s="2" t="e">
        <f>VLOOKUP(CC104,$BV$5:BY$215,1,FALSE)</f>
        <v>#N/A</v>
      </c>
      <c r="CE104" s="6" t="e">
        <f>VLOOKUP(CC104,$BV$5:BY$215,2,FALSE)</f>
        <v>#N/A</v>
      </c>
      <c r="CF104" s="103" t="e">
        <f>VLOOKUP(CC104,$BV$5:BY$215,4,FALSE)</f>
        <v>#N/A</v>
      </c>
      <c r="CL104" s="77">
        <v>1</v>
      </c>
    </row>
    <row r="105" spans="1:90" ht="17.45" customHeight="1">
      <c r="A105" s="58">
        <v>101</v>
      </c>
      <c r="B105" s="59" t="str">
        <f>'B Div'!A105 &amp; " " &amp; 'B Div'!B105</f>
        <v xml:space="preserve"> </v>
      </c>
      <c r="C105" s="59">
        <f>'B Div'!E105</f>
        <v>0</v>
      </c>
      <c r="D105" s="60"/>
      <c r="E105" s="60"/>
      <c r="F105" s="60"/>
      <c r="G105" s="60"/>
      <c r="H105" s="60"/>
      <c r="I105" s="60"/>
      <c r="J105" s="60"/>
      <c r="K105" s="60"/>
      <c r="L105" s="60"/>
      <c r="M105" s="74" t="str">
        <f t="shared" si="15"/>
        <v>-</v>
      </c>
      <c r="N105" s="60"/>
      <c r="O105" s="60"/>
      <c r="P105" s="60"/>
      <c r="Q105" s="60"/>
      <c r="R105" s="60"/>
      <c r="S105" s="60"/>
      <c r="T105" s="60"/>
      <c r="U105" s="60"/>
      <c r="V105" s="60"/>
      <c r="W105" s="74" t="str">
        <f t="shared" si="16"/>
        <v>-</v>
      </c>
      <c r="X105" s="74" t="str">
        <f t="shared" si="17"/>
        <v>-</v>
      </c>
      <c r="Y105" s="74" t="str">
        <f t="shared" si="18"/>
        <v>-</v>
      </c>
      <c r="AA105" s="60"/>
      <c r="AB105" s="60"/>
      <c r="AC105" s="60"/>
      <c r="AD105" s="60"/>
      <c r="AE105" s="60"/>
      <c r="AF105" s="60"/>
      <c r="AG105" s="60"/>
      <c r="AH105" s="60"/>
      <c r="AI105" s="60"/>
      <c r="AJ105" s="74" t="str">
        <f t="shared" si="19"/>
        <v>-</v>
      </c>
      <c r="AK105" s="60"/>
      <c r="AL105" s="60"/>
      <c r="AM105" s="60"/>
      <c r="AN105" s="60"/>
      <c r="AO105" s="60"/>
      <c r="AP105" s="60"/>
      <c r="AQ105" s="60"/>
      <c r="AR105" s="60"/>
      <c r="AS105" s="60"/>
      <c r="AT105" s="74" t="str">
        <f t="shared" si="20"/>
        <v>-</v>
      </c>
      <c r="AU105" s="74" t="str">
        <f t="shared" si="21"/>
        <v>-</v>
      </c>
      <c r="AV105" s="74" t="str">
        <f t="shared" si="22"/>
        <v>-</v>
      </c>
      <c r="AX105" s="59" t="str">
        <f>IF(AND(D105&gt;0,AA105&gt;0),MIN(D105,AA105),"-")</f>
        <v>-</v>
      </c>
      <c r="AY105" s="59" t="str">
        <f>IF(AND(E105&gt;0,AB105&gt;0),MIN(E105,AB105),"-")</f>
        <v>-</v>
      </c>
      <c r="AZ105" s="59" t="str">
        <f>IF(AND(F105&gt;0,AC105&gt;0),MIN(F105,AC105),"-")</f>
        <v>-</v>
      </c>
      <c r="BA105" s="59" t="str">
        <f>IF(AND(G105&gt;0,AD105&gt;0),MIN(G105,AD105),"-")</f>
        <v>-</v>
      </c>
      <c r="BB105" s="59" t="str">
        <f>IF(AND(H105&gt;0,AE105&gt;0),MIN(H105,AE105),"-")</f>
        <v>-</v>
      </c>
      <c r="BC105" s="59" t="str">
        <f>IF(AND(I105&gt;0,AF105&gt;0),MIN(I105,AF105),"-")</f>
        <v>-</v>
      </c>
      <c r="BD105" s="59" t="str">
        <f>IF(AND(J105&gt;0,AG105&gt;0),MIN(J105,AG105),"-")</f>
        <v>-</v>
      </c>
      <c r="BE105" s="59" t="str">
        <f>IF(AND(K105&gt;0,AH105&gt;0),MIN(K105,AH105),"-")</f>
        <v>-</v>
      </c>
      <c r="BF105" s="59" t="str">
        <f>IF(AND(L105&gt;0,AI105&gt;0),MIN(L105,AI105),"-")</f>
        <v>-</v>
      </c>
      <c r="BG105" s="59" t="str">
        <f t="shared" si="23"/>
        <v>-</v>
      </c>
      <c r="BH105" s="59" t="str">
        <f>IF(AND(N105&gt;0,AK105&gt;0),MIN(N105,AK105),"-")</f>
        <v>-</v>
      </c>
      <c r="BI105" s="59" t="str">
        <f>IF(AND(O105&gt;0,AL105&gt;0),MIN(O105,AL105),"-")</f>
        <v>-</v>
      </c>
      <c r="BJ105" s="59" t="str">
        <f>IF(AND(P105&gt;0,AM105&gt;0),MIN(P105,AM105),"-")</f>
        <v>-</v>
      </c>
      <c r="BK105" s="59" t="str">
        <f>IF(AND(Q105&gt;0,AN105&gt;0),MIN(Q105,AN105),"-")</f>
        <v>-</v>
      </c>
      <c r="BL105" s="59" t="str">
        <f>IF(AND(R105&gt;0,AO105&gt;0),MIN(R105,AO105),"-")</f>
        <v>-</v>
      </c>
      <c r="BM105" s="59" t="str">
        <f>IF(AND(S105&gt;0,AP105&gt;0),MIN(S105,AP105),"-")</f>
        <v>-</v>
      </c>
      <c r="BN105" s="59" t="str">
        <f>IF(AND(T105&gt;0,AQ105&gt;0),MIN(T105,AQ105),"-")</f>
        <v>-</v>
      </c>
      <c r="BO105" s="59" t="str">
        <f>IF(AND(U105&gt;0,AR105&gt;0),MIN(U105,AR105),"-")</f>
        <v>-</v>
      </c>
      <c r="BP105" s="59" t="str">
        <f>IF(AND(V105&gt;0,AS105&gt;0),MIN(V105,AS105),"-")</f>
        <v>-</v>
      </c>
      <c r="BQ105" s="59" t="str">
        <f t="shared" si="24"/>
        <v>-</v>
      </c>
      <c r="BR105" s="59" t="str">
        <f t="shared" si="25"/>
        <v>-</v>
      </c>
      <c r="BS105" s="59" t="str">
        <f t="shared" si="26"/>
        <v>-</v>
      </c>
      <c r="BT105" s="98" t="str">
        <f>IF(ISNUMBER(BS105),BS105-(C105*Rules!$P$9/100),"-")</f>
        <v>-</v>
      </c>
      <c r="BU105" s="59" t="e">
        <f>RANK($BT105,$BT$5:$BT$106,1)+COUNTIF(BT$5:BT105,BT105)-1</f>
        <v>#VALUE!</v>
      </c>
      <c r="BV105" s="59" t="e">
        <f t="shared" si="27"/>
        <v>#VALUE!</v>
      </c>
      <c r="BW105" s="59" t="str">
        <f t="shared" si="28"/>
        <v xml:space="preserve"> </v>
      </c>
      <c r="BX105" s="59">
        <f t="shared" si="28"/>
        <v>0</v>
      </c>
      <c r="BY105" s="59" t="str">
        <f t="shared" si="29"/>
        <v>-</v>
      </c>
      <c r="CD105" s="79"/>
      <c r="CE105" s="80"/>
      <c r="CF105" s="104"/>
      <c r="CL105" s="77">
        <v>1</v>
      </c>
    </row>
    <row r="106" spans="1:90" ht="17.45" customHeight="1">
      <c r="A106" s="58">
        <v>102</v>
      </c>
      <c r="B106" s="59" t="str">
        <f>'B Div'!A106 &amp; " " &amp; 'B Div'!B106</f>
        <v xml:space="preserve"> </v>
      </c>
      <c r="C106" s="59">
        <f>'B Div'!E106</f>
        <v>0</v>
      </c>
      <c r="D106" s="60"/>
      <c r="E106" s="60"/>
      <c r="F106" s="60"/>
      <c r="G106" s="60"/>
      <c r="H106" s="60"/>
      <c r="I106" s="60"/>
      <c r="J106" s="60"/>
      <c r="K106" s="60"/>
      <c r="L106" s="60"/>
      <c r="M106" s="74" t="str">
        <f t="shared" si="15"/>
        <v>-</v>
      </c>
      <c r="N106" s="60"/>
      <c r="O106" s="60"/>
      <c r="P106" s="60"/>
      <c r="Q106" s="60"/>
      <c r="R106" s="60"/>
      <c r="S106" s="60"/>
      <c r="T106" s="60"/>
      <c r="U106" s="60"/>
      <c r="V106" s="60"/>
      <c r="W106" s="74" t="str">
        <f t="shared" si="16"/>
        <v>-</v>
      </c>
      <c r="X106" s="74" t="str">
        <f t="shared" si="17"/>
        <v>-</v>
      </c>
      <c r="Y106" s="74" t="str">
        <f t="shared" si="18"/>
        <v>-</v>
      </c>
      <c r="AA106" s="60"/>
      <c r="AB106" s="60"/>
      <c r="AC106" s="60"/>
      <c r="AD106" s="60"/>
      <c r="AE106" s="60"/>
      <c r="AF106" s="60"/>
      <c r="AG106" s="60"/>
      <c r="AH106" s="60"/>
      <c r="AI106" s="60"/>
      <c r="AJ106" s="74" t="str">
        <f t="shared" si="19"/>
        <v>-</v>
      </c>
      <c r="AK106" s="60"/>
      <c r="AL106" s="60"/>
      <c r="AM106" s="60"/>
      <c r="AN106" s="60"/>
      <c r="AO106" s="60"/>
      <c r="AP106" s="60"/>
      <c r="AQ106" s="60"/>
      <c r="AR106" s="60"/>
      <c r="AS106" s="60"/>
      <c r="AT106" s="74" t="str">
        <f t="shared" si="20"/>
        <v>-</v>
      </c>
      <c r="AU106" s="74" t="str">
        <f t="shared" si="21"/>
        <v>-</v>
      </c>
      <c r="AV106" s="74" t="str">
        <f t="shared" si="22"/>
        <v>-</v>
      </c>
      <c r="AX106" s="59" t="str">
        <f>IF(AND(D106&gt;0,AA106&gt;0),MIN(D106,AA106),"-")</f>
        <v>-</v>
      </c>
      <c r="AY106" s="59" t="str">
        <f>IF(AND(E106&gt;0,AB106&gt;0),MIN(E106,AB106),"-")</f>
        <v>-</v>
      </c>
      <c r="AZ106" s="59" t="str">
        <f>IF(AND(F106&gt;0,AC106&gt;0),MIN(F106,AC106),"-")</f>
        <v>-</v>
      </c>
      <c r="BA106" s="59" t="str">
        <f>IF(AND(G106&gt;0,AD106&gt;0),MIN(G106,AD106),"-")</f>
        <v>-</v>
      </c>
      <c r="BB106" s="59" t="str">
        <f>IF(AND(H106&gt;0,AE106&gt;0),MIN(H106,AE106),"-")</f>
        <v>-</v>
      </c>
      <c r="BC106" s="59" t="str">
        <f>IF(AND(I106&gt;0,AF106&gt;0),MIN(I106,AF106),"-")</f>
        <v>-</v>
      </c>
      <c r="BD106" s="59" t="str">
        <f>IF(AND(J106&gt;0,AG106&gt;0),MIN(J106,AG106),"-")</f>
        <v>-</v>
      </c>
      <c r="BE106" s="59" t="str">
        <f>IF(AND(K106&gt;0,AH106&gt;0),MIN(K106,AH106),"-")</f>
        <v>-</v>
      </c>
      <c r="BF106" s="59" t="str">
        <f>IF(AND(L106&gt;0,AI106&gt;0),MIN(L106,AI106),"-")</f>
        <v>-</v>
      </c>
      <c r="BG106" s="59" t="str">
        <f t="shared" si="23"/>
        <v>-</v>
      </c>
      <c r="BH106" s="59" t="str">
        <f>IF(AND(N106&gt;0,AK106&gt;0),MIN(N106,AK106),"-")</f>
        <v>-</v>
      </c>
      <c r="BI106" s="59" t="str">
        <f>IF(AND(O106&gt;0,AL106&gt;0),MIN(O106,AL106),"-")</f>
        <v>-</v>
      </c>
      <c r="BJ106" s="59" t="str">
        <f>IF(AND(P106&gt;0,AM106&gt;0),MIN(P106,AM106),"-")</f>
        <v>-</v>
      </c>
      <c r="BK106" s="59" t="str">
        <f>IF(AND(Q106&gt;0,AN106&gt;0),MIN(Q106,AN106),"-")</f>
        <v>-</v>
      </c>
      <c r="BL106" s="59" t="str">
        <f>IF(AND(R106&gt;0,AO106&gt;0),MIN(R106,AO106),"-")</f>
        <v>-</v>
      </c>
      <c r="BM106" s="59" t="str">
        <f>IF(AND(S106&gt;0,AP106&gt;0),MIN(S106,AP106),"-")</f>
        <v>-</v>
      </c>
      <c r="BN106" s="59" t="str">
        <f>IF(AND(T106&gt;0,AQ106&gt;0),MIN(T106,AQ106),"-")</f>
        <v>-</v>
      </c>
      <c r="BO106" s="59" t="str">
        <f>IF(AND(U106&gt;0,AR106&gt;0),MIN(U106,AR106),"-")</f>
        <v>-</v>
      </c>
      <c r="BP106" s="59" t="str">
        <f>IF(AND(V106&gt;0,AS106&gt;0),MIN(V106,AS106),"-")</f>
        <v>-</v>
      </c>
      <c r="BQ106" s="59" t="str">
        <f t="shared" si="24"/>
        <v>-</v>
      </c>
      <c r="BR106" s="59" t="str">
        <f t="shared" si="25"/>
        <v>-</v>
      </c>
      <c r="BS106" s="59" t="str">
        <f t="shared" si="26"/>
        <v>-</v>
      </c>
      <c r="BT106" s="98" t="str">
        <f>IF(ISNUMBER(BS106),BS106-(C106*Rules!$P$9/100),"-")</f>
        <v>-</v>
      </c>
      <c r="BU106" s="59" t="e">
        <f>RANK($BT106,$BT$5:$BT$106,1)+COUNTIF(BT$5:BT106,BT106)-1</f>
        <v>#VALUE!</v>
      </c>
      <c r="BV106" s="59" t="e">
        <f t="shared" si="27"/>
        <v>#VALUE!</v>
      </c>
      <c r="BW106" s="59" t="str">
        <f t="shared" si="28"/>
        <v xml:space="preserve"> </v>
      </c>
      <c r="BX106" s="59">
        <f t="shared" si="28"/>
        <v>0</v>
      </c>
      <c r="BY106" s="59" t="str">
        <f t="shared" si="29"/>
        <v>-</v>
      </c>
      <c r="CD106" s="79"/>
      <c r="CE106" s="80"/>
      <c r="CF106" s="104"/>
      <c r="CL106" s="77">
        <v>1</v>
      </c>
    </row>
    <row r="107" spans="1:90" ht="17.45" customHeight="1">
      <c r="A107" s="58">
        <v>103</v>
      </c>
      <c r="B107" s="59" t="str">
        <f>'B Div'!A107 &amp; " " &amp; 'B Div'!B107</f>
        <v xml:space="preserve"> </v>
      </c>
      <c r="C107" s="59">
        <f>'B Div'!E107</f>
        <v>0</v>
      </c>
      <c r="D107" s="60"/>
      <c r="E107" s="60"/>
      <c r="F107" s="60"/>
      <c r="G107" s="60"/>
      <c r="H107" s="60"/>
      <c r="I107" s="60"/>
      <c r="J107" s="60"/>
      <c r="K107" s="60"/>
      <c r="L107" s="60"/>
      <c r="M107" s="74" t="str">
        <f t="shared" si="15"/>
        <v>-</v>
      </c>
      <c r="N107" s="60"/>
      <c r="O107" s="60"/>
      <c r="P107" s="60"/>
      <c r="Q107" s="60"/>
      <c r="R107" s="60"/>
      <c r="S107" s="60"/>
      <c r="T107" s="60"/>
      <c r="U107" s="60"/>
      <c r="V107" s="60"/>
      <c r="W107" s="74" t="str">
        <f t="shared" si="16"/>
        <v>-</v>
      </c>
      <c r="X107" s="74" t="str">
        <f t="shared" si="17"/>
        <v>-</v>
      </c>
      <c r="Y107" s="74" t="str">
        <f t="shared" si="18"/>
        <v>-</v>
      </c>
      <c r="AA107" s="60"/>
      <c r="AB107" s="60"/>
      <c r="AC107" s="60"/>
      <c r="AD107" s="60"/>
      <c r="AE107" s="60"/>
      <c r="AF107" s="60"/>
      <c r="AG107" s="60"/>
      <c r="AH107" s="60"/>
      <c r="AI107" s="60"/>
      <c r="AJ107" s="74" t="str">
        <f t="shared" si="19"/>
        <v>-</v>
      </c>
      <c r="AK107" s="60"/>
      <c r="AL107" s="60"/>
      <c r="AM107" s="60"/>
      <c r="AN107" s="60"/>
      <c r="AO107" s="60"/>
      <c r="AP107" s="60"/>
      <c r="AQ107" s="60"/>
      <c r="AR107" s="60"/>
      <c r="AS107" s="60"/>
      <c r="AT107" s="74" t="str">
        <f t="shared" si="20"/>
        <v>-</v>
      </c>
      <c r="AU107" s="74" t="str">
        <f t="shared" si="21"/>
        <v>-</v>
      </c>
      <c r="AV107" s="74" t="str">
        <f t="shared" si="22"/>
        <v>-</v>
      </c>
      <c r="AX107" s="59" t="str">
        <f>IF(AND(D107&gt;0,AA107&gt;0),MIN(D107,AA107),"-")</f>
        <v>-</v>
      </c>
      <c r="AY107" s="59" t="str">
        <f>IF(AND(E107&gt;0,AB107&gt;0),MIN(E107,AB107),"-")</f>
        <v>-</v>
      </c>
      <c r="AZ107" s="59" t="str">
        <f>IF(AND(F107&gt;0,AC107&gt;0),MIN(F107,AC107),"-")</f>
        <v>-</v>
      </c>
      <c r="BA107" s="59" t="str">
        <f>IF(AND(G107&gt;0,AD107&gt;0),MIN(G107,AD107),"-")</f>
        <v>-</v>
      </c>
      <c r="BB107" s="59" t="str">
        <f>IF(AND(H107&gt;0,AE107&gt;0),MIN(H107,AE107),"-")</f>
        <v>-</v>
      </c>
      <c r="BC107" s="59" t="str">
        <f>IF(AND(I107&gt;0,AF107&gt;0),MIN(I107,AF107),"-")</f>
        <v>-</v>
      </c>
      <c r="BD107" s="59" t="str">
        <f>IF(AND(J107&gt;0,AG107&gt;0),MIN(J107,AG107),"-")</f>
        <v>-</v>
      </c>
      <c r="BE107" s="59" t="str">
        <f>IF(AND(K107&gt;0,AH107&gt;0),MIN(K107,AH107),"-")</f>
        <v>-</v>
      </c>
      <c r="BF107" s="59" t="str">
        <f>IF(AND(L107&gt;0,AI107&gt;0),MIN(L107,AI107),"-")</f>
        <v>-</v>
      </c>
      <c r="BG107" s="59" t="str">
        <f t="shared" si="23"/>
        <v>-</v>
      </c>
      <c r="BH107" s="59" t="str">
        <f>IF(AND(N107&gt;0,AK107&gt;0),MIN(N107,AK107),"-")</f>
        <v>-</v>
      </c>
      <c r="BI107" s="59" t="str">
        <f>IF(AND(O107&gt;0,AL107&gt;0),MIN(O107,AL107),"-")</f>
        <v>-</v>
      </c>
      <c r="BJ107" s="59" t="str">
        <f>IF(AND(P107&gt;0,AM107&gt;0),MIN(P107,AM107),"-")</f>
        <v>-</v>
      </c>
      <c r="BK107" s="59" t="str">
        <f>IF(AND(Q107&gt;0,AN107&gt;0),MIN(Q107,AN107),"-")</f>
        <v>-</v>
      </c>
      <c r="BL107" s="59" t="str">
        <f>IF(AND(R107&gt;0,AO107&gt;0),MIN(R107,AO107),"-")</f>
        <v>-</v>
      </c>
      <c r="BM107" s="59" t="str">
        <f>IF(AND(S107&gt;0,AP107&gt;0),MIN(S107,AP107),"-")</f>
        <v>-</v>
      </c>
      <c r="BN107" s="59" t="str">
        <f>IF(AND(T107&gt;0,AQ107&gt;0),MIN(T107,AQ107),"-")</f>
        <v>-</v>
      </c>
      <c r="BO107" s="59" t="str">
        <f>IF(AND(U107&gt;0,AR107&gt;0),MIN(U107,AR107),"-")</f>
        <v>-</v>
      </c>
      <c r="BP107" s="59" t="str">
        <f>IF(AND(V107&gt;0,AS107&gt;0),MIN(V107,AS107),"-")</f>
        <v>-</v>
      </c>
      <c r="BQ107" s="59" t="str">
        <f t="shared" si="24"/>
        <v>-</v>
      </c>
      <c r="BR107" s="59" t="str">
        <f t="shared" si="25"/>
        <v>-</v>
      </c>
      <c r="BS107" s="59" t="str">
        <f t="shared" si="26"/>
        <v>-</v>
      </c>
      <c r="BT107" s="98" t="str">
        <f>IF(ISNUMBER(BS107),BS107-(C107*Rules!$P$9/100),"-")</f>
        <v>-</v>
      </c>
      <c r="BU107" s="59" t="e">
        <f>RANK($BT107,$BT$5:$BT$106,1)+COUNTIF(BT$5:BT107,BT107)-1</f>
        <v>#VALUE!</v>
      </c>
      <c r="BV107" s="59" t="e">
        <f t="shared" si="27"/>
        <v>#VALUE!</v>
      </c>
      <c r="BW107" s="59" t="str">
        <f t="shared" si="28"/>
        <v xml:space="preserve"> </v>
      </c>
      <c r="BX107" s="59">
        <f t="shared" si="28"/>
        <v>0</v>
      </c>
      <c r="BY107" s="59" t="str">
        <f t="shared" si="29"/>
        <v>-</v>
      </c>
      <c r="CD107" s="79"/>
      <c r="CE107" s="80"/>
      <c r="CF107" s="104"/>
      <c r="CL107" s="77">
        <v>1</v>
      </c>
    </row>
    <row r="108" spans="1:90" ht="17.45" customHeight="1">
      <c r="A108" s="58">
        <v>104</v>
      </c>
      <c r="B108" s="59" t="str">
        <f>'B Div'!A108 &amp; " " &amp; 'B Div'!B108</f>
        <v xml:space="preserve"> </v>
      </c>
      <c r="C108" s="59">
        <f>'B Div'!E108</f>
        <v>0</v>
      </c>
      <c r="D108" s="60"/>
      <c r="E108" s="60"/>
      <c r="F108" s="60"/>
      <c r="G108" s="60"/>
      <c r="H108" s="60"/>
      <c r="I108" s="60"/>
      <c r="J108" s="60"/>
      <c r="K108" s="60"/>
      <c r="L108" s="60"/>
      <c r="M108" s="74" t="str">
        <f t="shared" si="15"/>
        <v>-</v>
      </c>
      <c r="N108" s="60"/>
      <c r="O108" s="60"/>
      <c r="P108" s="60"/>
      <c r="Q108" s="60"/>
      <c r="R108" s="60"/>
      <c r="S108" s="60"/>
      <c r="T108" s="60"/>
      <c r="U108" s="60"/>
      <c r="V108" s="60"/>
      <c r="W108" s="74" t="str">
        <f t="shared" si="16"/>
        <v>-</v>
      </c>
      <c r="X108" s="74" t="str">
        <f t="shared" si="17"/>
        <v>-</v>
      </c>
      <c r="Y108" s="74" t="str">
        <f t="shared" si="18"/>
        <v>-</v>
      </c>
      <c r="AA108" s="60"/>
      <c r="AB108" s="60"/>
      <c r="AC108" s="60"/>
      <c r="AD108" s="60"/>
      <c r="AE108" s="60"/>
      <c r="AF108" s="60"/>
      <c r="AG108" s="60"/>
      <c r="AH108" s="60"/>
      <c r="AI108" s="60"/>
      <c r="AJ108" s="74" t="str">
        <f t="shared" si="19"/>
        <v>-</v>
      </c>
      <c r="AK108" s="60"/>
      <c r="AL108" s="60"/>
      <c r="AM108" s="60"/>
      <c r="AN108" s="60"/>
      <c r="AO108" s="60"/>
      <c r="AP108" s="60"/>
      <c r="AQ108" s="60"/>
      <c r="AR108" s="60"/>
      <c r="AS108" s="60"/>
      <c r="AT108" s="74" t="str">
        <f t="shared" si="20"/>
        <v>-</v>
      </c>
      <c r="AU108" s="74" t="str">
        <f t="shared" si="21"/>
        <v>-</v>
      </c>
      <c r="AV108" s="74" t="str">
        <f t="shared" si="22"/>
        <v>-</v>
      </c>
      <c r="AX108" s="59" t="str">
        <f>IF(AND(D108&gt;0,AA108&gt;0),MIN(D108,AA108),"-")</f>
        <v>-</v>
      </c>
      <c r="AY108" s="59" t="str">
        <f>IF(AND(E108&gt;0,AB108&gt;0),MIN(E108,AB108),"-")</f>
        <v>-</v>
      </c>
      <c r="AZ108" s="59" t="str">
        <f>IF(AND(F108&gt;0,AC108&gt;0),MIN(F108,AC108),"-")</f>
        <v>-</v>
      </c>
      <c r="BA108" s="59" t="str">
        <f>IF(AND(G108&gt;0,AD108&gt;0),MIN(G108,AD108),"-")</f>
        <v>-</v>
      </c>
      <c r="BB108" s="59" t="str">
        <f>IF(AND(H108&gt;0,AE108&gt;0),MIN(H108,AE108),"-")</f>
        <v>-</v>
      </c>
      <c r="BC108" s="59" t="str">
        <f>IF(AND(I108&gt;0,AF108&gt;0),MIN(I108,AF108),"-")</f>
        <v>-</v>
      </c>
      <c r="BD108" s="59" t="str">
        <f>IF(AND(J108&gt;0,AG108&gt;0),MIN(J108,AG108),"-")</f>
        <v>-</v>
      </c>
      <c r="BE108" s="59" t="str">
        <f>IF(AND(K108&gt;0,AH108&gt;0),MIN(K108,AH108),"-")</f>
        <v>-</v>
      </c>
      <c r="BF108" s="59" t="str">
        <f>IF(AND(L108&gt;0,AI108&gt;0),MIN(L108,AI108),"-")</f>
        <v>-</v>
      </c>
      <c r="BG108" s="59" t="str">
        <f t="shared" si="23"/>
        <v>-</v>
      </c>
      <c r="BH108" s="59" t="str">
        <f>IF(AND(N108&gt;0,AK108&gt;0),MIN(N108,AK108),"-")</f>
        <v>-</v>
      </c>
      <c r="BI108" s="59" t="str">
        <f>IF(AND(O108&gt;0,AL108&gt;0),MIN(O108,AL108),"-")</f>
        <v>-</v>
      </c>
      <c r="BJ108" s="59" t="str">
        <f>IF(AND(P108&gt;0,AM108&gt;0),MIN(P108,AM108),"-")</f>
        <v>-</v>
      </c>
      <c r="BK108" s="59" t="str">
        <f>IF(AND(Q108&gt;0,AN108&gt;0),MIN(Q108,AN108),"-")</f>
        <v>-</v>
      </c>
      <c r="BL108" s="59" t="str">
        <f>IF(AND(R108&gt;0,AO108&gt;0),MIN(R108,AO108),"-")</f>
        <v>-</v>
      </c>
      <c r="BM108" s="59" t="str">
        <f>IF(AND(S108&gt;0,AP108&gt;0),MIN(S108,AP108),"-")</f>
        <v>-</v>
      </c>
      <c r="BN108" s="59" t="str">
        <f>IF(AND(T108&gt;0,AQ108&gt;0),MIN(T108,AQ108),"-")</f>
        <v>-</v>
      </c>
      <c r="BO108" s="59" t="str">
        <f>IF(AND(U108&gt;0,AR108&gt;0),MIN(U108,AR108),"-")</f>
        <v>-</v>
      </c>
      <c r="BP108" s="59" t="str">
        <f>IF(AND(V108&gt;0,AS108&gt;0),MIN(V108,AS108),"-")</f>
        <v>-</v>
      </c>
      <c r="BQ108" s="59" t="str">
        <f t="shared" si="24"/>
        <v>-</v>
      </c>
      <c r="BR108" s="59" t="str">
        <f t="shared" si="25"/>
        <v>-</v>
      </c>
      <c r="BS108" s="59" t="str">
        <f t="shared" si="26"/>
        <v>-</v>
      </c>
      <c r="BT108" s="98" t="str">
        <f>IF(ISNUMBER(BS108),BS108-(C108*Rules!$P$9/100),"-")</f>
        <v>-</v>
      </c>
      <c r="BU108" s="59" t="e">
        <f>RANK($BT108,$BT$5:$BT$106,1)+COUNTIF(BT$5:BT108,BT108)-1</f>
        <v>#VALUE!</v>
      </c>
      <c r="BV108" s="59" t="e">
        <f t="shared" si="27"/>
        <v>#VALUE!</v>
      </c>
      <c r="BW108" s="59" t="str">
        <f t="shared" si="28"/>
        <v xml:space="preserve"> </v>
      </c>
      <c r="BX108" s="59">
        <f t="shared" si="28"/>
        <v>0</v>
      </c>
      <c r="BY108" s="59" t="str">
        <f t="shared" si="29"/>
        <v>-</v>
      </c>
      <c r="CD108" s="79"/>
      <c r="CE108" s="80"/>
      <c r="CF108" s="104"/>
      <c r="CL108" s="77">
        <v>1</v>
      </c>
    </row>
    <row r="109" spans="1:90" ht="17.45" customHeight="1">
      <c r="A109" s="58">
        <v>105</v>
      </c>
      <c r="B109" s="59" t="str">
        <f>'B Div'!A109 &amp; " " &amp; 'B Div'!B109</f>
        <v xml:space="preserve"> </v>
      </c>
      <c r="C109" s="59">
        <f>'B Div'!E109</f>
        <v>0</v>
      </c>
      <c r="D109" s="60"/>
      <c r="E109" s="60"/>
      <c r="F109" s="60"/>
      <c r="G109" s="60"/>
      <c r="H109" s="60"/>
      <c r="I109" s="60"/>
      <c r="J109" s="60"/>
      <c r="K109" s="60"/>
      <c r="L109" s="60"/>
      <c r="M109" s="74" t="str">
        <f t="shared" si="15"/>
        <v>-</v>
      </c>
      <c r="N109" s="60"/>
      <c r="O109" s="60"/>
      <c r="P109" s="60"/>
      <c r="Q109" s="60"/>
      <c r="R109" s="60"/>
      <c r="S109" s="60"/>
      <c r="T109" s="60"/>
      <c r="U109" s="60"/>
      <c r="V109" s="60"/>
      <c r="W109" s="74" t="str">
        <f t="shared" si="16"/>
        <v>-</v>
      </c>
      <c r="X109" s="74" t="str">
        <f t="shared" si="17"/>
        <v>-</v>
      </c>
      <c r="Y109" s="74" t="str">
        <f t="shared" si="18"/>
        <v>-</v>
      </c>
      <c r="AA109" s="60"/>
      <c r="AB109" s="60"/>
      <c r="AC109" s="60"/>
      <c r="AD109" s="60"/>
      <c r="AE109" s="60"/>
      <c r="AF109" s="60"/>
      <c r="AG109" s="60"/>
      <c r="AH109" s="60"/>
      <c r="AI109" s="60"/>
      <c r="AJ109" s="74" t="str">
        <f t="shared" si="19"/>
        <v>-</v>
      </c>
      <c r="AK109" s="60"/>
      <c r="AL109" s="60"/>
      <c r="AM109" s="60"/>
      <c r="AN109" s="60"/>
      <c r="AO109" s="60"/>
      <c r="AP109" s="60"/>
      <c r="AQ109" s="60"/>
      <c r="AR109" s="60"/>
      <c r="AS109" s="60"/>
      <c r="AT109" s="74" t="str">
        <f t="shared" si="20"/>
        <v>-</v>
      </c>
      <c r="AU109" s="74" t="str">
        <f t="shared" si="21"/>
        <v>-</v>
      </c>
      <c r="AV109" s="74" t="str">
        <f t="shared" si="22"/>
        <v>-</v>
      </c>
      <c r="AX109" s="59" t="str">
        <f>IF(AND(D109&gt;0,AA109&gt;0),MIN(D109,AA109),"-")</f>
        <v>-</v>
      </c>
      <c r="AY109" s="59" t="str">
        <f>IF(AND(E109&gt;0,AB109&gt;0),MIN(E109,AB109),"-")</f>
        <v>-</v>
      </c>
      <c r="AZ109" s="59" t="str">
        <f>IF(AND(F109&gt;0,AC109&gt;0),MIN(F109,AC109),"-")</f>
        <v>-</v>
      </c>
      <c r="BA109" s="59" t="str">
        <f>IF(AND(G109&gt;0,AD109&gt;0),MIN(G109,AD109),"-")</f>
        <v>-</v>
      </c>
      <c r="BB109" s="59" t="str">
        <f>IF(AND(H109&gt;0,AE109&gt;0),MIN(H109,AE109),"-")</f>
        <v>-</v>
      </c>
      <c r="BC109" s="59" t="str">
        <f>IF(AND(I109&gt;0,AF109&gt;0),MIN(I109,AF109),"-")</f>
        <v>-</v>
      </c>
      <c r="BD109" s="59" t="str">
        <f>IF(AND(J109&gt;0,AG109&gt;0),MIN(J109,AG109),"-")</f>
        <v>-</v>
      </c>
      <c r="BE109" s="59" t="str">
        <f>IF(AND(K109&gt;0,AH109&gt;0),MIN(K109,AH109),"-")</f>
        <v>-</v>
      </c>
      <c r="BF109" s="59" t="str">
        <f>IF(AND(L109&gt;0,AI109&gt;0),MIN(L109,AI109),"-")</f>
        <v>-</v>
      </c>
      <c r="BG109" s="59" t="str">
        <f t="shared" si="23"/>
        <v>-</v>
      </c>
      <c r="BH109" s="59" t="str">
        <f>IF(AND(N109&gt;0,AK109&gt;0),MIN(N109,AK109),"-")</f>
        <v>-</v>
      </c>
      <c r="BI109" s="59" t="str">
        <f>IF(AND(O109&gt;0,AL109&gt;0),MIN(O109,AL109),"-")</f>
        <v>-</v>
      </c>
      <c r="BJ109" s="59" t="str">
        <f>IF(AND(P109&gt;0,AM109&gt;0),MIN(P109,AM109),"-")</f>
        <v>-</v>
      </c>
      <c r="BK109" s="59" t="str">
        <f>IF(AND(Q109&gt;0,AN109&gt;0),MIN(Q109,AN109),"-")</f>
        <v>-</v>
      </c>
      <c r="BL109" s="59" t="str">
        <f>IF(AND(R109&gt;0,AO109&gt;0),MIN(R109,AO109),"-")</f>
        <v>-</v>
      </c>
      <c r="BM109" s="59" t="str">
        <f>IF(AND(S109&gt;0,AP109&gt;0),MIN(S109,AP109),"-")</f>
        <v>-</v>
      </c>
      <c r="BN109" s="59" t="str">
        <f>IF(AND(T109&gt;0,AQ109&gt;0),MIN(T109,AQ109),"-")</f>
        <v>-</v>
      </c>
      <c r="BO109" s="59" t="str">
        <f>IF(AND(U109&gt;0,AR109&gt;0),MIN(U109,AR109),"-")</f>
        <v>-</v>
      </c>
      <c r="BP109" s="59" t="str">
        <f>IF(AND(V109&gt;0,AS109&gt;0),MIN(V109,AS109),"-")</f>
        <v>-</v>
      </c>
      <c r="BQ109" s="59" t="str">
        <f t="shared" si="24"/>
        <v>-</v>
      </c>
      <c r="BR109" s="59" t="str">
        <f t="shared" si="25"/>
        <v>-</v>
      </c>
      <c r="BS109" s="59" t="str">
        <f t="shared" si="26"/>
        <v>-</v>
      </c>
      <c r="BT109" s="98" t="str">
        <f>IF(ISNUMBER(BS109),BS109-(C109*Rules!$P$9/100),"-")</f>
        <v>-</v>
      </c>
      <c r="BU109" s="59" t="e">
        <f>RANK($BT109,$BT$5:$BT$106,1)+COUNTIF(BT$5:BT109,BT109)-1</f>
        <v>#VALUE!</v>
      </c>
      <c r="BV109" s="59" t="e">
        <f t="shared" si="27"/>
        <v>#VALUE!</v>
      </c>
      <c r="BW109" s="59" t="str">
        <f t="shared" si="28"/>
        <v xml:space="preserve"> </v>
      </c>
      <c r="BX109" s="59">
        <f t="shared" si="28"/>
        <v>0</v>
      </c>
      <c r="BY109" s="59" t="str">
        <f t="shared" si="29"/>
        <v>-</v>
      </c>
      <c r="CD109" s="79"/>
      <c r="CE109" s="80"/>
      <c r="CF109" s="104"/>
      <c r="CL109" s="77">
        <v>1</v>
      </c>
    </row>
    <row r="110" spans="1:90" ht="17.45" customHeight="1">
      <c r="A110" s="58">
        <v>106</v>
      </c>
      <c r="B110" s="59" t="str">
        <f>'B Div'!A110 &amp; " " &amp; 'B Div'!B110</f>
        <v xml:space="preserve"> </v>
      </c>
      <c r="C110" s="59">
        <f>'B Div'!E110</f>
        <v>0</v>
      </c>
      <c r="D110" s="60"/>
      <c r="E110" s="60"/>
      <c r="F110" s="60"/>
      <c r="G110" s="60"/>
      <c r="H110" s="60"/>
      <c r="I110" s="60"/>
      <c r="J110" s="60"/>
      <c r="K110" s="60"/>
      <c r="L110" s="60"/>
      <c r="M110" s="74" t="str">
        <f t="shared" si="15"/>
        <v>-</v>
      </c>
      <c r="N110" s="60"/>
      <c r="O110" s="60"/>
      <c r="P110" s="60"/>
      <c r="Q110" s="60"/>
      <c r="R110" s="60"/>
      <c r="S110" s="60"/>
      <c r="T110" s="60"/>
      <c r="U110" s="60"/>
      <c r="V110" s="60"/>
      <c r="W110" s="74" t="str">
        <f t="shared" si="16"/>
        <v>-</v>
      </c>
      <c r="X110" s="74" t="str">
        <f t="shared" si="17"/>
        <v>-</v>
      </c>
      <c r="Y110" s="74" t="str">
        <f t="shared" si="18"/>
        <v>-</v>
      </c>
      <c r="AA110" s="60"/>
      <c r="AB110" s="60"/>
      <c r="AC110" s="60"/>
      <c r="AD110" s="60"/>
      <c r="AE110" s="60"/>
      <c r="AF110" s="60"/>
      <c r="AG110" s="60"/>
      <c r="AH110" s="60"/>
      <c r="AI110" s="60"/>
      <c r="AJ110" s="74" t="str">
        <f t="shared" si="19"/>
        <v>-</v>
      </c>
      <c r="AK110" s="60"/>
      <c r="AL110" s="60"/>
      <c r="AM110" s="60"/>
      <c r="AN110" s="60"/>
      <c r="AO110" s="60"/>
      <c r="AP110" s="60"/>
      <c r="AQ110" s="60"/>
      <c r="AR110" s="60"/>
      <c r="AS110" s="60"/>
      <c r="AT110" s="74" t="str">
        <f t="shared" si="20"/>
        <v>-</v>
      </c>
      <c r="AU110" s="74" t="str">
        <f t="shared" si="21"/>
        <v>-</v>
      </c>
      <c r="AV110" s="74" t="str">
        <f t="shared" si="22"/>
        <v>-</v>
      </c>
      <c r="AX110" s="59" t="str">
        <f>IF(AND(D110&gt;0,AA110&gt;0),MIN(D110,AA110),"-")</f>
        <v>-</v>
      </c>
      <c r="AY110" s="59" t="str">
        <f>IF(AND(E110&gt;0,AB110&gt;0),MIN(E110,AB110),"-")</f>
        <v>-</v>
      </c>
      <c r="AZ110" s="59" t="str">
        <f>IF(AND(F110&gt;0,AC110&gt;0),MIN(F110,AC110),"-")</f>
        <v>-</v>
      </c>
      <c r="BA110" s="59" t="str">
        <f>IF(AND(G110&gt;0,AD110&gt;0),MIN(G110,AD110),"-")</f>
        <v>-</v>
      </c>
      <c r="BB110" s="59" t="str">
        <f>IF(AND(H110&gt;0,AE110&gt;0),MIN(H110,AE110),"-")</f>
        <v>-</v>
      </c>
      <c r="BC110" s="59" t="str">
        <f>IF(AND(I110&gt;0,AF110&gt;0),MIN(I110,AF110),"-")</f>
        <v>-</v>
      </c>
      <c r="BD110" s="59" t="str">
        <f>IF(AND(J110&gt;0,AG110&gt;0),MIN(J110,AG110),"-")</f>
        <v>-</v>
      </c>
      <c r="BE110" s="59" t="str">
        <f>IF(AND(K110&gt;0,AH110&gt;0),MIN(K110,AH110),"-")</f>
        <v>-</v>
      </c>
      <c r="BF110" s="59" t="str">
        <f>IF(AND(L110&gt;0,AI110&gt;0),MIN(L110,AI110),"-")</f>
        <v>-</v>
      </c>
      <c r="BG110" s="59" t="str">
        <f t="shared" si="23"/>
        <v>-</v>
      </c>
      <c r="BH110" s="59" t="str">
        <f>IF(AND(N110&gt;0,AK110&gt;0),MIN(N110,AK110),"-")</f>
        <v>-</v>
      </c>
      <c r="BI110" s="59" t="str">
        <f>IF(AND(O110&gt;0,AL110&gt;0),MIN(O110,AL110),"-")</f>
        <v>-</v>
      </c>
      <c r="BJ110" s="59" t="str">
        <f>IF(AND(P110&gt;0,AM110&gt;0),MIN(P110,AM110),"-")</f>
        <v>-</v>
      </c>
      <c r="BK110" s="59" t="str">
        <f>IF(AND(Q110&gt;0,AN110&gt;0),MIN(Q110,AN110),"-")</f>
        <v>-</v>
      </c>
      <c r="BL110" s="59" t="str">
        <f>IF(AND(R110&gt;0,AO110&gt;0),MIN(R110,AO110),"-")</f>
        <v>-</v>
      </c>
      <c r="BM110" s="59" t="str">
        <f>IF(AND(S110&gt;0,AP110&gt;0),MIN(S110,AP110),"-")</f>
        <v>-</v>
      </c>
      <c r="BN110" s="59" t="str">
        <f>IF(AND(T110&gt;0,AQ110&gt;0),MIN(T110,AQ110),"-")</f>
        <v>-</v>
      </c>
      <c r="BO110" s="59" t="str">
        <f>IF(AND(U110&gt;0,AR110&gt;0),MIN(U110,AR110),"-")</f>
        <v>-</v>
      </c>
      <c r="BP110" s="59" t="str">
        <f>IF(AND(V110&gt;0,AS110&gt;0),MIN(V110,AS110),"-")</f>
        <v>-</v>
      </c>
      <c r="BQ110" s="59" t="str">
        <f t="shared" si="24"/>
        <v>-</v>
      </c>
      <c r="BR110" s="59" t="str">
        <f t="shared" si="25"/>
        <v>-</v>
      </c>
      <c r="BS110" s="59" t="str">
        <f t="shared" si="26"/>
        <v>-</v>
      </c>
      <c r="BT110" s="98" t="str">
        <f>IF(ISNUMBER(BS110),BS110-(C110*Rules!$P$9/100),"-")</f>
        <v>-</v>
      </c>
      <c r="BU110" s="59" t="e">
        <f>RANK($BT110,$BT$5:$BT$106,1)+COUNTIF(BT$5:BT110,BT110)-1</f>
        <v>#VALUE!</v>
      </c>
      <c r="BV110" s="59" t="e">
        <f t="shared" si="27"/>
        <v>#VALUE!</v>
      </c>
      <c r="BW110" s="59" t="str">
        <f t="shared" si="28"/>
        <v xml:space="preserve"> </v>
      </c>
      <c r="BX110" s="59">
        <f t="shared" si="28"/>
        <v>0</v>
      </c>
      <c r="BY110" s="59" t="str">
        <f t="shared" si="29"/>
        <v>-</v>
      </c>
      <c r="CD110" s="79"/>
      <c r="CE110" s="80"/>
      <c r="CF110" s="104"/>
      <c r="CL110" s="77">
        <v>1</v>
      </c>
    </row>
    <row r="111" spans="1:90" ht="17.45" customHeight="1">
      <c r="A111" s="58">
        <v>107</v>
      </c>
      <c r="B111" s="59" t="str">
        <f>'B Div'!A111 &amp; " " &amp; 'B Div'!B111</f>
        <v xml:space="preserve"> </v>
      </c>
      <c r="C111" s="59">
        <f>'B Div'!E111</f>
        <v>0</v>
      </c>
      <c r="D111" s="60"/>
      <c r="E111" s="60"/>
      <c r="F111" s="60"/>
      <c r="G111" s="60"/>
      <c r="H111" s="60"/>
      <c r="I111" s="60"/>
      <c r="J111" s="60"/>
      <c r="K111" s="60"/>
      <c r="L111" s="60"/>
      <c r="M111" s="74" t="str">
        <f t="shared" si="15"/>
        <v>-</v>
      </c>
      <c r="N111" s="60"/>
      <c r="O111" s="60"/>
      <c r="P111" s="60"/>
      <c r="Q111" s="60"/>
      <c r="R111" s="60"/>
      <c r="S111" s="60"/>
      <c r="T111" s="60"/>
      <c r="U111" s="60"/>
      <c r="V111" s="60"/>
      <c r="W111" s="74" t="str">
        <f t="shared" si="16"/>
        <v>-</v>
      </c>
      <c r="X111" s="74" t="str">
        <f t="shared" si="17"/>
        <v>-</v>
      </c>
      <c r="Y111" s="74" t="str">
        <f t="shared" si="18"/>
        <v>-</v>
      </c>
      <c r="AA111" s="60"/>
      <c r="AB111" s="60"/>
      <c r="AC111" s="60"/>
      <c r="AD111" s="60"/>
      <c r="AE111" s="60"/>
      <c r="AF111" s="60"/>
      <c r="AG111" s="60"/>
      <c r="AH111" s="60"/>
      <c r="AI111" s="60"/>
      <c r="AJ111" s="74" t="str">
        <f t="shared" si="19"/>
        <v>-</v>
      </c>
      <c r="AK111" s="60"/>
      <c r="AL111" s="60"/>
      <c r="AM111" s="60"/>
      <c r="AN111" s="60"/>
      <c r="AO111" s="60"/>
      <c r="AP111" s="60"/>
      <c r="AQ111" s="60"/>
      <c r="AR111" s="60"/>
      <c r="AS111" s="60"/>
      <c r="AT111" s="74" t="str">
        <f t="shared" si="20"/>
        <v>-</v>
      </c>
      <c r="AU111" s="74" t="str">
        <f t="shared" si="21"/>
        <v>-</v>
      </c>
      <c r="AV111" s="74" t="str">
        <f t="shared" si="22"/>
        <v>-</v>
      </c>
      <c r="AX111" s="59" t="str">
        <f>IF(AND(D111&gt;0,AA111&gt;0),MIN(D111,AA111),"-")</f>
        <v>-</v>
      </c>
      <c r="AY111" s="59" t="str">
        <f>IF(AND(E111&gt;0,AB111&gt;0),MIN(E111,AB111),"-")</f>
        <v>-</v>
      </c>
      <c r="AZ111" s="59" t="str">
        <f>IF(AND(F111&gt;0,AC111&gt;0),MIN(F111,AC111),"-")</f>
        <v>-</v>
      </c>
      <c r="BA111" s="59" t="str">
        <f>IF(AND(G111&gt;0,AD111&gt;0),MIN(G111,AD111),"-")</f>
        <v>-</v>
      </c>
      <c r="BB111" s="59" t="str">
        <f>IF(AND(H111&gt;0,AE111&gt;0),MIN(H111,AE111),"-")</f>
        <v>-</v>
      </c>
      <c r="BC111" s="59" t="str">
        <f>IF(AND(I111&gt;0,AF111&gt;0),MIN(I111,AF111),"-")</f>
        <v>-</v>
      </c>
      <c r="BD111" s="59" t="str">
        <f>IF(AND(J111&gt;0,AG111&gt;0),MIN(J111,AG111),"-")</f>
        <v>-</v>
      </c>
      <c r="BE111" s="59" t="str">
        <f>IF(AND(K111&gt;0,AH111&gt;0),MIN(K111,AH111),"-")</f>
        <v>-</v>
      </c>
      <c r="BF111" s="59" t="str">
        <f>IF(AND(L111&gt;0,AI111&gt;0),MIN(L111,AI111),"-")</f>
        <v>-</v>
      </c>
      <c r="BG111" s="59" t="str">
        <f t="shared" si="23"/>
        <v>-</v>
      </c>
      <c r="BH111" s="59" t="str">
        <f>IF(AND(N111&gt;0,AK111&gt;0),MIN(N111,AK111),"-")</f>
        <v>-</v>
      </c>
      <c r="BI111" s="59" t="str">
        <f>IF(AND(O111&gt;0,AL111&gt;0),MIN(O111,AL111),"-")</f>
        <v>-</v>
      </c>
      <c r="BJ111" s="59" t="str">
        <f>IF(AND(P111&gt;0,AM111&gt;0),MIN(P111,AM111),"-")</f>
        <v>-</v>
      </c>
      <c r="BK111" s="59" t="str">
        <f>IF(AND(Q111&gt;0,AN111&gt;0),MIN(Q111,AN111),"-")</f>
        <v>-</v>
      </c>
      <c r="BL111" s="59" t="str">
        <f>IF(AND(R111&gt;0,AO111&gt;0),MIN(R111,AO111),"-")</f>
        <v>-</v>
      </c>
      <c r="BM111" s="59" t="str">
        <f>IF(AND(S111&gt;0,AP111&gt;0),MIN(S111,AP111),"-")</f>
        <v>-</v>
      </c>
      <c r="BN111" s="59" t="str">
        <f>IF(AND(T111&gt;0,AQ111&gt;0),MIN(T111,AQ111),"-")</f>
        <v>-</v>
      </c>
      <c r="BO111" s="59" t="str">
        <f>IF(AND(U111&gt;0,AR111&gt;0),MIN(U111,AR111),"-")</f>
        <v>-</v>
      </c>
      <c r="BP111" s="59" t="str">
        <f>IF(AND(V111&gt;0,AS111&gt;0),MIN(V111,AS111),"-")</f>
        <v>-</v>
      </c>
      <c r="BQ111" s="59" t="str">
        <f t="shared" si="24"/>
        <v>-</v>
      </c>
      <c r="BR111" s="59" t="str">
        <f t="shared" si="25"/>
        <v>-</v>
      </c>
      <c r="BS111" s="59" t="str">
        <f t="shared" si="26"/>
        <v>-</v>
      </c>
      <c r="BT111" s="98" t="str">
        <f>IF(ISNUMBER(BS111),BS111-(C111*Rules!$P$9/100),"-")</f>
        <v>-</v>
      </c>
      <c r="BU111" s="59" t="e">
        <f>RANK($BT111,$BT$5:$BT$106,1)+COUNTIF(BT$5:BT111,BT111)-1</f>
        <v>#VALUE!</v>
      </c>
      <c r="BV111" s="59" t="e">
        <f t="shared" si="27"/>
        <v>#VALUE!</v>
      </c>
      <c r="BW111" s="59" t="str">
        <f t="shared" si="28"/>
        <v xml:space="preserve"> </v>
      </c>
      <c r="BX111" s="59">
        <f t="shared" si="28"/>
        <v>0</v>
      </c>
      <c r="BY111" s="59" t="str">
        <f t="shared" si="29"/>
        <v>-</v>
      </c>
      <c r="CD111" s="79"/>
      <c r="CE111" s="80"/>
      <c r="CF111" s="104"/>
      <c r="CL111" s="77">
        <v>1</v>
      </c>
    </row>
    <row r="112" spans="1:90" ht="17.45" customHeight="1">
      <c r="A112" s="58">
        <v>108</v>
      </c>
      <c r="B112" s="59" t="str">
        <f>'B Div'!A112 &amp; " " &amp; 'B Div'!B112</f>
        <v xml:space="preserve"> </v>
      </c>
      <c r="C112" s="59">
        <f>'B Div'!E112</f>
        <v>0</v>
      </c>
      <c r="D112" s="60"/>
      <c r="E112" s="60"/>
      <c r="F112" s="60"/>
      <c r="G112" s="60"/>
      <c r="H112" s="60"/>
      <c r="I112" s="60"/>
      <c r="J112" s="60"/>
      <c r="K112" s="60"/>
      <c r="L112" s="60"/>
      <c r="M112" s="74" t="str">
        <f t="shared" si="15"/>
        <v>-</v>
      </c>
      <c r="N112" s="60"/>
      <c r="O112" s="60"/>
      <c r="P112" s="60"/>
      <c r="Q112" s="60"/>
      <c r="R112" s="60"/>
      <c r="S112" s="60"/>
      <c r="T112" s="60"/>
      <c r="U112" s="60"/>
      <c r="V112" s="60"/>
      <c r="W112" s="74" t="str">
        <f t="shared" si="16"/>
        <v>-</v>
      </c>
      <c r="X112" s="74" t="str">
        <f t="shared" si="17"/>
        <v>-</v>
      </c>
      <c r="Y112" s="74" t="str">
        <f t="shared" si="18"/>
        <v>-</v>
      </c>
      <c r="AA112" s="60"/>
      <c r="AB112" s="60"/>
      <c r="AC112" s="60"/>
      <c r="AD112" s="60"/>
      <c r="AE112" s="60"/>
      <c r="AF112" s="60"/>
      <c r="AG112" s="60"/>
      <c r="AH112" s="60"/>
      <c r="AI112" s="60"/>
      <c r="AJ112" s="74" t="str">
        <f t="shared" si="19"/>
        <v>-</v>
      </c>
      <c r="AK112" s="60"/>
      <c r="AL112" s="60"/>
      <c r="AM112" s="60"/>
      <c r="AN112" s="60"/>
      <c r="AO112" s="60"/>
      <c r="AP112" s="60"/>
      <c r="AQ112" s="60"/>
      <c r="AR112" s="60"/>
      <c r="AS112" s="60"/>
      <c r="AT112" s="74" t="str">
        <f t="shared" si="20"/>
        <v>-</v>
      </c>
      <c r="AU112" s="74" t="str">
        <f t="shared" si="21"/>
        <v>-</v>
      </c>
      <c r="AV112" s="74" t="str">
        <f t="shared" si="22"/>
        <v>-</v>
      </c>
      <c r="AX112" s="59" t="str">
        <f>IF(AND(D112&gt;0,AA112&gt;0),MIN(D112,AA112),"-")</f>
        <v>-</v>
      </c>
      <c r="AY112" s="59" t="str">
        <f>IF(AND(E112&gt;0,AB112&gt;0),MIN(E112,AB112),"-")</f>
        <v>-</v>
      </c>
      <c r="AZ112" s="59" t="str">
        <f>IF(AND(F112&gt;0,AC112&gt;0),MIN(F112,AC112),"-")</f>
        <v>-</v>
      </c>
      <c r="BA112" s="59" t="str">
        <f>IF(AND(G112&gt;0,AD112&gt;0),MIN(G112,AD112),"-")</f>
        <v>-</v>
      </c>
      <c r="BB112" s="59" t="str">
        <f>IF(AND(H112&gt;0,AE112&gt;0),MIN(H112,AE112),"-")</f>
        <v>-</v>
      </c>
      <c r="BC112" s="59" t="str">
        <f>IF(AND(I112&gt;0,AF112&gt;0),MIN(I112,AF112),"-")</f>
        <v>-</v>
      </c>
      <c r="BD112" s="59" t="str">
        <f>IF(AND(J112&gt;0,AG112&gt;0),MIN(J112,AG112),"-")</f>
        <v>-</v>
      </c>
      <c r="BE112" s="59" t="str">
        <f>IF(AND(K112&gt;0,AH112&gt;0),MIN(K112,AH112),"-")</f>
        <v>-</v>
      </c>
      <c r="BF112" s="59" t="str">
        <f>IF(AND(L112&gt;0,AI112&gt;0),MIN(L112,AI112),"-")</f>
        <v>-</v>
      </c>
      <c r="BG112" s="59" t="str">
        <f t="shared" si="23"/>
        <v>-</v>
      </c>
      <c r="BH112" s="59" t="str">
        <f>IF(AND(N112&gt;0,AK112&gt;0),MIN(N112,AK112),"-")</f>
        <v>-</v>
      </c>
      <c r="BI112" s="59" t="str">
        <f>IF(AND(O112&gt;0,AL112&gt;0),MIN(O112,AL112),"-")</f>
        <v>-</v>
      </c>
      <c r="BJ112" s="59" t="str">
        <f>IF(AND(P112&gt;0,AM112&gt;0),MIN(P112,AM112),"-")</f>
        <v>-</v>
      </c>
      <c r="BK112" s="59" t="str">
        <f>IF(AND(Q112&gt;0,AN112&gt;0),MIN(Q112,AN112),"-")</f>
        <v>-</v>
      </c>
      <c r="BL112" s="59" t="str">
        <f>IF(AND(R112&gt;0,AO112&gt;0),MIN(R112,AO112),"-")</f>
        <v>-</v>
      </c>
      <c r="BM112" s="59" t="str">
        <f>IF(AND(S112&gt;0,AP112&gt;0),MIN(S112,AP112),"-")</f>
        <v>-</v>
      </c>
      <c r="BN112" s="59" t="str">
        <f>IF(AND(T112&gt;0,AQ112&gt;0),MIN(T112,AQ112),"-")</f>
        <v>-</v>
      </c>
      <c r="BO112" s="59" t="str">
        <f>IF(AND(U112&gt;0,AR112&gt;0),MIN(U112,AR112),"-")</f>
        <v>-</v>
      </c>
      <c r="BP112" s="59" t="str">
        <f>IF(AND(V112&gt;0,AS112&gt;0),MIN(V112,AS112),"-")</f>
        <v>-</v>
      </c>
      <c r="BQ112" s="59" t="str">
        <f t="shared" si="24"/>
        <v>-</v>
      </c>
      <c r="BR112" s="59" t="str">
        <f t="shared" si="25"/>
        <v>-</v>
      </c>
      <c r="BS112" s="59" t="str">
        <f t="shared" si="26"/>
        <v>-</v>
      </c>
      <c r="BT112" s="98" t="str">
        <f>IF(ISNUMBER(BS112),BS112-(C112*Rules!$P$9/100),"-")</f>
        <v>-</v>
      </c>
      <c r="BU112" s="59" t="e">
        <f>RANK($BT112,$BT$5:$BT$106,1)+COUNTIF(BT$5:BT112,BT112)-1</f>
        <v>#VALUE!</v>
      </c>
      <c r="BV112" s="59" t="e">
        <f t="shared" si="27"/>
        <v>#VALUE!</v>
      </c>
      <c r="BW112" s="59" t="str">
        <f t="shared" si="28"/>
        <v xml:space="preserve"> </v>
      </c>
      <c r="BX112" s="59">
        <f t="shared" si="28"/>
        <v>0</v>
      </c>
      <c r="BY112" s="59" t="str">
        <f t="shared" si="29"/>
        <v>-</v>
      </c>
      <c r="CD112" s="79"/>
      <c r="CE112" s="80"/>
      <c r="CF112" s="104"/>
      <c r="CL112" s="77">
        <v>1</v>
      </c>
    </row>
    <row r="113" spans="1:90" ht="17.45" customHeight="1">
      <c r="A113" s="58">
        <v>109</v>
      </c>
      <c r="B113" s="59" t="str">
        <f>'B Div'!A113 &amp; " " &amp; 'B Div'!B113</f>
        <v xml:space="preserve"> </v>
      </c>
      <c r="C113" s="59">
        <f>'B Div'!E113</f>
        <v>0</v>
      </c>
      <c r="D113" s="60"/>
      <c r="E113" s="60"/>
      <c r="F113" s="60"/>
      <c r="G113" s="60"/>
      <c r="H113" s="60"/>
      <c r="I113" s="60"/>
      <c r="J113" s="60"/>
      <c r="K113" s="60"/>
      <c r="L113" s="60"/>
      <c r="M113" s="74" t="str">
        <f t="shared" si="15"/>
        <v>-</v>
      </c>
      <c r="N113" s="60"/>
      <c r="O113" s="60"/>
      <c r="P113" s="60"/>
      <c r="Q113" s="60"/>
      <c r="R113" s="60"/>
      <c r="S113" s="60"/>
      <c r="T113" s="60"/>
      <c r="U113" s="60"/>
      <c r="V113" s="60"/>
      <c r="W113" s="74" t="str">
        <f t="shared" si="16"/>
        <v>-</v>
      </c>
      <c r="X113" s="74" t="str">
        <f t="shared" si="17"/>
        <v>-</v>
      </c>
      <c r="Y113" s="74" t="str">
        <f t="shared" si="18"/>
        <v>-</v>
      </c>
      <c r="AA113" s="60"/>
      <c r="AB113" s="60"/>
      <c r="AC113" s="60"/>
      <c r="AD113" s="60"/>
      <c r="AE113" s="60"/>
      <c r="AF113" s="60"/>
      <c r="AG113" s="60"/>
      <c r="AH113" s="60"/>
      <c r="AI113" s="60"/>
      <c r="AJ113" s="74" t="str">
        <f t="shared" si="19"/>
        <v>-</v>
      </c>
      <c r="AK113" s="60"/>
      <c r="AL113" s="60"/>
      <c r="AM113" s="60"/>
      <c r="AN113" s="60"/>
      <c r="AO113" s="60"/>
      <c r="AP113" s="60"/>
      <c r="AQ113" s="60"/>
      <c r="AR113" s="60"/>
      <c r="AS113" s="60"/>
      <c r="AT113" s="74" t="str">
        <f t="shared" si="20"/>
        <v>-</v>
      </c>
      <c r="AU113" s="74" t="str">
        <f t="shared" si="21"/>
        <v>-</v>
      </c>
      <c r="AV113" s="74" t="str">
        <f t="shared" si="22"/>
        <v>-</v>
      </c>
      <c r="AX113" s="59" t="str">
        <f>IF(AND(D113&gt;0,AA113&gt;0),MIN(D113,AA113),"-")</f>
        <v>-</v>
      </c>
      <c r="AY113" s="59" t="str">
        <f>IF(AND(E113&gt;0,AB113&gt;0),MIN(E113,AB113),"-")</f>
        <v>-</v>
      </c>
      <c r="AZ113" s="59" t="str">
        <f>IF(AND(F113&gt;0,AC113&gt;0),MIN(F113,AC113),"-")</f>
        <v>-</v>
      </c>
      <c r="BA113" s="59" t="str">
        <f>IF(AND(G113&gt;0,AD113&gt;0),MIN(G113,AD113),"-")</f>
        <v>-</v>
      </c>
      <c r="BB113" s="59" t="str">
        <f>IF(AND(H113&gt;0,AE113&gt;0),MIN(H113,AE113),"-")</f>
        <v>-</v>
      </c>
      <c r="BC113" s="59" t="str">
        <f>IF(AND(I113&gt;0,AF113&gt;0),MIN(I113,AF113),"-")</f>
        <v>-</v>
      </c>
      <c r="BD113" s="59" t="str">
        <f>IF(AND(J113&gt;0,AG113&gt;0),MIN(J113,AG113),"-")</f>
        <v>-</v>
      </c>
      <c r="BE113" s="59" t="str">
        <f>IF(AND(K113&gt;0,AH113&gt;0),MIN(K113,AH113),"-")</f>
        <v>-</v>
      </c>
      <c r="BF113" s="59" t="str">
        <f>IF(AND(L113&gt;0,AI113&gt;0),MIN(L113,AI113),"-")</f>
        <v>-</v>
      </c>
      <c r="BG113" s="59" t="str">
        <f t="shared" si="23"/>
        <v>-</v>
      </c>
      <c r="BH113" s="59" t="str">
        <f>IF(AND(N113&gt;0,AK113&gt;0),MIN(N113,AK113),"-")</f>
        <v>-</v>
      </c>
      <c r="BI113" s="59" t="str">
        <f>IF(AND(O113&gt;0,AL113&gt;0),MIN(O113,AL113),"-")</f>
        <v>-</v>
      </c>
      <c r="BJ113" s="59" t="str">
        <f>IF(AND(P113&gt;0,AM113&gt;0),MIN(P113,AM113),"-")</f>
        <v>-</v>
      </c>
      <c r="BK113" s="59" t="str">
        <f>IF(AND(Q113&gt;0,AN113&gt;0),MIN(Q113,AN113),"-")</f>
        <v>-</v>
      </c>
      <c r="BL113" s="59" t="str">
        <f>IF(AND(R113&gt;0,AO113&gt;0),MIN(R113,AO113),"-")</f>
        <v>-</v>
      </c>
      <c r="BM113" s="59" t="str">
        <f>IF(AND(S113&gt;0,AP113&gt;0),MIN(S113,AP113),"-")</f>
        <v>-</v>
      </c>
      <c r="BN113" s="59" t="str">
        <f>IF(AND(T113&gt;0,AQ113&gt;0),MIN(T113,AQ113),"-")</f>
        <v>-</v>
      </c>
      <c r="BO113" s="59" t="str">
        <f>IF(AND(U113&gt;0,AR113&gt;0),MIN(U113,AR113),"-")</f>
        <v>-</v>
      </c>
      <c r="BP113" s="59" t="str">
        <f>IF(AND(V113&gt;0,AS113&gt;0),MIN(V113,AS113),"-")</f>
        <v>-</v>
      </c>
      <c r="BQ113" s="59" t="str">
        <f t="shared" si="24"/>
        <v>-</v>
      </c>
      <c r="BR113" s="59" t="str">
        <f t="shared" si="25"/>
        <v>-</v>
      </c>
      <c r="BS113" s="59" t="str">
        <f t="shared" si="26"/>
        <v>-</v>
      </c>
      <c r="BT113" s="98" t="str">
        <f>IF(ISNUMBER(BS113),BS113-(C113*Rules!$P$9/100),"-")</f>
        <v>-</v>
      </c>
      <c r="BU113" s="59" t="e">
        <f>RANK($BT113,$BT$5:$BT$106,1)+COUNTIF(BT$5:BT113,BT113)-1</f>
        <v>#VALUE!</v>
      </c>
      <c r="BV113" s="59" t="e">
        <f t="shared" si="27"/>
        <v>#VALUE!</v>
      </c>
      <c r="BW113" s="59" t="str">
        <f t="shared" si="28"/>
        <v xml:space="preserve"> </v>
      </c>
      <c r="BX113" s="59">
        <f t="shared" si="28"/>
        <v>0</v>
      </c>
      <c r="BY113" s="59" t="str">
        <f t="shared" si="29"/>
        <v>-</v>
      </c>
      <c r="CD113" s="79"/>
      <c r="CE113" s="80"/>
      <c r="CF113" s="104"/>
      <c r="CL113" s="77">
        <v>1</v>
      </c>
    </row>
    <row r="114" spans="1:90" ht="17.45" customHeight="1">
      <c r="A114" s="58">
        <v>110</v>
      </c>
      <c r="B114" s="59" t="str">
        <f>'B Div'!A114 &amp; " " &amp; 'B Div'!B114</f>
        <v xml:space="preserve"> </v>
      </c>
      <c r="C114" s="59">
        <f>'B Div'!E114</f>
        <v>0</v>
      </c>
      <c r="D114" s="60"/>
      <c r="E114" s="60"/>
      <c r="F114" s="60"/>
      <c r="G114" s="60"/>
      <c r="H114" s="60"/>
      <c r="I114" s="60"/>
      <c r="J114" s="60"/>
      <c r="K114" s="60"/>
      <c r="L114" s="60"/>
      <c r="M114" s="74" t="str">
        <f t="shared" si="15"/>
        <v>-</v>
      </c>
      <c r="N114" s="60"/>
      <c r="O114" s="60"/>
      <c r="P114" s="60"/>
      <c r="Q114" s="60"/>
      <c r="R114" s="60"/>
      <c r="S114" s="60"/>
      <c r="T114" s="60"/>
      <c r="U114" s="60"/>
      <c r="V114" s="60"/>
      <c r="W114" s="74" t="str">
        <f t="shared" si="16"/>
        <v>-</v>
      </c>
      <c r="X114" s="74" t="str">
        <f t="shared" si="17"/>
        <v>-</v>
      </c>
      <c r="Y114" s="74" t="str">
        <f t="shared" si="18"/>
        <v>-</v>
      </c>
      <c r="AA114" s="60"/>
      <c r="AB114" s="60"/>
      <c r="AC114" s="60"/>
      <c r="AD114" s="60"/>
      <c r="AE114" s="60"/>
      <c r="AF114" s="60"/>
      <c r="AG114" s="60"/>
      <c r="AH114" s="60"/>
      <c r="AI114" s="60"/>
      <c r="AJ114" s="74" t="str">
        <f t="shared" si="19"/>
        <v>-</v>
      </c>
      <c r="AK114" s="60"/>
      <c r="AL114" s="60"/>
      <c r="AM114" s="60"/>
      <c r="AN114" s="60"/>
      <c r="AO114" s="60"/>
      <c r="AP114" s="60"/>
      <c r="AQ114" s="60"/>
      <c r="AR114" s="60"/>
      <c r="AS114" s="60"/>
      <c r="AT114" s="74" t="str">
        <f t="shared" si="20"/>
        <v>-</v>
      </c>
      <c r="AU114" s="74" t="str">
        <f t="shared" si="21"/>
        <v>-</v>
      </c>
      <c r="AV114" s="74" t="str">
        <f t="shared" si="22"/>
        <v>-</v>
      </c>
      <c r="AX114" s="59" t="str">
        <f>IF(AND(D114&gt;0,AA114&gt;0),MIN(D114,AA114),"-")</f>
        <v>-</v>
      </c>
      <c r="AY114" s="59" t="str">
        <f>IF(AND(E114&gt;0,AB114&gt;0),MIN(E114,AB114),"-")</f>
        <v>-</v>
      </c>
      <c r="AZ114" s="59" t="str">
        <f>IF(AND(F114&gt;0,AC114&gt;0),MIN(F114,AC114),"-")</f>
        <v>-</v>
      </c>
      <c r="BA114" s="59" t="str">
        <f>IF(AND(G114&gt;0,AD114&gt;0),MIN(G114,AD114),"-")</f>
        <v>-</v>
      </c>
      <c r="BB114" s="59" t="str">
        <f>IF(AND(H114&gt;0,AE114&gt;0),MIN(H114,AE114),"-")</f>
        <v>-</v>
      </c>
      <c r="BC114" s="59" t="str">
        <f>IF(AND(I114&gt;0,AF114&gt;0),MIN(I114,AF114),"-")</f>
        <v>-</v>
      </c>
      <c r="BD114" s="59" t="str">
        <f>IF(AND(J114&gt;0,AG114&gt;0),MIN(J114,AG114),"-")</f>
        <v>-</v>
      </c>
      <c r="BE114" s="59" t="str">
        <f>IF(AND(K114&gt;0,AH114&gt;0),MIN(K114,AH114),"-")</f>
        <v>-</v>
      </c>
      <c r="BF114" s="59" t="str">
        <f>IF(AND(L114&gt;0,AI114&gt;0),MIN(L114,AI114),"-")</f>
        <v>-</v>
      </c>
      <c r="BG114" s="59" t="str">
        <f t="shared" si="23"/>
        <v>-</v>
      </c>
      <c r="BH114" s="59" t="str">
        <f>IF(AND(N114&gt;0,AK114&gt;0),MIN(N114,AK114),"-")</f>
        <v>-</v>
      </c>
      <c r="BI114" s="59" t="str">
        <f>IF(AND(O114&gt;0,AL114&gt;0),MIN(O114,AL114),"-")</f>
        <v>-</v>
      </c>
      <c r="BJ114" s="59" t="str">
        <f>IF(AND(P114&gt;0,AM114&gt;0),MIN(P114,AM114),"-")</f>
        <v>-</v>
      </c>
      <c r="BK114" s="59" t="str">
        <f>IF(AND(Q114&gt;0,AN114&gt;0),MIN(Q114,AN114),"-")</f>
        <v>-</v>
      </c>
      <c r="BL114" s="59" t="str">
        <f>IF(AND(R114&gt;0,AO114&gt;0),MIN(R114,AO114),"-")</f>
        <v>-</v>
      </c>
      <c r="BM114" s="59" t="str">
        <f>IF(AND(S114&gt;0,AP114&gt;0),MIN(S114,AP114),"-")</f>
        <v>-</v>
      </c>
      <c r="BN114" s="59" t="str">
        <f>IF(AND(T114&gt;0,AQ114&gt;0),MIN(T114,AQ114),"-")</f>
        <v>-</v>
      </c>
      <c r="BO114" s="59" t="str">
        <f>IF(AND(U114&gt;0,AR114&gt;0),MIN(U114,AR114),"-")</f>
        <v>-</v>
      </c>
      <c r="BP114" s="59" t="str">
        <f>IF(AND(V114&gt;0,AS114&gt;0),MIN(V114,AS114),"-")</f>
        <v>-</v>
      </c>
      <c r="BQ114" s="59" t="str">
        <f t="shared" si="24"/>
        <v>-</v>
      </c>
      <c r="BR114" s="59" t="str">
        <f t="shared" si="25"/>
        <v>-</v>
      </c>
      <c r="BS114" s="59" t="str">
        <f t="shared" si="26"/>
        <v>-</v>
      </c>
      <c r="BT114" s="98" t="str">
        <f>IF(ISNUMBER(BS114),BS114-(C114*Rules!$P$9/100),"-")</f>
        <v>-</v>
      </c>
      <c r="BU114" s="59" t="e">
        <f>RANK($BT114,$BT$5:$BT$106,1)+COUNTIF(BT$5:BT114,BT114)-1</f>
        <v>#VALUE!</v>
      </c>
      <c r="BV114" s="59" t="e">
        <f t="shared" si="27"/>
        <v>#VALUE!</v>
      </c>
      <c r="BW114" s="59" t="str">
        <f t="shared" si="28"/>
        <v xml:space="preserve"> </v>
      </c>
      <c r="BX114" s="59">
        <f t="shared" si="28"/>
        <v>0</v>
      </c>
      <c r="BY114" s="59" t="str">
        <f t="shared" si="29"/>
        <v>-</v>
      </c>
      <c r="CD114" s="79"/>
      <c r="CE114" s="80"/>
      <c r="CF114" s="104"/>
      <c r="CL114" s="77">
        <v>1</v>
      </c>
    </row>
    <row r="115" spans="1:90" ht="17.45" customHeight="1">
      <c r="A115" s="58">
        <v>111</v>
      </c>
      <c r="B115" s="59" t="str">
        <f>'B Div'!A115 &amp; " " &amp; 'B Div'!B115</f>
        <v xml:space="preserve"> </v>
      </c>
      <c r="C115" s="59">
        <f>'B Div'!E115</f>
        <v>0</v>
      </c>
      <c r="D115" s="60"/>
      <c r="E115" s="60"/>
      <c r="F115" s="60"/>
      <c r="G115" s="60"/>
      <c r="H115" s="60"/>
      <c r="I115" s="60"/>
      <c r="J115" s="60"/>
      <c r="K115" s="60"/>
      <c r="L115" s="60"/>
      <c r="M115" s="74" t="str">
        <f t="shared" si="15"/>
        <v>-</v>
      </c>
      <c r="N115" s="60"/>
      <c r="O115" s="60"/>
      <c r="P115" s="60"/>
      <c r="Q115" s="60"/>
      <c r="R115" s="60"/>
      <c r="S115" s="60"/>
      <c r="T115" s="60"/>
      <c r="U115" s="60"/>
      <c r="V115" s="60"/>
      <c r="W115" s="74" t="str">
        <f t="shared" si="16"/>
        <v>-</v>
      </c>
      <c r="X115" s="74" t="str">
        <f t="shared" si="17"/>
        <v>-</v>
      </c>
      <c r="Y115" s="74" t="str">
        <f t="shared" si="18"/>
        <v>-</v>
      </c>
      <c r="AA115" s="60"/>
      <c r="AB115" s="60"/>
      <c r="AC115" s="60"/>
      <c r="AD115" s="60"/>
      <c r="AE115" s="60"/>
      <c r="AF115" s="60"/>
      <c r="AG115" s="60"/>
      <c r="AH115" s="60"/>
      <c r="AI115" s="60"/>
      <c r="AJ115" s="74" t="str">
        <f t="shared" si="19"/>
        <v>-</v>
      </c>
      <c r="AK115" s="60"/>
      <c r="AL115" s="60"/>
      <c r="AM115" s="60"/>
      <c r="AN115" s="60"/>
      <c r="AO115" s="60"/>
      <c r="AP115" s="60"/>
      <c r="AQ115" s="60"/>
      <c r="AR115" s="60"/>
      <c r="AS115" s="60"/>
      <c r="AT115" s="74" t="str">
        <f t="shared" si="20"/>
        <v>-</v>
      </c>
      <c r="AU115" s="74" t="str">
        <f t="shared" si="21"/>
        <v>-</v>
      </c>
      <c r="AV115" s="74" t="str">
        <f t="shared" si="22"/>
        <v>-</v>
      </c>
      <c r="AX115" s="59" t="str">
        <f>IF(AND(D115&gt;0,AA115&gt;0),MIN(D115,AA115),"-")</f>
        <v>-</v>
      </c>
      <c r="AY115" s="59" t="str">
        <f>IF(AND(E115&gt;0,AB115&gt;0),MIN(E115,AB115),"-")</f>
        <v>-</v>
      </c>
      <c r="AZ115" s="59" t="str">
        <f>IF(AND(F115&gt;0,AC115&gt;0),MIN(F115,AC115),"-")</f>
        <v>-</v>
      </c>
      <c r="BA115" s="59" t="str">
        <f>IF(AND(G115&gt;0,AD115&gt;0),MIN(G115,AD115),"-")</f>
        <v>-</v>
      </c>
      <c r="BB115" s="59" t="str">
        <f>IF(AND(H115&gt;0,AE115&gt;0),MIN(H115,AE115),"-")</f>
        <v>-</v>
      </c>
      <c r="BC115" s="59" t="str">
        <f>IF(AND(I115&gt;0,AF115&gt;0),MIN(I115,AF115),"-")</f>
        <v>-</v>
      </c>
      <c r="BD115" s="59" t="str">
        <f>IF(AND(J115&gt;0,AG115&gt;0),MIN(J115,AG115),"-")</f>
        <v>-</v>
      </c>
      <c r="BE115" s="59" t="str">
        <f>IF(AND(K115&gt;0,AH115&gt;0),MIN(K115,AH115),"-")</f>
        <v>-</v>
      </c>
      <c r="BF115" s="59" t="str">
        <f>IF(AND(L115&gt;0,AI115&gt;0),MIN(L115,AI115),"-")</f>
        <v>-</v>
      </c>
      <c r="BG115" s="59" t="str">
        <f t="shared" si="23"/>
        <v>-</v>
      </c>
      <c r="BH115" s="59" t="str">
        <f>IF(AND(N115&gt;0,AK115&gt;0),MIN(N115,AK115),"-")</f>
        <v>-</v>
      </c>
      <c r="BI115" s="59" t="str">
        <f>IF(AND(O115&gt;0,AL115&gt;0),MIN(O115,AL115),"-")</f>
        <v>-</v>
      </c>
      <c r="BJ115" s="59" t="str">
        <f>IF(AND(P115&gt;0,AM115&gt;0),MIN(P115,AM115),"-")</f>
        <v>-</v>
      </c>
      <c r="BK115" s="59" t="str">
        <f>IF(AND(Q115&gt;0,AN115&gt;0),MIN(Q115,AN115),"-")</f>
        <v>-</v>
      </c>
      <c r="BL115" s="59" t="str">
        <f>IF(AND(R115&gt;0,AO115&gt;0),MIN(R115,AO115),"-")</f>
        <v>-</v>
      </c>
      <c r="BM115" s="59" t="str">
        <f>IF(AND(S115&gt;0,AP115&gt;0),MIN(S115,AP115),"-")</f>
        <v>-</v>
      </c>
      <c r="BN115" s="59" t="str">
        <f>IF(AND(T115&gt;0,AQ115&gt;0),MIN(T115,AQ115),"-")</f>
        <v>-</v>
      </c>
      <c r="BO115" s="59" t="str">
        <f>IF(AND(U115&gt;0,AR115&gt;0),MIN(U115,AR115),"-")</f>
        <v>-</v>
      </c>
      <c r="BP115" s="59" t="str">
        <f>IF(AND(V115&gt;0,AS115&gt;0),MIN(V115,AS115),"-")</f>
        <v>-</v>
      </c>
      <c r="BQ115" s="59" t="str">
        <f t="shared" si="24"/>
        <v>-</v>
      </c>
      <c r="BR115" s="59" t="str">
        <f t="shared" si="25"/>
        <v>-</v>
      </c>
      <c r="BS115" s="59" t="str">
        <f t="shared" si="26"/>
        <v>-</v>
      </c>
      <c r="BT115" s="98" t="str">
        <f>IF(ISNUMBER(BS115),BS115-(C115*Rules!$P$9/100),"-")</f>
        <v>-</v>
      </c>
      <c r="BU115" s="59" t="e">
        <f>RANK($BT115,$BT$5:$BT$106,1)+COUNTIF(BT$5:BT115,BT115)-1</f>
        <v>#VALUE!</v>
      </c>
      <c r="BV115" s="59" t="e">
        <f t="shared" si="27"/>
        <v>#VALUE!</v>
      </c>
      <c r="BW115" s="59" t="str">
        <f t="shared" si="28"/>
        <v xml:space="preserve"> </v>
      </c>
      <c r="BX115" s="59">
        <f t="shared" si="28"/>
        <v>0</v>
      </c>
      <c r="BY115" s="59" t="str">
        <f t="shared" si="29"/>
        <v>-</v>
      </c>
      <c r="CD115" s="79"/>
      <c r="CE115" s="80"/>
      <c r="CF115" s="104"/>
      <c r="CL115" s="77">
        <v>1</v>
      </c>
    </row>
    <row r="116" spans="1:90" ht="17.45" customHeight="1">
      <c r="A116" s="58">
        <v>112</v>
      </c>
      <c r="B116" s="59" t="str">
        <f>'B Div'!A116 &amp; " " &amp; 'B Div'!B116</f>
        <v xml:space="preserve"> </v>
      </c>
      <c r="C116" s="59">
        <f>'B Div'!E116</f>
        <v>0</v>
      </c>
      <c r="D116" s="60"/>
      <c r="E116" s="60"/>
      <c r="F116" s="60"/>
      <c r="G116" s="60"/>
      <c r="H116" s="60"/>
      <c r="I116" s="60"/>
      <c r="J116" s="60"/>
      <c r="K116" s="60"/>
      <c r="L116" s="60"/>
      <c r="M116" s="74" t="str">
        <f t="shared" si="15"/>
        <v>-</v>
      </c>
      <c r="N116" s="60"/>
      <c r="O116" s="60"/>
      <c r="P116" s="60"/>
      <c r="Q116" s="60"/>
      <c r="R116" s="60"/>
      <c r="S116" s="60"/>
      <c r="T116" s="60"/>
      <c r="U116" s="60"/>
      <c r="V116" s="60"/>
      <c r="W116" s="74" t="str">
        <f t="shared" si="16"/>
        <v>-</v>
      </c>
      <c r="X116" s="74" t="str">
        <f t="shared" si="17"/>
        <v>-</v>
      </c>
      <c r="Y116" s="74" t="str">
        <f t="shared" si="18"/>
        <v>-</v>
      </c>
      <c r="AA116" s="60"/>
      <c r="AB116" s="60"/>
      <c r="AC116" s="60"/>
      <c r="AD116" s="60"/>
      <c r="AE116" s="60"/>
      <c r="AF116" s="60"/>
      <c r="AG116" s="60"/>
      <c r="AH116" s="60"/>
      <c r="AI116" s="60"/>
      <c r="AJ116" s="74" t="str">
        <f t="shared" si="19"/>
        <v>-</v>
      </c>
      <c r="AK116" s="60"/>
      <c r="AL116" s="60"/>
      <c r="AM116" s="60"/>
      <c r="AN116" s="60"/>
      <c r="AO116" s="60"/>
      <c r="AP116" s="60"/>
      <c r="AQ116" s="60"/>
      <c r="AR116" s="60"/>
      <c r="AS116" s="60"/>
      <c r="AT116" s="74" t="str">
        <f t="shared" si="20"/>
        <v>-</v>
      </c>
      <c r="AU116" s="74" t="str">
        <f t="shared" si="21"/>
        <v>-</v>
      </c>
      <c r="AV116" s="74" t="str">
        <f t="shared" si="22"/>
        <v>-</v>
      </c>
      <c r="AX116" s="59" t="str">
        <f>IF(AND(D116&gt;0,AA116&gt;0),MIN(D116,AA116),"-")</f>
        <v>-</v>
      </c>
      <c r="AY116" s="59" t="str">
        <f>IF(AND(E116&gt;0,AB116&gt;0),MIN(E116,AB116),"-")</f>
        <v>-</v>
      </c>
      <c r="AZ116" s="59" t="str">
        <f>IF(AND(F116&gt;0,AC116&gt;0),MIN(F116,AC116),"-")</f>
        <v>-</v>
      </c>
      <c r="BA116" s="59" t="str">
        <f>IF(AND(G116&gt;0,AD116&gt;0),MIN(G116,AD116),"-")</f>
        <v>-</v>
      </c>
      <c r="BB116" s="59" t="str">
        <f>IF(AND(H116&gt;0,AE116&gt;0),MIN(H116,AE116),"-")</f>
        <v>-</v>
      </c>
      <c r="BC116" s="59" t="str">
        <f>IF(AND(I116&gt;0,AF116&gt;0),MIN(I116,AF116),"-")</f>
        <v>-</v>
      </c>
      <c r="BD116" s="59" t="str">
        <f>IF(AND(J116&gt;0,AG116&gt;0),MIN(J116,AG116),"-")</f>
        <v>-</v>
      </c>
      <c r="BE116" s="59" t="str">
        <f>IF(AND(K116&gt;0,AH116&gt;0),MIN(K116,AH116),"-")</f>
        <v>-</v>
      </c>
      <c r="BF116" s="59" t="str">
        <f>IF(AND(L116&gt;0,AI116&gt;0),MIN(L116,AI116),"-")</f>
        <v>-</v>
      </c>
      <c r="BG116" s="59" t="str">
        <f t="shared" si="23"/>
        <v>-</v>
      </c>
      <c r="BH116" s="59" t="str">
        <f>IF(AND(N116&gt;0,AK116&gt;0),MIN(N116,AK116),"-")</f>
        <v>-</v>
      </c>
      <c r="BI116" s="59" t="str">
        <f>IF(AND(O116&gt;0,AL116&gt;0),MIN(O116,AL116),"-")</f>
        <v>-</v>
      </c>
      <c r="BJ116" s="59" t="str">
        <f>IF(AND(P116&gt;0,AM116&gt;0),MIN(P116,AM116),"-")</f>
        <v>-</v>
      </c>
      <c r="BK116" s="59" t="str">
        <f>IF(AND(Q116&gt;0,AN116&gt;0),MIN(Q116,AN116),"-")</f>
        <v>-</v>
      </c>
      <c r="BL116" s="59" t="str">
        <f>IF(AND(R116&gt;0,AO116&gt;0),MIN(R116,AO116),"-")</f>
        <v>-</v>
      </c>
      <c r="BM116" s="59" t="str">
        <f>IF(AND(S116&gt;0,AP116&gt;0),MIN(S116,AP116),"-")</f>
        <v>-</v>
      </c>
      <c r="BN116" s="59" t="str">
        <f>IF(AND(T116&gt;0,AQ116&gt;0),MIN(T116,AQ116),"-")</f>
        <v>-</v>
      </c>
      <c r="BO116" s="59" t="str">
        <f>IF(AND(U116&gt;0,AR116&gt;0),MIN(U116,AR116),"-")</f>
        <v>-</v>
      </c>
      <c r="BP116" s="59" t="str">
        <f>IF(AND(V116&gt;0,AS116&gt;0),MIN(V116,AS116),"-")</f>
        <v>-</v>
      </c>
      <c r="BQ116" s="59" t="str">
        <f t="shared" si="24"/>
        <v>-</v>
      </c>
      <c r="BR116" s="59" t="str">
        <f t="shared" si="25"/>
        <v>-</v>
      </c>
      <c r="BS116" s="59" t="str">
        <f t="shared" si="26"/>
        <v>-</v>
      </c>
      <c r="BT116" s="98" t="str">
        <f>IF(ISNUMBER(BS116),BS116-(C116*Rules!$P$9/100),"-")</f>
        <v>-</v>
      </c>
      <c r="BU116" s="59" t="e">
        <f>RANK($BT116,$BT$5:$BT$106,1)+COUNTIF(BT$5:BT116,BT116)-1</f>
        <v>#VALUE!</v>
      </c>
      <c r="BV116" s="59" t="e">
        <f t="shared" si="27"/>
        <v>#VALUE!</v>
      </c>
      <c r="BW116" s="59" t="str">
        <f t="shared" si="28"/>
        <v xml:space="preserve"> </v>
      </c>
      <c r="BX116" s="59">
        <f t="shared" si="28"/>
        <v>0</v>
      </c>
      <c r="BY116" s="59" t="str">
        <f t="shared" si="29"/>
        <v>-</v>
      </c>
      <c r="CD116" s="79"/>
      <c r="CE116" s="80"/>
      <c r="CF116" s="104"/>
      <c r="CL116" s="77">
        <v>1</v>
      </c>
    </row>
    <row r="117" spans="1:90" ht="17.45" customHeight="1">
      <c r="A117" s="58">
        <v>113</v>
      </c>
      <c r="B117" s="59" t="str">
        <f>'B Div'!A117 &amp; " " &amp; 'B Div'!B117</f>
        <v xml:space="preserve"> </v>
      </c>
      <c r="C117" s="59">
        <f>'B Div'!E117</f>
        <v>0</v>
      </c>
      <c r="D117" s="60"/>
      <c r="E117" s="60"/>
      <c r="F117" s="60"/>
      <c r="G117" s="60"/>
      <c r="H117" s="60"/>
      <c r="I117" s="60"/>
      <c r="J117" s="60"/>
      <c r="K117" s="60"/>
      <c r="L117" s="60"/>
      <c r="M117" s="74" t="str">
        <f t="shared" si="15"/>
        <v>-</v>
      </c>
      <c r="N117" s="60"/>
      <c r="O117" s="60"/>
      <c r="P117" s="60"/>
      <c r="Q117" s="60"/>
      <c r="R117" s="60"/>
      <c r="S117" s="60"/>
      <c r="T117" s="60"/>
      <c r="U117" s="60"/>
      <c r="V117" s="60"/>
      <c r="W117" s="74" t="str">
        <f t="shared" si="16"/>
        <v>-</v>
      </c>
      <c r="X117" s="74" t="str">
        <f t="shared" si="17"/>
        <v>-</v>
      </c>
      <c r="Y117" s="74" t="str">
        <f t="shared" si="18"/>
        <v>-</v>
      </c>
      <c r="AA117" s="60"/>
      <c r="AB117" s="60"/>
      <c r="AC117" s="60"/>
      <c r="AD117" s="60"/>
      <c r="AE117" s="60"/>
      <c r="AF117" s="60"/>
      <c r="AG117" s="60"/>
      <c r="AH117" s="60"/>
      <c r="AI117" s="60"/>
      <c r="AJ117" s="74" t="str">
        <f t="shared" si="19"/>
        <v>-</v>
      </c>
      <c r="AK117" s="60"/>
      <c r="AL117" s="60"/>
      <c r="AM117" s="60"/>
      <c r="AN117" s="60"/>
      <c r="AO117" s="60"/>
      <c r="AP117" s="60"/>
      <c r="AQ117" s="60"/>
      <c r="AR117" s="60"/>
      <c r="AS117" s="60"/>
      <c r="AT117" s="74" t="str">
        <f t="shared" si="20"/>
        <v>-</v>
      </c>
      <c r="AU117" s="74" t="str">
        <f t="shared" si="21"/>
        <v>-</v>
      </c>
      <c r="AV117" s="74" t="str">
        <f t="shared" si="22"/>
        <v>-</v>
      </c>
      <c r="AX117" s="59" t="str">
        <f>IF(AND(D117&gt;0,AA117&gt;0),MIN(D117,AA117),"-")</f>
        <v>-</v>
      </c>
      <c r="AY117" s="59" t="str">
        <f>IF(AND(E117&gt;0,AB117&gt;0),MIN(E117,AB117),"-")</f>
        <v>-</v>
      </c>
      <c r="AZ117" s="59" t="str">
        <f>IF(AND(F117&gt;0,AC117&gt;0),MIN(F117,AC117),"-")</f>
        <v>-</v>
      </c>
      <c r="BA117" s="59" t="str">
        <f>IF(AND(G117&gt;0,AD117&gt;0),MIN(G117,AD117),"-")</f>
        <v>-</v>
      </c>
      <c r="BB117" s="59" t="str">
        <f>IF(AND(H117&gt;0,AE117&gt;0),MIN(H117,AE117),"-")</f>
        <v>-</v>
      </c>
      <c r="BC117" s="59" t="str">
        <f>IF(AND(I117&gt;0,AF117&gt;0),MIN(I117,AF117),"-")</f>
        <v>-</v>
      </c>
      <c r="BD117" s="59" t="str">
        <f>IF(AND(J117&gt;0,AG117&gt;0),MIN(J117,AG117),"-")</f>
        <v>-</v>
      </c>
      <c r="BE117" s="59" t="str">
        <f>IF(AND(K117&gt;0,AH117&gt;0),MIN(K117,AH117),"-")</f>
        <v>-</v>
      </c>
      <c r="BF117" s="59" t="str">
        <f>IF(AND(L117&gt;0,AI117&gt;0),MIN(L117,AI117),"-")</f>
        <v>-</v>
      </c>
      <c r="BG117" s="59" t="str">
        <f t="shared" si="23"/>
        <v>-</v>
      </c>
      <c r="BH117" s="59" t="str">
        <f>IF(AND(N117&gt;0,AK117&gt;0),MIN(N117,AK117),"-")</f>
        <v>-</v>
      </c>
      <c r="BI117" s="59" t="str">
        <f>IF(AND(O117&gt;0,AL117&gt;0),MIN(O117,AL117),"-")</f>
        <v>-</v>
      </c>
      <c r="BJ117" s="59" t="str">
        <f>IF(AND(P117&gt;0,AM117&gt;0),MIN(P117,AM117),"-")</f>
        <v>-</v>
      </c>
      <c r="BK117" s="59" t="str">
        <f>IF(AND(Q117&gt;0,AN117&gt;0),MIN(Q117,AN117),"-")</f>
        <v>-</v>
      </c>
      <c r="BL117" s="59" t="str">
        <f>IF(AND(R117&gt;0,AO117&gt;0),MIN(R117,AO117),"-")</f>
        <v>-</v>
      </c>
      <c r="BM117" s="59" t="str">
        <f>IF(AND(S117&gt;0,AP117&gt;0),MIN(S117,AP117),"-")</f>
        <v>-</v>
      </c>
      <c r="BN117" s="59" t="str">
        <f>IF(AND(T117&gt;0,AQ117&gt;0),MIN(T117,AQ117),"-")</f>
        <v>-</v>
      </c>
      <c r="BO117" s="59" t="str">
        <f>IF(AND(U117&gt;0,AR117&gt;0),MIN(U117,AR117),"-")</f>
        <v>-</v>
      </c>
      <c r="BP117" s="59" t="str">
        <f>IF(AND(V117&gt;0,AS117&gt;0),MIN(V117,AS117),"-")</f>
        <v>-</v>
      </c>
      <c r="BQ117" s="59" t="str">
        <f t="shared" si="24"/>
        <v>-</v>
      </c>
      <c r="BR117" s="59" t="str">
        <f t="shared" si="25"/>
        <v>-</v>
      </c>
      <c r="BS117" s="59" t="str">
        <f t="shared" si="26"/>
        <v>-</v>
      </c>
      <c r="BT117" s="98" t="str">
        <f>IF(ISNUMBER(BS117),BS117-(C117*Rules!$P$9/100),"-")</f>
        <v>-</v>
      </c>
      <c r="BU117" s="59" t="e">
        <f>RANK($BT117,$BT$5:$BT$106,1)+COUNTIF(BT$5:BT117,BT117)-1</f>
        <v>#VALUE!</v>
      </c>
      <c r="BV117" s="59" t="e">
        <f t="shared" si="27"/>
        <v>#VALUE!</v>
      </c>
      <c r="BW117" s="59" t="str">
        <f t="shared" si="28"/>
        <v xml:space="preserve"> </v>
      </c>
      <c r="BX117" s="59">
        <f t="shared" si="28"/>
        <v>0</v>
      </c>
      <c r="BY117" s="59" t="str">
        <f t="shared" si="29"/>
        <v>-</v>
      </c>
      <c r="CD117" s="79"/>
      <c r="CE117" s="80"/>
      <c r="CF117" s="104"/>
      <c r="CL117" s="77">
        <v>1</v>
      </c>
    </row>
    <row r="118" spans="1:90" ht="17.45" customHeight="1">
      <c r="A118" s="58">
        <v>114</v>
      </c>
      <c r="B118" s="59" t="str">
        <f>'B Div'!A118 &amp; " " &amp; 'B Div'!B118</f>
        <v xml:space="preserve"> </v>
      </c>
      <c r="C118" s="59">
        <f>'B Div'!E118</f>
        <v>0</v>
      </c>
      <c r="D118" s="60"/>
      <c r="E118" s="60"/>
      <c r="F118" s="60"/>
      <c r="G118" s="60"/>
      <c r="H118" s="60"/>
      <c r="I118" s="60"/>
      <c r="J118" s="60"/>
      <c r="K118" s="60"/>
      <c r="L118" s="60"/>
      <c r="M118" s="74" t="str">
        <f t="shared" si="15"/>
        <v>-</v>
      </c>
      <c r="N118" s="60"/>
      <c r="O118" s="60"/>
      <c r="P118" s="60"/>
      <c r="Q118" s="60"/>
      <c r="R118" s="60"/>
      <c r="S118" s="60"/>
      <c r="T118" s="60"/>
      <c r="U118" s="60"/>
      <c r="V118" s="60"/>
      <c r="W118" s="74" t="str">
        <f t="shared" si="16"/>
        <v>-</v>
      </c>
      <c r="X118" s="74" t="str">
        <f t="shared" si="17"/>
        <v>-</v>
      </c>
      <c r="Y118" s="74" t="str">
        <f t="shared" si="18"/>
        <v>-</v>
      </c>
      <c r="AA118" s="60"/>
      <c r="AB118" s="60"/>
      <c r="AC118" s="60"/>
      <c r="AD118" s="60"/>
      <c r="AE118" s="60"/>
      <c r="AF118" s="60"/>
      <c r="AG118" s="60"/>
      <c r="AH118" s="60"/>
      <c r="AI118" s="60"/>
      <c r="AJ118" s="74" t="str">
        <f t="shared" si="19"/>
        <v>-</v>
      </c>
      <c r="AK118" s="60"/>
      <c r="AL118" s="60"/>
      <c r="AM118" s="60"/>
      <c r="AN118" s="60"/>
      <c r="AO118" s="60"/>
      <c r="AP118" s="60"/>
      <c r="AQ118" s="60"/>
      <c r="AR118" s="60"/>
      <c r="AS118" s="60"/>
      <c r="AT118" s="74" t="str">
        <f t="shared" si="20"/>
        <v>-</v>
      </c>
      <c r="AU118" s="74" t="str">
        <f t="shared" si="21"/>
        <v>-</v>
      </c>
      <c r="AV118" s="74" t="str">
        <f t="shared" si="22"/>
        <v>-</v>
      </c>
      <c r="AX118" s="59" t="str">
        <f>IF(AND(D118&gt;0,AA118&gt;0),MIN(D118,AA118),"-")</f>
        <v>-</v>
      </c>
      <c r="AY118" s="59" t="str">
        <f>IF(AND(E118&gt;0,AB118&gt;0),MIN(E118,AB118),"-")</f>
        <v>-</v>
      </c>
      <c r="AZ118" s="59" t="str">
        <f>IF(AND(F118&gt;0,AC118&gt;0),MIN(F118,AC118),"-")</f>
        <v>-</v>
      </c>
      <c r="BA118" s="59" t="str">
        <f>IF(AND(G118&gt;0,AD118&gt;0),MIN(G118,AD118),"-")</f>
        <v>-</v>
      </c>
      <c r="BB118" s="59" t="str">
        <f>IF(AND(H118&gt;0,AE118&gt;0),MIN(H118,AE118),"-")</f>
        <v>-</v>
      </c>
      <c r="BC118" s="59" t="str">
        <f>IF(AND(I118&gt;0,AF118&gt;0),MIN(I118,AF118),"-")</f>
        <v>-</v>
      </c>
      <c r="BD118" s="59" t="str">
        <f>IF(AND(J118&gt;0,AG118&gt;0),MIN(J118,AG118),"-")</f>
        <v>-</v>
      </c>
      <c r="BE118" s="59" t="str">
        <f>IF(AND(K118&gt;0,AH118&gt;0),MIN(K118,AH118),"-")</f>
        <v>-</v>
      </c>
      <c r="BF118" s="59" t="str">
        <f>IF(AND(L118&gt;0,AI118&gt;0),MIN(L118,AI118),"-")</f>
        <v>-</v>
      </c>
      <c r="BG118" s="59" t="str">
        <f t="shared" si="23"/>
        <v>-</v>
      </c>
      <c r="BH118" s="59" t="str">
        <f>IF(AND(N118&gt;0,AK118&gt;0),MIN(N118,AK118),"-")</f>
        <v>-</v>
      </c>
      <c r="BI118" s="59" t="str">
        <f>IF(AND(O118&gt;0,AL118&gt;0),MIN(O118,AL118),"-")</f>
        <v>-</v>
      </c>
      <c r="BJ118" s="59" t="str">
        <f>IF(AND(P118&gt;0,AM118&gt;0),MIN(P118,AM118),"-")</f>
        <v>-</v>
      </c>
      <c r="BK118" s="59" t="str">
        <f>IF(AND(Q118&gt;0,AN118&gt;0),MIN(Q118,AN118),"-")</f>
        <v>-</v>
      </c>
      <c r="BL118" s="59" t="str">
        <f>IF(AND(R118&gt;0,AO118&gt;0),MIN(R118,AO118),"-")</f>
        <v>-</v>
      </c>
      <c r="BM118" s="59" t="str">
        <f>IF(AND(S118&gt;0,AP118&gt;0),MIN(S118,AP118),"-")</f>
        <v>-</v>
      </c>
      <c r="BN118" s="59" t="str">
        <f>IF(AND(T118&gt;0,AQ118&gt;0),MIN(T118,AQ118),"-")</f>
        <v>-</v>
      </c>
      <c r="BO118" s="59" t="str">
        <f>IF(AND(U118&gt;0,AR118&gt;0),MIN(U118,AR118),"-")</f>
        <v>-</v>
      </c>
      <c r="BP118" s="59" t="str">
        <f>IF(AND(V118&gt;0,AS118&gt;0),MIN(V118,AS118),"-")</f>
        <v>-</v>
      </c>
      <c r="BQ118" s="59" t="str">
        <f t="shared" si="24"/>
        <v>-</v>
      </c>
      <c r="BR118" s="59" t="str">
        <f t="shared" si="25"/>
        <v>-</v>
      </c>
      <c r="BS118" s="59" t="str">
        <f t="shared" si="26"/>
        <v>-</v>
      </c>
      <c r="BT118" s="98" t="str">
        <f>IF(ISNUMBER(BS118),BS118-(C118*Rules!$P$9/100),"-")</f>
        <v>-</v>
      </c>
      <c r="BU118" s="59" t="e">
        <f>RANK($BT118,$BT$5:$BT$106,1)+COUNTIF(BT$5:BT118,BT118)-1</f>
        <v>#VALUE!</v>
      </c>
      <c r="BV118" s="59" t="e">
        <f t="shared" si="27"/>
        <v>#VALUE!</v>
      </c>
      <c r="BW118" s="59" t="str">
        <f t="shared" si="28"/>
        <v xml:space="preserve"> </v>
      </c>
      <c r="BX118" s="59">
        <f t="shared" si="28"/>
        <v>0</v>
      </c>
      <c r="BY118" s="59" t="str">
        <f t="shared" si="29"/>
        <v>-</v>
      </c>
      <c r="CD118" s="79"/>
      <c r="CE118" s="80"/>
      <c r="CF118" s="104"/>
      <c r="CL118" s="77">
        <v>1</v>
      </c>
    </row>
    <row r="119" spans="1:90" ht="17.45" customHeight="1">
      <c r="A119" s="58">
        <v>115</v>
      </c>
      <c r="B119" s="59" t="str">
        <f>'B Div'!A119 &amp; " " &amp; 'B Div'!B119</f>
        <v xml:space="preserve"> </v>
      </c>
      <c r="C119" s="59">
        <f>'B Div'!E119</f>
        <v>0</v>
      </c>
      <c r="D119" s="60"/>
      <c r="E119" s="60"/>
      <c r="F119" s="60"/>
      <c r="G119" s="60"/>
      <c r="H119" s="60"/>
      <c r="I119" s="60"/>
      <c r="J119" s="60"/>
      <c r="K119" s="60"/>
      <c r="L119" s="60"/>
      <c r="M119" s="74" t="str">
        <f t="shared" si="15"/>
        <v>-</v>
      </c>
      <c r="N119" s="60"/>
      <c r="O119" s="60"/>
      <c r="P119" s="60"/>
      <c r="Q119" s="60"/>
      <c r="R119" s="60"/>
      <c r="S119" s="60"/>
      <c r="T119" s="60"/>
      <c r="U119" s="60"/>
      <c r="V119" s="60"/>
      <c r="W119" s="74" t="str">
        <f t="shared" si="16"/>
        <v>-</v>
      </c>
      <c r="X119" s="74" t="str">
        <f t="shared" si="17"/>
        <v>-</v>
      </c>
      <c r="Y119" s="74" t="str">
        <f t="shared" si="18"/>
        <v>-</v>
      </c>
      <c r="AA119" s="60"/>
      <c r="AB119" s="60"/>
      <c r="AC119" s="60"/>
      <c r="AD119" s="60"/>
      <c r="AE119" s="60"/>
      <c r="AF119" s="60"/>
      <c r="AG119" s="60"/>
      <c r="AH119" s="60"/>
      <c r="AI119" s="60"/>
      <c r="AJ119" s="74" t="str">
        <f t="shared" si="19"/>
        <v>-</v>
      </c>
      <c r="AK119" s="60"/>
      <c r="AL119" s="60"/>
      <c r="AM119" s="60"/>
      <c r="AN119" s="60"/>
      <c r="AO119" s="60"/>
      <c r="AP119" s="60"/>
      <c r="AQ119" s="60"/>
      <c r="AR119" s="60"/>
      <c r="AS119" s="60"/>
      <c r="AT119" s="74" t="str">
        <f t="shared" si="20"/>
        <v>-</v>
      </c>
      <c r="AU119" s="74" t="str">
        <f t="shared" si="21"/>
        <v>-</v>
      </c>
      <c r="AV119" s="74" t="str">
        <f t="shared" si="22"/>
        <v>-</v>
      </c>
      <c r="AX119" s="59" t="str">
        <f>IF(AND(D119&gt;0,AA119&gt;0),MIN(D119,AA119),"-")</f>
        <v>-</v>
      </c>
      <c r="AY119" s="59" t="str">
        <f>IF(AND(E119&gt;0,AB119&gt;0),MIN(E119,AB119),"-")</f>
        <v>-</v>
      </c>
      <c r="AZ119" s="59" t="str">
        <f>IF(AND(F119&gt;0,AC119&gt;0),MIN(F119,AC119),"-")</f>
        <v>-</v>
      </c>
      <c r="BA119" s="59" t="str">
        <f>IF(AND(G119&gt;0,AD119&gt;0),MIN(G119,AD119),"-")</f>
        <v>-</v>
      </c>
      <c r="BB119" s="59" t="str">
        <f>IF(AND(H119&gt;0,AE119&gt;0),MIN(H119,AE119),"-")</f>
        <v>-</v>
      </c>
      <c r="BC119" s="59" t="str">
        <f>IF(AND(I119&gt;0,AF119&gt;0),MIN(I119,AF119),"-")</f>
        <v>-</v>
      </c>
      <c r="BD119" s="59" t="str">
        <f>IF(AND(J119&gt;0,AG119&gt;0),MIN(J119,AG119),"-")</f>
        <v>-</v>
      </c>
      <c r="BE119" s="59" t="str">
        <f>IF(AND(K119&gt;0,AH119&gt;0),MIN(K119,AH119),"-")</f>
        <v>-</v>
      </c>
      <c r="BF119" s="59" t="str">
        <f>IF(AND(L119&gt;0,AI119&gt;0),MIN(L119,AI119),"-")</f>
        <v>-</v>
      </c>
      <c r="BG119" s="59" t="str">
        <f t="shared" si="23"/>
        <v>-</v>
      </c>
      <c r="BH119" s="59" t="str">
        <f>IF(AND(N119&gt;0,AK119&gt;0),MIN(N119,AK119),"-")</f>
        <v>-</v>
      </c>
      <c r="BI119" s="59" t="str">
        <f>IF(AND(O119&gt;0,AL119&gt;0),MIN(O119,AL119),"-")</f>
        <v>-</v>
      </c>
      <c r="BJ119" s="59" t="str">
        <f>IF(AND(P119&gt;0,AM119&gt;0),MIN(P119,AM119),"-")</f>
        <v>-</v>
      </c>
      <c r="BK119" s="59" t="str">
        <f>IF(AND(Q119&gt;0,AN119&gt;0),MIN(Q119,AN119),"-")</f>
        <v>-</v>
      </c>
      <c r="BL119" s="59" t="str">
        <f>IF(AND(R119&gt;0,AO119&gt;0),MIN(R119,AO119),"-")</f>
        <v>-</v>
      </c>
      <c r="BM119" s="59" t="str">
        <f>IF(AND(S119&gt;0,AP119&gt;0),MIN(S119,AP119),"-")</f>
        <v>-</v>
      </c>
      <c r="BN119" s="59" t="str">
        <f>IF(AND(T119&gt;0,AQ119&gt;0),MIN(T119,AQ119),"-")</f>
        <v>-</v>
      </c>
      <c r="BO119" s="59" t="str">
        <f>IF(AND(U119&gt;0,AR119&gt;0),MIN(U119,AR119),"-")</f>
        <v>-</v>
      </c>
      <c r="BP119" s="59" t="str">
        <f>IF(AND(V119&gt;0,AS119&gt;0),MIN(V119,AS119),"-")</f>
        <v>-</v>
      </c>
      <c r="BQ119" s="59" t="str">
        <f t="shared" si="24"/>
        <v>-</v>
      </c>
      <c r="BR119" s="59" t="str">
        <f t="shared" si="25"/>
        <v>-</v>
      </c>
      <c r="BS119" s="59" t="str">
        <f t="shared" si="26"/>
        <v>-</v>
      </c>
      <c r="BT119" s="98" t="str">
        <f>IF(ISNUMBER(BS119),BS119-(C119*Rules!$P$9/100),"-")</f>
        <v>-</v>
      </c>
      <c r="BU119" s="59" t="e">
        <f>RANK($BT119,$BT$5:$BT$106,1)+COUNTIF(BT$5:BT119,BT119)-1</f>
        <v>#VALUE!</v>
      </c>
      <c r="BV119" s="59" t="e">
        <f t="shared" si="27"/>
        <v>#VALUE!</v>
      </c>
      <c r="BW119" s="59" t="str">
        <f t="shared" si="28"/>
        <v xml:space="preserve"> </v>
      </c>
      <c r="BX119" s="59">
        <f t="shared" si="28"/>
        <v>0</v>
      </c>
      <c r="BY119" s="59" t="str">
        <f t="shared" si="29"/>
        <v>-</v>
      </c>
      <c r="CD119" s="79"/>
      <c r="CE119" s="80"/>
      <c r="CF119" s="104"/>
      <c r="CL119" s="77">
        <v>1</v>
      </c>
    </row>
    <row r="120" spans="1:90" ht="17.45" customHeight="1">
      <c r="A120" s="58">
        <v>116</v>
      </c>
      <c r="B120" s="59" t="str">
        <f>'B Div'!A120 &amp; " " &amp; 'B Div'!B120</f>
        <v xml:space="preserve"> </v>
      </c>
      <c r="C120" s="59">
        <f>'B Div'!E120</f>
        <v>0</v>
      </c>
      <c r="D120" s="60"/>
      <c r="E120" s="60"/>
      <c r="F120" s="60"/>
      <c r="G120" s="60"/>
      <c r="H120" s="60"/>
      <c r="I120" s="60"/>
      <c r="J120" s="60"/>
      <c r="K120" s="60"/>
      <c r="L120" s="60"/>
      <c r="M120" s="74" t="str">
        <f t="shared" si="15"/>
        <v>-</v>
      </c>
      <c r="N120" s="60"/>
      <c r="O120" s="60"/>
      <c r="P120" s="60"/>
      <c r="Q120" s="60"/>
      <c r="R120" s="60"/>
      <c r="S120" s="60"/>
      <c r="T120" s="60"/>
      <c r="U120" s="60"/>
      <c r="V120" s="60"/>
      <c r="W120" s="74" t="str">
        <f t="shared" si="16"/>
        <v>-</v>
      </c>
      <c r="X120" s="74" t="str">
        <f t="shared" si="17"/>
        <v>-</v>
      </c>
      <c r="Y120" s="74" t="str">
        <f t="shared" si="18"/>
        <v>-</v>
      </c>
      <c r="AA120" s="60"/>
      <c r="AB120" s="60"/>
      <c r="AC120" s="60"/>
      <c r="AD120" s="60"/>
      <c r="AE120" s="60"/>
      <c r="AF120" s="60"/>
      <c r="AG120" s="60"/>
      <c r="AH120" s="60"/>
      <c r="AI120" s="60"/>
      <c r="AJ120" s="74" t="str">
        <f t="shared" si="19"/>
        <v>-</v>
      </c>
      <c r="AK120" s="60"/>
      <c r="AL120" s="60"/>
      <c r="AM120" s="60"/>
      <c r="AN120" s="60"/>
      <c r="AO120" s="60"/>
      <c r="AP120" s="60"/>
      <c r="AQ120" s="60"/>
      <c r="AR120" s="60"/>
      <c r="AS120" s="60"/>
      <c r="AT120" s="74" t="str">
        <f t="shared" si="20"/>
        <v>-</v>
      </c>
      <c r="AU120" s="74" t="str">
        <f t="shared" si="21"/>
        <v>-</v>
      </c>
      <c r="AV120" s="74" t="str">
        <f t="shared" si="22"/>
        <v>-</v>
      </c>
      <c r="AX120" s="59" t="str">
        <f>IF(AND(D120&gt;0,AA120&gt;0),MIN(D120,AA120),"-")</f>
        <v>-</v>
      </c>
      <c r="AY120" s="59" t="str">
        <f>IF(AND(E120&gt;0,AB120&gt;0),MIN(E120,AB120),"-")</f>
        <v>-</v>
      </c>
      <c r="AZ120" s="59" t="str">
        <f>IF(AND(F120&gt;0,AC120&gt;0),MIN(F120,AC120),"-")</f>
        <v>-</v>
      </c>
      <c r="BA120" s="59" t="str">
        <f>IF(AND(G120&gt;0,AD120&gt;0),MIN(G120,AD120),"-")</f>
        <v>-</v>
      </c>
      <c r="BB120" s="59" t="str">
        <f>IF(AND(H120&gt;0,AE120&gt;0),MIN(H120,AE120),"-")</f>
        <v>-</v>
      </c>
      <c r="BC120" s="59" t="str">
        <f>IF(AND(I120&gt;0,AF120&gt;0),MIN(I120,AF120),"-")</f>
        <v>-</v>
      </c>
      <c r="BD120" s="59" t="str">
        <f>IF(AND(J120&gt;0,AG120&gt;0),MIN(J120,AG120),"-")</f>
        <v>-</v>
      </c>
      <c r="BE120" s="59" t="str">
        <f>IF(AND(K120&gt;0,AH120&gt;0),MIN(K120,AH120),"-")</f>
        <v>-</v>
      </c>
      <c r="BF120" s="59" t="str">
        <f>IF(AND(L120&gt;0,AI120&gt;0),MIN(L120,AI120),"-")</f>
        <v>-</v>
      </c>
      <c r="BG120" s="59" t="str">
        <f t="shared" si="23"/>
        <v>-</v>
      </c>
      <c r="BH120" s="59" t="str">
        <f>IF(AND(N120&gt;0,AK120&gt;0),MIN(N120,AK120),"-")</f>
        <v>-</v>
      </c>
      <c r="BI120" s="59" t="str">
        <f>IF(AND(O120&gt;0,AL120&gt;0),MIN(O120,AL120),"-")</f>
        <v>-</v>
      </c>
      <c r="BJ120" s="59" t="str">
        <f>IF(AND(P120&gt;0,AM120&gt;0),MIN(P120,AM120),"-")</f>
        <v>-</v>
      </c>
      <c r="BK120" s="59" t="str">
        <f>IF(AND(Q120&gt;0,AN120&gt;0),MIN(Q120,AN120),"-")</f>
        <v>-</v>
      </c>
      <c r="BL120" s="59" t="str">
        <f>IF(AND(R120&gt;0,AO120&gt;0),MIN(R120,AO120),"-")</f>
        <v>-</v>
      </c>
      <c r="BM120" s="59" t="str">
        <f>IF(AND(S120&gt;0,AP120&gt;0),MIN(S120,AP120),"-")</f>
        <v>-</v>
      </c>
      <c r="BN120" s="59" t="str">
        <f>IF(AND(T120&gt;0,AQ120&gt;0),MIN(T120,AQ120),"-")</f>
        <v>-</v>
      </c>
      <c r="BO120" s="59" t="str">
        <f>IF(AND(U120&gt;0,AR120&gt;0),MIN(U120,AR120),"-")</f>
        <v>-</v>
      </c>
      <c r="BP120" s="59" t="str">
        <f>IF(AND(V120&gt;0,AS120&gt;0),MIN(V120,AS120),"-")</f>
        <v>-</v>
      </c>
      <c r="BQ120" s="59" t="str">
        <f t="shared" si="24"/>
        <v>-</v>
      </c>
      <c r="BR120" s="59" t="str">
        <f t="shared" si="25"/>
        <v>-</v>
      </c>
      <c r="BS120" s="59" t="str">
        <f t="shared" si="26"/>
        <v>-</v>
      </c>
      <c r="BT120" s="98" t="str">
        <f>IF(ISNUMBER(BS120),BS120-(C120*Rules!$P$9/100),"-")</f>
        <v>-</v>
      </c>
      <c r="BU120" s="59" t="e">
        <f>RANK($BT120,$BT$5:$BT$106,1)+COUNTIF(BT$5:BT120,BT120)-1</f>
        <v>#VALUE!</v>
      </c>
      <c r="BV120" s="59" t="e">
        <f t="shared" si="27"/>
        <v>#VALUE!</v>
      </c>
      <c r="BW120" s="59" t="str">
        <f t="shared" si="28"/>
        <v xml:space="preserve"> </v>
      </c>
      <c r="BX120" s="59">
        <f t="shared" si="28"/>
        <v>0</v>
      </c>
      <c r="BY120" s="59" t="str">
        <f t="shared" si="29"/>
        <v>-</v>
      </c>
      <c r="CD120" s="79"/>
      <c r="CE120" s="80"/>
      <c r="CF120" s="104"/>
      <c r="CL120" s="77">
        <v>1</v>
      </c>
    </row>
    <row r="121" spans="1:90" ht="17.45" customHeight="1">
      <c r="A121" s="58">
        <v>117</v>
      </c>
      <c r="B121" s="59" t="str">
        <f>'B Div'!A121 &amp; " " &amp; 'B Div'!B121</f>
        <v xml:space="preserve"> </v>
      </c>
      <c r="C121" s="59">
        <f>'B Div'!E121</f>
        <v>0</v>
      </c>
      <c r="D121" s="60"/>
      <c r="E121" s="60"/>
      <c r="F121" s="60"/>
      <c r="G121" s="60"/>
      <c r="H121" s="60"/>
      <c r="I121" s="60"/>
      <c r="J121" s="60"/>
      <c r="K121" s="60"/>
      <c r="L121" s="60"/>
      <c r="M121" s="74" t="str">
        <f t="shared" si="15"/>
        <v>-</v>
      </c>
      <c r="N121" s="60"/>
      <c r="O121" s="60"/>
      <c r="P121" s="60"/>
      <c r="Q121" s="60"/>
      <c r="R121" s="60"/>
      <c r="S121" s="60"/>
      <c r="T121" s="60"/>
      <c r="U121" s="60"/>
      <c r="V121" s="60"/>
      <c r="W121" s="74" t="str">
        <f t="shared" si="16"/>
        <v>-</v>
      </c>
      <c r="X121" s="74" t="str">
        <f t="shared" si="17"/>
        <v>-</v>
      </c>
      <c r="Y121" s="74" t="str">
        <f t="shared" si="18"/>
        <v>-</v>
      </c>
      <c r="AA121" s="60"/>
      <c r="AB121" s="60"/>
      <c r="AC121" s="60"/>
      <c r="AD121" s="60"/>
      <c r="AE121" s="60"/>
      <c r="AF121" s="60"/>
      <c r="AG121" s="60"/>
      <c r="AH121" s="60"/>
      <c r="AI121" s="60"/>
      <c r="AJ121" s="74" t="str">
        <f t="shared" si="19"/>
        <v>-</v>
      </c>
      <c r="AK121" s="60"/>
      <c r="AL121" s="60"/>
      <c r="AM121" s="60"/>
      <c r="AN121" s="60"/>
      <c r="AO121" s="60"/>
      <c r="AP121" s="60"/>
      <c r="AQ121" s="60"/>
      <c r="AR121" s="60"/>
      <c r="AS121" s="60"/>
      <c r="AT121" s="74" t="str">
        <f t="shared" si="20"/>
        <v>-</v>
      </c>
      <c r="AU121" s="74" t="str">
        <f t="shared" si="21"/>
        <v>-</v>
      </c>
      <c r="AV121" s="74" t="str">
        <f t="shared" si="22"/>
        <v>-</v>
      </c>
      <c r="AX121" s="59" t="str">
        <f>IF(AND(D121&gt;0,AA121&gt;0),MIN(D121,AA121),"-")</f>
        <v>-</v>
      </c>
      <c r="AY121" s="59" t="str">
        <f>IF(AND(E121&gt;0,AB121&gt;0),MIN(E121,AB121),"-")</f>
        <v>-</v>
      </c>
      <c r="AZ121" s="59" t="str">
        <f>IF(AND(F121&gt;0,AC121&gt;0),MIN(F121,AC121),"-")</f>
        <v>-</v>
      </c>
      <c r="BA121" s="59" t="str">
        <f>IF(AND(G121&gt;0,AD121&gt;0),MIN(G121,AD121),"-")</f>
        <v>-</v>
      </c>
      <c r="BB121" s="59" t="str">
        <f>IF(AND(H121&gt;0,AE121&gt;0),MIN(H121,AE121),"-")</f>
        <v>-</v>
      </c>
      <c r="BC121" s="59" t="str">
        <f>IF(AND(I121&gt;0,AF121&gt;0),MIN(I121,AF121),"-")</f>
        <v>-</v>
      </c>
      <c r="BD121" s="59" t="str">
        <f>IF(AND(J121&gt;0,AG121&gt;0),MIN(J121,AG121),"-")</f>
        <v>-</v>
      </c>
      <c r="BE121" s="59" t="str">
        <f>IF(AND(K121&gt;0,AH121&gt;0),MIN(K121,AH121),"-")</f>
        <v>-</v>
      </c>
      <c r="BF121" s="59" t="str">
        <f>IF(AND(L121&gt;0,AI121&gt;0),MIN(L121,AI121),"-")</f>
        <v>-</v>
      </c>
      <c r="BG121" s="59" t="str">
        <f t="shared" si="23"/>
        <v>-</v>
      </c>
      <c r="BH121" s="59" t="str">
        <f>IF(AND(N121&gt;0,AK121&gt;0),MIN(N121,AK121),"-")</f>
        <v>-</v>
      </c>
      <c r="BI121" s="59" t="str">
        <f>IF(AND(O121&gt;0,AL121&gt;0),MIN(O121,AL121),"-")</f>
        <v>-</v>
      </c>
      <c r="BJ121" s="59" t="str">
        <f>IF(AND(P121&gt;0,AM121&gt;0),MIN(P121,AM121),"-")</f>
        <v>-</v>
      </c>
      <c r="BK121" s="59" t="str">
        <f>IF(AND(Q121&gt;0,AN121&gt;0),MIN(Q121,AN121),"-")</f>
        <v>-</v>
      </c>
      <c r="BL121" s="59" t="str">
        <f>IF(AND(R121&gt;0,AO121&gt;0),MIN(R121,AO121),"-")</f>
        <v>-</v>
      </c>
      <c r="BM121" s="59" t="str">
        <f>IF(AND(S121&gt;0,AP121&gt;0),MIN(S121,AP121),"-")</f>
        <v>-</v>
      </c>
      <c r="BN121" s="59" t="str">
        <f>IF(AND(T121&gt;0,AQ121&gt;0),MIN(T121,AQ121),"-")</f>
        <v>-</v>
      </c>
      <c r="BO121" s="59" t="str">
        <f>IF(AND(U121&gt;0,AR121&gt;0),MIN(U121,AR121),"-")</f>
        <v>-</v>
      </c>
      <c r="BP121" s="59" t="str">
        <f>IF(AND(V121&gt;0,AS121&gt;0),MIN(V121,AS121),"-")</f>
        <v>-</v>
      </c>
      <c r="BQ121" s="59" t="str">
        <f t="shared" si="24"/>
        <v>-</v>
      </c>
      <c r="BR121" s="59" t="str">
        <f t="shared" si="25"/>
        <v>-</v>
      </c>
      <c r="BS121" s="59" t="str">
        <f t="shared" si="26"/>
        <v>-</v>
      </c>
      <c r="BT121" s="98" t="str">
        <f>IF(ISNUMBER(BS121),BS121-(C121*Rules!$P$9/100),"-")</f>
        <v>-</v>
      </c>
      <c r="BU121" s="59" t="e">
        <f>RANK($BT121,$BT$5:$BT$106,1)+COUNTIF(BT$5:BT121,BT121)-1</f>
        <v>#VALUE!</v>
      </c>
      <c r="BV121" s="59" t="e">
        <f t="shared" si="27"/>
        <v>#VALUE!</v>
      </c>
      <c r="BW121" s="59" t="str">
        <f t="shared" si="28"/>
        <v xml:space="preserve"> </v>
      </c>
      <c r="BX121" s="59">
        <f t="shared" si="28"/>
        <v>0</v>
      </c>
      <c r="BY121" s="59" t="str">
        <f t="shared" si="29"/>
        <v>-</v>
      </c>
      <c r="CD121" s="79"/>
      <c r="CE121" s="80"/>
      <c r="CF121" s="104"/>
      <c r="CL121" s="77">
        <v>1</v>
      </c>
    </row>
    <row r="122" spans="1:90" ht="17.45" customHeight="1">
      <c r="A122" s="58">
        <v>118</v>
      </c>
      <c r="B122" s="59" t="str">
        <f>'B Div'!A122 &amp; " " &amp; 'B Div'!B122</f>
        <v xml:space="preserve"> </v>
      </c>
      <c r="C122" s="59">
        <f>'B Div'!E122</f>
        <v>0</v>
      </c>
      <c r="D122" s="60"/>
      <c r="E122" s="60"/>
      <c r="F122" s="60"/>
      <c r="G122" s="60"/>
      <c r="H122" s="60"/>
      <c r="I122" s="60"/>
      <c r="J122" s="60"/>
      <c r="K122" s="60"/>
      <c r="L122" s="60"/>
      <c r="M122" s="74" t="str">
        <f t="shared" si="15"/>
        <v>-</v>
      </c>
      <c r="N122" s="60"/>
      <c r="O122" s="60"/>
      <c r="P122" s="60"/>
      <c r="Q122" s="60"/>
      <c r="R122" s="60"/>
      <c r="S122" s="60"/>
      <c r="T122" s="60"/>
      <c r="U122" s="60"/>
      <c r="V122" s="60"/>
      <c r="W122" s="74" t="str">
        <f t="shared" si="16"/>
        <v>-</v>
      </c>
      <c r="X122" s="74" t="str">
        <f t="shared" si="17"/>
        <v>-</v>
      </c>
      <c r="Y122" s="74" t="str">
        <f t="shared" si="18"/>
        <v>-</v>
      </c>
      <c r="AA122" s="60"/>
      <c r="AB122" s="60"/>
      <c r="AC122" s="60"/>
      <c r="AD122" s="60"/>
      <c r="AE122" s="60"/>
      <c r="AF122" s="60"/>
      <c r="AG122" s="60"/>
      <c r="AH122" s="60"/>
      <c r="AI122" s="60"/>
      <c r="AJ122" s="74" t="str">
        <f t="shared" si="19"/>
        <v>-</v>
      </c>
      <c r="AK122" s="60"/>
      <c r="AL122" s="60"/>
      <c r="AM122" s="60"/>
      <c r="AN122" s="60"/>
      <c r="AO122" s="60"/>
      <c r="AP122" s="60"/>
      <c r="AQ122" s="60"/>
      <c r="AR122" s="60"/>
      <c r="AS122" s="60"/>
      <c r="AT122" s="74" t="str">
        <f t="shared" si="20"/>
        <v>-</v>
      </c>
      <c r="AU122" s="74" t="str">
        <f t="shared" si="21"/>
        <v>-</v>
      </c>
      <c r="AV122" s="74" t="str">
        <f t="shared" si="22"/>
        <v>-</v>
      </c>
      <c r="AX122" s="59" t="str">
        <f>IF(AND(D122&gt;0,AA122&gt;0),MIN(D122,AA122),"-")</f>
        <v>-</v>
      </c>
      <c r="AY122" s="59" t="str">
        <f>IF(AND(E122&gt;0,AB122&gt;0),MIN(E122,AB122),"-")</f>
        <v>-</v>
      </c>
      <c r="AZ122" s="59" t="str">
        <f>IF(AND(F122&gt;0,AC122&gt;0),MIN(F122,AC122),"-")</f>
        <v>-</v>
      </c>
      <c r="BA122" s="59" t="str">
        <f>IF(AND(G122&gt;0,AD122&gt;0),MIN(G122,AD122),"-")</f>
        <v>-</v>
      </c>
      <c r="BB122" s="59" t="str">
        <f>IF(AND(H122&gt;0,AE122&gt;0),MIN(H122,AE122),"-")</f>
        <v>-</v>
      </c>
      <c r="BC122" s="59" t="str">
        <f>IF(AND(I122&gt;0,AF122&gt;0),MIN(I122,AF122),"-")</f>
        <v>-</v>
      </c>
      <c r="BD122" s="59" t="str">
        <f>IF(AND(J122&gt;0,AG122&gt;0),MIN(J122,AG122),"-")</f>
        <v>-</v>
      </c>
      <c r="BE122" s="59" t="str">
        <f>IF(AND(K122&gt;0,AH122&gt;0),MIN(K122,AH122),"-")</f>
        <v>-</v>
      </c>
      <c r="BF122" s="59" t="str">
        <f>IF(AND(L122&gt;0,AI122&gt;0),MIN(L122,AI122),"-")</f>
        <v>-</v>
      </c>
      <c r="BG122" s="59" t="str">
        <f t="shared" si="23"/>
        <v>-</v>
      </c>
      <c r="BH122" s="59" t="str">
        <f>IF(AND(N122&gt;0,AK122&gt;0),MIN(N122,AK122),"-")</f>
        <v>-</v>
      </c>
      <c r="BI122" s="59" t="str">
        <f>IF(AND(O122&gt;0,AL122&gt;0),MIN(O122,AL122),"-")</f>
        <v>-</v>
      </c>
      <c r="BJ122" s="59" t="str">
        <f>IF(AND(P122&gt;0,AM122&gt;0),MIN(P122,AM122),"-")</f>
        <v>-</v>
      </c>
      <c r="BK122" s="59" t="str">
        <f>IF(AND(Q122&gt;0,AN122&gt;0),MIN(Q122,AN122),"-")</f>
        <v>-</v>
      </c>
      <c r="BL122" s="59" t="str">
        <f>IF(AND(R122&gt;0,AO122&gt;0),MIN(R122,AO122),"-")</f>
        <v>-</v>
      </c>
      <c r="BM122" s="59" t="str">
        <f>IF(AND(S122&gt;0,AP122&gt;0),MIN(S122,AP122),"-")</f>
        <v>-</v>
      </c>
      <c r="BN122" s="59" t="str">
        <f>IF(AND(T122&gt;0,AQ122&gt;0),MIN(T122,AQ122),"-")</f>
        <v>-</v>
      </c>
      <c r="BO122" s="59" t="str">
        <f>IF(AND(U122&gt;0,AR122&gt;0),MIN(U122,AR122),"-")</f>
        <v>-</v>
      </c>
      <c r="BP122" s="59" t="str">
        <f>IF(AND(V122&gt;0,AS122&gt;0),MIN(V122,AS122),"-")</f>
        <v>-</v>
      </c>
      <c r="BQ122" s="59" t="str">
        <f t="shared" si="24"/>
        <v>-</v>
      </c>
      <c r="BR122" s="59" t="str">
        <f t="shared" si="25"/>
        <v>-</v>
      </c>
      <c r="BS122" s="59" t="str">
        <f t="shared" si="26"/>
        <v>-</v>
      </c>
      <c r="BT122" s="98" t="str">
        <f>IF(ISNUMBER(BS122),BS122-(C122*Rules!$P$9/100),"-")</f>
        <v>-</v>
      </c>
      <c r="BU122" s="59" t="e">
        <f>RANK($BT122,$BT$5:$BT$106,1)+COUNTIF(BT$5:BT122,BT122)-1</f>
        <v>#VALUE!</v>
      </c>
      <c r="BV122" s="59" t="e">
        <f t="shared" si="27"/>
        <v>#VALUE!</v>
      </c>
      <c r="BW122" s="59" t="str">
        <f t="shared" si="28"/>
        <v xml:space="preserve"> </v>
      </c>
      <c r="BX122" s="59">
        <f t="shared" si="28"/>
        <v>0</v>
      </c>
      <c r="BY122" s="59" t="str">
        <f t="shared" si="29"/>
        <v>-</v>
      </c>
      <c r="CD122" s="79"/>
      <c r="CE122" s="80"/>
      <c r="CF122" s="104"/>
      <c r="CL122" s="77">
        <v>1</v>
      </c>
    </row>
    <row r="123" spans="1:90" ht="17.45" customHeight="1">
      <c r="A123" s="58">
        <v>119</v>
      </c>
      <c r="B123" s="59" t="str">
        <f>'B Div'!A123 &amp; " " &amp; 'B Div'!B123</f>
        <v xml:space="preserve"> </v>
      </c>
      <c r="C123" s="59">
        <f>'B Div'!E123</f>
        <v>0</v>
      </c>
      <c r="D123" s="60"/>
      <c r="E123" s="60"/>
      <c r="F123" s="60"/>
      <c r="G123" s="60"/>
      <c r="H123" s="60"/>
      <c r="I123" s="60"/>
      <c r="J123" s="60"/>
      <c r="K123" s="60"/>
      <c r="L123" s="60"/>
      <c r="M123" s="74" t="str">
        <f t="shared" si="15"/>
        <v>-</v>
      </c>
      <c r="N123" s="60"/>
      <c r="O123" s="60"/>
      <c r="P123" s="60"/>
      <c r="Q123" s="60"/>
      <c r="R123" s="60"/>
      <c r="S123" s="60"/>
      <c r="T123" s="60"/>
      <c r="U123" s="60"/>
      <c r="V123" s="60"/>
      <c r="W123" s="74" t="str">
        <f t="shared" si="16"/>
        <v>-</v>
      </c>
      <c r="X123" s="74" t="str">
        <f t="shared" si="17"/>
        <v>-</v>
      </c>
      <c r="Y123" s="74" t="str">
        <f t="shared" si="18"/>
        <v>-</v>
      </c>
      <c r="AA123" s="60"/>
      <c r="AB123" s="60"/>
      <c r="AC123" s="60"/>
      <c r="AD123" s="60"/>
      <c r="AE123" s="60"/>
      <c r="AF123" s="60"/>
      <c r="AG123" s="60"/>
      <c r="AH123" s="60"/>
      <c r="AI123" s="60"/>
      <c r="AJ123" s="74" t="str">
        <f t="shared" si="19"/>
        <v>-</v>
      </c>
      <c r="AK123" s="60"/>
      <c r="AL123" s="60"/>
      <c r="AM123" s="60"/>
      <c r="AN123" s="60"/>
      <c r="AO123" s="60"/>
      <c r="AP123" s="60"/>
      <c r="AQ123" s="60"/>
      <c r="AR123" s="60"/>
      <c r="AS123" s="60"/>
      <c r="AT123" s="74" t="str">
        <f t="shared" si="20"/>
        <v>-</v>
      </c>
      <c r="AU123" s="74" t="str">
        <f t="shared" si="21"/>
        <v>-</v>
      </c>
      <c r="AV123" s="74" t="str">
        <f t="shared" si="22"/>
        <v>-</v>
      </c>
      <c r="AX123" s="59" t="str">
        <f>IF(AND(D123&gt;0,AA123&gt;0),MIN(D123,AA123),"-")</f>
        <v>-</v>
      </c>
      <c r="AY123" s="59" t="str">
        <f>IF(AND(E123&gt;0,AB123&gt;0),MIN(E123,AB123),"-")</f>
        <v>-</v>
      </c>
      <c r="AZ123" s="59" t="str">
        <f>IF(AND(F123&gt;0,AC123&gt;0),MIN(F123,AC123),"-")</f>
        <v>-</v>
      </c>
      <c r="BA123" s="59" t="str">
        <f>IF(AND(G123&gt;0,AD123&gt;0),MIN(G123,AD123),"-")</f>
        <v>-</v>
      </c>
      <c r="BB123" s="59" t="str">
        <f>IF(AND(H123&gt;0,AE123&gt;0),MIN(H123,AE123),"-")</f>
        <v>-</v>
      </c>
      <c r="BC123" s="59" t="str">
        <f>IF(AND(I123&gt;0,AF123&gt;0),MIN(I123,AF123),"-")</f>
        <v>-</v>
      </c>
      <c r="BD123" s="59" t="str">
        <f>IF(AND(J123&gt;0,AG123&gt;0),MIN(J123,AG123),"-")</f>
        <v>-</v>
      </c>
      <c r="BE123" s="59" t="str">
        <f>IF(AND(K123&gt;0,AH123&gt;0),MIN(K123,AH123),"-")</f>
        <v>-</v>
      </c>
      <c r="BF123" s="59" t="str">
        <f>IF(AND(L123&gt;0,AI123&gt;0),MIN(L123,AI123),"-")</f>
        <v>-</v>
      </c>
      <c r="BG123" s="59" t="str">
        <f t="shared" si="23"/>
        <v>-</v>
      </c>
      <c r="BH123" s="59" t="str">
        <f>IF(AND(N123&gt;0,AK123&gt;0),MIN(N123,AK123),"-")</f>
        <v>-</v>
      </c>
      <c r="BI123" s="59" t="str">
        <f>IF(AND(O123&gt;0,AL123&gt;0),MIN(O123,AL123),"-")</f>
        <v>-</v>
      </c>
      <c r="BJ123" s="59" t="str">
        <f>IF(AND(P123&gt;0,AM123&gt;0),MIN(P123,AM123),"-")</f>
        <v>-</v>
      </c>
      <c r="BK123" s="59" t="str">
        <f>IF(AND(Q123&gt;0,AN123&gt;0),MIN(Q123,AN123),"-")</f>
        <v>-</v>
      </c>
      <c r="BL123" s="59" t="str">
        <f>IF(AND(R123&gt;0,AO123&gt;0),MIN(R123,AO123),"-")</f>
        <v>-</v>
      </c>
      <c r="BM123" s="59" t="str">
        <f>IF(AND(S123&gt;0,AP123&gt;0),MIN(S123,AP123),"-")</f>
        <v>-</v>
      </c>
      <c r="BN123" s="59" t="str">
        <f>IF(AND(T123&gt;0,AQ123&gt;0),MIN(T123,AQ123),"-")</f>
        <v>-</v>
      </c>
      <c r="BO123" s="59" t="str">
        <f>IF(AND(U123&gt;0,AR123&gt;0),MIN(U123,AR123),"-")</f>
        <v>-</v>
      </c>
      <c r="BP123" s="59" t="str">
        <f>IF(AND(V123&gt;0,AS123&gt;0),MIN(V123,AS123),"-")</f>
        <v>-</v>
      </c>
      <c r="BQ123" s="59" t="str">
        <f t="shared" si="24"/>
        <v>-</v>
      </c>
      <c r="BR123" s="59" t="str">
        <f t="shared" si="25"/>
        <v>-</v>
      </c>
      <c r="BS123" s="59" t="str">
        <f t="shared" si="26"/>
        <v>-</v>
      </c>
      <c r="BT123" s="98" t="str">
        <f>IF(ISNUMBER(BS123),BS123-(C123*Rules!$P$9/100),"-")</f>
        <v>-</v>
      </c>
      <c r="BU123" s="59" t="e">
        <f>RANK($BT123,$BT$5:$BT$106,1)+COUNTIF(BT$5:BT123,BT123)-1</f>
        <v>#VALUE!</v>
      </c>
      <c r="BV123" s="59" t="e">
        <f t="shared" si="27"/>
        <v>#VALUE!</v>
      </c>
      <c r="BW123" s="59" t="str">
        <f t="shared" si="28"/>
        <v xml:space="preserve"> </v>
      </c>
      <c r="BX123" s="59">
        <f t="shared" si="28"/>
        <v>0</v>
      </c>
      <c r="BY123" s="59" t="str">
        <f t="shared" si="29"/>
        <v>-</v>
      </c>
      <c r="CD123" s="79"/>
      <c r="CE123" s="80"/>
      <c r="CF123" s="104"/>
      <c r="CL123" s="77">
        <v>1</v>
      </c>
    </row>
    <row r="124" spans="1:90" ht="17.45" customHeight="1">
      <c r="A124" s="58">
        <v>120</v>
      </c>
      <c r="B124" s="59" t="str">
        <f>'B Div'!A124 &amp; " " &amp; 'B Div'!B124</f>
        <v xml:space="preserve"> </v>
      </c>
      <c r="C124" s="59">
        <f>'B Div'!E124</f>
        <v>0</v>
      </c>
      <c r="D124" s="60"/>
      <c r="E124" s="60"/>
      <c r="F124" s="60"/>
      <c r="G124" s="60"/>
      <c r="H124" s="60"/>
      <c r="I124" s="60"/>
      <c r="J124" s="60"/>
      <c r="K124" s="60"/>
      <c r="L124" s="60"/>
      <c r="M124" s="74" t="str">
        <f t="shared" si="15"/>
        <v>-</v>
      </c>
      <c r="N124" s="60"/>
      <c r="O124" s="60"/>
      <c r="P124" s="60"/>
      <c r="Q124" s="60"/>
      <c r="R124" s="60"/>
      <c r="S124" s="60"/>
      <c r="T124" s="60"/>
      <c r="U124" s="60"/>
      <c r="V124" s="60"/>
      <c r="W124" s="74" t="str">
        <f t="shared" si="16"/>
        <v>-</v>
      </c>
      <c r="X124" s="74" t="str">
        <f t="shared" si="17"/>
        <v>-</v>
      </c>
      <c r="Y124" s="74" t="str">
        <f t="shared" si="18"/>
        <v>-</v>
      </c>
      <c r="AA124" s="60"/>
      <c r="AB124" s="60"/>
      <c r="AC124" s="60"/>
      <c r="AD124" s="60"/>
      <c r="AE124" s="60"/>
      <c r="AF124" s="60"/>
      <c r="AG124" s="60"/>
      <c r="AH124" s="60"/>
      <c r="AI124" s="60"/>
      <c r="AJ124" s="74" t="str">
        <f t="shared" si="19"/>
        <v>-</v>
      </c>
      <c r="AK124" s="60"/>
      <c r="AL124" s="60"/>
      <c r="AM124" s="60"/>
      <c r="AN124" s="60"/>
      <c r="AO124" s="60"/>
      <c r="AP124" s="60"/>
      <c r="AQ124" s="60"/>
      <c r="AR124" s="60"/>
      <c r="AS124" s="60"/>
      <c r="AT124" s="74" t="str">
        <f t="shared" si="20"/>
        <v>-</v>
      </c>
      <c r="AU124" s="74" t="str">
        <f t="shared" si="21"/>
        <v>-</v>
      </c>
      <c r="AV124" s="74" t="str">
        <f t="shared" si="22"/>
        <v>-</v>
      </c>
      <c r="AX124" s="59" t="str">
        <f>IF(AND(D124&gt;0,AA124&gt;0),MIN(D124,AA124),"-")</f>
        <v>-</v>
      </c>
      <c r="AY124" s="59" t="str">
        <f>IF(AND(E124&gt;0,AB124&gt;0),MIN(E124,AB124),"-")</f>
        <v>-</v>
      </c>
      <c r="AZ124" s="59" t="str">
        <f>IF(AND(F124&gt;0,AC124&gt;0),MIN(F124,AC124),"-")</f>
        <v>-</v>
      </c>
      <c r="BA124" s="59" t="str">
        <f>IF(AND(G124&gt;0,AD124&gt;0),MIN(G124,AD124),"-")</f>
        <v>-</v>
      </c>
      <c r="BB124" s="59" t="str">
        <f>IF(AND(H124&gt;0,AE124&gt;0),MIN(H124,AE124),"-")</f>
        <v>-</v>
      </c>
      <c r="BC124" s="59" t="str">
        <f>IF(AND(I124&gt;0,AF124&gt;0),MIN(I124,AF124),"-")</f>
        <v>-</v>
      </c>
      <c r="BD124" s="59" t="str">
        <f>IF(AND(J124&gt;0,AG124&gt;0),MIN(J124,AG124),"-")</f>
        <v>-</v>
      </c>
      <c r="BE124" s="59" t="str">
        <f>IF(AND(K124&gt;0,AH124&gt;0),MIN(K124,AH124),"-")</f>
        <v>-</v>
      </c>
      <c r="BF124" s="59" t="str">
        <f>IF(AND(L124&gt;0,AI124&gt;0),MIN(L124,AI124),"-")</f>
        <v>-</v>
      </c>
      <c r="BG124" s="59" t="str">
        <f t="shared" si="23"/>
        <v>-</v>
      </c>
      <c r="BH124" s="59" t="str">
        <f>IF(AND(N124&gt;0,AK124&gt;0),MIN(N124,AK124),"-")</f>
        <v>-</v>
      </c>
      <c r="BI124" s="59" t="str">
        <f>IF(AND(O124&gt;0,AL124&gt;0),MIN(O124,AL124),"-")</f>
        <v>-</v>
      </c>
      <c r="BJ124" s="59" t="str">
        <f>IF(AND(P124&gt;0,AM124&gt;0),MIN(P124,AM124),"-")</f>
        <v>-</v>
      </c>
      <c r="BK124" s="59" t="str">
        <f>IF(AND(Q124&gt;0,AN124&gt;0),MIN(Q124,AN124),"-")</f>
        <v>-</v>
      </c>
      <c r="BL124" s="59" t="str">
        <f>IF(AND(R124&gt;0,AO124&gt;0),MIN(R124,AO124),"-")</f>
        <v>-</v>
      </c>
      <c r="BM124" s="59" t="str">
        <f>IF(AND(S124&gt;0,AP124&gt;0),MIN(S124,AP124),"-")</f>
        <v>-</v>
      </c>
      <c r="BN124" s="59" t="str">
        <f>IF(AND(T124&gt;0,AQ124&gt;0),MIN(T124,AQ124),"-")</f>
        <v>-</v>
      </c>
      <c r="BO124" s="59" t="str">
        <f>IF(AND(U124&gt;0,AR124&gt;0),MIN(U124,AR124),"-")</f>
        <v>-</v>
      </c>
      <c r="BP124" s="59" t="str">
        <f>IF(AND(V124&gt;0,AS124&gt;0),MIN(V124,AS124),"-")</f>
        <v>-</v>
      </c>
      <c r="BQ124" s="59" t="str">
        <f t="shared" si="24"/>
        <v>-</v>
      </c>
      <c r="BR124" s="59" t="str">
        <f t="shared" si="25"/>
        <v>-</v>
      </c>
      <c r="BS124" s="59" t="str">
        <f t="shared" si="26"/>
        <v>-</v>
      </c>
      <c r="BT124" s="98" t="str">
        <f>IF(ISNUMBER(BS124),BS124-(C124*Rules!$P$9/100),"-")</f>
        <v>-</v>
      </c>
      <c r="BU124" s="59" t="e">
        <f>RANK($BT124,$BT$5:$BT$106,1)+COUNTIF(BT$5:BT124,BT124)-1</f>
        <v>#VALUE!</v>
      </c>
      <c r="BV124" s="59" t="e">
        <f t="shared" si="27"/>
        <v>#VALUE!</v>
      </c>
      <c r="BW124" s="59" t="str">
        <f t="shared" si="28"/>
        <v xml:space="preserve"> </v>
      </c>
      <c r="BX124" s="59">
        <f t="shared" si="28"/>
        <v>0</v>
      </c>
      <c r="BY124" s="59" t="str">
        <f t="shared" si="29"/>
        <v>-</v>
      </c>
      <c r="CD124" s="79"/>
      <c r="CE124" s="80"/>
      <c r="CF124" s="104"/>
      <c r="CL124" s="77">
        <v>1</v>
      </c>
    </row>
    <row r="125" spans="1:90" ht="17.45" customHeight="1">
      <c r="A125" s="58">
        <v>121</v>
      </c>
      <c r="B125" s="59" t="str">
        <f>'B Div'!A125 &amp; " " &amp; 'B Div'!B125</f>
        <v xml:space="preserve"> </v>
      </c>
      <c r="C125" s="59">
        <f>'B Div'!E125</f>
        <v>0</v>
      </c>
      <c r="D125" s="60"/>
      <c r="E125" s="60"/>
      <c r="F125" s="60"/>
      <c r="G125" s="60"/>
      <c r="H125" s="60"/>
      <c r="I125" s="60"/>
      <c r="J125" s="60"/>
      <c r="K125" s="60"/>
      <c r="L125" s="60"/>
      <c r="M125" s="74" t="str">
        <f t="shared" si="15"/>
        <v>-</v>
      </c>
      <c r="N125" s="60"/>
      <c r="O125" s="60"/>
      <c r="P125" s="60"/>
      <c r="Q125" s="60"/>
      <c r="R125" s="60"/>
      <c r="S125" s="60"/>
      <c r="T125" s="60"/>
      <c r="U125" s="60"/>
      <c r="V125" s="60"/>
      <c r="W125" s="74" t="str">
        <f t="shared" si="16"/>
        <v>-</v>
      </c>
      <c r="X125" s="74" t="str">
        <f t="shared" si="17"/>
        <v>-</v>
      </c>
      <c r="Y125" s="74" t="str">
        <f t="shared" si="18"/>
        <v>-</v>
      </c>
      <c r="AA125" s="60"/>
      <c r="AB125" s="60"/>
      <c r="AC125" s="60"/>
      <c r="AD125" s="60"/>
      <c r="AE125" s="60"/>
      <c r="AF125" s="60"/>
      <c r="AG125" s="60"/>
      <c r="AH125" s="60"/>
      <c r="AI125" s="60"/>
      <c r="AJ125" s="74" t="str">
        <f t="shared" si="19"/>
        <v>-</v>
      </c>
      <c r="AK125" s="60"/>
      <c r="AL125" s="60"/>
      <c r="AM125" s="60"/>
      <c r="AN125" s="60"/>
      <c r="AO125" s="60"/>
      <c r="AP125" s="60"/>
      <c r="AQ125" s="60"/>
      <c r="AR125" s="60"/>
      <c r="AS125" s="60"/>
      <c r="AT125" s="74" t="str">
        <f t="shared" si="20"/>
        <v>-</v>
      </c>
      <c r="AU125" s="74" t="str">
        <f t="shared" si="21"/>
        <v>-</v>
      </c>
      <c r="AV125" s="74" t="str">
        <f t="shared" si="22"/>
        <v>-</v>
      </c>
      <c r="AX125" s="59" t="str">
        <f>IF(AND(D125&gt;0,AA125&gt;0),MIN(D125,AA125),"-")</f>
        <v>-</v>
      </c>
      <c r="AY125" s="59" t="str">
        <f>IF(AND(E125&gt;0,AB125&gt;0),MIN(E125,AB125),"-")</f>
        <v>-</v>
      </c>
      <c r="AZ125" s="59" t="str">
        <f>IF(AND(F125&gt;0,AC125&gt;0),MIN(F125,AC125),"-")</f>
        <v>-</v>
      </c>
      <c r="BA125" s="59" t="str">
        <f>IF(AND(G125&gt;0,AD125&gt;0),MIN(G125,AD125),"-")</f>
        <v>-</v>
      </c>
      <c r="BB125" s="59" t="str">
        <f>IF(AND(H125&gt;0,AE125&gt;0),MIN(H125,AE125),"-")</f>
        <v>-</v>
      </c>
      <c r="BC125" s="59" t="str">
        <f>IF(AND(I125&gt;0,AF125&gt;0),MIN(I125,AF125),"-")</f>
        <v>-</v>
      </c>
      <c r="BD125" s="59" t="str">
        <f>IF(AND(J125&gt;0,AG125&gt;0),MIN(J125,AG125),"-")</f>
        <v>-</v>
      </c>
      <c r="BE125" s="59" t="str">
        <f>IF(AND(K125&gt;0,AH125&gt;0),MIN(K125,AH125),"-")</f>
        <v>-</v>
      </c>
      <c r="BF125" s="59" t="str">
        <f>IF(AND(L125&gt;0,AI125&gt;0),MIN(L125,AI125),"-")</f>
        <v>-</v>
      </c>
      <c r="BG125" s="59" t="str">
        <f t="shared" si="23"/>
        <v>-</v>
      </c>
      <c r="BH125" s="59" t="str">
        <f>IF(AND(N125&gt;0,AK125&gt;0),MIN(N125,AK125),"-")</f>
        <v>-</v>
      </c>
      <c r="BI125" s="59" t="str">
        <f>IF(AND(O125&gt;0,AL125&gt;0),MIN(O125,AL125),"-")</f>
        <v>-</v>
      </c>
      <c r="BJ125" s="59" t="str">
        <f>IF(AND(P125&gt;0,AM125&gt;0),MIN(P125,AM125),"-")</f>
        <v>-</v>
      </c>
      <c r="BK125" s="59" t="str">
        <f>IF(AND(Q125&gt;0,AN125&gt;0),MIN(Q125,AN125),"-")</f>
        <v>-</v>
      </c>
      <c r="BL125" s="59" t="str">
        <f>IF(AND(R125&gt;0,AO125&gt;0),MIN(R125,AO125),"-")</f>
        <v>-</v>
      </c>
      <c r="BM125" s="59" t="str">
        <f>IF(AND(S125&gt;0,AP125&gt;0),MIN(S125,AP125),"-")</f>
        <v>-</v>
      </c>
      <c r="BN125" s="59" t="str">
        <f>IF(AND(T125&gt;0,AQ125&gt;0),MIN(T125,AQ125),"-")</f>
        <v>-</v>
      </c>
      <c r="BO125" s="59" t="str">
        <f>IF(AND(U125&gt;0,AR125&gt;0),MIN(U125,AR125),"-")</f>
        <v>-</v>
      </c>
      <c r="BP125" s="59" t="str">
        <f>IF(AND(V125&gt;0,AS125&gt;0),MIN(V125,AS125),"-")</f>
        <v>-</v>
      </c>
      <c r="BQ125" s="59" t="str">
        <f t="shared" si="24"/>
        <v>-</v>
      </c>
      <c r="BR125" s="59" t="str">
        <f t="shared" si="25"/>
        <v>-</v>
      </c>
      <c r="BS125" s="59" t="str">
        <f t="shared" si="26"/>
        <v>-</v>
      </c>
      <c r="BT125" s="98" t="str">
        <f>IF(ISNUMBER(BS125),BS125-(C125*Rules!$P$9/100),"-")</f>
        <v>-</v>
      </c>
      <c r="BU125" s="59" t="e">
        <f>RANK($BT125,$BT$5:$BT$106,1)+COUNTIF(BT$5:BT125,BT125)-1</f>
        <v>#VALUE!</v>
      </c>
      <c r="BV125" s="59" t="e">
        <f t="shared" si="27"/>
        <v>#VALUE!</v>
      </c>
      <c r="BW125" s="59" t="str">
        <f t="shared" si="28"/>
        <v xml:space="preserve"> </v>
      </c>
      <c r="BX125" s="59">
        <f t="shared" si="28"/>
        <v>0</v>
      </c>
      <c r="BY125" s="59" t="str">
        <f t="shared" si="29"/>
        <v>-</v>
      </c>
      <c r="CD125" s="79"/>
      <c r="CE125" s="80"/>
      <c r="CF125" s="104"/>
      <c r="CL125" s="77">
        <v>1</v>
      </c>
    </row>
    <row r="126" spans="1:90" ht="17.45" customHeight="1">
      <c r="A126" s="58">
        <v>122</v>
      </c>
      <c r="B126" s="59" t="str">
        <f>'B Div'!A126 &amp; " " &amp; 'B Div'!B126</f>
        <v xml:space="preserve"> </v>
      </c>
      <c r="C126" s="59">
        <f>'B Div'!E126</f>
        <v>0</v>
      </c>
      <c r="D126" s="60"/>
      <c r="E126" s="60"/>
      <c r="F126" s="60"/>
      <c r="G126" s="60"/>
      <c r="H126" s="60"/>
      <c r="I126" s="60"/>
      <c r="J126" s="60"/>
      <c r="K126" s="60"/>
      <c r="L126" s="60"/>
      <c r="M126" s="74" t="str">
        <f t="shared" si="15"/>
        <v>-</v>
      </c>
      <c r="N126" s="60"/>
      <c r="O126" s="60"/>
      <c r="P126" s="60"/>
      <c r="Q126" s="60"/>
      <c r="R126" s="60"/>
      <c r="S126" s="60"/>
      <c r="T126" s="60"/>
      <c r="U126" s="60"/>
      <c r="V126" s="60"/>
      <c r="W126" s="74" t="str">
        <f t="shared" si="16"/>
        <v>-</v>
      </c>
      <c r="X126" s="74" t="str">
        <f t="shared" si="17"/>
        <v>-</v>
      </c>
      <c r="Y126" s="74" t="str">
        <f t="shared" si="18"/>
        <v>-</v>
      </c>
      <c r="AA126" s="60"/>
      <c r="AB126" s="60"/>
      <c r="AC126" s="60"/>
      <c r="AD126" s="60"/>
      <c r="AE126" s="60"/>
      <c r="AF126" s="60"/>
      <c r="AG126" s="60"/>
      <c r="AH126" s="60"/>
      <c r="AI126" s="60"/>
      <c r="AJ126" s="74" t="str">
        <f t="shared" si="19"/>
        <v>-</v>
      </c>
      <c r="AK126" s="60"/>
      <c r="AL126" s="60"/>
      <c r="AM126" s="60"/>
      <c r="AN126" s="60"/>
      <c r="AO126" s="60"/>
      <c r="AP126" s="60"/>
      <c r="AQ126" s="60"/>
      <c r="AR126" s="60"/>
      <c r="AS126" s="60"/>
      <c r="AT126" s="74" t="str">
        <f t="shared" si="20"/>
        <v>-</v>
      </c>
      <c r="AU126" s="74" t="str">
        <f t="shared" si="21"/>
        <v>-</v>
      </c>
      <c r="AV126" s="74" t="str">
        <f t="shared" si="22"/>
        <v>-</v>
      </c>
      <c r="AX126" s="59" t="str">
        <f>IF(AND(D126&gt;0,AA126&gt;0),MIN(D126,AA126),"-")</f>
        <v>-</v>
      </c>
      <c r="AY126" s="59" t="str">
        <f>IF(AND(E126&gt;0,AB126&gt;0),MIN(E126,AB126),"-")</f>
        <v>-</v>
      </c>
      <c r="AZ126" s="59" t="str">
        <f>IF(AND(F126&gt;0,AC126&gt;0),MIN(F126,AC126),"-")</f>
        <v>-</v>
      </c>
      <c r="BA126" s="59" t="str">
        <f>IF(AND(G126&gt;0,AD126&gt;0),MIN(G126,AD126),"-")</f>
        <v>-</v>
      </c>
      <c r="BB126" s="59" t="str">
        <f>IF(AND(H126&gt;0,AE126&gt;0),MIN(H126,AE126),"-")</f>
        <v>-</v>
      </c>
      <c r="BC126" s="59" t="str">
        <f>IF(AND(I126&gt;0,AF126&gt;0),MIN(I126,AF126),"-")</f>
        <v>-</v>
      </c>
      <c r="BD126" s="59" t="str">
        <f>IF(AND(J126&gt;0,AG126&gt;0),MIN(J126,AG126),"-")</f>
        <v>-</v>
      </c>
      <c r="BE126" s="59" t="str">
        <f>IF(AND(K126&gt;0,AH126&gt;0),MIN(K126,AH126),"-")</f>
        <v>-</v>
      </c>
      <c r="BF126" s="59" t="str">
        <f>IF(AND(L126&gt;0,AI126&gt;0),MIN(L126,AI126),"-")</f>
        <v>-</v>
      </c>
      <c r="BG126" s="59" t="str">
        <f t="shared" si="23"/>
        <v>-</v>
      </c>
      <c r="BH126" s="59" t="str">
        <f>IF(AND(N126&gt;0,AK126&gt;0),MIN(N126,AK126),"-")</f>
        <v>-</v>
      </c>
      <c r="BI126" s="59" t="str">
        <f>IF(AND(O126&gt;0,AL126&gt;0),MIN(O126,AL126),"-")</f>
        <v>-</v>
      </c>
      <c r="BJ126" s="59" t="str">
        <f>IF(AND(P126&gt;0,AM126&gt;0),MIN(P126,AM126),"-")</f>
        <v>-</v>
      </c>
      <c r="BK126" s="59" t="str">
        <f>IF(AND(Q126&gt;0,AN126&gt;0),MIN(Q126,AN126),"-")</f>
        <v>-</v>
      </c>
      <c r="BL126" s="59" t="str">
        <f>IF(AND(R126&gt;0,AO126&gt;0),MIN(R126,AO126),"-")</f>
        <v>-</v>
      </c>
      <c r="BM126" s="59" t="str">
        <f>IF(AND(S126&gt;0,AP126&gt;0),MIN(S126,AP126),"-")</f>
        <v>-</v>
      </c>
      <c r="BN126" s="59" t="str">
        <f>IF(AND(T126&gt;0,AQ126&gt;0),MIN(T126,AQ126),"-")</f>
        <v>-</v>
      </c>
      <c r="BO126" s="59" t="str">
        <f>IF(AND(U126&gt;0,AR126&gt;0),MIN(U126,AR126),"-")</f>
        <v>-</v>
      </c>
      <c r="BP126" s="59" t="str">
        <f>IF(AND(V126&gt;0,AS126&gt;0),MIN(V126,AS126),"-")</f>
        <v>-</v>
      </c>
      <c r="BQ126" s="59" t="str">
        <f t="shared" si="24"/>
        <v>-</v>
      </c>
      <c r="BR126" s="59" t="str">
        <f t="shared" si="25"/>
        <v>-</v>
      </c>
      <c r="BS126" s="59" t="str">
        <f t="shared" si="26"/>
        <v>-</v>
      </c>
      <c r="BT126" s="98" t="str">
        <f>IF(ISNUMBER(BS126),BS126-(C126*Rules!$P$9/100),"-")</f>
        <v>-</v>
      </c>
      <c r="BU126" s="59" t="e">
        <f>RANK($BT126,$BT$5:$BT$106,1)+COUNTIF(BT$5:BT126,BT126)-1</f>
        <v>#VALUE!</v>
      </c>
      <c r="BV126" s="59" t="e">
        <f t="shared" si="27"/>
        <v>#VALUE!</v>
      </c>
      <c r="BW126" s="59" t="str">
        <f t="shared" si="28"/>
        <v xml:space="preserve"> </v>
      </c>
      <c r="BX126" s="59">
        <f t="shared" si="28"/>
        <v>0</v>
      </c>
      <c r="BY126" s="59" t="str">
        <f t="shared" si="29"/>
        <v>-</v>
      </c>
      <c r="CD126" s="79"/>
      <c r="CE126" s="80"/>
      <c r="CF126" s="104"/>
      <c r="CL126" s="77">
        <v>1</v>
      </c>
    </row>
    <row r="127" spans="1:90" ht="17.45" customHeight="1">
      <c r="A127" s="58">
        <v>123</v>
      </c>
      <c r="B127" s="59" t="str">
        <f>'B Div'!A127 &amp; " " &amp; 'B Div'!B127</f>
        <v xml:space="preserve"> </v>
      </c>
      <c r="C127" s="59">
        <f>'B Div'!E127</f>
        <v>0</v>
      </c>
      <c r="D127" s="60"/>
      <c r="E127" s="60"/>
      <c r="F127" s="60"/>
      <c r="G127" s="60"/>
      <c r="H127" s="60"/>
      <c r="I127" s="60"/>
      <c r="J127" s="60"/>
      <c r="K127" s="60"/>
      <c r="L127" s="60"/>
      <c r="M127" s="74" t="str">
        <f t="shared" si="15"/>
        <v>-</v>
      </c>
      <c r="N127" s="60"/>
      <c r="O127" s="60"/>
      <c r="P127" s="60"/>
      <c r="Q127" s="60"/>
      <c r="R127" s="60"/>
      <c r="S127" s="60"/>
      <c r="T127" s="60"/>
      <c r="U127" s="60"/>
      <c r="V127" s="60"/>
      <c r="W127" s="74" t="str">
        <f t="shared" si="16"/>
        <v>-</v>
      </c>
      <c r="X127" s="74" t="str">
        <f t="shared" si="17"/>
        <v>-</v>
      </c>
      <c r="Y127" s="74" t="str">
        <f t="shared" si="18"/>
        <v>-</v>
      </c>
      <c r="AA127" s="60"/>
      <c r="AB127" s="60"/>
      <c r="AC127" s="60"/>
      <c r="AD127" s="60"/>
      <c r="AE127" s="60"/>
      <c r="AF127" s="60"/>
      <c r="AG127" s="60"/>
      <c r="AH127" s="60"/>
      <c r="AI127" s="60"/>
      <c r="AJ127" s="74" t="str">
        <f t="shared" si="19"/>
        <v>-</v>
      </c>
      <c r="AK127" s="60"/>
      <c r="AL127" s="60"/>
      <c r="AM127" s="60"/>
      <c r="AN127" s="60"/>
      <c r="AO127" s="60"/>
      <c r="AP127" s="60"/>
      <c r="AQ127" s="60"/>
      <c r="AR127" s="60"/>
      <c r="AS127" s="60"/>
      <c r="AT127" s="74" t="str">
        <f t="shared" si="20"/>
        <v>-</v>
      </c>
      <c r="AU127" s="74" t="str">
        <f t="shared" si="21"/>
        <v>-</v>
      </c>
      <c r="AV127" s="74" t="str">
        <f t="shared" si="22"/>
        <v>-</v>
      </c>
      <c r="AX127" s="59" t="str">
        <f>IF(AND(D127&gt;0,AA127&gt;0),MIN(D127,AA127),"-")</f>
        <v>-</v>
      </c>
      <c r="AY127" s="59" t="str">
        <f>IF(AND(E127&gt;0,AB127&gt;0),MIN(E127,AB127),"-")</f>
        <v>-</v>
      </c>
      <c r="AZ127" s="59" t="str">
        <f>IF(AND(F127&gt;0,AC127&gt;0),MIN(F127,AC127),"-")</f>
        <v>-</v>
      </c>
      <c r="BA127" s="59" t="str">
        <f>IF(AND(G127&gt;0,AD127&gt;0),MIN(G127,AD127),"-")</f>
        <v>-</v>
      </c>
      <c r="BB127" s="59" t="str">
        <f>IF(AND(H127&gt;0,AE127&gt;0),MIN(H127,AE127),"-")</f>
        <v>-</v>
      </c>
      <c r="BC127" s="59" t="str">
        <f>IF(AND(I127&gt;0,AF127&gt;0),MIN(I127,AF127),"-")</f>
        <v>-</v>
      </c>
      <c r="BD127" s="59" t="str">
        <f>IF(AND(J127&gt;0,AG127&gt;0),MIN(J127,AG127),"-")</f>
        <v>-</v>
      </c>
      <c r="BE127" s="59" t="str">
        <f>IF(AND(K127&gt;0,AH127&gt;0),MIN(K127,AH127),"-")</f>
        <v>-</v>
      </c>
      <c r="BF127" s="59" t="str">
        <f>IF(AND(L127&gt;0,AI127&gt;0),MIN(L127,AI127),"-")</f>
        <v>-</v>
      </c>
      <c r="BG127" s="59" t="str">
        <f t="shared" si="23"/>
        <v>-</v>
      </c>
      <c r="BH127" s="59" t="str">
        <f>IF(AND(N127&gt;0,AK127&gt;0),MIN(N127,AK127),"-")</f>
        <v>-</v>
      </c>
      <c r="BI127" s="59" t="str">
        <f>IF(AND(O127&gt;0,AL127&gt;0),MIN(O127,AL127),"-")</f>
        <v>-</v>
      </c>
      <c r="BJ127" s="59" t="str">
        <f>IF(AND(P127&gt;0,AM127&gt;0),MIN(P127,AM127),"-")</f>
        <v>-</v>
      </c>
      <c r="BK127" s="59" t="str">
        <f>IF(AND(Q127&gt;0,AN127&gt;0),MIN(Q127,AN127),"-")</f>
        <v>-</v>
      </c>
      <c r="BL127" s="59" t="str">
        <f>IF(AND(R127&gt;0,AO127&gt;0),MIN(R127,AO127),"-")</f>
        <v>-</v>
      </c>
      <c r="BM127" s="59" t="str">
        <f>IF(AND(S127&gt;0,AP127&gt;0),MIN(S127,AP127),"-")</f>
        <v>-</v>
      </c>
      <c r="BN127" s="59" t="str">
        <f>IF(AND(T127&gt;0,AQ127&gt;0),MIN(T127,AQ127),"-")</f>
        <v>-</v>
      </c>
      <c r="BO127" s="59" t="str">
        <f>IF(AND(U127&gt;0,AR127&gt;0),MIN(U127,AR127),"-")</f>
        <v>-</v>
      </c>
      <c r="BP127" s="59" t="str">
        <f>IF(AND(V127&gt;0,AS127&gt;0),MIN(V127,AS127),"-")</f>
        <v>-</v>
      </c>
      <c r="BQ127" s="59" t="str">
        <f t="shared" si="24"/>
        <v>-</v>
      </c>
      <c r="BR127" s="59" t="str">
        <f t="shared" si="25"/>
        <v>-</v>
      </c>
      <c r="BS127" s="59" t="str">
        <f t="shared" si="26"/>
        <v>-</v>
      </c>
      <c r="BT127" s="98" t="str">
        <f>IF(ISNUMBER(BS127),BS127-(C127*Rules!$P$9/100),"-")</f>
        <v>-</v>
      </c>
      <c r="BU127" s="59" t="e">
        <f>RANK($BT127,$BT$5:$BT$106,1)+COUNTIF(BT$5:BT127,BT127)-1</f>
        <v>#VALUE!</v>
      </c>
      <c r="BV127" s="59" t="e">
        <f t="shared" si="27"/>
        <v>#VALUE!</v>
      </c>
      <c r="BW127" s="59" t="str">
        <f t="shared" si="28"/>
        <v xml:space="preserve"> </v>
      </c>
      <c r="BX127" s="59">
        <f t="shared" si="28"/>
        <v>0</v>
      </c>
      <c r="BY127" s="59" t="str">
        <f t="shared" si="29"/>
        <v>-</v>
      </c>
      <c r="CD127" s="79"/>
      <c r="CE127" s="80"/>
      <c r="CF127" s="104"/>
      <c r="CL127" s="77">
        <v>1</v>
      </c>
    </row>
    <row r="128" spans="1:90" ht="17.45" customHeight="1">
      <c r="A128" s="58">
        <v>124</v>
      </c>
      <c r="B128" s="59" t="str">
        <f>'B Div'!A128 &amp; " " &amp; 'B Div'!B128</f>
        <v xml:space="preserve"> </v>
      </c>
      <c r="C128" s="59">
        <f>'B Div'!E128</f>
        <v>0</v>
      </c>
      <c r="D128" s="60"/>
      <c r="E128" s="60"/>
      <c r="F128" s="60"/>
      <c r="G128" s="60"/>
      <c r="H128" s="60"/>
      <c r="I128" s="60"/>
      <c r="J128" s="60"/>
      <c r="K128" s="60"/>
      <c r="L128" s="60"/>
      <c r="M128" s="74" t="str">
        <f t="shared" si="15"/>
        <v>-</v>
      </c>
      <c r="N128" s="60"/>
      <c r="O128" s="60"/>
      <c r="P128" s="60"/>
      <c r="Q128" s="60"/>
      <c r="R128" s="60"/>
      <c r="S128" s="60"/>
      <c r="T128" s="60"/>
      <c r="U128" s="60"/>
      <c r="V128" s="60"/>
      <c r="W128" s="74" t="str">
        <f t="shared" si="16"/>
        <v>-</v>
      </c>
      <c r="X128" s="74" t="str">
        <f t="shared" si="17"/>
        <v>-</v>
      </c>
      <c r="Y128" s="74" t="str">
        <f t="shared" si="18"/>
        <v>-</v>
      </c>
      <c r="AA128" s="60"/>
      <c r="AB128" s="60"/>
      <c r="AC128" s="60"/>
      <c r="AD128" s="60"/>
      <c r="AE128" s="60"/>
      <c r="AF128" s="60"/>
      <c r="AG128" s="60"/>
      <c r="AH128" s="60"/>
      <c r="AI128" s="60"/>
      <c r="AJ128" s="74" t="str">
        <f t="shared" si="19"/>
        <v>-</v>
      </c>
      <c r="AK128" s="60"/>
      <c r="AL128" s="60"/>
      <c r="AM128" s="60"/>
      <c r="AN128" s="60"/>
      <c r="AO128" s="60"/>
      <c r="AP128" s="60"/>
      <c r="AQ128" s="60"/>
      <c r="AR128" s="60"/>
      <c r="AS128" s="60"/>
      <c r="AT128" s="74" t="str">
        <f t="shared" si="20"/>
        <v>-</v>
      </c>
      <c r="AU128" s="74" t="str">
        <f t="shared" si="21"/>
        <v>-</v>
      </c>
      <c r="AV128" s="74" t="str">
        <f t="shared" si="22"/>
        <v>-</v>
      </c>
      <c r="AX128" s="59" t="str">
        <f>IF(AND(D128&gt;0,AA128&gt;0),MIN(D128,AA128),"-")</f>
        <v>-</v>
      </c>
      <c r="AY128" s="59" t="str">
        <f>IF(AND(E128&gt;0,AB128&gt;0),MIN(E128,AB128),"-")</f>
        <v>-</v>
      </c>
      <c r="AZ128" s="59" t="str">
        <f>IF(AND(F128&gt;0,AC128&gt;0),MIN(F128,AC128),"-")</f>
        <v>-</v>
      </c>
      <c r="BA128" s="59" t="str">
        <f>IF(AND(G128&gt;0,AD128&gt;0),MIN(G128,AD128),"-")</f>
        <v>-</v>
      </c>
      <c r="BB128" s="59" t="str">
        <f>IF(AND(H128&gt;0,AE128&gt;0),MIN(H128,AE128),"-")</f>
        <v>-</v>
      </c>
      <c r="BC128" s="59" t="str">
        <f>IF(AND(I128&gt;0,AF128&gt;0),MIN(I128,AF128),"-")</f>
        <v>-</v>
      </c>
      <c r="BD128" s="59" t="str">
        <f>IF(AND(J128&gt;0,AG128&gt;0),MIN(J128,AG128),"-")</f>
        <v>-</v>
      </c>
      <c r="BE128" s="59" t="str">
        <f>IF(AND(K128&gt;0,AH128&gt;0),MIN(K128,AH128),"-")</f>
        <v>-</v>
      </c>
      <c r="BF128" s="59" t="str">
        <f>IF(AND(L128&gt;0,AI128&gt;0),MIN(L128,AI128),"-")</f>
        <v>-</v>
      </c>
      <c r="BG128" s="59" t="str">
        <f t="shared" si="23"/>
        <v>-</v>
      </c>
      <c r="BH128" s="59" t="str">
        <f>IF(AND(N128&gt;0,AK128&gt;0),MIN(N128,AK128),"-")</f>
        <v>-</v>
      </c>
      <c r="BI128" s="59" t="str">
        <f>IF(AND(O128&gt;0,AL128&gt;0),MIN(O128,AL128),"-")</f>
        <v>-</v>
      </c>
      <c r="BJ128" s="59" t="str">
        <f>IF(AND(P128&gt;0,AM128&gt;0),MIN(P128,AM128),"-")</f>
        <v>-</v>
      </c>
      <c r="BK128" s="59" t="str">
        <f>IF(AND(Q128&gt;0,AN128&gt;0),MIN(Q128,AN128),"-")</f>
        <v>-</v>
      </c>
      <c r="BL128" s="59" t="str">
        <f>IF(AND(R128&gt;0,AO128&gt;0),MIN(R128,AO128),"-")</f>
        <v>-</v>
      </c>
      <c r="BM128" s="59" t="str">
        <f>IF(AND(S128&gt;0,AP128&gt;0),MIN(S128,AP128),"-")</f>
        <v>-</v>
      </c>
      <c r="BN128" s="59" t="str">
        <f>IF(AND(T128&gt;0,AQ128&gt;0),MIN(T128,AQ128),"-")</f>
        <v>-</v>
      </c>
      <c r="BO128" s="59" t="str">
        <f>IF(AND(U128&gt;0,AR128&gt;0),MIN(U128,AR128),"-")</f>
        <v>-</v>
      </c>
      <c r="BP128" s="59" t="str">
        <f>IF(AND(V128&gt;0,AS128&gt;0),MIN(V128,AS128),"-")</f>
        <v>-</v>
      </c>
      <c r="BQ128" s="59" t="str">
        <f t="shared" si="24"/>
        <v>-</v>
      </c>
      <c r="BR128" s="59" t="str">
        <f t="shared" si="25"/>
        <v>-</v>
      </c>
      <c r="BS128" s="59" t="str">
        <f t="shared" si="26"/>
        <v>-</v>
      </c>
      <c r="BT128" s="98" t="str">
        <f>IF(ISNUMBER(BS128),BS128-(C128*Rules!$P$9/100),"-")</f>
        <v>-</v>
      </c>
      <c r="BU128" s="59" t="e">
        <f>RANK($BT128,$BT$5:$BT$106,1)+COUNTIF(BT$5:BT128,BT128)-1</f>
        <v>#VALUE!</v>
      </c>
      <c r="BV128" s="59" t="e">
        <f t="shared" si="27"/>
        <v>#VALUE!</v>
      </c>
      <c r="BW128" s="59" t="str">
        <f t="shared" si="28"/>
        <v xml:space="preserve"> </v>
      </c>
      <c r="BX128" s="59">
        <f t="shared" si="28"/>
        <v>0</v>
      </c>
      <c r="BY128" s="59" t="str">
        <f t="shared" si="29"/>
        <v>-</v>
      </c>
      <c r="CD128" s="79"/>
      <c r="CE128" s="80"/>
      <c r="CF128" s="104"/>
      <c r="CL128" s="77">
        <v>1</v>
      </c>
    </row>
    <row r="129" spans="1:90" ht="17.45" customHeight="1">
      <c r="A129" s="58">
        <v>125</v>
      </c>
      <c r="B129" s="59" t="str">
        <f>'B Div'!A129 &amp; " " &amp; 'B Div'!B129</f>
        <v xml:space="preserve"> </v>
      </c>
      <c r="C129" s="59">
        <f>'B Div'!E129</f>
        <v>0</v>
      </c>
      <c r="D129" s="60"/>
      <c r="E129" s="60"/>
      <c r="F129" s="60"/>
      <c r="G129" s="60"/>
      <c r="H129" s="60"/>
      <c r="I129" s="60"/>
      <c r="J129" s="60"/>
      <c r="K129" s="60"/>
      <c r="L129" s="60"/>
      <c r="M129" s="74" t="str">
        <f t="shared" si="15"/>
        <v>-</v>
      </c>
      <c r="N129" s="60"/>
      <c r="O129" s="60"/>
      <c r="P129" s="60"/>
      <c r="Q129" s="60"/>
      <c r="R129" s="60"/>
      <c r="S129" s="60"/>
      <c r="T129" s="60"/>
      <c r="U129" s="60"/>
      <c r="V129" s="60"/>
      <c r="W129" s="74" t="str">
        <f t="shared" si="16"/>
        <v>-</v>
      </c>
      <c r="X129" s="74" t="str">
        <f t="shared" si="17"/>
        <v>-</v>
      </c>
      <c r="Y129" s="74" t="str">
        <f t="shared" si="18"/>
        <v>-</v>
      </c>
      <c r="AA129" s="60"/>
      <c r="AB129" s="60"/>
      <c r="AC129" s="60"/>
      <c r="AD129" s="60"/>
      <c r="AE129" s="60"/>
      <c r="AF129" s="60"/>
      <c r="AG129" s="60"/>
      <c r="AH129" s="60"/>
      <c r="AI129" s="60"/>
      <c r="AJ129" s="74" t="str">
        <f t="shared" si="19"/>
        <v>-</v>
      </c>
      <c r="AK129" s="60"/>
      <c r="AL129" s="60"/>
      <c r="AM129" s="60"/>
      <c r="AN129" s="60"/>
      <c r="AO129" s="60"/>
      <c r="AP129" s="60"/>
      <c r="AQ129" s="60"/>
      <c r="AR129" s="60"/>
      <c r="AS129" s="60"/>
      <c r="AT129" s="74" t="str">
        <f t="shared" si="20"/>
        <v>-</v>
      </c>
      <c r="AU129" s="74" t="str">
        <f t="shared" si="21"/>
        <v>-</v>
      </c>
      <c r="AV129" s="74" t="str">
        <f t="shared" si="22"/>
        <v>-</v>
      </c>
      <c r="AX129" s="59" t="str">
        <f>IF(AND(D129&gt;0,AA129&gt;0),MIN(D129,AA129),"-")</f>
        <v>-</v>
      </c>
      <c r="AY129" s="59" t="str">
        <f>IF(AND(E129&gt;0,AB129&gt;0),MIN(E129,AB129),"-")</f>
        <v>-</v>
      </c>
      <c r="AZ129" s="59" t="str">
        <f>IF(AND(F129&gt;0,AC129&gt;0),MIN(F129,AC129),"-")</f>
        <v>-</v>
      </c>
      <c r="BA129" s="59" t="str">
        <f>IF(AND(G129&gt;0,AD129&gt;0),MIN(G129,AD129),"-")</f>
        <v>-</v>
      </c>
      <c r="BB129" s="59" t="str">
        <f>IF(AND(H129&gt;0,AE129&gt;0),MIN(H129,AE129),"-")</f>
        <v>-</v>
      </c>
      <c r="BC129" s="59" t="str">
        <f>IF(AND(I129&gt;0,AF129&gt;0),MIN(I129,AF129),"-")</f>
        <v>-</v>
      </c>
      <c r="BD129" s="59" t="str">
        <f>IF(AND(J129&gt;0,AG129&gt;0),MIN(J129,AG129),"-")</f>
        <v>-</v>
      </c>
      <c r="BE129" s="59" t="str">
        <f>IF(AND(K129&gt;0,AH129&gt;0),MIN(K129,AH129),"-")</f>
        <v>-</v>
      </c>
      <c r="BF129" s="59" t="str">
        <f>IF(AND(L129&gt;0,AI129&gt;0),MIN(L129,AI129),"-")</f>
        <v>-</v>
      </c>
      <c r="BG129" s="59" t="str">
        <f t="shared" si="23"/>
        <v>-</v>
      </c>
      <c r="BH129" s="59" t="str">
        <f>IF(AND(N129&gt;0,AK129&gt;0),MIN(N129,AK129),"-")</f>
        <v>-</v>
      </c>
      <c r="BI129" s="59" t="str">
        <f>IF(AND(O129&gt;0,AL129&gt;0),MIN(O129,AL129),"-")</f>
        <v>-</v>
      </c>
      <c r="BJ129" s="59" t="str">
        <f>IF(AND(P129&gt;0,AM129&gt;0),MIN(P129,AM129),"-")</f>
        <v>-</v>
      </c>
      <c r="BK129" s="59" t="str">
        <f>IF(AND(Q129&gt;0,AN129&gt;0),MIN(Q129,AN129),"-")</f>
        <v>-</v>
      </c>
      <c r="BL129" s="59" t="str">
        <f>IF(AND(R129&gt;0,AO129&gt;0),MIN(R129,AO129),"-")</f>
        <v>-</v>
      </c>
      <c r="BM129" s="59" t="str">
        <f>IF(AND(S129&gt;0,AP129&gt;0),MIN(S129,AP129),"-")</f>
        <v>-</v>
      </c>
      <c r="BN129" s="59" t="str">
        <f>IF(AND(T129&gt;0,AQ129&gt;0),MIN(T129,AQ129),"-")</f>
        <v>-</v>
      </c>
      <c r="BO129" s="59" t="str">
        <f>IF(AND(U129&gt;0,AR129&gt;0),MIN(U129,AR129),"-")</f>
        <v>-</v>
      </c>
      <c r="BP129" s="59" t="str">
        <f>IF(AND(V129&gt;0,AS129&gt;0),MIN(V129,AS129),"-")</f>
        <v>-</v>
      </c>
      <c r="BQ129" s="59" t="str">
        <f t="shared" si="24"/>
        <v>-</v>
      </c>
      <c r="BR129" s="59" t="str">
        <f t="shared" si="25"/>
        <v>-</v>
      </c>
      <c r="BS129" s="59" t="str">
        <f t="shared" si="26"/>
        <v>-</v>
      </c>
      <c r="BT129" s="98" t="str">
        <f>IF(ISNUMBER(BS129),BS129-(C129*Rules!$P$9/100),"-")</f>
        <v>-</v>
      </c>
      <c r="BU129" s="59" t="e">
        <f>RANK($BT129,$BT$5:$BT$106,1)+COUNTIF(BT$5:BT129,BT129)-1</f>
        <v>#VALUE!</v>
      </c>
      <c r="BV129" s="59" t="e">
        <f t="shared" si="27"/>
        <v>#VALUE!</v>
      </c>
      <c r="BW129" s="59" t="str">
        <f t="shared" si="28"/>
        <v xml:space="preserve"> </v>
      </c>
      <c r="BX129" s="59">
        <f t="shared" si="28"/>
        <v>0</v>
      </c>
      <c r="BY129" s="59" t="str">
        <f t="shared" si="29"/>
        <v>-</v>
      </c>
      <c r="CD129" s="79"/>
      <c r="CE129" s="80"/>
      <c r="CF129" s="104"/>
      <c r="CL129" s="77">
        <v>1</v>
      </c>
    </row>
    <row r="130" spans="1:90" ht="17.45" customHeight="1">
      <c r="A130" s="58">
        <v>126</v>
      </c>
      <c r="B130" s="59" t="str">
        <f>'B Div'!A130 &amp; " " &amp; 'B Div'!B130</f>
        <v xml:space="preserve"> </v>
      </c>
      <c r="C130" s="59">
        <f>'B Div'!E130</f>
        <v>0</v>
      </c>
      <c r="D130" s="60"/>
      <c r="E130" s="60"/>
      <c r="F130" s="60"/>
      <c r="G130" s="60"/>
      <c r="H130" s="60"/>
      <c r="I130" s="60"/>
      <c r="J130" s="60"/>
      <c r="K130" s="60"/>
      <c r="L130" s="60"/>
      <c r="M130" s="74" t="str">
        <f t="shared" si="15"/>
        <v>-</v>
      </c>
      <c r="N130" s="60"/>
      <c r="O130" s="60"/>
      <c r="P130" s="60"/>
      <c r="Q130" s="60"/>
      <c r="R130" s="60"/>
      <c r="S130" s="60"/>
      <c r="T130" s="60"/>
      <c r="U130" s="60"/>
      <c r="V130" s="60"/>
      <c r="W130" s="74" t="str">
        <f t="shared" si="16"/>
        <v>-</v>
      </c>
      <c r="X130" s="74" t="str">
        <f t="shared" si="17"/>
        <v>-</v>
      </c>
      <c r="Y130" s="74" t="str">
        <f t="shared" si="18"/>
        <v>-</v>
      </c>
      <c r="AA130" s="60"/>
      <c r="AB130" s="60"/>
      <c r="AC130" s="60"/>
      <c r="AD130" s="60"/>
      <c r="AE130" s="60"/>
      <c r="AF130" s="60"/>
      <c r="AG130" s="60"/>
      <c r="AH130" s="60"/>
      <c r="AI130" s="60"/>
      <c r="AJ130" s="74" t="str">
        <f t="shared" si="19"/>
        <v>-</v>
      </c>
      <c r="AK130" s="60"/>
      <c r="AL130" s="60"/>
      <c r="AM130" s="60"/>
      <c r="AN130" s="60"/>
      <c r="AO130" s="60"/>
      <c r="AP130" s="60"/>
      <c r="AQ130" s="60"/>
      <c r="AR130" s="60"/>
      <c r="AS130" s="60"/>
      <c r="AT130" s="74" t="str">
        <f t="shared" si="20"/>
        <v>-</v>
      </c>
      <c r="AU130" s="74" t="str">
        <f t="shared" si="21"/>
        <v>-</v>
      </c>
      <c r="AV130" s="74" t="str">
        <f t="shared" si="22"/>
        <v>-</v>
      </c>
      <c r="AX130" s="59" t="str">
        <f>IF(AND(D130&gt;0,AA130&gt;0),MIN(D130,AA130),"-")</f>
        <v>-</v>
      </c>
      <c r="AY130" s="59" t="str">
        <f>IF(AND(E130&gt;0,AB130&gt;0),MIN(E130,AB130),"-")</f>
        <v>-</v>
      </c>
      <c r="AZ130" s="59" t="str">
        <f>IF(AND(F130&gt;0,AC130&gt;0),MIN(F130,AC130),"-")</f>
        <v>-</v>
      </c>
      <c r="BA130" s="59" t="str">
        <f>IF(AND(G130&gt;0,AD130&gt;0),MIN(G130,AD130),"-")</f>
        <v>-</v>
      </c>
      <c r="BB130" s="59" t="str">
        <f>IF(AND(H130&gt;0,AE130&gt;0),MIN(H130,AE130),"-")</f>
        <v>-</v>
      </c>
      <c r="BC130" s="59" t="str">
        <f>IF(AND(I130&gt;0,AF130&gt;0),MIN(I130,AF130),"-")</f>
        <v>-</v>
      </c>
      <c r="BD130" s="59" t="str">
        <f>IF(AND(J130&gt;0,AG130&gt;0),MIN(J130,AG130),"-")</f>
        <v>-</v>
      </c>
      <c r="BE130" s="59" t="str">
        <f>IF(AND(K130&gt;0,AH130&gt;0),MIN(K130,AH130),"-")</f>
        <v>-</v>
      </c>
      <c r="BF130" s="59" t="str">
        <f>IF(AND(L130&gt;0,AI130&gt;0),MIN(L130,AI130),"-")</f>
        <v>-</v>
      </c>
      <c r="BG130" s="59" t="str">
        <f t="shared" si="23"/>
        <v>-</v>
      </c>
      <c r="BH130" s="59" t="str">
        <f>IF(AND(N130&gt;0,AK130&gt;0),MIN(N130,AK130),"-")</f>
        <v>-</v>
      </c>
      <c r="BI130" s="59" t="str">
        <f>IF(AND(O130&gt;0,AL130&gt;0),MIN(O130,AL130),"-")</f>
        <v>-</v>
      </c>
      <c r="BJ130" s="59" t="str">
        <f>IF(AND(P130&gt;0,AM130&gt;0),MIN(P130,AM130),"-")</f>
        <v>-</v>
      </c>
      <c r="BK130" s="59" t="str">
        <f>IF(AND(Q130&gt;0,AN130&gt;0),MIN(Q130,AN130),"-")</f>
        <v>-</v>
      </c>
      <c r="BL130" s="59" t="str">
        <f>IF(AND(R130&gt;0,AO130&gt;0),MIN(R130,AO130),"-")</f>
        <v>-</v>
      </c>
      <c r="BM130" s="59" t="str">
        <f>IF(AND(S130&gt;0,AP130&gt;0),MIN(S130,AP130),"-")</f>
        <v>-</v>
      </c>
      <c r="BN130" s="59" t="str">
        <f>IF(AND(T130&gt;0,AQ130&gt;0),MIN(T130,AQ130),"-")</f>
        <v>-</v>
      </c>
      <c r="BO130" s="59" t="str">
        <f>IF(AND(U130&gt;0,AR130&gt;0),MIN(U130,AR130),"-")</f>
        <v>-</v>
      </c>
      <c r="BP130" s="59" t="str">
        <f>IF(AND(V130&gt;0,AS130&gt;0),MIN(V130,AS130),"-")</f>
        <v>-</v>
      </c>
      <c r="BQ130" s="59" t="str">
        <f t="shared" si="24"/>
        <v>-</v>
      </c>
      <c r="BR130" s="59" t="str">
        <f t="shared" si="25"/>
        <v>-</v>
      </c>
      <c r="BS130" s="59" t="str">
        <f t="shared" si="26"/>
        <v>-</v>
      </c>
      <c r="BT130" s="98" t="str">
        <f>IF(ISNUMBER(BS130),BS130-(C130*Rules!$P$9/100),"-")</f>
        <v>-</v>
      </c>
      <c r="BU130" s="59" t="e">
        <f>RANK($BT130,$BT$5:$BT$106,1)+COUNTIF(BT$5:BT130,BT130)-1</f>
        <v>#VALUE!</v>
      </c>
      <c r="BV130" s="59" t="e">
        <f t="shared" si="27"/>
        <v>#VALUE!</v>
      </c>
      <c r="BW130" s="59" t="str">
        <f t="shared" si="28"/>
        <v xml:space="preserve"> </v>
      </c>
      <c r="BX130" s="59">
        <f t="shared" si="28"/>
        <v>0</v>
      </c>
      <c r="BY130" s="59" t="str">
        <f t="shared" si="29"/>
        <v>-</v>
      </c>
      <c r="CD130" s="79"/>
      <c r="CE130" s="80"/>
      <c r="CF130" s="104"/>
      <c r="CL130" s="77">
        <v>1</v>
      </c>
    </row>
    <row r="131" spans="1:90" ht="17.45" customHeight="1">
      <c r="A131" s="58">
        <v>127</v>
      </c>
      <c r="B131" s="59" t="str">
        <f>'B Div'!A131 &amp; " " &amp; 'B Div'!B131</f>
        <v xml:space="preserve"> </v>
      </c>
      <c r="C131" s="59">
        <f>'B Div'!E131</f>
        <v>0</v>
      </c>
      <c r="D131" s="60"/>
      <c r="E131" s="60"/>
      <c r="F131" s="60"/>
      <c r="G131" s="60"/>
      <c r="H131" s="60"/>
      <c r="I131" s="60"/>
      <c r="J131" s="60"/>
      <c r="K131" s="60"/>
      <c r="L131" s="60"/>
      <c r="M131" s="74" t="str">
        <f t="shared" si="15"/>
        <v>-</v>
      </c>
      <c r="N131" s="60"/>
      <c r="O131" s="60"/>
      <c r="P131" s="60"/>
      <c r="Q131" s="60"/>
      <c r="R131" s="60"/>
      <c r="S131" s="60"/>
      <c r="T131" s="60"/>
      <c r="U131" s="60"/>
      <c r="V131" s="60"/>
      <c r="W131" s="74" t="str">
        <f t="shared" si="16"/>
        <v>-</v>
      </c>
      <c r="X131" s="74" t="str">
        <f t="shared" si="17"/>
        <v>-</v>
      </c>
      <c r="Y131" s="74" t="str">
        <f t="shared" si="18"/>
        <v>-</v>
      </c>
      <c r="AA131" s="60"/>
      <c r="AB131" s="60"/>
      <c r="AC131" s="60"/>
      <c r="AD131" s="60"/>
      <c r="AE131" s="60"/>
      <c r="AF131" s="60"/>
      <c r="AG131" s="60"/>
      <c r="AH131" s="60"/>
      <c r="AI131" s="60"/>
      <c r="AJ131" s="74" t="str">
        <f t="shared" si="19"/>
        <v>-</v>
      </c>
      <c r="AK131" s="60"/>
      <c r="AL131" s="60"/>
      <c r="AM131" s="60"/>
      <c r="AN131" s="60"/>
      <c r="AO131" s="60"/>
      <c r="AP131" s="60"/>
      <c r="AQ131" s="60"/>
      <c r="AR131" s="60"/>
      <c r="AS131" s="60"/>
      <c r="AT131" s="74" t="str">
        <f t="shared" si="20"/>
        <v>-</v>
      </c>
      <c r="AU131" s="74" t="str">
        <f t="shared" si="21"/>
        <v>-</v>
      </c>
      <c r="AV131" s="74" t="str">
        <f t="shared" si="22"/>
        <v>-</v>
      </c>
      <c r="AX131" s="59" t="str">
        <f>IF(AND(D131&gt;0,AA131&gt;0),MIN(D131,AA131),"-")</f>
        <v>-</v>
      </c>
      <c r="AY131" s="59" t="str">
        <f>IF(AND(E131&gt;0,AB131&gt;0),MIN(E131,AB131),"-")</f>
        <v>-</v>
      </c>
      <c r="AZ131" s="59" t="str">
        <f>IF(AND(F131&gt;0,AC131&gt;0),MIN(F131,AC131),"-")</f>
        <v>-</v>
      </c>
      <c r="BA131" s="59" t="str">
        <f>IF(AND(G131&gt;0,AD131&gt;0),MIN(G131,AD131),"-")</f>
        <v>-</v>
      </c>
      <c r="BB131" s="59" t="str">
        <f>IF(AND(H131&gt;0,AE131&gt;0),MIN(H131,AE131),"-")</f>
        <v>-</v>
      </c>
      <c r="BC131" s="59" t="str">
        <f>IF(AND(I131&gt;0,AF131&gt;0),MIN(I131,AF131),"-")</f>
        <v>-</v>
      </c>
      <c r="BD131" s="59" t="str">
        <f>IF(AND(J131&gt;0,AG131&gt;0),MIN(J131,AG131),"-")</f>
        <v>-</v>
      </c>
      <c r="BE131" s="59" t="str">
        <f>IF(AND(K131&gt;0,AH131&gt;0),MIN(K131,AH131),"-")</f>
        <v>-</v>
      </c>
      <c r="BF131" s="59" t="str">
        <f>IF(AND(L131&gt;0,AI131&gt;0),MIN(L131,AI131),"-")</f>
        <v>-</v>
      </c>
      <c r="BG131" s="59" t="str">
        <f t="shared" si="23"/>
        <v>-</v>
      </c>
      <c r="BH131" s="59" t="str">
        <f>IF(AND(N131&gt;0,AK131&gt;0),MIN(N131,AK131),"-")</f>
        <v>-</v>
      </c>
      <c r="BI131" s="59" t="str">
        <f>IF(AND(O131&gt;0,AL131&gt;0),MIN(O131,AL131),"-")</f>
        <v>-</v>
      </c>
      <c r="BJ131" s="59" t="str">
        <f>IF(AND(P131&gt;0,AM131&gt;0),MIN(P131,AM131),"-")</f>
        <v>-</v>
      </c>
      <c r="BK131" s="59" t="str">
        <f>IF(AND(Q131&gt;0,AN131&gt;0),MIN(Q131,AN131),"-")</f>
        <v>-</v>
      </c>
      <c r="BL131" s="59" t="str">
        <f>IF(AND(R131&gt;0,AO131&gt;0),MIN(R131,AO131),"-")</f>
        <v>-</v>
      </c>
      <c r="BM131" s="59" t="str">
        <f>IF(AND(S131&gt;0,AP131&gt;0),MIN(S131,AP131),"-")</f>
        <v>-</v>
      </c>
      <c r="BN131" s="59" t="str">
        <f>IF(AND(T131&gt;0,AQ131&gt;0),MIN(T131,AQ131),"-")</f>
        <v>-</v>
      </c>
      <c r="BO131" s="59" t="str">
        <f>IF(AND(U131&gt;0,AR131&gt;0),MIN(U131,AR131),"-")</f>
        <v>-</v>
      </c>
      <c r="BP131" s="59" t="str">
        <f>IF(AND(V131&gt;0,AS131&gt;0),MIN(V131,AS131),"-")</f>
        <v>-</v>
      </c>
      <c r="BQ131" s="59" t="str">
        <f t="shared" si="24"/>
        <v>-</v>
      </c>
      <c r="BR131" s="59" t="str">
        <f t="shared" si="25"/>
        <v>-</v>
      </c>
      <c r="BS131" s="59" t="str">
        <f t="shared" si="26"/>
        <v>-</v>
      </c>
      <c r="BT131" s="98" t="str">
        <f>IF(ISNUMBER(BS131),BS131-(C131*Rules!$P$9/100),"-")</f>
        <v>-</v>
      </c>
      <c r="BU131" s="59" t="e">
        <f>RANK($BT131,$BT$5:$BT$106,1)+COUNTIF(BT$5:BT131,BT131)-1</f>
        <v>#VALUE!</v>
      </c>
      <c r="BV131" s="59" t="e">
        <f t="shared" si="27"/>
        <v>#VALUE!</v>
      </c>
      <c r="BW131" s="59" t="str">
        <f t="shared" si="28"/>
        <v xml:space="preserve"> </v>
      </c>
      <c r="BX131" s="59">
        <f t="shared" si="28"/>
        <v>0</v>
      </c>
      <c r="BY131" s="59" t="str">
        <f t="shared" si="29"/>
        <v>-</v>
      </c>
      <c r="CD131" s="79"/>
      <c r="CE131" s="80"/>
      <c r="CF131" s="104"/>
      <c r="CL131" s="77">
        <v>1</v>
      </c>
    </row>
    <row r="132" spans="1:90" ht="17.45" customHeight="1">
      <c r="A132" s="58">
        <v>128</v>
      </c>
      <c r="B132" s="59" t="str">
        <f>'B Div'!A132 &amp; " " &amp; 'B Div'!B132</f>
        <v xml:space="preserve"> </v>
      </c>
      <c r="C132" s="59">
        <f>'B Div'!E132</f>
        <v>0</v>
      </c>
      <c r="D132" s="60"/>
      <c r="E132" s="60"/>
      <c r="F132" s="60"/>
      <c r="G132" s="60"/>
      <c r="H132" s="60"/>
      <c r="I132" s="60"/>
      <c r="J132" s="60"/>
      <c r="K132" s="60"/>
      <c r="L132" s="60"/>
      <c r="M132" s="74" t="str">
        <f t="shared" si="15"/>
        <v>-</v>
      </c>
      <c r="N132" s="60"/>
      <c r="O132" s="60"/>
      <c r="P132" s="60"/>
      <c r="Q132" s="60"/>
      <c r="R132" s="60"/>
      <c r="S132" s="60"/>
      <c r="T132" s="60"/>
      <c r="U132" s="60"/>
      <c r="V132" s="60"/>
      <c r="W132" s="74" t="str">
        <f t="shared" si="16"/>
        <v>-</v>
      </c>
      <c r="X132" s="74" t="str">
        <f t="shared" si="17"/>
        <v>-</v>
      </c>
      <c r="Y132" s="74" t="str">
        <f t="shared" si="18"/>
        <v>-</v>
      </c>
      <c r="AA132" s="60"/>
      <c r="AB132" s="60"/>
      <c r="AC132" s="60"/>
      <c r="AD132" s="60"/>
      <c r="AE132" s="60"/>
      <c r="AF132" s="60"/>
      <c r="AG132" s="60"/>
      <c r="AH132" s="60"/>
      <c r="AI132" s="60"/>
      <c r="AJ132" s="74" t="str">
        <f t="shared" si="19"/>
        <v>-</v>
      </c>
      <c r="AK132" s="60"/>
      <c r="AL132" s="60"/>
      <c r="AM132" s="60"/>
      <c r="AN132" s="60"/>
      <c r="AO132" s="60"/>
      <c r="AP132" s="60"/>
      <c r="AQ132" s="60"/>
      <c r="AR132" s="60"/>
      <c r="AS132" s="60"/>
      <c r="AT132" s="74" t="str">
        <f t="shared" si="20"/>
        <v>-</v>
      </c>
      <c r="AU132" s="74" t="str">
        <f t="shared" si="21"/>
        <v>-</v>
      </c>
      <c r="AV132" s="74" t="str">
        <f t="shared" si="22"/>
        <v>-</v>
      </c>
      <c r="AX132" s="59" t="str">
        <f>IF(AND(D132&gt;0,AA132&gt;0),MIN(D132,AA132),"-")</f>
        <v>-</v>
      </c>
      <c r="AY132" s="59" t="str">
        <f>IF(AND(E132&gt;0,AB132&gt;0),MIN(E132,AB132),"-")</f>
        <v>-</v>
      </c>
      <c r="AZ132" s="59" t="str">
        <f>IF(AND(F132&gt;0,AC132&gt;0),MIN(F132,AC132),"-")</f>
        <v>-</v>
      </c>
      <c r="BA132" s="59" t="str">
        <f>IF(AND(G132&gt;0,AD132&gt;0),MIN(G132,AD132),"-")</f>
        <v>-</v>
      </c>
      <c r="BB132" s="59" t="str">
        <f>IF(AND(H132&gt;0,AE132&gt;0),MIN(H132,AE132),"-")</f>
        <v>-</v>
      </c>
      <c r="BC132" s="59" t="str">
        <f>IF(AND(I132&gt;0,AF132&gt;0),MIN(I132,AF132),"-")</f>
        <v>-</v>
      </c>
      <c r="BD132" s="59" t="str">
        <f>IF(AND(J132&gt;0,AG132&gt;0),MIN(J132,AG132),"-")</f>
        <v>-</v>
      </c>
      <c r="BE132" s="59" t="str">
        <f>IF(AND(K132&gt;0,AH132&gt;0),MIN(K132,AH132),"-")</f>
        <v>-</v>
      </c>
      <c r="BF132" s="59" t="str">
        <f>IF(AND(L132&gt;0,AI132&gt;0),MIN(L132,AI132),"-")</f>
        <v>-</v>
      </c>
      <c r="BG132" s="59" t="str">
        <f t="shared" si="23"/>
        <v>-</v>
      </c>
      <c r="BH132" s="59" t="str">
        <f>IF(AND(N132&gt;0,AK132&gt;0),MIN(N132,AK132),"-")</f>
        <v>-</v>
      </c>
      <c r="BI132" s="59" t="str">
        <f>IF(AND(O132&gt;0,AL132&gt;0),MIN(O132,AL132),"-")</f>
        <v>-</v>
      </c>
      <c r="BJ132" s="59" t="str">
        <f>IF(AND(P132&gt;0,AM132&gt;0),MIN(P132,AM132),"-")</f>
        <v>-</v>
      </c>
      <c r="BK132" s="59" t="str">
        <f>IF(AND(Q132&gt;0,AN132&gt;0),MIN(Q132,AN132),"-")</f>
        <v>-</v>
      </c>
      <c r="BL132" s="59" t="str">
        <f>IF(AND(R132&gt;0,AO132&gt;0),MIN(R132,AO132),"-")</f>
        <v>-</v>
      </c>
      <c r="BM132" s="59" t="str">
        <f>IF(AND(S132&gt;0,AP132&gt;0),MIN(S132,AP132),"-")</f>
        <v>-</v>
      </c>
      <c r="BN132" s="59" t="str">
        <f>IF(AND(T132&gt;0,AQ132&gt;0),MIN(T132,AQ132),"-")</f>
        <v>-</v>
      </c>
      <c r="BO132" s="59" t="str">
        <f>IF(AND(U132&gt;0,AR132&gt;0),MIN(U132,AR132),"-")</f>
        <v>-</v>
      </c>
      <c r="BP132" s="59" t="str">
        <f>IF(AND(V132&gt;0,AS132&gt;0),MIN(V132,AS132),"-")</f>
        <v>-</v>
      </c>
      <c r="BQ132" s="59" t="str">
        <f t="shared" si="24"/>
        <v>-</v>
      </c>
      <c r="BR132" s="59" t="str">
        <f t="shared" si="25"/>
        <v>-</v>
      </c>
      <c r="BS132" s="59" t="str">
        <f t="shared" si="26"/>
        <v>-</v>
      </c>
      <c r="BT132" s="98" t="str">
        <f>IF(ISNUMBER(BS132),BS132-(C132*Rules!$P$9/100),"-")</f>
        <v>-</v>
      </c>
      <c r="BU132" s="59" t="e">
        <f>RANK($BT132,$BT$5:$BT$106,1)+COUNTIF(BT$5:BT132,BT132)-1</f>
        <v>#VALUE!</v>
      </c>
      <c r="BV132" s="59" t="e">
        <f t="shared" si="27"/>
        <v>#VALUE!</v>
      </c>
      <c r="BW132" s="59" t="str">
        <f t="shared" si="28"/>
        <v xml:space="preserve"> </v>
      </c>
      <c r="BX132" s="59">
        <f t="shared" si="28"/>
        <v>0</v>
      </c>
      <c r="BY132" s="59" t="str">
        <f t="shared" si="29"/>
        <v>-</v>
      </c>
      <c r="CD132" s="79"/>
      <c r="CE132" s="80"/>
      <c r="CF132" s="104"/>
      <c r="CL132" s="77">
        <v>1</v>
      </c>
    </row>
    <row r="133" spans="1:90" ht="17.45" customHeight="1">
      <c r="A133" s="58">
        <v>129</v>
      </c>
      <c r="B133" s="59" t="str">
        <f>'B Div'!A133 &amp; " " &amp; 'B Div'!B133</f>
        <v xml:space="preserve"> </v>
      </c>
      <c r="C133" s="59">
        <f>'B Div'!E133</f>
        <v>0</v>
      </c>
      <c r="D133" s="60"/>
      <c r="E133" s="60"/>
      <c r="F133" s="60"/>
      <c r="G133" s="60"/>
      <c r="H133" s="60"/>
      <c r="I133" s="60"/>
      <c r="J133" s="60"/>
      <c r="K133" s="60"/>
      <c r="L133" s="60"/>
      <c r="M133" s="74" t="str">
        <f t="shared" si="15"/>
        <v>-</v>
      </c>
      <c r="N133" s="60"/>
      <c r="O133" s="60"/>
      <c r="P133" s="60"/>
      <c r="Q133" s="60"/>
      <c r="R133" s="60"/>
      <c r="S133" s="60"/>
      <c r="T133" s="60"/>
      <c r="U133" s="60"/>
      <c r="V133" s="60"/>
      <c r="W133" s="74" t="str">
        <f t="shared" si="16"/>
        <v>-</v>
      </c>
      <c r="X133" s="74" t="str">
        <f t="shared" si="17"/>
        <v>-</v>
      </c>
      <c r="Y133" s="74" t="str">
        <f t="shared" si="18"/>
        <v>-</v>
      </c>
      <c r="AA133" s="60"/>
      <c r="AB133" s="60"/>
      <c r="AC133" s="60"/>
      <c r="AD133" s="60"/>
      <c r="AE133" s="60"/>
      <c r="AF133" s="60"/>
      <c r="AG133" s="60"/>
      <c r="AH133" s="60"/>
      <c r="AI133" s="60"/>
      <c r="AJ133" s="74" t="str">
        <f t="shared" si="19"/>
        <v>-</v>
      </c>
      <c r="AK133" s="60"/>
      <c r="AL133" s="60"/>
      <c r="AM133" s="60"/>
      <c r="AN133" s="60"/>
      <c r="AO133" s="60"/>
      <c r="AP133" s="60"/>
      <c r="AQ133" s="60"/>
      <c r="AR133" s="60"/>
      <c r="AS133" s="60"/>
      <c r="AT133" s="74" t="str">
        <f t="shared" si="20"/>
        <v>-</v>
      </c>
      <c r="AU133" s="74" t="str">
        <f t="shared" si="21"/>
        <v>-</v>
      </c>
      <c r="AV133" s="74" t="str">
        <f t="shared" si="22"/>
        <v>-</v>
      </c>
      <c r="AX133" s="59" t="str">
        <f>IF(AND(D133&gt;0,AA133&gt;0),MIN(D133,AA133),"-")</f>
        <v>-</v>
      </c>
      <c r="AY133" s="59" t="str">
        <f>IF(AND(E133&gt;0,AB133&gt;0),MIN(E133,AB133),"-")</f>
        <v>-</v>
      </c>
      <c r="AZ133" s="59" t="str">
        <f>IF(AND(F133&gt;0,AC133&gt;0),MIN(F133,AC133),"-")</f>
        <v>-</v>
      </c>
      <c r="BA133" s="59" t="str">
        <f>IF(AND(G133&gt;0,AD133&gt;0),MIN(G133,AD133),"-")</f>
        <v>-</v>
      </c>
      <c r="BB133" s="59" t="str">
        <f>IF(AND(H133&gt;0,AE133&gt;0),MIN(H133,AE133),"-")</f>
        <v>-</v>
      </c>
      <c r="BC133" s="59" t="str">
        <f>IF(AND(I133&gt;0,AF133&gt;0),MIN(I133,AF133),"-")</f>
        <v>-</v>
      </c>
      <c r="BD133" s="59" t="str">
        <f>IF(AND(J133&gt;0,AG133&gt;0),MIN(J133,AG133),"-")</f>
        <v>-</v>
      </c>
      <c r="BE133" s="59" t="str">
        <f>IF(AND(K133&gt;0,AH133&gt;0),MIN(K133,AH133),"-")</f>
        <v>-</v>
      </c>
      <c r="BF133" s="59" t="str">
        <f>IF(AND(L133&gt;0,AI133&gt;0),MIN(L133,AI133),"-")</f>
        <v>-</v>
      </c>
      <c r="BG133" s="59" t="str">
        <f t="shared" si="23"/>
        <v>-</v>
      </c>
      <c r="BH133" s="59" t="str">
        <f>IF(AND(N133&gt;0,AK133&gt;0),MIN(N133,AK133),"-")</f>
        <v>-</v>
      </c>
      <c r="BI133" s="59" t="str">
        <f>IF(AND(O133&gt;0,AL133&gt;0),MIN(O133,AL133),"-")</f>
        <v>-</v>
      </c>
      <c r="BJ133" s="59" t="str">
        <f>IF(AND(P133&gt;0,AM133&gt;0),MIN(P133,AM133),"-")</f>
        <v>-</v>
      </c>
      <c r="BK133" s="59" t="str">
        <f>IF(AND(Q133&gt;0,AN133&gt;0),MIN(Q133,AN133),"-")</f>
        <v>-</v>
      </c>
      <c r="BL133" s="59" t="str">
        <f>IF(AND(R133&gt;0,AO133&gt;0),MIN(R133,AO133),"-")</f>
        <v>-</v>
      </c>
      <c r="BM133" s="59" t="str">
        <f>IF(AND(S133&gt;0,AP133&gt;0),MIN(S133,AP133),"-")</f>
        <v>-</v>
      </c>
      <c r="BN133" s="59" t="str">
        <f>IF(AND(T133&gt;0,AQ133&gt;0),MIN(T133,AQ133),"-")</f>
        <v>-</v>
      </c>
      <c r="BO133" s="59" t="str">
        <f>IF(AND(U133&gt;0,AR133&gt;0),MIN(U133,AR133),"-")</f>
        <v>-</v>
      </c>
      <c r="BP133" s="59" t="str">
        <f>IF(AND(V133&gt;0,AS133&gt;0),MIN(V133,AS133),"-")</f>
        <v>-</v>
      </c>
      <c r="BQ133" s="59" t="str">
        <f t="shared" si="24"/>
        <v>-</v>
      </c>
      <c r="BR133" s="59" t="str">
        <f t="shared" si="25"/>
        <v>-</v>
      </c>
      <c r="BS133" s="59" t="str">
        <f t="shared" si="26"/>
        <v>-</v>
      </c>
      <c r="BT133" s="98" t="str">
        <f>IF(ISNUMBER(BS133),BS133-(C133*Rules!$P$9/100),"-")</f>
        <v>-</v>
      </c>
      <c r="BU133" s="59" t="e">
        <f>RANK($BT133,$BT$5:$BT$106,1)+COUNTIF(BT$5:BT133,BT133)-1</f>
        <v>#VALUE!</v>
      </c>
      <c r="BV133" s="59" t="e">
        <f t="shared" si="27"/>
        <v>#VALUE!</v>
      </c>
      <c r="BW133" s="59" t="str">
        <f t="shared" si="28"/>
        <v xml:space="preserve"> </v>
      </c>
      <c r="BX133" s="59">
        <f t="shared" si="28"/>
        <v>0</v>
      </c>
      <c r="BY133" s="59" t="str">
        <f t="shared" si="29"/>
        <v>-</v>
      </c>
      <c r="CD133" s="79"/>
      <c r="CE133" s="80"/>
      <c r="CF133" s="104"/>
      <c r="CL133" s="77">
        <v>1</v>
      </c>
    </row>
    <row r="134" spans="1:90" ht="17.45" customHeight="1">
      <c r="A134" s="58">
        <v>130</v>
      </c>
      <c r="B134" s="59" t="str">
        <f>'B Div'!A134 &amp; " " &amp; 'B Div'!B134</f>
        <v xml:space="preserve"> </v>
      </c>
      <c r="C134" s="59">
        <f>'B Div'!E134</f>
        <v>0</v>
      </c>
      <c r="D134" s="60"/>
      <c r="E134" s="60"/>
      <c r="F134" s="60"/>
      <c r="G134" s="60"/>
      <c r="H134" s="60"/>
      <c r="I134" s="60"/>
      <c r="J134" s="60"/>
      <c r="K134" s="60"/>
      <c r="L134" s="60"/>
      <c r="M134" s="74" t="str">
        <f t="shared" ref="M134:M197" si="30">IF(COUNTIF(D134:L134,"&lt;&gt;"&amp;"")=9,SUM(D134:L134),"-")</f>
        <v>-</v>
      </c>
      <c r="N134" s="60"/>
      <c r="O134" s="60"/>
      <c r="P134" s="60"/>
      <c r="Q134" s="60"/>
      <c r="R134" s="60"/>
      <c r="S134" s="60"/>
      <c r="T134" s="60"/>
      <c r="U134" s="60"/>
      <c r="V134" s="60"/>
      <c r="W134" s="74" t="str">
        <f t="shared" ref="W134:W197" si="31">IF(COUNTIF(N134:V134,"&lt;&gt;"&amp;"")=9,SUM(N134:V134),"-")</f>
        <v>-</v>
      </c>
      <c r="X134" s="74" t="str">
        <f t="shared" ref="X134:X197" si="32">IF(AND(ISNUMBER(M134),ISNUMBER(W134)),M134+W134,"-")</f>
        <v>-</v>
      </c>
      <c r="Y134" s="74" t="str">
        <f t="shared" ref="Y134:Y197" si="33">IF(ISNUMBER(X134),X134-C134,"-")</f>
        <v>-</v>
      </c>
      <c r="AA134" s="60"/>
      <c r="AB134" s="60"/>
      <c r="AC134" s="60"/>
      <c r="AD134" s="60"/>
      <c r="AE134" s="60"/>
      <c r="AF134" s="60"/>
      <c r="AG134" s="60"/>
      <c r="AH134" s="60"/>
      <c r="AI134" s="60"/>
      <c r="AJ134" s="74" t="str">
        <f t="shared" ref="AJ134:AJ197" si="34">IF(COUNTIF(AA134:AI134,"&lt;&gt;"&amp;"")=9,SUM(AA134:AI134),"-")</f>
        <v>-</v>
      </c>
      <c r="AK134" s="60"/>
      <c r="AL134" s="60"/>
      <c r="AM134" s="60"/>
      <c r="AN134" s="60"/>
      <c r="AO134" s="60"/>
      <c r="AP134" s="60"/>
      <c r="AQ134" s="60"/>
      <c r="AR134" s="60"/>
      <c r="AS134" s="60"/>
      <c r="AT134" s="74" t="str">
        <f t="shared" ref="AT134:AT197" si="35">IF(COUNTIF(AK134:AS134,"&lt;&gt;"&amp;"")=9,SUM(AK134:AS134),"-")</f>
        <v>-</v>
      </c>
      <c r="AU134" s="74" t="str">
        <f t="shared" ref="AU134:AU197" si="36">IF(AND(ISNUMBER(AJ134),ISNUMBER(AT134)),AJ134+AT134,"-")</f>
        <v>-</v>
      </c>
      <c r="AV134" s="74" t="str">
        <f t="shared" ref="AV134:AV197" si="37">IF(ISNUMBER(AU134),AU134-C134,"-")</f>
        <v>-</v>
      </c>
      <c r="AX134" s="59" t="str">
        <f>IF(AND(D134&gt;0,AA134&gt;0),MIN(D134,AA134),"-")</f>
        <v>-</v>
      </c>
      <c r="AY134" s="59" t="str">
        <f>IF(AND(E134&gt;0,AB134&gt;0),MIN(E134,AB134),"-")</f>
        <v>-</v>
      </c>
      <c r="AZ134" s="59" t="str">
        <f>IF(AND(F134&gt;0,AC134&gt;0),MIN(F134,AC134),"-")</f>
        <v>-</v>
      </c>
      <c r="BA134" s="59" t="str">
        <f>IF(AND(G134&gt;0,AD134&gt;0),MIN(G134,AD134),"-")</f>
        <v>-</v>
      </c>
      <c r="BB134" s="59" t="str">
        <f>IF(AND(H134&gt;0,AE134&gt;0),MIN(H134,AE134),"-")</f>
        <v>-</v>
      </c>
      <c r="BC134" s="59" t="str">
        <f>IF(AND(I134&gt;0,AF134&gt;0),MIN(I134,AF134),"-")</f>
        <v>-</v>
      </c>
      <c r="BD134" s="59" t="str">
        <f>IF(AND(J134&gt;0,AG134&gt;0),MIN(J134,AG134),"-")</f>
        <v>-</v>
      </c>
      <c r="BE134" s="59" t="str">
        <f>IF(AND(K134&gt;0,AH134&gt;0),MIN(K134,AH134),"-")</f>
        <v>-</v>
      </c>
      <c r="BF134" s="59" t="str">
        <f>IF(AND(L134&gt;0,AI134&gt;0),MIN(L134,AI134),"-")</f>
        <v>-</v>
      </c>
      <c r="BG134" s="59" t="str">
        <f t="shared" ref="BG134:BG197" si="38">IF(COUNTIF(AX134:BF134,"&lt;&gt;-")=9,SUM(AX134:BF134),"-")</f>
        <v>-</v>
      </c>
      <c r="BH134" s="59" t="str">
        <f>IF(AND(N134&gt;0,AK134&gt;0),MIN(N134,AK134),"-")</f>
        <v>-</v>
      </c>
      <c r="BI134" s="59" t="str">
        <f>IF(AND(O134&gt;0,AL134&gt;0),MIN(O134,AL134),"-")</f>
        <v>-</v>
      </c>
      <c r="BJ134" s="59" t="str">
        <f>IF(AND(P134&gt;0,AM134&gt;0),MIN(P134,AM134),"-")</f>
        <v>-</v>
      </c>
      <c r="BK134" s="59" t="str">
        <f>IF(AND(Q134&gt;0,AN134&gt;0),MIN(Q134,AN134),"-")</f>
        <v>-</v>
      </c>
      <c r="BL134" s="59" t="str">
        <f>IF(AND(R134&gt;0,AO134&gt;0),MIN(R134,AO134),"-")</f>
        <v>-</v>
      </c>
      <c r="BM134" s="59" t="str">
        <f>IF(AND(S134&gt;0,AP134&gt;0),MIN(S134,AP134),"-")</f>
        <v>-</v>
      </c>
      <c r="BN134" s="59" t="str">
        <f>IF(AND(T134&gt;0,AQ134&gt;0),MIN(T134,AQ134),"-")</f>
        <v>-</v>
      </c>
      <c r="BO134" s="59" t="str">
        <f>IF(AND(U134&gt;0,AR134&gt;0),MIN(U134,AR134),"-")</f>
        <v>-</v>
      </c>
      <c r="BP134" s="59" t="str">
        <f>IF(AND(V134&gt;0,AS134&gt;0),MIN(V134,AS134),"-")</f>
        <v>-</v>
      </c>
      <c r="BQ134" s="59" t="str">
        <f t="shared" ref="BQ134:BQ197" si="39">IF(COUNTIF(BH134:BP134,"&lt;&gt;-")=9,SUM(BH134:BP134),"-")</f>
        <v>-</v>
      </c>
      <c r="BR134" s="59" t="str">
        <f t="shared" ref="BR134:BR197" si="40">BG134</f>
        <v>-</v>
      </c>
      <c r="BS134" s="59" t="str">
        <f t="shared" ref="BS134:BS197" si="41">IF(COUNTIF(BQ134:BR134,"&lt;&gt;-")=2,SUM(BQ134:BR134),"-")</f>
        <v>-</v>
      </c>
      <c r="BT134" s="98" t="str">
        <f>IF(ISNUMBER(BS134),BS134-(C134*Rules!$P$9/100),"-")</f>
        <v>-</v>
      </c>
      <c r="BU134" s="59" t="e">
        <f>RANK($BT134,$BT$5:$BT$106,1)+COUNTIF(BT$5:BT134,BT134)-1</f>
        <v>#VALUE!</v>
      </c>
      <c r="BV134" s="59" t="e">
        <f t="shared" ref="BV134:BV197" si="42">RANK(BT134,$BT$5:$BT$215,1)</f>
        <v>#VALUE!</v>
      </c>
      <c r="BW134" s="59" t="str">
        <f t="shared" ref="BW134:BX197" si="43">B134</f>
        <v xml:space="preserve"> </v>
      </c>
      <c r="BX134" s="59">
        <f t="shared" si="43"/>
        <v>0</v>
      </c>
      <c r="BY134" s="59" t="str">
        <f t="shared" ref="BY134:BY197" si="44">BT134</f>
        <v>-</v>
      </c>
      <c r="CD134" s="79"/>
      <c r="CE134" s="80"/>
      <c r="CF134" s="104"/>
      <c r="CL134" s="77">
        <v>1</v>
      </c>
    </row>
    <row r="135" spans="1:90" ht="17.45" customHeight="1">
      <c r="A135" s="58">
        <v>131</v>
      </c>
      <c r="B135" s="59" t="str">
        <f>'B Div'!A135 &amp; " " &amp; 'B Div'!B135</f>
        <v xml:space="preserve"> </v>
      </c>
      <c r="C135" s="59">
        <f>'B Div'!E135</f>
        <v>0</v>
      </c>
      <c r="D135" s="60"/>
      <c r="E135" s="60"/>
      <c r="F135" s="60"/>
      <c r="G135" s="60"/>
      <c r="H135" s="60"/>
      <c r="I135" s="60"/>
      <c r="J135" s="60"/>
      <c r="K135" s="60"/>
      <c r="L135" s="60"/>
      <c r="M135" s="74" t="str">
        <f t="shared" si="30"/>
        <v>-</v>
      </c>
      <c r="N135" s="60"/>
      <c r="O135" s="60"/>
      <c r="P135" s="60"/>
      <c r="Q135" s="60"/>
      <c r="R135" s="60"/>
      <c r="S135" s="60"/>
      <c r="T135" s="60"/>
      <c r="U135" s="60"/>
      <c r="V135" s="60"/>
      <c r="W135" s="74" t="str">
        <f t="shared" si="31"/>
        <v>-</v>
      </c>
      <c r="X135" s="74" t="str">
        <f t="shared" si="32"/>
        <v>-</v>
      </c>
      <c r="Y135" s="74" t="str">
        <f t="shared" si="33"/>
        <v>-</v>
      </c>
      <c r="AA135" s="60"/>
      <c r="AB135" s="60"/>
      <c r="AC135" s="60"/>
      <c r="AD135" s="60"/>
      <c r="AE135" s="60"/>
      <c r="AF135" s="60"/>
      <c r="AG135" s="60"/>
      <c r="AH135" s="60"/>
      <c r="AI135" s="60"/>
      <c r="AJ135" s="74" t="str">
        <f t="shared" si="34"/>
        <v>-</v>
      </c>
      <c r="AK135" s="60"/>
      <c r="AL135" s="60"/>
      <c r="AM135" s="60"/>
      <c r="AN135" s="60"/>
      <c r="AO135" s="60"/>
      <c r="AP135" s="60"/>
      <c r="AQ135" s="60"/>
      <c r="AR135" s="60"/>
      <c r="AS135" s="60"/>
      <c r="AT135" s="74" t="str">
        <f t="shared" si="35"/>
        <v>-</v>
      </c>
      <c r="AU135" s="74" t="str">
        <f t="shared" si="36"/>
        <v>-</v>
      </c>
      <c r="AV135" s="74" t="str">
        <f t="shared" si="37"/>
        <v>-</v>
      </c>
      <c r="AX135" s="59" t="str">
        <f>IF(AND(D135&gt;0,AA135&gt;0),MIN(D135,AA135),"-")</f>
        <v>-</v>
      </c>
      <c r="AY135" s="59" t="str">
        <f>IF(AND(E135&gt;0,AB135&gt;0),MIN(E135,AB135),"-")</f>
        <v>-</v>
      </c>
      <c r="AZ135" s="59" t="str">
        <f>IF(AND(F135&gt;0,AC135&gt;0),MIN(F135,AC135),"-")</f>
        <v>-</v>
      </c>
      <c r="BA135" s="59" t="str">
        <f>IF(AND(G135&gt;0,AD135&gt;0),MIN(G135,AD135),"-")</f>
        <v>-</v>
      </c>
      <c r="BB135" s="59" t="str">
        <f>IF(AND(H135&gt;0,AE135&gt;0),MIN(H135,AE135),"-")</f>
        <v>-</v>
      </c>
      <c r="BC135" s="59" t="str">
        <f>IF(AND(I135&gt;0,AF135&gt;0),MIN(I135,AF135),"-")</f>
        <v>-</v>
      </c>
      <c r="BD135" s="59" t="str">
        <f>IF(AND(J135&gt;0,AG135&gt;0),MIN(J135,AG135),"-")</f>
        <v>-</v>
      </c>
      <c r="BE135" s="59" t="str">
        <f>IF(AND(K135&gt;0,AH135&gt;0),MIN(K135,AH135),"-")</f>
        <v>-</v>
      </c>
      <c r="BF135" s="59" t="str">
        <f>IF(AND(L135&gt;0,AI135&gt;0),MIN(L135,AI135),"-")</f>
        <v>-</v>
      </c>
      <c r="BG135" s="59" t="str">
        <f t="shared" si="38"/>
        <v>-</v>
      </c>
      <c r="BH135" s="59" t="str">
        <f>IF(AND(N135&gt;0,AK135&gt;0),MIN(N135,AK135),"-")</f>
        <v>-</v>
      </c>
      <c r="BI135" s="59" t="str">
        <f>IF(AND(O135&gt;0,AL135&gt;0),MIN(O135,AL135),"-")</f>
        <v>-</v>
      </c>
      <c r="BJ135" s="59" t="str">
        <f>IF(AND(P135&gt;0,AM135&gt;0),MIN(P135,AM135),"-")</f>
        <v>-</v>
      </c>
      <c r="BK135" s="59" t="str">
        <f>IF(AND(Q135&gt;0,AN135&gt;0),MIN(Q135,AN135),"-")</f>
        <v>-</v>
      </c>
      <c r="BL135" s="59" t="str">
        <f>IF(AND(R135&gt;0,AO135&gt;0),MIN(R135,AO135),"-")</f>
        <v>-</v>
      </c>
      <c r="BM135" s="59" t="str">
        <f>IF(AND(S135&gt;0,AP135&gt;0),MIN(S135,AP135),"-")</f>
        <v>-</v>
      </c>
      <c r="BN135" s="59" t="str">
        <f>IF(AND(T135&gt;0,AQ135&gt;0),MIN(T135,AQ135),"-")</f>
        <v>-</v>
      </c>
      <c r="BO135" s="59" t="str">
        <f>IF(AND(U135&gt;0,AR135&gt;0),MIN(U135,AR135),"-")</f>
        <v>-</v>
      </c>
      <c r="BP135" s="59" t="str">
        <f>IF(AND(V135&gt;0,AS135&gt;0),MIN(V135,AS135),"-")</f>
        <v>-</v>
      </c>
      <c r="BQ135" s="59" t="str">
        <f t="shared" si="39"/>
        <v>-</v>
      </c>
      <c r="BR135" s="59" t="str">
        <f t="shared" si="40"/>
        <v>-</v>
      </c>
      <c r="BS135" s="59" t="str">
        <f t="shared" si="41"/>
        <v>-</v>
      </c>
      <c r="BT135" s="98" t="str">
        <f>IF(ISNUMBER(BS135),BS135-(C135*Rules!$P$9/100),"-")</f>
        <v>-</v>
      </c>
      <c r="BU135" s="59" t="e">
        <f>RANK($BT135,$BT$5:$BT$106,1)+COUNTIF(BT$5:BT135,BT135)-1</f>
        <v>#VALUE!</v>
      </c>
      <c r="BV135" s="59" t="e">
        <f t="shared" si="42"/>
        <v>#VALUE!</v>
      </c>
      <c r="BW135" s="59" t="str">
        <f t="shared" si="43"/>
        <v xml:space="preserve"> </v>
      </c>
      <c r="BX135" s="59">
        <f t="shared" si="43"/>
        <v>0</v>
      </c>
      <c r="BY135" s="59" t="str">
        <f t="shared" si="44"/>
        <v>-</v>
      </c>
      <c r="CD135" s="79"/>
      <c r="CE135" s="80"/>
      <c r="CF135" s="104"/>
      <c r="CL135" s="77">
        <v>1</v>
      </c>
    </row>
    <row r="136" spans="1:90" ht="17.45" customHeight="1">
      <c r="A136" s="58">
        <v>132</v>
      </c>
      <c r="B136" s="59" t="str">
        <f>'B Div'!A136 &amp; " " &amp; 'B Div'!B136</f>
        <v xml:space="preserve"> </v>
      </c>
      <c r="C136" s="59">
        <f>'B Div'!E136</f>
        <v>0</v>
      </c>
      <c r="D136" s="60"/>
      <c r="E136" s="60"/>
      <c r="F136" s="60"/>
      <c r="G136" s="60"/>
      <c r="H136" s="60"/>
      <c r="I136" s="60"/>
      <c r="J136" s="60"/>
      <c r="K136" s="60"/>
      <c r="L136" s="60"/>
      <c r="M136" s="74" t="str">
        <f t="shared" si="30"/>
        <v>-</v>
      </c>
      <c r="N136" s="60"/>
      <c r="O136" s="60"/>
      <c r="P136" s="60"/>
      <c r="Q136" s="60"/>
      <c r="R136" s="60"/>
      <c r="S136" s="60"/>
      <c r="T136" s="60"/>
      <c r="U136" s="60"/>
      <c r="V136" s="60"/>
      <c r="W136" s="74" t="str">
        <f t="shared" si="31"/>
        <v>-</v>
      </c>
      <c r="X136" s="74" t="str">
        <f t="shared" si="32"/>
        <v>-</v>
      </c>
      <c r="Y136" s="74" t="str">
        <f t="shared" si="33"/>
        <v>-</v>
      </c>
      <c r="AA136" s="60"/>
      <c r="AB136" s="60"/>
      <c r="AC136" s="60"/>
      <c r="AD136" s="60"/>
      <c r="AE136" s="60"/>
      <c r="AF136" s="60"/>
      <c r="AG136" s="60"/>
      <c r="AH136" s="60"/>
      <c r="AI136" s="60"/>
      <c r="AJ136" s="74" t="str">
        <f t="shared" si="34"/>
        <v>-</v>
      </c>
      <c r="AK136" s="60"/>
      <c r="AL136" s="60"/>
      <c r="AM136" s="60"/>
      <c r="AN136" s="60"/>
      <c r="AO136" s="60"/>
      <c r="AP136" s="60"/>
      <c r="AQ136" s="60"/>
      <c r="AR136" s="60"/>
      <c r="AS136" s="60"/>
      <c r="AT136" s="74" t="str">
        <f t="shared" si="35"/>
        <v>-</v>
      </c>
      <c r="AU136" s="74" t="str">
        <f t="shared" si="36"/>
        <v>-</v>
      </c>
      <c r="AV136" s="74" t="str">
        <f t="shared" si="37"/>
        <v>-</v>
      </c>
      <c r="AX136" s="59" t="str">
        <f>IF(AND(D136&gt;0,AA136&gt;0),MIN(D136,AA136),"-")</f>
        <v>-</v>
      </c>
      <c r="AY136" s="59" t="str">
        <f>IF(AND(E136&gt;0,AB136&gt;0),MIN(E136,AB136),"-")</f>
        <v>-</v>
      </c>
      <c r="AZ136" s="59" t="str">
        <f>IF(AND(F136&gt;0,AC136&gt;0),MIN(F136,AC136),"-")</f>
        <v>-</v>
      </c>
      <c r="BA136" s="59" t="str">
        <f>IF(AND(G136&gt;0,AD136&gt;0),MIN(G136,AD136),"-")</f>
        <v>-</v>
      </c>
      <c r="BB136" s="59" t="str">
        <f>IF(AND(H136&gt;0,AE136&gt;0),MIN(H136,AE136),"-")</f>
        <v>-</v>
      </c>
      <c r="BC136" s="59" t="str">
        <f>IF(AND(I136&gt;0,AF136&gt;0),MIN(I136,AF136),"-")</f>
        <v>-</v>
      </c>
      <c r="BD136" s="59" t="str">
        <f>IF(AND(J136&gt;0,AG136&gt;0),MIN(J136,AG136),"-")</f>
        <v>-</v>
      </c>
      <c r="BE136" s="59" t="str">
        <f>IF(AND(K136&gt;0,AH136&gt;0),MIN(K136,AH136),"-")</f>
        <v>-</v>
      </c>
      <c r="BF136" s="59" t="str">
        <f>IF(AND(L136&gt;0,AI136&gt;0),MIN(L136,AI136),"-")</f>
        <v>-</v>
      </c>
      <c r="BG136" s="59" t="str">
        <f t="shared" si="38"/>
        <v>-</v>
      </c>
      <c r="BH136" s="59" t="str">
        <f>IF(AND(N136&gt;0,AK136&gt;0),MIN(N136,AK136),"-")</f>
        <v>-</v>
      </c>
      <c r="BI136" s="59" t="str">
        <f>IF(AND(O136&gt;0,AL136&gt;0),MIN(O136,AL136),"-")</f>
        <v>-</v>
      </c>
      <c r="BJ136" s="59" t="str">
        <f>IF(AND(P136&gt;0,AM136&gt;0),MIN(P136,AM136),"-")</f>
        <v>-</v>
      </c>
      <c r="BK136" s="59" t="str">
        <f>IF(AND(Q136&gt;0,AN136&gt;0),MIN(Q136,AN136),"-")</f>
        <v>-</v>
      </c>
      <c r="BL136" s="59" t="str">
        <f>IF(AND(R136&gt;0,AO136&gt;0),MIN(R136,AO136),"-")</f>
        <v>-</v>
      </c>
      <c r="BM136" s="59" t="str">
        <f>IF(AND(S136&gt;0,AP136&gt;0),MIN(S136,AP136),"-")</f>
        <v>-</v>
      </c>
      <c r="BN136" s="59" t="str">
        <f>IF(AND(T136&gt;0,AQ136&gt;0),MIN(T136,AQ136),"-")</f>
        <v>-</v>
      </c>
      <c r="BO136" s="59" t="str">
        <f>IF(AND(U136&gt;0,AR136&gt;0),MIN(U136,AR136),"-")</f>
        <v>-</v>
      </c>
      <c r="BP136" s="59" t="str">
        <f>IF(AND(V136&gt;0,AS136&gt;0),MIN(V136,AS136),"-")</f>
        <v>-</v>
      </c>
      <c r="BQ136" s="59" t="str">
        <f t="shared" si="39"/>
        <v>-</v>
      </c>
      <c r="BR136" s="59" t="str">
        <f t="shared" si="40"/>
        <v>-</v>
      </c>
      <c r="BS136" s="59" t="str">
        <f t="shared" si="41"/>
        <v>-</v>
      </c>
      <c r="BT136" s="98" t="str">
        <f>IF(ISNUMBER(BS136),BS136-(C136*Rules!$P$9/100),"-")</f>
        <v>-</v>
      </c>
      <c r="BU136" s="59" t="e">
        <f>RANK($BT136,$BT$5:$BT$106,1)+COUNTIF(BT$5:BT136,BT136)-1</f>
        <v>#VALUE!</v>
      </c>
      <c r="BV136" s="59" t="e">
        <f t="shared" si="42"/>
        <v>#VALUE!</v>
      </c>
      <c r="BW136" s="59" t="str">
        <f t="shared" si="43"/>
        <v xml:space="preserve"> </v>
      </c>
      <c r="BX136" s="59">
        <f t="shared" si="43"/>
        <v>0</v>
      </c>
      <c r="BY136" s="59" t="str">
        <f t="shared" si="44"/>
        <v>-</v>
      </c>
      <c r="CD136" s="79"/>
      <c r="CE136" s="80"/>
      <c r="CF136" s="104"/>
      <c r="CL136" s="77">
        <v>1</v>
      </c>
    </row>
    <row r="137" spans="1:90" ht="17.45" customHeight="1">
      <c r="A137" s="58">
        <v>133</v>
      </c>
      <c r="B137" s="59" t="str">
        <f>'B Div'!A137 &amp; " " &amp; 'B Div'!B137</f>
        <v xml:space="preserve"> </v>
      </c>
      <c r="C137" s="59">
        <f>'B Div'!E137</f>
        <v>0</v>
      </c>
      <c r="D137" s="60"/>
      <c r="E137" s="60"/>
      <c r="F137" s="60"/>
      <c r="G137" s="60"/>
      <c r="H137" s="60"/>
      <c r="I137" s="60"/>
      <c r="J137" s="60"/>
      <c r="K137" s="60"/>
      <c r="L137" s="60"/>
      <c r="M137" s="74" t="str">
        <f t="shared" si="30"/>
        <v>-</v>
      </c>
      <c r="N137" s="60"/>
      <c r="O137" s="60"/>
      <c r="P137" s="60"/>
      <c r="Q137" s="60"/>
      <c r="R137" s="60"/>
      <c r="S137" s="60"/>
      <c r="T137" s="60"/>
      <c r="U137" s="60"/>
      <c r="V137" s="60"/>
      <c r="W137" s="74" t="str">
        <f t="shared" si="31"/>
        <v>-</v>
      </c>
      <c r="X137" s="74" t="str">
        <f t="shared" si="32"/>
        <v>-</v>
      </c>
      <c r="Y137" s="74" t="str">
        <f t="shared" si="33"/>
        <v>-</v>
      </c>
      <c r="AA137" s="60"/>
      <c r="AB137" s="60"/>
      <c r="AC137" s="60"/>
      <c r="AD137" s="60"/>
      <c r="AE137" s="60"/>
      <c r="AF137" s="60"/>
      <c r="AG137" s="60"/>
      <c r="AH137" s="60"/>
      <c r="AI137" s="60"/>
      <c r="AJ137" s="74" t="str">
        <f t="shared" si="34"/>
        <v>-</v>
      </c>
      <c r="AK137" s="60"/>
      <c r="AL137" s="60"/>
      <c r="AM137" s="60"/>
      <c r="AN137" s="60"/>
      <c r="AO137" s="60"/>
      <c r="AP137" s="60"/>
      <c r="AQ137" s="60"/>
      <c r="AR137" s="60"/>
      <c r="AS137" s="60"/>
      <c r="AT137" s="74" t="str">
        <f t="shared" si="35"/>
        <v>-</v>
      </c>
      <c r="AU137" s="74" t="str">
        <f t="shared" si="36"/>
        <v>-</v>
      </c>
      <c r="AV137" s="74" t="str">
        <f t="shared" si="37"/>
        <v>-</v>
      </c>
      <c r="AX137" s="59" t="str">
        <f>IF(AND(D137&gt;0,AA137&gt;0),MIN(D137,AA137),"-")</f>
        <v>-</v>
      </c>
      <c r="AY137" s="59" t="str">
        <f>IF(AND(E137&gt;0,AB137&gt;0),MIN(E137,AB137),"-")</f>
        <v>-</v>
      </c>
      <c r="AZ137" s="59" t="str">
        <f>IF(AND(F137&gt;0,AC137&gt;0),MIN(F137,AC137),"-")</f>
        <v>-</v>
      </c>
      <c r="BA137" s="59" t="str">
        <f>IF(AND(G137&gt;0,AD137&gt;0),MIN(G137,AD137),"-")</f>
        <v>-</v>
      </c>
      <c r="BB137" s="59" t="str">
        <f>IF(AND(H137&gt;0,AE137&gt;0),MIN(H137,AE137),"-")</f>
        <v>-</v>
      </c>
      <c r="BC137" s="59" t="str">
        <f>IF(AND(I137&gt;0,AF137&gt;0),MIN(I137,AF137),"-")</f>
        <v>-</v>
      </c>
      <c r="BD137" s="59" t="str">
        <f>IF(AND(J137&gt;0,AG137&gt;0),MIN(J137,AG137),"-")</f>
        <v>-</v>
      </c>
      <c r="BE137" s="59" t="str">
        <f>IF(AND(K137&gt;0,AH137&gt;0),MIN(K137,AH137),"-")</f>
        <v>-</v>
      </c>
      <c r="BF137" s="59" t="str">
        <f>IF(AND(L137&gt;0,AI137&gt;0),MIN(L137,AI137),"-")</f>
        <v>-</v>
      </c>
      <c r="BG137" s="59" t="str">
        <f t="shared" si="38"/>
        <v>-</v>
      </c>
      <c r="BH137" s="59" t="str">
        <f>IF(AND(N137&gt;0,AK137&gt;0),MIN(N137,AK137),"-")</f>
        <v>-</v>
      </c>
      <c r="BI137" s="59" t="str">
        <f>IF(AND(O137&gt;0,AL137&gt;0),MIN(O137,AL137),"-")</f>
        <v>-</v>
      </c>
      <c r="BJ137" s="59" t="str">
        <f>IF(AND(P137&gt;0,AM137&gt;0),MIN(P137,AM137),"-")</f>
        <v>-</v>
      </c>
      <c r="BK137" s="59" t="str">
        <f>IF(AND(Q137&gt;0,AN137&gt;0),MIN(Q137,AN137),"-")</f>
        <v>-</v>
      </c>
      <c r="BL137" s="59" t="str">
        <f>IF(AND(R137&gt;0,AO137&gt;0),MIN(R137,AO137),"-")</f>
        <v>-</v>
      </c>
      <c r="BM137" s="59" t="str">
        <f>IF(AND(S137&gt;0,AP137&gt;0),MIN(S137,AP137),"-")</f>
        <v>-</v>
      </c>
      <c r="BN137" s="59" t="str">
        <f>IF(AND(T137&gt;0,AQ137&gt;0),MIN(T137,AQ137),"-")</f>
        <v>-</v>
      </c>
      <c r="BO137" s="59" t="str">
        <f>IF(AND(U137&gt;0,AR137&gt;0),MIN(U137,AR137),"-")</f>
        <v>-</v>
      </c>
      <c r="BP137" s="59" t="str">
        <f>IF(AND(V137&gt;0,AS137&gt;0),MIN(V137,AS137),"-")</f>
        <v>-</v>
      </c>
      <c r="BQ137" s="59" t="str">
        <f t="shared" si="39"/>
        <v>-</v>
      </c>
      <c r="BR137" s="59" t="str">
        <f t="shared" si="40"/>
        <v>-</v>
      </c>
      <c r="BS137" s="59" t="str">
        <f t="shared" si="41"/>
        <v>-</v>
      </c>
      <c r="BT137" s="98" t="str">
        <f>IF(ISNUMBER(BS137),BS137-(C137*Rules!$P$9/100),"-")</f>
        <v>-</v>
      </c>
      <c r="BU137" s="59" t="e">
        <f>RANK($BT137,$BT$5:$BT$106,1)+COUNTIF(BT$5:BT137,BT137)-1</f>
        <v>#VALUE!</v>
      </c>
      <c r="BV137" s="59" t="e">
        <f t="shared" si="42"/>
        <v>#VALUE!</v>
      </c>
      <c r="BW137" s="59" t="str">
        <f t="shared" si="43"/>
        <v xml:space="preserve"> </v>
      </c>
      <c r="BX137" s="59">
        <f t="shared" si="43"/>
        <v>0</v>
      </c>
      <c r="BY137" s="59" t="str">
        <f t="shared" si="44"/>
        <v>-</v>
      </c>
      <c r="CD137" s="79"/>
      <c r="CE137" s="80"/>
      <c r="CF137" s="104"/>
      <c r="CL137" s="77">
        <v>1</v>
      </c>
    </row>
    <row r="138" spans="1:90" ht="17.45" customHeight="1">
      <c r="A138" s="58">
        <v>134</v>
      </c>
      <c r="B138" s="59" t="str">
        <f>'B Div'!A138 &amp; " " &amp; 'B Div'!B138</f>
        <v xml:space="preserve"> </v>
      </c>
      <c r="C138" s="59">
        <f>'B Div'!E138</f>
        <v>0</v>
      </c>
      <c r="D138" s="60"/>
      <c r="E138" s="60"/>
      <c r="F138" s="60"/>
      <c r="G138" s="60"/>
      <c r="H138" s="60"/>
      <c r="I138" s="60"/>
      <c r="J138" s="60"/>
      <c r="K138" s="60"/>
      <c r="L138" s="60"/>
      <c r="M138" s="74" t="str">
        <f t="shared" si="30"/>
        <v>-</v>
      </c>
      <c r="N138" s="60"/>
      <c r="O138" s="60"/>
      <c r="P138" s="60"/>
      <c r="Q138" s="60"/>
      <c r="R138" s="60"/>
      <c r="S138" s="60"/>
      <c r="T138" s="60"/>
      <c r="U138" s="60"/>
      <c r="V138" s="60"/>
      <c r="W138" s="74" t="str">
        <f t="shared" si="31"/>
        <v>-</v>
      </c>
      <c r="X138" s="74" t="str">
        <f t="shared" si="32"/>
        <v>-</v>
      </c>
      <c r="Y138" s="74" t="str">
        <f t="shared" si="33"/>
        <v>-</v>
      </c>
      <c r="AA138" s="60"/>
      <c r="AB138" s="60"/>
      <c r="AC138" s="60"/>
      <c r="AD138" s="60"/>
      <c r="AE138" s="60"/>
      <c r="AF138" s="60"/>
      <c r="AG138" s="60"/>
      <c r="AH138" s="60"/>
      <c r="AI138" s="60"/>
      <c r="AJ138" s="74" t="str">
        <f t="shared" si="34"/>
        <v>-</v>
      </c>
      <c r="AK138" s="60"/>
      <c r="AL138" s="60"/>
      <c r="AM138" s="60"/>
      <c r="AN138" s="60"/>
      <c r="AO138" s="60"/>
      <c r="AP138" s="60"/>
      <c r="AQ138" s="60"/>
      <c r="AR138" s="60"/>
      <c r="AS138" s="60"/>
      <c r="AT138" s="74" t="str">
        <f t="shared" si="35"/>
        <v>-</v>
      </c>
      <c r="AU138" s="74" t="str">
        <f t="shared" si="36"/>
        <v>-</v>
      </c>
      <c r="AV138" s="74" t="str">
        <f t="shared" si="37"/>
        <v>-</v>
      </c>
      <c r="AX138" s="59" t="str">
        <f>IF(AND(D138&gt;0,AA138&gt;0),MIN(D138,AA138),"-")</f>
        <v>-</v>
      </c>
      <c r="AY138" s="59" t="str">
        <f>IF(AND(E138&gt;0,AB138&gt;0),MIN(E138,AB138),"-")</f>
        <v>-</v>
      </c>
      <c r="AZ138" s="59" t="str">
        <f>IF(AND(F138&gt;0,AC138&gt;0),MIN(F138,AC138),"-")</f>
        <v>-</v>
      </c>
      <c r="BA138" s="59" t="str">
        <f>IF(AND(G138&gt;0,AD138&gt;0),MIN(G138,AD138),"-")</f>
        <v>-</v>
      </c>
      <c r="BB138" s="59" t="str">
        <f>IF(AND(H138&gt;0,AE138&gt;0),MIN(H138,AE138),"-")</f>
        <v>-</v>
      </c>
      <c r="BC138" s="59" t="str">
        <f>IF(AND(I138&gt;0,AF138&gt;0),MIN(I138,AF138),"-")</f>
        <v>-</v>
      </c>
      <c r="BD138" s="59" t="str">
        <f>IF(AND(J138&gt;0,AG138&gt;0),MIN(J138,AG138),"-")</f>
        <v>-</v>
      </c>
      <c r="BE138" s="59" t="str">
        <f>IF(AND(K138&gt;0,AH138&gt;0),MIN(K138,AH138),"-")</f>
        <v>-</v>
      </c>
      <c r="BF138" s="59" t="str">
        <f>IF(AND(L138&gt;0,AI138&gt;0),MIN(L138,AI138),"-")</f>
        <v>-</v>
      </c>
      <c r="BG138" s="59" t="str">
        <f t="shared" si="38"/>
        <v>-</v>
      </c>
      <c r="BH138" s="59" t="str">
        <f>IF(AND(N138&gt;0,AK138&gt;0),MIN(N138,AK138),"-")</f>
        <v>-</v>
      </c>
      <c r="BI138" s="59" t="str">
        <f>IF(AND(O138&gt;0,AL138&gt;0),MIN(O138,AL138),"-")</f>
        <v>-</v>
      </c>
      <c r="BJ138" s="59" t="str">
        <f>IF(AND(P138&gt;0,AM138&gt;0),MIN(P138,AM138),"-")</f>
        <v>-</v>
      </c>
      <c r="BK138" s="59" t="str">
        <f>IF(AND(Q138&gt;0,AN138&gt;0),MIN(Q138,AN138),"-")</f>
        <v>-</v>
      </c>
      <c r="BL138" s="59" t="str">
        <f>IF(AND(R138&gt;0,AO138&gt;0),MIN(R138,AO138),"-")</f>
        <v>-</v>
      </c>
      <c r="BM138" s="59" t="str">
        <f>IF(AND(S138&gt;0,AP138&gt;0),MIN(S138,AP138),"-")</f>
        <v>-</v>
      </c>
      <c r="BN138" s="59" t="str">
        <f>IF(AND(T138&gt;0,AQ138&gt;0),MIN(T138,AQ138),"-")</f>
        <v>-</v>
      </c>
      <c r="BO138" s="59" t="str">
        <f>IF(AND(U138&gt;0,AR138&gt;0),MIN(U138,AR138),"-")</f>
        <v>-</v>
      </c>
      <c r="BP138" s="59" t="str">
        <f>IF(AND(V138&gt;0,AS138&gt;0),MIN(V138,AS138),"-")</f>
        <v>-</v>
      </c>
      <c r="BQ138" s="59" t="str">
        <f t="shared" si="39"/>
        <v>-</v>
      </c>
      <c r="BR138" s="59" t="str">
        <f t="shared" si="40"/>
        <v>-</v>
      </c>
      <c r="BS138" s="59" t="str">
        <f t="shared" si="41"/>
        <v>-</v>
      </c>
      <c r="BT138" s="98" t="str">
        <f>IF(ISNUMBER(BS138),BS138-(C138*Rules!$P$9/100),"-")</f>
        <v>-</v>
      </c>
      <c r="BU138" s="59" t="e">
        <f>RANK($BT138,$BT$5:$BT$106,1)+COUNTIF(BT$5:BT138,BT138)-1</f>
        <v>#VALUE!</v>
      </c>
      <c r="BV138" s="59" t="e">
        <f t="shared" si="42"/>
        <v>#VALUE!</v>
      </c>
      <c r="BW138" s="59" t="str">
        <f t="shared" si="43"/>
        <v xml:space="preserve"> </v>
      </c>
      <c r="BX138" s="59">
        <f t="shared" si="43"/>
        <v>0</v>
      </c>
      <c r="BY138" s="59" t="str">
        <f t="shared" si="44"/>
        <v>-</v>
      </c>
      <c r="CD138" s="79"/>
      <c r="CE138" s="80"/>
      <c r="CF138" s="104"/>
      <c r="CL138" s="77">
        <v>1</v>
      </c>
    </row>
    <row r="139" spans="1:90" ht="17.45" customHeight="1">
      <c r="A139" s="58">
        <v>135</v>
      </c>
      <c r="B139" s="59" t="str">
        <f>'B Div'!A139 &amp; " " &amp; 'B Div'!B139</f>
        <v xml:space="preserve"> </v>
      </c>
      <c r="C139" s="59">
        <f>'B Div'!E139</f>
        <v>0</v>
      </c>
      <c r="D139" s="60"/>
      <c r="E139" s="60"/>
      <c r="F139" s="60"/>
      <c r="G139" s="60"/>
      <c r="H139" s="60"/>
      <c r="I139" s="60"/>
      <c r="J139" s="60"/>
      <c r="K139" s="60"/>
      <c r="L139" s="60"/>
      <c r="M139" s="74" t="str">
        <f t="shared" si="30"/>
        <v>-</v>
      </c>
      <c r="N139" s="60"/>
      <c r="O139" s="60"/>
      <c r="P139" s="60"/>
      <c r="Q139" s="60"/>
      <c r="R139" s="60"/>
      <c r="S139" s="60"/>
      <c r="T139" s="60"/>
      <c r="U139" s="60"/>
      <c r="V139" s="60"/>
      <c r="W139" s="74" t="str">
        <f t="shared" si="31"/>
        <v>-</v>
      </c>
      <c r="X139" s="74" t="str">
        <f t="shared" si="32"/>
        <v>-</v>
      </c>
      <c r="Y139" s="74" t="str">
        <f t="shared" si="33"/>
        <v>-</v>
      </c>
      <c r="AA139" s="60"/>
      <c r="AB139" s="60"/>
      <c r="AC139" s="60"/>
      <c r="AD139" s="60"/>
      <c r="AE139" s="60"/>
      <c r="AF139" s="60"/>
      <c r="AG139" s="60"/>
      <c r="AH139" s="60"/>
      <c r="AI139" s="60"/>
      <c r="AJ139" s="74" t="str">
        <f t="shared" si="34"/>
        <v>-</v>
      </c>
      <c r="AK139" s="60"/>
      <c r="AL139" s="60"/>
      <c r="AM139" s="60"/>
      <c r="AN139" s="60"/>
      <c r="AO139" s="60"/>
      <c r="AP139" s="60"/>
      <c r="AQ139" s="60"/>
      <c r="AR139" s="60"/>
      <c r="AS139" s="60"/>
      <c r="AT139" s="74" t="str">
        <f t="shared" si="35"/>
        <v>-</v>
      </c>
      <c r="AU139" s="74" t="str">
        <f t="shared" si="36"/>
        <v>-</v>
      </c>
      <c r="AV139" s="74" t="str">
        <f t="shared" si="37"/>
        <v>-</v>
      </c>
      <c r="AX139" s="59" t="str">
        <f>IF(AND(D139&gt;0,AA139&gt;0),MIN(D139,AA139),"-")</f>
        <v>-</v>
      </c>
      <c r="AY139" s="59" t="str">
        <f>IF(AND(E139&gt;0,AB139&gt;0),MIN(E139,AB139),"-")</f>
        <v>-</v>
      </c>
      <c r="AZ139" s="59" t="str">
        <f>IF(AND(F139&gt;0,AC139&gt;0),MIN(F139,AC139),"-")</f>
        <v>-</v>
      </c>
      <c r="BA139" s="59" t="str">
        <f>IF(AND(G139&gt;0,AD139&gt;0),MIN(G139,AD139),"-")</f>
        <v>-</v>
      </c>
      <c r="BB139" s="59" t="str">
        <f>IF(AND(H139&gt;0,AE139&gt;0),MIN(H139,AE139),"-")</f>
        <v>-</v>
      </c>
      <c r="BC139" s="59" t="str">
        <f>IF(AND(I139&gt;0,AF139&gt;0),MIN(I139,AF139),"-")</f>
        <v>-</v>
      </c>
      <c r="BD139" s="59" t="str">
        <f>IF(AND(J139&gt;0,AG139&gt;0),MIN(J139,AG139),"-")</f>
        <v>-</v>
      </c>
      <c r="BE139" s="59" t="str">
        <f>IF(AND(K139&gt;0,AH139&gt;0),MIN(K139,AH139),"-")</f>
        <v>-</v>
      </c>
      <c r="BF139" s="59" t="str">
        <f>IF(AND(L139&gt;0,AI139&gt;0),MIN(L139,AI139),"-")</f>
        <v>-</v>
      </c>
      <c r="BG139" s="59" t="str">
        <f t="shared" si="38"/>
        <v>-</v>
      </c>
      <c r="BH139" s="59" t="str">
        <f>IF(AND(N139&gt;0,AK139&gt;0),MIN(N139,AK139),"-")</f>
        <v>-</v>
      </c>
      <c r="BI139" s="59" t="str">
        <f>IF(AND(O139&gt;0,AL139&gt;0),MIN(O139,AL139),"-")</f>
        <v>-</v>
      </c>
      <c r="BJ139" s="59" t="str">
        <f>IF(AND(P139&gt;0,AM139&gt;0),MIN(P139,AM139),"-")</f>
        <v>-</v>
      </c>
      <c r="BK139" s="59" t="str">
        <f>IF(AND(Q139&gt;0,AN139&gt;0),MIN(Q139,AN139),"-")</f>
        <v>-</v>
      </c>
      <c r="BL139" s="59" t="str">
        <f>IF(AND(R139&gt;0,AO139&gt;0),MIN(R139,AO139),"-")</f>
        <v>-</v>
      </c>
      <c r="BM139" s="59" t="str">
        <f>IF(AND(S139&gt;0,AP139&gt;0),MIN(S139,AP139),"-")</f>
        <v>-</v>
      </c>
      <c r="BN139" s="59" t="str">
        <f>IF(AND(T139&gt;0,AQ139&gt;0),MIN(T139,AQ139),"-")</f>
        <v>-</v>
      </c>
      <c r="BO139" s="59" t="str">
        <f>IF(AND(U139&gt;0,AR139&gt;0),MIN(U139,AR139),"-")</f>
        <v>-</v>
      </c>
      <c r="BP139" s="59" t="str">
        <f>IF(AND(V139&gt;0,AS139&gt;0),MIN(V139,AS139),"-")</f>
        <v>-</v>
      </c>
      <c r="BQ139" s="59" t="str">
        <f t="shared" si="39"/>
        <v>-</v>
      </c>
      <c r="BR139" s="59" t="str">
        <f t="shared" si="40"/>
        <v>-</v>
      </c>
      <c r="BS139" s="59" t="str">
        <f t="shared" si="41"/>
        <v>-</v>
      </c>
      <c r="BT139" s="98" t="str">
        <f>IF(ISNUMBER(BS139),BS139-(C139*Rules!$P$9/100),"-")</f>
        <v>-</v>
      </c>
      <c r="BU139" s="59" t="e">
        <f>RANK($BT139,$BT$5:$BT$106,1)+COUNTIF(BT$5:BT139,BT139)-1</f>
        <v>#VALUE!</v>
      </c>
      <c r="BV139" s="59" t="e">
        <f t="shared" si="42"/>
        <v>#VALUE!</v>
      </c>
      <c r="BW139" s="59" t="str">
        <f t="shared" si="43"/>
        <v xml:space="preserve"> </v>
      </c>
      <c r="BX139" s="59">
        <f t="shared" si="43"/>
        <v>0</v>
      </c>
      <c r="BY139" s="59" t="str">
        <f t="shared" si="44"/>
        <v>-</v>
      </c>
      <c r="CD139" s="79"/>
      <c r="CE139" s="80"/>
      <c r="CF139" s="104"/>
      <c r="CL139" s="77">
        <v>1</v>
      </c>
    </row>
    <row r="140" spans="1:90" ht="17.45" customHeight="1">
      <c r="A140" s="58">
        <v>136</v>
      </c>
      <c r="B140" s="59" t="str">
        <f>'B Div'!A140 &amp; " " &amp; 'B Div'!B140</f>
        <v xml:space="preserve"> </v>
      </c>
      <c r="C140" s="59">
        <f>'B Div'!E140</f>
        <v>0</v>
      </c>
      <c r="D140" s="60"/>
      <c r="E140" s="60"/>
      <c r="F140" s="60"/>
      <c r="G140" s="60"/>
      <c r="H140" s="60"/>
      <c r="I140" s="60"/>
      <c r="J140" s="60"/>
      <c r="K140" s="60"/>
      <c r="L140" s="60"/>
      <c r="M140" s="74" t="str">
        <f t="shared" si="30"/>
        <v>-</v>
      </c>
      <c r="N140" s="60"/>
      <c r="O140" s="60"/>
      <c r="P140" s="60"/>
      <c r="Q140" s="60"/>
      <c r="R140" s="60"/>
      <c r="S140" s="60"/>
      <c r="T140" s="60"/>
      <c r="U140" s="60"/>
      <c r="V140" s="60"/>
      <c r="W140" s="74" t="str">
        <f t="shared" si="31"/>
        <v>-</v>
      </c>
      <c r="X140" s="74" t="str">
        <f t="shared" si="32"/>
        <v>-</v>
      </c>
      <c r="Y140" s="74" t="str">
        <f t="shared" si="33"/>
        <v>-</v>
      </c>
      <c r="AA140" s="60"/>
      <c r="AB140" s="60"/>
      <c r="AC140" s="60"/>
      <c r="AD140" s="60"/>
      <c r="AE140" s="60"/>
      <c r="AF140" s="60"/>
      <c r="AG140" s="60"/>
      <c r="AH140" s="60"/>
      <c r="AI140" s="60"/>
      <c r="AJ140" s="74" t="str">
        <f t="shared" si="34"/>
        <v>-</v>
      </c>
      <c r="AK140" s="60"/>
      <c r="AL140" s="60"/>
      <c r="AM140" s="60"/>
      <c r="AN140" s="60"/>
      <c r="AO140" s="60"/>
      <c r="AP140" s="60"/>
      <c r="AQ140" s="60"/>
      <c r="AR140" s="60"/>
      <c r="AS140" s="60"/>
      <c r="AT140" s="74" t="str">
        <f t="shared" si="35"/>
        <v>-</v>
      </c>
      <c r="AU140" s="74" t="str">
        <f t="shared" si="36"/>
        <v>-</v>
      </c>
      <c r="AV140" s="74" t="str">
        <f t="shared" si="37"/>
        <v>-</v>
      </c>
      <c r="AX140" s="59" t="str">
        <f>IF(AND(D140&gt;0,AA140&gt;0),MIN(D140,AA140),"-")</f>
        <v>-</v>
      </c>
      <c r="AY140" s="59" t="str">
        <f>IF(AND(E140&gt;0,AB140&gt;0),MIN(E140,AB140),"-")</f>
        <v>-</v>
      </c>
      <c r="AZ140" s="59" t="str">
        <f>IF(AND(F140&gt;0,AC140&gt;0),MIN(F140,AC140),"-")</f>
        <v>-</v>
      </c>
      <c r="BA140" s="59" t="str">
        <f>IF(AND(G140&gt;0,AD140&gt;0),MIN(G140,AD140),"-")</f>
        <v>-</v>
      </c>
      <c r="BB140" s="59" t="str">
        <f>IF(AND(H140&gt;0,AE140&gt;0),MIN(H140,AE140),"-")</f>
        <v>-</v>
      </c>
      <c r="BC140" s="59" t="str">
        <f>IF(AND(I140&gt;0,AF140&gt;0),MIN(I140,AF140),"-")</f>
        <v>-</v>
      </c>
      <c r="BD140" s="59" t="str">
        <f>IF(AND(J140&gt;0,AG140&gt;0),MIN(J140,AG140),"-")</f>
        <v>-</v>
      </c>
      <c r="BE140" s="59" t="str">
        <f>IF(AND(K140&gt;0,AH140&gt;0),MIN(K140,AH140),"-")</f>
        <v>-</v>
      </c>
      <c r="BF140" s="59" t="str">
        <f>IF(AND(L140&gt;0,AI140&gt;0),MIN(L140,AI140),"-")</f>
        <v>-</v>
      </c>
      <c r="BG140" s="59" t="str">
        <f t="shared" si="38"/>
        <v>-</v>
      </c>
      <c r="BH140" s="59" t="str">
        <f>IF(AND(N140&gt;0,AK140&gt;0),MIN(N140,AK140),"-")</f>
        <v>-</v>
      </c>
      <c r="BI140" s="59" t="str">
        <f>IF(AND(O140&gt;0,AL140&gt;0),MIN(O140,AL140),"-")</f>
        <v>-</v>
      </c>
      <c r="BJ140" s="59" t="str">
        <f>IF(AND(P140&gt;0,AM140&gt;0),MIN(P140,AM140),"-")</f>
        <v>-</v>
      </c>
      <c r="BK140" s="59" t="str">
        <f>IF(AND(Q140&gt;0,AN140&gt;0),MIN(Q140,AN140),"-")</f>
        <v>-</v>
      </c>
      <c r="BL140" s="59" t="str">
        <f>IF(AND(R140&gt;0,AO140&gt;0),MIN(R140,AO140),"-")</f>
        <v>-</v>
      </c>
      <c r="BM140" s="59" t="str">
        <f>IF(AND(S140&gt;0,AP140&gt;0),MIN(S140,AP140),"-")</f>
        <v>-</v>
      </c>
      <c r="BN140" s="59" t="str">
        <f>IF(AND(T140&gt;0,AQ140&gt;0),MIN(T140,AQ140),"-")</f>
        <v>-</v>
      </c>
      <c r="BO140" s="59" t="str">
        <f>IF(AND(U140&gt;0,AR140&gt;0),MIN(U140,AR140),"-")</f>
        <v>-</v>
      </c>
      <c r="BP140" s="59" t="str">
        <f>IF(AND(V140&gt;0,AS140&gt;0),MIN(V140,AS140),"-")</f>
        <v>-</v>
      </c>
      <c r="BQ140" s="59" t="str">
        <f t="shared" si="39"/>
        <v>-</v>
      </c>
      <c r="BR140" s="59" t="str">
        <f t="shared" si="40"/>
        <v>-</v>
      </c>
      <c r="BS140" s="59" t="str">
        <f t="shared" si="41"/>
        <v>-</v>
      </c>
      <c r="BT140" s="98" t="str">
        <f>IF(ISNUMBER(BS140),BS140-(C140*Rules!$P$9/100),"-")</f>
        <v>-</v>
      </c>
      <c r="BU140" s="59" t="e">
        <f>RANK($BT140,$BT$5:$BT$106,1)+COUNTIF(BT$5:BT140,BT140)-1</f>
        <v>#VALUE!</v>
      </c>
      <c r="BV140" s="59" t="e">
        <f t="shared" si="42"/>
        <v>#VALUE!</v>
      </c>
      <c r="BW140" s="59" t="str">
        <f t="shared" si="43"/>
        <v xml:space="preserve"> </v>
      </c>
      <c r="BX140" s="59">
        <f t="shared" si="43"/>
        <v>0</v>
      </c>
      <c r="BY140" s="59" t="str">
        <f t="shared" si="44"/>
        <v>-</v>
      </c>
      <c r="CD140" s="79"/>
      <c r="CE140" s="80"/>
      <c r="CF140" s="104"/>
      <c r="CL140" s="77">
        <v>1</v>
      </c>
    </row>
    <row r="141" spans="1:90" ht="17.45" customHeight="1">
      <c r="A141" s="58">
        <v>137</v>
      </c>
      <c r="B141" s="59" t="str">
        <f>'B Div'!A141 &amp; " " &amp; 'B Div'!B141</f>
        <v xml:space="preserve"> </v>
      </c>
      <c r="C141" s="59">
        <f>'B Div'!E141</f>
        <v>0</v>
      </c>
      <c r="D141" s="60"/>
      <c r="E141" s="60"/>
      <c r="F141" s="60"/>
      <c r="G141" s="60"/>
      <c r="H141" s="60"/>
      <c r="I141" s="60"/>
      <c r="J141" s="60"/>
      <c r="K141" s="60"/>
      <c r="L141" s="60"/>
      <c r="M141" s="74" t="str">
        <f t="shared" si="30"/>
        <v>-</v>
      </c>
      <c r="N141" s="60"/>
      <c r="O141" s="60"/>
      <c r="P141" s="60"/>
      <c r="Q141" s="60"/>
      <c r="R141" s="60"/>
      <c r="S141" s="60"/>
      <c r="T141" s="60"/>
      <c r="U141" s="60"/>
      <c r="V141" s="60"/>
      <c r="W141" s="74" t="str">
        <f t="shared" si="31"/>
        <v>-</v>
      </c>
      <c r="X141" s="74" t="str">
        <f t="shared" si="32"/>
        <v>-</v>
      </c>
      <c r="Y141" s="74" t="str">
        <f t="shared" si="33"/>
        <v>-</v>
      </c>
      <c r="AA141" s="60"/>
      <c r="AB141" s="60"/>
      <c r="AC141" s="60"/>
      <c r="AD141" s="60"/>
      <c r="AE141" s="60"/>
      <c r="AF141" s="60"/>
      <c r="AG141" s="60"/>
      <c r="AH141" s="60"/>
      <c r="AI141" s="60"/>
      <c r="AJ141" s="74" t="str">
        <f t="shared" si="34"/>
        <v>-</v>
      </c>
      <c r="AK141" s="60"/>
      <c r="AL141" s="60"/>
      <c r="AM141" s="60"/>
      <c r="AN141" s="60"/>
      <c r="AO141" s="60"/>
      <c r="AP141" s="60"/>
      <c r="AQ141" s="60"/>
      <c r="AR141" s="60"/>
      <c r="AS141" s="60"/>
      <c r="AT141" s="74" t="str">
        <f t="shared" si="35"/>
        <v>-</v>
      </c>
      <c r="AU141" s="74" t="str">
        <f t="shared" si="36"/>
        <v>-</v>
      </c>
      <c r="AV141" s="74" t="str">
        <f t="shared" si="37"/>
        <v>-</v>
      </c>
      <c r="AX141" s="59" t="str">
        <f>IF(AND(D141&gt;0,AA141&gt;0),MIN(D141,AA141),"-")</f>
        <v>-</v>
      </c>
      <c r="AY141" s="59" t="str">
        <f>IF(AND(E141&gt;0,AB141&gt;0),MIN(E141,AB141),"-")</f>
        <v>-</v>
      </c>
      <c r="AZ141" s="59" t="str">
        <f>IF(AND(F141&gt;0,AC141&gt;0),MIN(F141,AC141),"-")</f>
        <v>-</v>
      </c>
      <c r="BA141" s="59" t="str">
        <f>IF(AND(G141&gt;0,AD141&gt;0),MIN(G141,AD141),"-")</f>
        <v>-</v>
      </c>
      <c r="BB141" s="59" t="str">
        <f>IF(AND(H141&gt;0,AE141&gt;0),MIN(H141,AE141),"-")</f>
        <v>-</v>
      </c>
      <c r="BC141" s="59" t="str">
        <f>IF(AND(I141&gt;0,AF141&gt;0),MIN(I141,AF141),"-")</f>
        <v>-</v>
      </c>
      <c r="BD141" s="59" t="str">
        <f>IF(AND(J141&gt;0,AG141&gt;0),MIN(J141,AG141),"-")</f>
        <v>-</v>
      </c>
      <c r="BE141" s="59" t="str">
        <f>IF(AND(K141&gt;0,AH141&gt;0),MIN(K141,AH141),"-")</f>
        <v>-</v>
      </c>
      <c r="BF141" s="59" t="str">
        <f>IF(AND(L141&gt;0,AI141&gt;0),MIN(L141,AI141),"-")</f>
        <v>-</v>
      </c>
      <c r="BG141" s="59" t="str">
        <f t="shared" si="38"/>
        <v>-</v>
      </c>
      <c r="BH141" s="59" t="str">
        <f>IF(AND(N141&gt;0,AK141&gt;0),MIN(N141,AK141),"-")</f>
        <v>-</v>
      </c>
      <c r="BI141" s="59" t="str">
        <f>IF(AND(O141&gt;0,AL141&gt;0),MIN(O141,AL141),"-")</f>
        <v>-</v>
      </c>
      <c r="BJ141" s="59" t="str">
        <f>IF(AND(P141&gt;0,AM141&gt;0),MIN(P141,AM141),"-")</f>
        <v>-</v>
      </c>
      <c r="BK141" s="59" t="str">
        <f>IF(AND(Q141&gt;0,AN141&gt;0),MIN(Q141,AN141),"-")</f>
        <v>-</v>
      </c>
      <c r="BL141" s="59" t="str">
        <f>IF(AND(R141&gt;0,AO141&gt;0),MIN(R141,AO141),"-")</f>
        <v>-</v>
      </c>
      <c r="BM141" s="59" t="str">
        <f>IF(AND(S141&gt;0,AP141&gt;0),MIN(S141,AP141),"-")</f>
        <v>-</v>
      </c>
      <c r="BN141" s="59" t="str">
        <f>IF(AND(T141&gt;0,AQ141&gt;0),MIN(T141,AQ141),"-")</f>
        <v>-</v>
      </c>
      <c r="BO141" s="59" t="str">
        <f>IF(AND(U141&gt;0,AR141&gt;0),MIN(U141,AR141),"-")</f>
        <v>-</v>
      </c>
      <c r="BP141" s="59" t="str">
        <f>IF(AND(V141&gt;0,AS141&gt;0),MIN(V141,AS141),"-")</f>
        <v>-</v>
      </c>
      <c r="BQ141" s="59" t="str">
        <f t="shared" si="39"/>
        <v>-</v>
      </c>
      <c r="BR141" s="59" t="str">
        <f t="shared" si="40"/>
        <v>-</v>
      </c>
      <c r="BS141" s="59" t="str">
        <f t="shared" si="41"/>
        <v>-</v>
      </c>
      <c r="BT141" s="98" t="str">
        <f>IF(ISNUMBER(BS141),BS141-(C141*Rules!$P$9/100),"-")</f>
        <v>-</v>
      </c>
      <c r="BU141" s="59" t="e">
        <f>RANK($BT141,$BT$5:$BT$106,1)+COUNTIF(BT$5:BT141,BT141)-1</f>
        <v>#VALUE!</v>
      </c>
      <c r="BV141" s="59" t="e">
        <f t="shared" si="42"/>
        <v>#VALUE!</v>
      </c>
      <c r="BW141" s="59" t="str">
        <f t="shared" si="43"/>
        <v xml:space="preserve"> </v>
      </c>
      <c r="BX141" s="59">
        <f t="shared" si="43"/>
        <v>0</v>
      </c>
      <c r="BY141" s="59" t="str">
        <f t="shared" si="44"/>
        <v>-</v>
      </c>
      <c r="CD141" s="79"/>
      <c r="CE141" s="80"/>
      <c r="CF141" s="104"/>
      <c r="CL141" s="77">
        <v>1</v>
      </c>
    </row>
    <row r="142" spans="1:90" ht="17.45" customHeight="1">
      <c r="A142" s="58">
        <v>138</v>
      </c>
      <c r="B142" s="59" t="str">
        <f>'B Div'!A142 &amp; " " &amp; 'B Div'!B142</f>
        <v xml:space="preserve"> </v>
      </c>
      <c r="C142" s="59">
        <f>'B Div'!E142</f>
        <v>0</v>
      </c>
      <c r="D142" s="60"/>
      <c r="E142" s="60"/>
      <c r="F142" s="60"/>
      <c r="G142" s="60"/>
      <c r="H142" s="60"/>
      <c r="I142" s="60"/>
      <c r="J142" s="60"/>
      <c r="K142" s="60"/>
      <c r="L142" s="60"/>
      <c r="M142" s="74" t="str">
        <f t="shared" si="30"/>
        <v>-</v>
      </c>
      <c r="N142" s="60"/>
      <c r="O142" s="60"/>
      <c r="P142" s="60"/>
      <c r="Q142" s="60"/>
      <c r="R142" s="60"/>
      <c r="S142" s="60"/>
      <c r="T142" s="60"/>
      <c r="U142" s="60"/>
      <c r="V142" s="60"/>
      <c r="W142" s="74" t="str">
        <f t="shared" si="31"/>
        <v>-</v>
      </c>
      <c r="X142" s="74" t="str">
        <f t="shared" si="32"/>
        <v>-</v>
      </c>
      <c r="Y142" s="74" t="str">
        <f t="shared" si="33"/>
        <v>-</v>
      </c>
      <c r="AA142" s="60"/>
      <c r="AB142" s="60"/>
      <c r="AC142" s="60"/>
      <c r="AD142" s="60"/>
      <c r="AE142" s="60"/>
      <c r="AF142" s="60"/>
      <c r="AG142" s="60"/>
      <c r="AH142" s="60"/>
      <c r="AI142" s="60"/>
      <c r="AJ142" s="74" t="str">
        <f t="shared" si="34"/>
        <v>-</v>
      </c>
      <c r="AK142" s="60"/>
      <c r="AL142" s="60"/>
      <c r="AM142" s="60"/>
      <c r="AN142" s="60"/>
      <c r="AO142" s="60"/>
      <c r="AP142" s="60"/>
      <c r="AQ142" s="60"/>
      <c r="AR142" s="60"/>
      <c r="AS142" s="60"/>
      <c r="AT142" s="74" t="str">
        <f t="shared" si="35"/>
        <v>-</v>
      </c>
      <c r="AU142" s="74" t="str">
        <f t="shared" si="36"/>
        <v>-</v>
      </c>
      <c r="AV142" s="74" t="str">
        <f t="shared" si="37"/>
        <v>-</v>
      </c>
      <c r="AX142" s="59" t="str">
        <f>IF(AND(D142&gt;0,AA142&gt;0),MIN(D142,AA142),"-")</f>
        <v>-</v>
      </c>
      <c r="AY142" s="59" t="str">
        <f>IF(AND(E142&gt;0,AB142&gt;0),MIN(E142,AB142),"-")</f>
        <v>-</v>
      </c>
      <c r="AZ142" s="59" t="str">
        <f>IF(AND(F142&gt;0,AC142&gt;0),MIN(F142,AC142),"-")</f>
        <v>-</v>
      </c>
      <c r="BA142" s="59" t="str">
        <f>IF(AND(G142&gt;0,AD142&gt;0),MIN(G142,AD142),"-")</f>
        <v>-</v>
      </c>
      <c r="BB142" s="59" t="str">
        <f>IF(AND(H142&gt;0,AE142&gt;0),MIN(H142,AE142),"-")</f>
        <v>-</v>
      </c>
      <c r="BC142" s="59" t="str">
        <f>IF(AND(I142&gt;0,AF142&gt;0),MIN(I142,AF142),"-")</f>
        <v>-</v>
      </c>
      <c r="BD142" s="59" t="str">
        <f>IF(AND(J142&gt;0,AG142&gt;0),MIN(J142,AG142),"-")</f>
        <v>-</v>
      </c>
      <c r="BE142" s="59" t="str">
        <f>IF(AND(K142&gt;0,AH142&gt;0),MIN(K142,AH142),"-")</f>
        <v>-</v>
      </c>
      <c r="BF142" s="59" t="str">
        <f>IF(AND(L142&gt;0,AI142&gt;0),MIN(L142,AI142),"-")</f>
        <v>-</v>
      </c>
      <c r="BG142" s="59" t="str">
        <f t="shared" si="38"/>
        <v>-</v>
      </c>
      <c r="BH142" s="59" t="str">
        <f>IF(AND(N142&gt;0,AK142&gt;0),MIN(N142,AK142),"-")</f>
        <v>-</v>
      </c>
      <c r="BI142" s="59" t="str">
        <f>IF(AND(O142&gt;0,AL142&gt;0),MIN(O142,AL142),"-")</f>
        <v>-</v>
      </c>
      <c r="BJ142" s="59" t="str">
        <f>IF(AND(P142&gt;0,AM142&gt;0),MIN(P142,AM142),"-")</f>
        <v>-</v>
      </c>
      <c r="BK142" s="59" t="str">
        <f>IF(AND(Q142&gt;0,AN142&gt;0),MIN(Q142,AN142),"-")</f>
        <v>-</v>
      </c>
      <c r="BL142" s="59" t="str">
        <f>IF(AND(R142&gt;0,AO142&gt;0),MIN(R142,AO142),"-")</f>
        <v>-</v>
      </c>
      <c r="BM142" s="59" t="str">
        <f>IF(AND(S142&gt;0,AP142&gt;0),MIN(S142,AP142),"-")</f>
        <v>-</v>
      </c>
      <c r="BN142" s="59" t="str">
        <f>IF(AND(T142&gt;0,AQ142&gt;0),MIN(T142,AQ142),"-")</f>
        <v>-</v>
      </c>
      <c r="BO142" s="59" t="str">
        <f>IF(AND(U142&gt;0,AR142&gt;0),MIN(U142,AR142),"-")</f>
        <v>-</v>
      </c>
      <c r="BP142" s="59" t="str">
        <f>IF(AND(V142&gt;0,AS142&gt;0),MIN(V142,AS142),"-")</f>
        <v>-</v>
      </c>
      <c r="BQ142" s="59" t="str">
        <f t="shared" si="39"/>
        <v>-</v>
      </c>
      <c r="BR142" s="59" t="str">
        <f t="shared" si="40"/>
        <v>-</v>
      </c>
      <c r="BS142" s="59" t="str">
        <f t="shared" si="41"/>
        <v>-</v>
      </c>
      <c r="BT142" s="98" t="str">
        <f>IF(ISNUMBER(BS142),BS142-(C142*Rules!$P$9/100),"-")</f>
        <v>-</v>
      </c>
      <c r="BU142" s="59" t="e">
        <f>RANK($BT142,$BT$5:$BT$106,1)+COUNTIF(BT$5:BT142,BT142)-1</f>
        <v>#VALUE!</v>
      </c>
      <c r="BV142" s="59" t="e">
        <f t="shared" si="42"/>
        <v>#VALUE!</v>
      </c>
      <c r="BW142" s="59" t="str">
        <f t="shared" si="43"/>
        <v xml:space="preserve"> </v>
      </c>
      <c r="BX142" s="59">
        <f t="shared" si="43"/>
        <v>0</v>
      </c>
      <c r="BY142" s="59" t="str">
        <f t="shared" si="44"/>
        <v>-</v>
      </c>
      <c r="CD142" s="79"/>
      <c r="CE142" s="80"/>
      <c r="CF142" s="104"/>
      <c r="CL142" s="77">
        <v>1</v>
      </c>
    </row>
    <row r="143" spans="1:90" ht="17.45" customHeight="1">
      <c r="A143" s="58">
        <v>139</v>
      </c>
      <c r="B143" s="59" t="str">
        <f>'B Div'!A143 &amp; " " &amp; 'B Div'!B143</f>
        <v xml:space="preserve"> </v>
      </c>
      <c r="C143" s="59">
        <f>'B Div'!E143</f>
        <v>0</v>
      </c>
      <c r="D143" s="60"/>
      <c r="E143" s="60"/>
      <c r="F143" s="60"/>
      <c r="G143" s="60"/>
      <c r="H143" s="60"/>
      <c r="I143" s="60"/>
      <c r="J143" s="60"/>
      <c r="K143" s="60"/>
      <c r="L143" s="60"/>
      <c r="M143" s="74" t="str">
        <f t="shared" si="30"/>
        <v>-</v>
      </c>
      <c r="N143" s="60"/>
      <c r="O143" s="60"/>
      <c r="P143" s="60"/>
      <c r="Q143" s="60"/>
      <c r="R143" s="60"/>
      <c r="S143" s="60"/>
      <c r="T143" s="60"/>
      <c r="U143" s="60"/>
      <c r="V143" s="60"/>
      <c r="W143" s="74" t="str">
        <f t="shared" si="31"/>
        <v>-</v>
      </c>
      <c r="X143" s="74" t="str">
        <f t="shared" si="32"/>
        <v>-</v>
      </c>
      <c r="Y143" s="74" t="str">
        <f t="shared" si="33"/>
        <v>-</v>
      </c>
      <c r="AA143" s="60"/>
      <c r="AB143" s="60"/>
      <c r="AC143" s="60"/>
      <c r="AD143" s="60"/>
      <c r="AE143" s="60"/>
      <c r="AF143" s="60"/>
      <c r="AG143" s="60"/>
      <c r="AH143" s="60"/>
      <c r="AI143" s="60"/>
      <c r="AJ143" s="74" t="str">
        <f t="shared" si="34"/>
        <v>-</v>
      </c>
      <c r="AK143" s="60"/>
      <c r="AL143" s="60"/>
      <c r="AM143" s="60"/>
      <c r="AN143" s="60"/>
      <c r="AO143" s="60"/>
      <c r="AP143" s="60"/>
      <c r="AQ143" s="60"/>
      <c r="AR143" s="60"/>
      <c r="AS143" s="60"/>
      <c r="AT143" s="74" t="str">
        <f t="shared" si="35"/>
        <v>-</v>
      </c>
      <c r="AU143" s="74" t="str">
        <f t="shared" si="36"/>
        <v>-</v>
      </c>
      <c r="AV143" s="74" t="str">
        <f t="shared" si="37"/>
        <v>-</v>
      </c>
      <c r="AX143" s="59" t="str">
        <f>IF(AND(D143&gt;0,AA143&gt;0),MIN(D143,AA143),"-")</f>
        <v>-</v>
      </c>
      <c r="AY143" s="59" t="str">
        <f>IF(AND(E143&gt;0,AB143&gt;0),MIN(E143,AB143),"-")</f>
        <v>-</v>
      </c>
      <c r="AZ143" s="59" t="str">
        <f>IF(AND(F143&gt;0,AC143&gt;0),MIN(F143,AC143),"-")</f>
        <v>-</v>
      </c>
      <c r="BA143" s="59" t="str">
        <f>IF(AND(G143&gt;0,AD143&gt;0),MIN(G143,AD143),"-")</f>
        <v>-</v>
      </c>
      <c r="BB143" s="59" t="str">
        <f>IF(AND(H143&gt;0,AE143&gt;0),MIN(H143,AE143),"-")</f>
        <v>-</v>
      </c>
      <c r="BC143" s="59" t="str">
        <f>IF(AND(I143&gt;0,AF143&gt;0),MIN(I143,AF143),"-")</f>
        <v>-</v>
      </c>
      <c r="BD143" s="59" t="str">
        <f>IF(AND(J143&gt;0,AG143&gt;0),MIN(J143,AG143),"-")</f>
        <v>-</v>
      </c>
      <c r="BE143" s="59" t="str">
        <f>IF(AND(K143&gt;0,AH143&gt;0),MIN(K143,AH143),"-")</f>
        <v>-</v>
      </c>
      <c r="BF143" s="59" t="str">
        <f>IF(AND(L143&gt;0,AI143&gt;0),MIN(L143,AI143),"-")</f>
        <v>-</v>
      </c>
      <c r="BG143" s="59" t="str">
        <f t="shared" si="38"/>
        <v>-</v>
      </c>
      <c r="BH143" s="59" t="str">
        <f>IF(AND(N143&gt;0,AK143&gt;0),MIN(N143,AK143),"-")</f>
        <v>-</v>
      </c>
      <c r="BI143" s="59" t="str">
        <f>IF(AND(O143&gt;0,AL143&gt;0),MIN(O143,AL143),"-")</f>
        <v>-</v>
      </c>
      <c r="BJ143" s="59" t="str">
        <f>IF(AND(P143&gt;0,AM143&gt;0),MIN(P143,AM143),"-")</f>
        <v>-</v>
      </c>
      <c r="BK143" s="59" t="str">
        <f>IF(AND(Q143&gt;0,AN143&gt;0),MIN(Q143,AN143),"-")</f>
        <v>-</v>
      </c>
      <c r="BL143" s="59" t="str">
        <f>IF(AND(R143&gt;0,AO143&gt;0),MIN(R143,AO143),"-")</f>
        <v>-</v>
      </c>
      <c r="BM143" s="59" t="str">
        <f>IF(AND(S143&gt;0,AP143&gt;0),MIN(S143,AP143),"-")</f>
        <v>-</v>
      </c>
      <c r="BN143" s="59" t="str">
        <f>IF(AND(T143&gt;0,AQ143&gt;0),MIN(T143,AQ143),"-")</f>
        <v>-</v>
      </c>
      <c r="BO143" s="59" t="str">
        <f>IF(AND(U143&gt;0,AR143&gt;0),MIN(U143,AR143),"-")</f>
        <v>-</v>
      </c>
      <c r="BP143" s="59" t="str">
        <f>IF(AND(V143&gt;0,AS143&gt;0),MIN(V143,AS143),"-")</f>
        <v>-</v>
      </c>
      <c r="BQ143" s="59" t="str">
        <f t="shared" si="39"/>
        <v>-</v>
      </c>
      <c r="BR143" s="59" t="str">
        <f t="shared" si="40"/>
        <v>-</v>
      </c>
      <c r="BS143" s="59" t="str">
        <f t="shared" si="41"/>
        <v>-</v>
      </c>
      <c r="BT143" s="98" t="str">
        <f>IF(ISNUMBER(BS143),BS143-(C143*Rules!$P$9/100),"-")</f>
        <v>-</v>
      </c>
      <c r="BU143" s="59" t="e">
        <f>RANK($BT143,$BT$5:$BT$106,1)+COUNTIF(BT$5:BT143,BT143)-1</f>
        <v>#VALUE!</v>
      </c>
      <c r="BV143" s="59" t="e">
        <f t="shared" si="42"/>
        <v>#VALUE!</v>
      </c>
      <c r="BW143" s="59" t="str">
        <f t="shared" si="43"/>
        <v xml:space="preserve"> </v>
      </c>
      <c r="BX143" s="59">
        <f t="shared" si="43"/>
        <v>0</v>
      </c>
      <c r="BY143" s="59" t="str">
        <f t="shared" si="44"/>
        <v>-</v>
      </c>
      <c r="CD143" s="79"/>
      <c r="CE143" s="80"/>
      <c r="CF143" s="104"/>
      <c r="CL143" s="77">
        <v>1</v>
      </c>
    </row>
    <row r="144" spans="1:90" ht="17.45" customHeight="1">
      <c r="A144" s="58">
        <v>140</v>
      </c>
      <c r="B144" s="59" t="str">
        <f>'B Div'!A144 &amp; " " &amp; 'B Div'!B144</f>
        <v xml:space="preserve"> </v>
      </c>
      <c r="C144" s="59">
        <f>'B Div'!E144</f>
        <v>0</v>
      </c>
      <c r="D144" s="60"/>
      <c r="E144" s="60"/>
      <c r="F144" s="60"/>
      <c r="G144" s="60"/>
      <c r="H144" s="60"/>
      <c r="I144" s="60"/>
      <c r="J144" s="60"/>
      <c r="K144" s="60"/>
      <c r="L144" s="60"/>
      <c r="M144" s="74" t="str">
        <f t="shared" si="30"/>
        <v>-</v>
      </c>
      <c r="N144" s="60"/>
      <c r="O144" s="60"/>
      <c r="P144" s="60"/>
      <c r="Q144" s="60"/>
      <c r="R144" s="60"/>
      <c r="S144" s="60"/>
      <c r="T144" s="60"/>
      <c r="U144" s="60"/>
      <c r="V144" s="60"/>
      <c r="W144" s="74" t="str">
        <f t="shared" si="31"/>
        <v>-</v>
      </c>
      <c r="X144" s="74" t="str">
        <f t="shared" si="32"/>
        <v>-</v>
      </c>
      <c r="Y144" s="74" t="str">
        <f t="shared" si="33"/>
        <v>-</v>
      </c>
      <c r="AA144" s="60"/>
      <c r="AB144" s="60"/>
      <c r="AC144" s="60"/>
      <c r="AD144" s="60"/>
      <c r="AE144" s="60"/>
      <c r="AF144" s="60"/>
      <c r="AG144" s="60"/>
      <c r="AH144" s="60"/>
      <c r="AI144" s="60"/>
      <c r="AJ144" s="74" t="str">
        <f t="shared" si="34"/>
        <v>-</v>
      </c>
      <c r="AK144" s="60"/>
      <c r="AL144" s="60"/>
      <c r="AM144" s="60"/>
      <c r="AN144" s="60"/>
      <c r="AO144" s="60"/>
      <c r="AP144" s="60"/>
      <c r="AQ144" s="60"/>
      <c r="AR144" s="60"/>
      <c r="AS144" s="60"/>
      <c r="AT144" s="74" t="str">
        <f t="shared" si="35"/>
        <v>-</v>
      </c>
      <c r="AU144" s="74" t="str">
        <f t="shared" si="36"/>
        <v>-</v>
      </c>
      <c r="AV144" s="74" t="str">
        <f t="shared" si="37"/>
        <v>-</v>
      </c>
      <c r="AX144" s="59" t="str">
        <f>IF(AND(D144&gt;0,AA144&gt;0),MIN(D144,AA144),"-")</f>
        <v>-</v>
      </c>
      <c r="AY144" s="59" t="str">
        <f>IF(AND(E144&gt;0,AB144&gt;0),MIN(E144,AB144),"-")</f>
        <v>-</v>
      </c>
      <c r="AZ144" s="59" t="str">
        <f>IF(AND(F144&gt;0,AC144&gt;0),MIN(F144,AC144),"-")</f>
        <v>-</v>
      </c>
      <c r="BA144" s="59" t="str">
        <f>IF(AND(G144&gt;0,AD144&gt;0),MIN(G144,AD144),"-")</f>
        <v>-</v>
      </c>
      <c r="BB144" s="59" t="str">
        <f>IF(AND(H144&gt;0,AE144&gt;0),MIN(H144,AE144),"-")</f>
        <v>-</v>
      </c>
      <c r="BC144" s="59" t="str">
        <f>IF(AND(I144&gt;0,AF144&gt;0),MIN(I144,AF144),"-")</f>
        <v>-</v>
      </c>
      <c r="BD144" s="59" t="str">
        <f>IF(AND(J144&gt;0,AG144&gt;0),MIN(J144,AG144),"-")</f>
        <v>-</v>
      </c>
      <c r="BE144" s="59" t="str">
        <f>IF(AND(K144&gt;0,AH144&gt;0),MIN(K144,AH144),"-")</f>
        <v>-</v>
      </c>
      <c r="BF144" s="59" t="str">
        <f>IF(AND(L144&gt;0,AI144&gt;0),MIN(L144,AI144),"-")</f>
        <v>-</v>
      </c>
      <c r="BG144" s="59" t="str">
        <f t="shared" si="38"/>
        <v>-</v>
      </c>
      <c r="BH144" s="59" t="str">
        <f>IF(AND(N144&gt;0,AK144&gt;0),MIN(N144,AK144),"-")</f>
        <v>-</v>
      </c>
      <c r="BI144" s="59" t="str">
        <f>IF(AND(O144&gt;0,AL144&gt;0),MIN(O144,AL144),"-")</f>
        <v>-</v>
      </c>
      <c r="BJ144" s="59" t="str">
        <f>IF(AND(P144&gt;0,AM144&gt;0),MIN(P144,AM144),"-")</f>
        <v>-</v>
      </c>
      <c r="BK144" s="59" t="str">
        <f>IF(AND(Q144&gt;0,AN144&gt;0),MIN(Q144,AN144),"-")</f>
        <v>-</v>
      </c>
      <c r="BL144" s="59" t="str">
        <f>IF(AND(R144&gt;0,AO144&gt;0),MIN(R144,AO144),"-")</f>
        <v>-</v>
      </c>
      <c r="BM144" s="59" t="str">
        <f>IF(AND(S144&gt;0,AP144&gt;0),MIN(S144,AP144),"-")</f>
        <v>-</v>
      </c>
      <c r="BN144" s="59" t="str">
        <f>IF(AND(T144&gt;0,AQ144&gt;0),MIN(T144,AQ144),"-")</f>
        <v>-</v>
      </c>
      <c r="BO144" s="59" t="str">
        <f>IF(AND(U144&gt;0,AR144&gt;0),MIN(U144,AR144),"-")</f>
        <v>-</v>
      </c>
      <c r="BP144" s="59" t="str">
        <f>IF(AND(V144&gt;0,AS144&gt;0),MIN(V144,AS144),"-")</f>
        <v>-</v>
      </c>
      <c r="BQ144" s="59" t="str">
        <f t="shared" si="39"/>
        <v>-</v>
      </c>
      <c r="BR144" s="59" t="str">
        <f t="shared" si="40"/>
        <v>-</v>
      </c>
      <c r="BS144" s="59" t="str">
        <f t="shared" si="41"/>
        <v>-</v>
      </c>
      <c r="BT144" s="98" t="str">
        <f>IF(ISNUMBER(BS144),BS144-(C144*Rules!$P$9/100),"-")</f>
        <v>-</v>
      </c>
      <c r="BU144" s="59" t="e">
        <f>RANK($BT144,$BT$5:$BT$106,1)+COUNTIF(BT$5:BT144,BT144)-1</f>
        <v>#VALUE!</v>
      </c>
      <c r="BV144" s="59" t="e">
        <f t="shared" si="42"/>
        <v>#VALUE!</v>
      </c>
      <c r="BW144" s="59" t="str">
        <f t="shared" si="43"/>
        <v xml:space="preserve"> </v>
      </c>
      <c r="BX144" s="59">
        <f t="shared" si="43"/>
        <v>0</v>
      </c>
      <c r="BY144" s="59" t="str">
        <f t="shared" si="44"/>
        <v>-</v>
      </c>
      <c r="CD144" s="79"/>
      <c r="CE144" s="80"/>
      <c r="CF144" s="104"/>
      <c r="CL144" s="77">
        <v>1</v>
      </c>
    </row>
    <row r="145" spans="1:90" ht="17.45" customHeight="1">
      <c r="A145" s="58">
        <v>141</v>
      </c>
      <c r="B145" s="59" t="str">
        <f>'B Div'!A145 &amp; " " &amp; 'B Div'!B145</f>
        <v xml:space="preserve"> </v>
      </c>
      <c r="C145" s="59">
        <f>'B Div'!E145</f>
        <v>0</v>
      </c>
      <c r="D145" s="60"/>
      <c r="E145" s="60"/>
      <c r="F145" s="60"/>
      <c r="G145" s="60"/>
      <c r="H145" s="60"/>
      <c r="I145" s="60"/>
      <c r="J145" s="60"/>
      <c r="K145" s="60"/>
      <c r="L145" s="60"/>
      <c r="M145" s="74" t="str">
        <f t="shared" si="30"/>
        <v>-</v>
      </c>
      <c r="N145" s="60"/>
      <c r="O145" s="60"/>
      <c r="P145" s="60"/>
      <c r="Q145" s="60"/>
      <c r="R145" s="60"/>
      <c r="S145" s="60"/>
      <c r="T145" s="60"/>
      <c r="U145" s="60"/>
      <c r="V145" s="60"/>
      <c r="W145" s="74" t="str">
        <f t="shared" si="31"/>
        <v>-</v>
      </c>
      <c r="X145" s="74" t="str">
        <f t="shared" si="32"/>
        <v>-</v>
      </c>
      <c r="Y145" s="74" t="str">
        <f t="shared" si="33"/>
        <v>-</v>
      </c>
      <c r="AA145" s="60"/>
      <c r="AB145" s="60"/>
      <c r="AC145" s="60"/>
      <c r="AD145" s="60"/>
      <c r="AE145" s="60"/>
      <c r="AF145" s="60"/>
      <c r="AG145" s="60"/>
      <c r="AH145" s="60"/>
      <c r="AI145" s="60"/>
      <c r="AJ145" s="74" t="str">
        <f t="shared" si="34"/>
        <v>-</v>
      </c>
      <c r="AK145" s="60"/>
      <c r="AL145" s="60"/>
      <c r="AM145" s="60"/>
      <c r="AN145" s="60"/>
      <c r="AO145" s="60"/>
      <c r="AP145" s="60"/>
      <c r="AQ145" s="60"/>
      <c r="AR145" s="60"/>
      <c r="AS145" s="60"/>
      <c r="AT145" s="74" t="str">
        <f t="shared" si="35"/>
        <v>-</v>
      </c>
      <c r="AU145" s="74" t="str">
        <f t="shared" si="36"/>
        <v>-</v>
      </c>
      <c r="AV145" s="74" t="str">
        <f t="shared" si="37"/>
        <v>-</v>
      </c>
      <c r="AX145" s="59" t="str">
        <f>IF(AND(D145&gt;0,AA145&gt;0),MIN(D145,AA145),"-")</f>
        <v>-</v>
      </c>
      <c r="AY145" s="59" t="str">
        <f>IF(AND(E145&gt;0,AB145&gt;0),MIN(E145,AB145),"-")</f>
        <v>-</v>
      </c>
      <c r="AZ145" s="59" t="str">
        <f>IF(AND(F145&gt;0,AC145&gt;0),MIN(F145,AC145),"-")</f>
        <v>-</v>
      </c>
      <c r="BA145" s="59" t="str">
        <f>IF(AND(G145&gt;0,AD145&gt;0),MIN(G145,AD145),"-")</f>
        <v>-</v>
      </c>
      <c r="BB145" s="59" t="str">
        <f>IF(AND(H145&gt;0,AE145&gt;0),MIN(H145,AE145),"-")</f>
        <v>-</v>
      </c>
      <c r="BC145" s="59" t="str">
        <f>IF(AND(I145&gt;0,AF145&gt;0),MIN(I145,AF145),"-")</f>
        <v>-</v>
      </c>
      <c r="BD145" s="59" t="str">
        <f>IF(AND(J145&gt;0,AG145&gt;0),MIN(J145,AG145),"-")</f>
        <v>-</v>
      </c>
      <c r="BE145" s="59" t="str">
        <f>IF(AND(K145&gt;0,AH145&gt;0),MIN(K145,AH145),"-")</f>
        <v>-</v>
      </c>
      <c r="BF145" s="59" t="str">
        <f>IF(AND(L145&gt;0,AI145&gt;0),MIN(L145,AI145),"-")</f>
        <v>-</v>
      </c>
      <c r="BG145" s="59" t="str">
        <f t="shared" si="38"/>
        <v>-</v>
      </c>
      <c r="BH145" s="59" t="str">
        <f>IF(AND(N145&gt;0,AK145&gt;0),MIN(N145,AK145),"-")</f>
        <v>-</v>
      </c>
      <c r="BI145" s="59" t="str">
        <f>IF(AND(O145&gt;0,AL145&gt;0),MIN(O145,AL145),"-")</f>
        <v>-</v>
      </c>
      <c r="BJ145" s="59" t="str">
        <f>IF(AND(P145&gt;0,AM145&gt;0),MIN(P145,AM145),"-")</f>
        <v>-</v>
      </c>
      <c r="BK145" s="59" t="str">
        <f>IF(AND(Q145&gt;0,AN145&gt;0),MIN(Q145,AN145),"-")</f>
        <v>-</v>
      </c>
      <c r="BL145" s="59" t="str">
        <f>IF(AND(R145&gt;0,AO145&gt;0),MIN(R145,AO145),"-")</f>
        <v>-</v>
      </c>
      <c r="BM145" s="59" t="str">
        <f>IF(AND(S145&gt;0,AP145&gt;0),MIN(S145,AP145),"-")</f>
        <v>-</v>
      </c>
      <c r="BN145" s="59" t="str">
        <f>IF(AND(T145&gt;0,AQ145&gt;0),MIN(T145,AQ145),"-")</f>
        <v>-</v>
      </c>
      <c r="BO145" s="59" t="str">
        <f>IF(AND(U145&gt;0,AR145&gt;0),MIN(U145,AR145),"-")</f>
        <v>-</v>
      </c>
      <c r="BP145" s="59" t="str">
        <f>IF(AND(V145&gt;0,AS145&gt;0),MIN(V145,AS145),"-")</f>
        <v>-</v>
      </c>
      <c r="BQ145" s="59" t="str">
        <f t="shared" si="39"/>
        <v>-</v>
      </c>
      <c r="BR145" s="59" t="str">
        <f t="shared" si="40"/>
        <v>-</v>
      </c>
      <c r="BS145" s="59" t="str">
        <f t="shared" si="41"/>
        <v>-</v>
      </c>
      <c r="BT145" s="98" t="str">
        <f>IF(ISNUMBER(BS145),BS145-(C145*Rules!$P$9/100),"-")</f>
        <v>-</v>
      </c>
      <c r="BU145" s="59" t="e">
        <f>RANK($BT145,$BT$5:$BT$106,1)+COUNTIF(BT$5:BT145,BT145)-1</f>
        <v>#VALUE!</v>
      </c>
      <c r="BV145" s="59" t="e">
        <f t="shared" si="42"/>
        <v>#VALUE!</v>
      </c>
      <c r="BW145" s="59" t="str">
        <f t="shared" si="43"/>
        <v xml:space="preserve"> </v>
      </c>
      <c r="BX145" s="59">
        <f t="shared" si="43"/>
        <v>0</v>
      </c>
      <c r="BY145" s="59" t="str">
        <f t="shared" si="44"/>
        <v>-</v>
      </c>
      <c r="CD145" s="79"/>
      <c r="CE145" s="80"/>
      <c r="CF145" s="104"/>
      <c r="CL145" s="77">
        <v>1</v>
      </c>
    </row>
    <row r="146" spans="1:90" ht="17.45" customHeight="1">
      <c r="A146" s="58">
        <v>142</v>
      </c>
      <c r="B146" s="59" t="str">
        <f>'B Div'!A146 &amp; " " &amp; 'B Div'!B146</f>
        <v xml:space="preserve"> </v>
      </c>
      <c r="C146" s="59">
        <f>'B Div'!E146</f>
        <v>0</v>
      </c>
      <c r="D146" s="60"/>
      <c r="E146" s="60"/>
      <c r="F146" s="60"/>
      <c r="G146" s="60"/>
      <c r="H146" s="60"/>
      <c r="I146" s="60"/>
      <c r="J146" s="60"/>
      <c r="K146" s="60"/>
      <c r="L146" s="60"/>
      <c r="M146" s="74" t="str">
        <f t="shared" si="30"/>
        <v>-</v>
      </c>
      <c r="N146" s="60"/>
      <c r="O146" s="60"/>
      <c r="P146" s="60"/>
      <c r="Q146" s="60"/>
      <c r="R146" s="60"/>
      <c r="S146" s="60"/>
      <c r="T146" s="60"/>
      <c r="U146" s="60"/>
      <c r="V146" s="60"/>
      <c r="W146" s="74" t="str">
        <f t="shared" si="31"/>
        <v>-</v>
      </c>
      <c r="X146" s="74" t="str">
        <f t="shared" si="32"/>
        <v>-</v>
      </c>
      <c r="Y146" s="74" t="str">
        <f t="shared" si="33"/>
        <v>-</v>
      </c>
      <c r="AA146" s="60"/>
      <c r="AB146" s="60"/>
      <c r="AC146" s="60"/>
      <c r="AD146" s="60"/>
      <c r="AE146" s="60"/>
      <c r="AF146" s="60"/>
      <c r="AG146" s="60"/>
      <c r="AH146" s="60"/>
      <c r="AI146" s="60"/>
      <c r="AJ146" s="74" t="str">
        <f t="shared" si="34"/>
        <v>-</v>
      </c>
      <c r="AK146" s="60"/>
      <c r="AL146" s="60"/>
      <c r="AM146" s="60"/>
      <c r="AN146" s="60"/>
      <c r="AO146" s="60"/>
      <c r="AP146" s="60"/>
      <c r="AQ146" s="60"/>
      <c r="AR146" s="60"/>
      <c r="AS146" s="60"/>
      <c r="AT146" s="74" t="str">
        <f t="shared" si="35"/>
        <v>-</v>
      </c>
      <c r="AU146" s="74" t="str">
        <f t="shared" si="36"/>
        <v>-</v>
      </c>
      <c r="AV146" s="74" t="str">
        <f t="shared" si="37"/>
        <v>-</v>
      </c>
      <c r="AX146" s="59" t="str">
        <f>IF(AND(D146&gt;0,AA146&gt;0),MIN(D146,AA146),"-")</f>
        <v>-</v>
      </c>
      <c r="AY146" s="59" t="str">
        <f>IF(AND(E146&gt;0,AB146&gt;0),MIN(E146,AB146),"-")</f>
        <v>-</v>
      </c>
      <c r="AZ146" s="59" t="str">
        <f>IF(AND(F146&gt;0,AC146&gt;0),MIN(F146,AC146),"-")</f>
        <v>-</v>
      </c>
      <c r="BA146" s="59" t="str">
        <f>IF(AND(G146&gt;0,AD146&gt;0),MIN(G146,AD146),"-")</f>
        <v>-</v>
      </c>
      <c r="BB146" s="59" t="str">
        <f>IF(AND(H146&gt;0,AE146&gt;0),MIN(H146,AE146),"-")</f>
        <v>-</v>
      </c>
      <c r="BC146" s="59" t="str">
        <f>IF(AND(I146&gt;0,AF146&gt;0),MIN(I146,AF146),"-")</f>
        <v>-</v>
      </c>
      <c r="BD146" s="59" t="str">
        <f>IF(AND(J146&gt;0,AG146&gt;0),MIN(J146,AG146),"-")</f>
        <v>-</v>
      </c>
      <c r="BE146" s="59" t="str">
        <f>IF(AND(K146&gt;0,AH146&gt;0),MIN(K146,AH146),"-")</f>
        <v>-</v>
      </c>
      <c r="BF146" s="59" t="str">
        <f>IF(AND(L146&gt;0,AI146&gt;0),MIN(L146,AI146),"-")</f>
        <v>-</v>
      </c>
      <c r="BG146" s="59" t="str">
        <f t="shared" si="38"/>
        <v>-</v>
      </c>
      <c r="BH146" s="59" t="str">
        <f>IF(AND(N146&gt;0,AK146&gt;0),MIN(N146,AK146),"-")</f>
        <v>-</v>
      </c>
      <c r="BI146" s="59" t="str">
        <f>IF(AND(O146&gt;0,AL146&gt;0),MIN(O146,AL146),"-")</f>
        <v>-</v>
      </c>
      <c r="BJ146" s="59" t="str">
        <f>IF(AND(P146&gt;0,AM146&gt;0),MIN(P146,AM146),"-")</f>
        <v>-</v>
      </c>
      <c r="BK146" s="59" t="str">
        <f>IF(AND(Q146&gt;0,AN146&gt;0),MIN(Q146,AN146),"-")</f>
        <v>-</v>
      </c>
      <c r="BL146" s="59" t="str">
        <f>IF(AND(R146&gt;0,AO146&gt;0),MIN(R146,AO146),"-")</f>
        <v>-</v>
      </c>
      <c r="BM146" s="59" t="str">
        <f>IF(AND(S146&gt;0,AP146&gt;0),MIN(S146,AP146),"-")</f>
        <v>-</v>
      </c>
      <c r="BN146" s="59" t="str">
        <f>IF(AND(T146&gt;0,AQ146&gt;0),MIN(T146,AQ146),"-")</f>
        <v>-</v>
      </c>
      <c r="BO146" s="59" t="str">
        <f>IF(AND(U146&gt;0,AR146&gt;0),MIN(U146,AR146),"-")</f>
        <v>-</v>
      </c>
      <c r="BP146" s="59" t="str">
        <f>IF(AND(V146&gt;0,AS146&gt;0),MIN(V146,AS146),"-")</f>
        <v>-</v>
      </c>
      <c r="BQ146" s="59" t="str">
        <f t="shared" si="39"/>
        <v>-</v>
      </c>
      <c r="BR146" s="59" t="str">
        <f t="shared" si="40"/>
        <v>-</v>
      </c>
      <c r="BS146" s="59" t="str">
        <f t="shared" si="41"/>
        <v>-</v>
      </c>
      <c r="BT146" s="98" t="str">
        <f>IF(ISNUMBER(BS146),BS146-(C146*Rules!$P$9/100),"-")</f>
        <v>-</v>
      </c>
      <c r="BU146" s="59" t="e">
        <f>RANK($BT146,$BT$5:$BT$106,1)+COUNTIF(BT$5:BT146,BT146)-1</f>
        <v>#VALUE!</v>
      </c>
      <c r="BV146" s="59" t="e">
        <f t="shared" si="42"/>
        <v>#VALUE!</v>
      </c>
      <c r="BW146" s="59" t="str">
        <f t="shared" si="43"/>
        <v xml:space="preserve"> </v>
      </c>
      <c r="BX146" s="59">
        <f t="shared" si="43"/>
        <v>0</v>
      </c>
      <c r="BY146" s="59" t="str">
        <f t="shared" si="44"/>
        <v>-</v>
      </c>
      <c r="CD146" s="79"/>
      <c r="CE146" s="80"/>
      <c r="CF146" s="104"/>
      <c r="CL146" s="77">
        <v>1</v>
      </c>
    </row>
    <row r="147" spans="1:90" ht="17.45" customHeight="1">
      <c r="A147" s="58">
        <v>143</v>
      </c>
      <c r="B147" s="59" t="str">
        <f>'B Div'!A147 &amp; " " &amp; 'B Div'!B147</f>
        <v xml:space="preserve"> </v>
      </c>
      <c r="C147" s="59">
        <f>'B Div'!E147</f>
        <v>0</v>
      </c>
      <c r="D147" s="60"/>
      <c r="E147" s="60"/>
      <c r="F147" s="60"/>
      <c r="G147" s="60"/>
      <c r="H147" s="60"/>
      <c r="I147" s="60"/>
      <c r="J147" s="60"/>
      <c r="K147" s="60"/>
      <c r="L147" s="60"/>
      <c r="M147" s="74" t="str">
        <f t="shared" si="30"/>
        <v>-</v>
      </c>
      <c r="N147" s="60"/>
      <c r="O147" s="60"/>
      <c r="P147" s="60"/>
      <c r="Q147" s="60"/>
      <c r="R147" s="60"/>
      <c r="S147" s="60"/>
      <c r="T147" s="60"/>
      <c r="U147" s="60"/>
      <c r="V147" s="60"/>
      <c r="W147" s="74" t="str">
        <f t="shared" si="31"/>
        <v>-</v>
      </c>
      <c r="X147" s="74" t="str">
        <f t="shared" si="32"/>
        <v>-</v>
      </c>
      <c r="Y147" s="74" t="str">
        <f t="shared" si="33"/>
        <v>-</v>
      </c>
      <c r="AA147" s="60"/>
      <c r="AB147" s="60"/>
      <c r="AC147" s="60"/>
      <c r="AD147" s="60"/>
      <c r="AE147" s="60"/>
      <c r="AF147" s="60"/>
      <c r="AG147" s="60"/>
      <c r="AH147" s="60"/>
      <c r="AI147" s="60"/>
      <c r="AJ147" s="74" t="str">
        <f t="shared" si="34"/>
        <v>-</v>
      </c>
      <c r="AK147" s="60"/>
      <c r="AL147" s="60"/>
      <c r="AM147" s="60"/>
      <c r="AN147" s="60"/>
      <c r="AO147" s="60"/>
      <c r="AP147" s="60"/>
      <c r="AQ147" s="60"/>
      <c r="AR147" s="60"/>
      <c r="AS147" s="60"/>
      <c r="AT147" s="74" t="str">
        <f t="shared" si="35"/>
        <v>-</v>
      </c>
      <c r="AU147" s="74" t="str">
        <f t="shared" si="36"/>
        <v>-</v>
      </c>
      <c r="AV147" s="74" t="str">
        <f t="shared" si="37"/>
        <v>-</v>
      </c>
      <c r="AX147" s="59" t="str">
        <f>IF(AND(D147&gt;0,AA147&gt;0),MIN(D147,AA147),"-")</f>
        <v>-</v>
      </c>
      <c r="AY147" s="59" t="str">
        <f>IF(AND(E147&gt;0,AB147&gt;0),MIN(E147,AB147),"-")</f>
        <v>-</v>
      </c>
      <c r="AZ147" s="59" t="str">
        <f>IF(AND(F147&gt;0,AC147&gt;0),MIN(F147,AC147),"-")</f>
        <v>-</v>
      </c>
      <c r="BA147" s="59" t="str">
        <f>IF(AND(G147&gt;0,AD147&gt;0),MIN(G147,AD147),"-")</f>
        <v>-</v>
      </c>
      <c r="BB147" s="59" t="str">
        <f>IF(AND(H147&gt;0,AE147&gt;0),MIN(H147,AE147),"-")</f>
        <v>-</v>
      </c>
      <c r="BC147" s="59" t="str">
        <f>IF(AND(I147&gt;0,AF147&gt;0),MIN(I147,AF147),"-")</f>
        <v>-</v>
      </c>
      <c r="BD147" s="59" t="str">
        <f>IF(AND(J147&gt;0,AG147&gt;0),MIN(J147,AG147),"-")</f>
        <v>-</v>
      </c>
      <c r="BE147" s="59" t="str">
        <f>IF(AND(K147&gt;0,AH147&gt;0),MIN(K147,AH147),"-")</f>
        <v>-</v>
      </c>
      <c r="BF147" s="59" t="str">
        <f>IF(AND(L147&gt;0,AI147&gt;0),MIN(L147,AI147),"-")</f>
        <v>-</v>
      </c>
      <c r="BG147" s="59" t="str">
        <f t="shared" si="38"/>
        <v>-</v>
      </c>
      <c r="BH147" s="59" t="str">
        <f>IF(AND(N147&gt;0,AK147&gt;0),MIN(N147,AK147),"-")</f>
        <v>-</v>
      </c>
      <c r="BI147" s="59" t="str">
        <f>IF(AND(O147&gt;0,AL147&gt;0),MIN(O147,AL147),"-")</f>
        <v>-</v>
      </c>
      <c r="BJ147" s="59" t="str">
        <f>IF(AND(P147&gt;0,AM147&gt;0),MIN(P147,AM147),"-")</f>
        <v>-</v>
      </c>
      <c r="BK147" s="59" t="str">
        <f>IF(AND(Q147&gt;0,AN147&gt;0),MIN(Q147,AN147),"-")</f>
        <v>-</v>
      </c>
      <c r="BL147" s="59" t="str">
        <f>IF(AND(R147&gt;0,AO147&gt;0),MIN(R147,AO147),"-")</f>
        <v>-</v>
      </c>
      <c r="BM147" s="59" t="str">
        <f>IF(AND(S147&gt;0,AP147&gt;0),MIN(S147,AP147),"-")</f>
        <v>-</v>
      </c>
      <c r="BN147" s="59" t="str">
        <f>IF(AND(T147&gt;0,AQ147&gt;0),MIN(T147,AQ147),"-")</f>
        <v>-</v>
      </c>
      <c r="BO147" s="59" t="str">
        <f>IF(AND(U147&gt;0,AR147&gt;0),MIN(U147,AR147),"-")</f>
        <v>-</v>
      </c>
      <c r="BP147" s="59" t="str">
        <f>IF(AND(V147&gt;0,AS147&gt;0),MIN(V147,AS147),"-")</f>
        <v>-</v>
      </c>
      <c r="BQ147" s="59" t="str">
        <f t="shared" si="39"/>
        <v>-</v>
      </c>
      <c r="BR147" s="59" t="str">
        <f t="shared" si="40"/>
        <v>-</v>
      </c>
      <c r="BS147" s="59" t="str">
        <f t="shared" si="41"/>
        <v>-</v>
      </c>
      <c r="BT147" s="98" t="str">
        <f>IF(ISNUMBER(BS147),BS147-(C147*Rules!$P$9/100),"-")</f>
        <v>-</v>
      </c>
      <c r="BU147" s="59" t="e">
        <f>RANK($BT147,$BT$5:$BT$106,1)+COUNTIF(BT$5:BT147,BT147)-1</f>
        <v>#VALUE!</v>
      </c>
      <c r="BV147" s="59" t="e">
        <f t="shared" si="42"/>
        <v>#VALUE!</v>
      </c>
      <c r="BW147" s="59" t="str">
        <f t="shared" si="43"/>
        <v xml:space="preserve"> </v>
      </c>
      <c r="BX147" s="59">
        <f t="shared" si="43"/>
        <v>0</v>
      </c>
      <c r="BY147" s="59" t="str">
        <f t="shared" si="44"/>
        <v>-</v>
      </c>
      <c r="CD147" s="79"/>
      <c r="CE147" s="80"/>
      <c r="CF147" s="104"/>
      <c r="CL147" s="77">
        <v>1</v>
      </c>
    </row>
    <row r="148" spans="1:90" ht="17.45" customHeight="1">
      <c r="A148" s="58">
        <v>144</v>
      </c>
      <c r="B148" s="59" t="str">
        <f>'B Div'!A148 &amp; " " &amp; 'B Div'!B148</f>
        <v xml:space="preserve"> </v>
      </c>
      <c r="C148" s="59">
        <f>'B Div'!E148</f>
        <v>0</v>
      </c>
      <c r="D148" s="60"/>
      <c r="E148" s="60"/>
      <c r="F148" s="60"/>
      <c r="G148" s="60"/>
      <c r="H148" s="60"/>
      <c r="I148" s="60"/>
      <c r="J148" s="60"/>
      <c r="K148" s="60"/>
      <c r="L148" s="60"/>
      <c r="M148" s="74" t="str">
        <f t="shared" si="30"/>
        <v>-</v>
      </c>
      <c r="N148" s="60"/>
      <c r="O148" s="60"/>
      <c r="P148" s="60"/>
      <c r="Q148" s="60"/>
      <c r="R148" s="60"/>
      <c r="S148" s="60"/>
      <c r="T148" s="60"/>
      <c r="U148" s="60"/>
      <c r="V148" s="60"/>
      <c r="W148" s="74" t="str">
        <f t="shared" si="31"/>
        <v>-</v>
      </c>
      <c r="X148" s="74" t="str">
        <f t="shared" si="32"/>
        <v>-</v>
      </c>
      <c r="Y148" s="74" t="str">
        <f t="shared" si="33"/>
        <v>-</v>
      </c>
      <c r="AA148" s="60"/>
      <c r="AB148" s="60"/>
      <c r="AC148" s="60"/>
      <c r="AD148" s="60"/>
      <c r="AE148" s="60"/>
      <c r="AF148" s="60"/>
      <c r="AG148" s="60"/>
      <c r="AH148" s="60"/>
      <c r="AI148" s="60"/>
      <c r="AJ148" s="74" t="str">
        <f t="shared" si="34"/>
        <v>-</v>
      </c>
      <c r="AK148" s="60"/>
      <c r="AL148" s="60"/>
      <c r="AM148" s="60"/>
      <c r="AN148" s="60"/>
      <c r="AO148" s="60"/>
      <c r="AP148" s="60"/>
      <c r="AQ148" s="60"/>
      <c r="AR148" s="60"/>
      <c r="AS148" s="60"/>
      <c r="AT148" s="74" t="str">
        <f t="shared" si="35"/>
        <v>-</v>
      </c>
      <c r="AU148" s="74" t="str">
        <f t="shared" si="36"/>
        <v>-</v>
      </c>
      <c r="AV148" s="74" t="str">
        <f t="shared" si="37"/>
        <v>-</v>
      </c>
      <c r="AX148" s="59" t="str">
        <f>IF(AND(D148&gt;0,AA148&gt;0),MIN(D148,AA148),"-")</f>
        <v>-</v>
      </c>
      <c r="AY148" s="59" t="str">
        <f>IF(AND(E148&gt;0,AB148&gt;0),MIN(E148,AB148),"-")</f>
        <v>-</v>
      </c>
      <c r="AZ148" s="59" t="str">
        <f>IF(AND(F148&gt;0,AC148&gt;0),MIN(F148,AC148),"-")</f>
        <v>-</v>
      </c>
      <c r="BA148" s="59" t="str">
        <f>IF(AND(G148&gt;0,AD148&gt;0),MIN(G148,AD148),"-")</f>
        <v>-</v>
      </c>
      <c r="BB148" s="59" t="str">
        <f>IF(AND(H148&gt;0,AE148&gt;0),MIN(H148,AE148),"-")</f>
        <v>-</v>
      </c>
      <c r="BC148" s="59" t="str">
        <f>IF(AND(I148&gt;0,AF148&gt;0),MIN(I148,AF148),"-")</f>
        <v>-</v>
      </c>
      <c r="BD148" s="59" t="str">
        <f>IF(AND(J148&gt;0,AG148&gt;0),MIN(J148,AG148),"-")</f>
        <v>-</v>
      </c>
      <c r="BE148" s="59" t="str">
        <f>IF(AND(K148&gt;0,AH148&gt;0),MIN(K148,AH148),"-")</f>
        <v>-</v>
      </c>
      <c r="BF148" s="59" t="str">
        <f>IF(AND(L148&gt;0,AI148&gt;0),MIN(L148,AI148),"-")</f>
        <v>-</v>
      </c>
      <c r="BG148" s="59" t="str">
        <f t="shared" si="38"/>
        <v>-</v>
      </c>
      <c r="BH148" s="59" t="str">
        <f>IF(AND(N148&gt;0,AK148&gt;0),MIN(N148,AK148),"-")</f>
        <v>-</v>
      </c>
      <c r="BI148" s="59" t="str">
        <f>IF(AND(O148&gt;0,AL148&gt;0),MIN(O148,AL148),"-")</f>
        <v>-</v>
      </c>
      <c r="BJ148" s="59" t="str">
        <f>IF(AND(P148&gt;0,AM148&gt;0),MIN(P148,AM148),"-")</f>
        <v>-</v>
      </c>
      <c r="BK148" s="59" t="str">
        <f>IF(AND(Q148&gt;0,AN148&gt;0),MIN(Q148,AN148),"-")</f>
        <v>-</v>
      </c>
      <c r="BL148" s="59" t="str">
        <f>IF(AND(R148&gt;0,AO148&gt;0),MIN(R148,AO148),"-")</f>
        <v>-</v>
      </c>
      <c r="BM148" s="59" t="str">
        <f>IF(AND(S148&gt;0,AP148&gt;0),MIN(S148,AP148),"-")</f>
        <v>-</v>
      </c>
      <c r="BN148" s="59" t="str">
        <f>IF(AND(T148&gt;0,AQ148&gt;0),MIN(T148,AQ148),"-")</f>
        <v>-</v>
      </c>
      <c r="BO148" s="59" t="str">
        <f>IF(AND(U148&gt;0,AR148&gt;0),MIN(U148,AR148),"-")</f>
        <v>-</v>
      </c>
      <c r="BP148" s="59" t="str">
        <f>IF(AND(V148&gt;0,AS148&gt;0),MIN(V148,AS148),"-")</f>
        <v>-</v>
      </c>
      <c r="BQ148" s="59" t="str">
        <f t="shared" si="39"/>
        <v>-</v>
      </c>
      <c r="BR148" s="59" t="str">
        <f t="shared" si="40"/>
        <v>-</v>
      </c>
      <c r="BS148" s="59" t="str">
        <f t="shared" si="41"/>
        <v>-</v>
      </c>
      <c r="BT148" s="98" t="str">
        <f>IF(ISNUMBER(BS148),BS148-(C148*Rules!$P$9/100),"-")</f>
        <v>-</v>
      </c>
      <c r="BU148" s="59" t="e">
        <f>RANK($BT148,$BT$5:$BT$106,1)+COUNTIF(BT$5:BT148,BT148)-1</f>
        <v>#VALUE!</v>
      </c>
      <c r="BV148" s="59" t="e">
        <f t="shared" si="42"/>
        <v>#VALUE!</v>
      </c>
      <c r="BW148" s="59" t="str">
        <f t="shared" si="43"/>
        <v xml:space="preserve"> </v>
      </c>
      <c r="BX148" s="59">
        <f t="shared" si="43"/>
        <v>0</v>
      </c>
      <c r="BY148" s="59" t="str">
        <f t="shared" si="44"/>
        <v>-</v>
      </c>
      <c r="CD148" s="79"/>
      <c r="CE148" s="80"/>
      <c r="CF148" s="104"/>
      <c r="CL148" s="77">
        <v>1</v>
      </c>
    </row>
    <row r="149" spans="1:90" ht="17.45" customHeight="1">
      <c r="A149" s="58">
        <v>145</v>
      </c>
      <c r="B149" s="59" t="str">
        <f>'B Div'!A149 &amp; " " &amp; 'B Div'!B149</f>
        <v xml:space="preserve"> </v>
      </c>
      <c r="C149" s="59">
        <f>'B Div'!E149</f>
        <v>0</v>
      </c>
      <c r="D149" s="60"/>
      <c r="E149" s="60"/>
      <c r="F149" s="60"/>
      <c r="G149" s="60"/>
      <c r="H149" s="60"/>
      <c r="I149" s="60"/>
      <c r="J149" s="60"/>
      <c r="K149" s="60"/>
      <c r="L149" s="60"/>
      <c r="M149" s="74" t="str">
        <f t="shared" si="30"/>
        <v>-</v>
      </c>
      <c r="N149" s="60"/>
      <c r="O149" s="60"/>
      <c r="P149" s="60"/>
      <c r="Q149" s="60"/>
      <c r="R149" s="60"/>
      <c r="S149" s="60"/>
      <c r="T149" s="60"/>
      <c r="U149" s="60"/>
      <c r="V149" s="60"/>
      <c r="W149" s="74" t="str">
        <f t="shared" si="31"/>
        <v>-</v>
      </c>
      <c r="X149" s="74" t="str">
        <f t="shared" si="32"/>
        <v>-</v>
      </c>
      <c r="Y149" s="74" t="str">
        <f t="shared" si="33"/>
        <v>-</v>
      </c>
      <c r="AA149" s="60"/>
      <c r="AB149" s="60"/>
      <c r="AC149" s="60"/>
      <c r="AD149" s="60"/>
      <c r="AE149" s="60"/>
      <c r="AF149" s="60"/>
      <c r="AG149" s="60"/>
      <c r="AH149" s="60"/>
      <c r="AI149" s="60"/>
      <c r="AJ149" s="74" t="str">
        <f t="shared" si="34"/>
        <v>-</v>
      </c>
      <c r="AK149" s="60"/>
      <c r="AL149" s="60"/>
      <c r="AM149" s="60"/>
      <c r="AN149" s="60"/>
      <c r="AO149" s="60"/>
      <c r="AP149" s="60"/>
      <c r="AQ149" s="60"/>
      <c r="AR149" s="60"/>
      <c r="AS149" s="60"/>
      <c r="AT149" s="74" t="str">
        <f t="shared" si="35"/>
        <v>-</v>
      </c>
      <c r="AU149" s="74" t="str">
        <f t="shared" si="36"/>
        <v>-</v>
      </c>
      <c r="AV149" s="74" t="str">
        <f t="shared" si="37"/>
        <v>-</v>
      </c>
      <c r="AX149" s="59" t="str">
        <f>IF(AND(D149&gt;0,AA149&gt;0),MIN(D149,AA149),"-")</f>
        <v>-</v>
      </c>
      <c r="AY149" s="59" t="str">
        <f>IF(AND(E149&gt;0,AB149&gt;0),MIN(E149,AB149),"-")</f>
        <v>-</v>
      </c>
      <c r="AZ149" s="59" t="str">
        <f>IF(AND(F149&gt;0,AC149&gt;0),MIN(F149,AC149),"-")</f>
        <v>-</v>
      </c>
      <c r="BA149" s="59" t="str">
        <f>IF(AND(G149&gt;0,AD149&gt;0),MIN(G149,AD149),"-")</f>
        <v>-</v>
      </c>
      <c r="BB149" s="59" t="str">
        <f>IF(AND(H149&gt;0,AE149&gt;0),MIN(H149,AE149),"-")</f>
        <v>-</v>
      </c>
      <c r="BC149" s="59" t="str">
        <f>IF(AND(I149&gt;0,AF149&gt;0),MIN(I149,AF149),"-")</f>
        <v>-</v>
      </c>
      <c r="BD149" s="59" t="str">
        <f>IF(AND(J149&gt;0,AG149&gt;0),MIN(J149,AG149),"-")</f>
        <v>-</v>
      </c>
      <c r="BE149" s="59" t="str">
        <f>IF(AND(K149&gt;0,AH149&gt;0),MIN(K149,AH149),"-")</f>
        <v>-</v>
      </c>
      <c r="BF149" s="59" t="str">
        <f>IF(AND(L149&gt;0,AI149&gt;0),MIN(L149,AI149),"-")</f>
        <v>-</v>
      </c>
      <c r="BG149" s="59" t="str">
        <f t="shared" si="38"/>
        <v>-</v>
      </c>
      <c r="BH149" s="59" t="str">
        <f>IF(AND(N149&gt;0,AK149&gt;0),MIN(N149,AK149),"-")</f>
        <v>-</v>
      </c>
      <c r="BI149" s="59" t="str">
        <f>IF(AND(O149&gt;0,AL149&gt;0),MIN(O149,AL149),"-")</f>
        <v>-</v>
      </c>
      <c r="BJ149" s="59" t="str">
        <f>IF(AND(P149&gt;0,AM149&gt;0),MIN(P149,AM149),"-")</f>
        <v>-</v>
      </c>
      <c r="BK149" s="59" t="str">
        <f>IF(AND(Q149&gt;0,AN149&gt;0),MIN(Q149,AN149),"-")</f>
        <v>-</v>
      </c>
      <c r="BL149" s="59" t="str">
        <f>IF(AND(R149&gt;0,AO149&gt;0),MIN(R149,AO149),"-")</f>
        <v>-</v>
      </c>
      <c r="BM149" s="59" t="str">
        <f>IF(AND(S149&gt;0,AP149&gt;0),MIN(S149,AP149),"-")</f>
        <v>-</v>
      </c>
      <c r="BN149" s="59" t="str">
        <f>IF(AND(T149&gt;0,AQ149&gt;0),MIN(T149,AQ149),"-")</f>
        <v>-</v>
      </c>
      <c r="BO149" s="59" t="str">
        <f>IF(AND(U149&gt;0,AR149&gt;0),MIN(U149,AR149),"-")</f>
        <v>-</v>
      </c>
      <c r="BP149" s="59" t="str">
        <f>IF(AND(V149&gt;0,AS149&gt;0),MIN(V149,AS149),"-")</f>
        <v>-</v>
      </c>
      <c r="BQ149" s="59" t="str">
        <f t="shared" si="39"/>
        <v>-</v>
      </c>
      <c r="BR149" s="59" t="str">
        <f t="shared" si="40"/>
        <v>-</v>
      </c>
      <c r="BS149" s="59" t="str">
        <f t="shared" si="41"/>
        <v>-</v>
      </c>
      <c r="BT149" s="98" t="str">
        <f>IF(ISNUMBER(BS149),BS149-(C149*Rules!$P$9/100),"-")</f>
        <v>-</v>
      </c>
      <c r="BU149" s="59" t="e">
        <f>RANK($BT149,$BT$5:$BT$106,1)+COUNTIF(BT$5:BT149,BT149)-1</f>
        <v>#VALUE!</v>
      </c>
      <c r="BV149" s="59" t="e">
        <f t="shared" si="42"/>
        <v>#VALUE!</v>
      </c>
      <c r="BW149" s="59" t="str">
        <f t="shared" si="43"/>
        <v xml:space="preserve"> </v>
      </c>
      <c r="BX149" s="59">
        <f t="shared" si="43"/>
        <v>0</v>
      </c>
      <c r="BY149" s="59" t="str">
        <f t="shared" si="44"/>
        <v>-</v>
      </c>
      <c r="CD149" s="79"/>
      <c r="CE149" s="80"/>
      <c r="CF149" s="104"/>
      <c r="CL149" s="77">
        <v>1</v>
      </c>
    </row>
    <row r="150" spans="1:90" ht="17.45" customHeight="1">
      <c r="A150" s="58">
        <v>146</v>
      </c>
      <c r="B150" s="59" t="str">
        <f>'B Div'!A150 &amp; " " &amp; 'B Div'!B150</f>
        <v xml:space="preserve"> </v>
      </c>
      <c r="C150" s="59">
        <f>'B Div'!E150</f>
        <v>0</v>
      </c>
      <c r="D150" s="60"/>
      <c r="E150" s="60"/>
      <c r="F150" s="60"/>
      <c r="G150" s="60"/>
      <c r="H150" s="60"/>
      <c r="I150" s="60"/>
      <c r="J150" s="60"/>
      <c r="K150" s="60"/>
      <c r="L150" s="60"/>
      <c r="M150" s="74" t="str">
        <f t="shared" si="30"/>
        <v>-</v>
      </c>
      <c r="N150" s="60"/>
      <c r="O150" s="60"/>
      <c r="P150" s="60"/>
      <c r="Q150" s="60"/>
      <c r="R150" s="60"/>
      <c r="S150" s="60"/>
      <c r="T150" s="60"/>
      <c r="U150" s="60"/>
      <c r="V150" s="60"/>
      <c r="W150" s="74" t="str">
        <f t="shared" si="31"/>
        <v>-</v>
      </c>
      <c r="X150" s="74" t="str">
        <f t="shared" si="32"/>
        <v>-</v>
      </c>
      <c r="Y150" s="74" t="str">
        <f t="shared" si="33"/>
        <v>-</v>
      </c>
      <c r="AA150" s="60"/>
      <c r="AB150" s="60"/>
      <c r="AC150" s="60"/>
      <c r="AD150" s="60"/>
      <c r="AE150" s="60"/>
      <c r="AF150" s="60"/>
      <c r="AG150" s="60"/>
      <c r="AH150" s="60"/>
      <c r="AI150" s="60"/>
      <c r="AJ150" s="74" t="str">
        <f t="shared" si="34"/>
        <v>-</v>
      </c>
      <c r="AK150" s="60"/>
      <c r="AL150" s="60"/>
      <c r="AM150" s="60"/>
      <c r="AN150" s="60"/>
      <c r="AO150" s="60"/>
      <c r="AP150" s="60"/>
      <c r="AQ150" s="60"/>
      <c r="AR150" s="60"/>
      <c r="AS150" s="60"/>
      <c r="AT150" s="74" t="str">
        <f t="shared" si="35"/>
        <v>-</v>
      </c>
      <c r="AU150" s="74" t="str">
        <f t="shared" si="36"/>
        <v>-</v>
      </c>
      <c r="AV150" s="74" t="str">
        <f t="shared" si="37"/>
        <v>-</v>
      </c>
      <c r="AX150" s="59" t="str">
        <f>IF(AND(D150&gt;0,AA150&gt;0),MIN(D150,AA150),"-")</f>
        <v>-</v>
      </c>
      <c r="AY150" s="59" t="str">
        <f>IF(AND(E150&gt;0,AB150&gt;0),MIN(E150,AB150),"-")</f>
        <v>-</v>
      </c>
      <c r="AZ150" s="59" t="str">
        <f>IF(AND(F150&gt;0,AC150&gt;0),MIN(F150,AC150),"-")</f>
        <v>-</v>
      </c>
      <c r="BA150" s="59" t="str">
        <f>IF(AND(G150&gt;0,AD150&gt;0),MIN(G150,AD150),"-")</f>
        <v>-</v>
      </c>
      <c r="BB150" s="59" t="str">
        <f>IF(AND(H150&gt;0,AE150&gt;0),MIN(H150,AE150),"-")</f>
        <v>-</v>
      </c>
      <c r="BC150" s="59" t="str">
        <f>IF(AND(I150&gt;0,AF150&gt;0),MIN(I150,AF150),"-")</f>
        <v>-</v>
      </c>
      <c r="BD150" s="59" t="str">
        <f>IF(AND(J150&gt;0,AG150&gt;0),MIN(J150,AG150),"-")</f>
        <v>-</v>
      </c>
      <c r="BE150" s="59" t="str">
        <f>IF(AND(K150&gt;0,AH150&gt;0),MIN(K150,AH150),"-")</f>
        <v>-</v>
      </c>
      <c r="BF150" s="59" t="str">
        <f>IF(AND(L150&gt;0,AI150&gt;0),MIN(L150,AI150),"-")</f>
        <v>-</v>
      </c>
      <c r="BG150" s="59" t="str">
        <f t="shared" si="38"/>
        <v>-</v>
      </c>
      <c r="BH150" s="59" t="str">
        <f>IF(AND(N150&gt;0,AK150&gt;0),MIN(N150,AK150),"-")</f>
        <v>-</v>
      </c>
      <c r="BI150" s="59" t="str">
        <f>IF(AND(O150&gt;0,AL150&gt;0),MIN(O150,AL150),"-")</f>
        <v>-</v>
      </c>
      <c r="BJ150" s="59" t="str">
        <f>IF(AND(P150&gt;0,AM150&gt;0),MIN(P150,AM150),"-")</f>
        <v>-</v>
      </c>
      <c r="BK150" s="59" t="str">
        <f>IF(AND(Q150&gt;0,AN150&gt;0),MIN(Q150,AN150),"-")</f>
        <v>-</v>
      </c>
      <c r="BL150" s="59" t="str">
        <f>IF(AND(R150&gt;0,AO150&gt;0),MIN(R150,AO150),"-")</f>
        <v>-</v>
      </c>
      <c r="BM150" s="59" t="str">
        <f>IF(AND(S150&gt;0,AP150&gt;0),MIN(S150,AP150),"-")</f>
        <v>-</v>
      </c>
      <c r="BN150" s="59" t="str">
        <f>IF(AND(T150&gt;0,AQ150&gt;0),MIN(T150,AQ150),"-")</f>
        <v>-</v>
      </c>
      <c r="BO150" s="59" t="str">
        <f>IF(AND(U150&gt;0,AR150&gt;0),MIN(U150,AR150),"-")</f>
        <v>-</v>
      </c>
      <c r="BP150" s="59" t="str">
        <f>IF(AND(V150&gt;0,AS150&gt;0),MIN(V150,AS150),"-")</f>
        <v>-</v>
      </c>
      <c r="BQ150" s="59" t="str">
        <f t="shared" si="39"/>
        <v>-</v>
      </c>
      <c r="BR150" s="59" t="str">
        <f t="shared" si="40"/>
        <v>-</v>
      </c>
      <c r="BS150" s="59" t="str">
        <f t="shared" si="41"/>
        <v>-</v>
      </c>
      <c r="BT150" s="98" t="str">
        <f>IF(ISNUMBER(BS150),BS150-(C150*Rules!$P$9/100),"-")</f>
        <v>-</v>
      </c>
      <c r="BU150" s="59" t="e">
        <f>RANK($BT150,$BT$5:$BT$106,1)+COUNTIF(BT$5:BT150,BT150)-1</f>
        <v>#VALUE!</v>
      </c>
      <c r="BV150" s="59" t="e">
        <f t="shared" si="42"/>
        <v>#VALUE!</v>
      </c>
      <c r="BW150" s="59" t="str">
        <f t="shared" si="43"/>
        <v xml:space="preserve"> </v>
      </c>
      <c r="BX150" s="59">
        <f t="shared" si="43"/>
        <v>0</v>
      </c>
      <c r="BY150" s="59" t="str">
        <f t="shared" si="44"/>
        <v>-</v>
      </c>
      <c r="CD150" s="79"/>
      <c r="CE150" s="80"/>
      <c r="CF150" s="104"/>
      <c r="CL150" s="77">
        <v>1</v>
      </c>
    </row>
    <row r="151" spans="1:90" ht="17.45" customHeight="1">
      <c r="A151" s="58">
        <v>147</v>
      </c>
      <c r="B151" s="59" t="str">
        <f>'B Div'!A151 &amp; " " &amp; 'B Div'!B151</f>
        <v xml:space="preserve"> </v>
      </c>
      <c r="C151" s="59">
        <f>'B Div'!E151</f>
        <v>0</v>
      </c>
      <c r="D151" s="60"/>
      <c r="E151" s="60"/>
      <c r="F151" s="60"/>
      <c r="G151" s="60"/>
      <c r="H151" s="60"/>
      <c r="I151" s="60"/>
      <c r="J151" s="60"/>
      <c r="K151" s="60"/>
      <c r="L151" s="60"/>
      <c r="M151" s="74" t="str">
        <f t="shared" si="30"/>
        <v>-</v>
      </c>
      <c r="N151" s="60"/>
      <c r="O151" s="60"/>
      <c r="P151" s="60"/>
      <c r="Q151" s="60"/>
      <c r="R151" s="60"/>
      <c r="S151" s="60"/>
      <c r="T151" s="60"/>
      <c r="U151" s="60"/>
      <c r="V151" s="60"/>
      <c r="W151" s="74" t="str">
        <f t="shared" si="31"/>
        <v>-</v>
      </c>
      <c r="X151" s="74" t="str">
        <f t="shared" si="32"/>
        <v>-</v>
      </c>
      <c r="Y151" s="74" t="str">
        <f t="shared" si="33"/>
        <v>-</v>
      </c>
      <c r="AA151" s="60"/>
      <c r="AB151" s="60"/>
      <c r="AC151" s="60"/>
      <c r="AD151" s="60"/>
      <c r="AE151" s="60"/>
      <c r="AF151" s="60"/>
      <c r="AG151" s="60"/>
      <c r="AH151" s="60"/>
      <c r="AI151" s="60"/>
      <c r="AJ151" s="74" t="str">
        <f t="shared" si="34"/>
        <v>-</v>
      </c>
      <c r="AK151" s="60"/>
      <c r="AL151" s="60"/>
      <c r="AM151" s="60"/>
      <c r="AN151" s="60"/>
      <c r="AO151" s="60"/>
      <c r="AP151" s="60"/>
      <c r="AQ151" s="60"/>
      <c r="AR151" s="60"/>
      <c r="AS151" s="60"/>
      <c r="AT151" s="74" t="str">
        <f t="shared" si="35"/>
        <v>-</v>
      </c>
      <c r="AU151" s="74" t="str">
        <f t="shared" si="36"/>
        <v>-</v>
      </c>
      <c r="AV151" s="74" t="str">
        <f t="shared" si="37"/>
        <v>-</v>
      </c>
      <c r="AX151" s="59" t="str">
        <f>IF(AND(D151&gt;0,AA151&gt;0),MIN(D151,AA151),"-")</f>
        <v>-</v>
      </c>
      <c r="AY151" s="59" t="str">
        <f>IF(AND(E151&gt;0,AB151&gt;0),MIN(E151,AB151),"-")</f>
        <v>-</v>
      </c>
      <c r="AZ151" s="59" t="str">
        <f>IF(AND(F151&gt;0,AC151&gt;0),MIN(F151,AC151),"-")</f>
        <v>-</v>
      </c>
      <c r="BA151" s="59" t="str">
        <f>IF(AND(G151&gt;0,AD151&gt;0),MIN(G151,AD151),"-")</f>
        <v>-</v>
      </c>
      <c r="BB151" s="59" t="str">
        <f>IF(AND(H151&gt;0,AE151&gt;0),MIN(H151,AE151),"-")</f>
        <v>-</v>
      </c>
      <c r="BC151" s="59" t="str">
        <f>IF(AND(I151&gt;0,AF151&gt;0),MIN(I151,AF151),"-")</f>
        <v>-</v>
      </c>
      <c r="BD151" s="59" t="str">
        <f>IF(AND(J151&gt;0,AG151&gt;0),MIN(J151,AG151),"-")</f>
        <v>-</v>
      </c>
      <c r="BE151" s="59" t="str">
        <f>IF(AND(K151&gt;0,AH151&gt;0),MIN(K151,AH151),"-")</f>
        <v>-</v>
      </c>
      <c r="BF151" s="59" t="str">
        <f>IF(AND(L151&gt;0,AI151&gt;0),MIN(L151,AI151),"-")</f>
        <v>-</v>
      </c>
      <c r="BG151" s="59" t="str">
        <f t="shared" si="38"/>
        <v>-</v>
      </c>
      <c r="BH151" s="59" t="str">
        <f>IF(AND(N151&gt;0,AK151&gt;0),MIN(N151,AK151),"-")</f>
        <v>-</v>
      </c>
      <c r="BI151" s="59" t="str">
        <f>IF(AND(O151&gt;0,AL151&gt;0),MIN(O151,AL151),"-")</f>
        <v>-</v>
      </c>
      <c r="BJ151" s="59" t="str">
        <f>IF(AND(P151&gt;0,AM151&gt;0),MIN(P151,AM151),"-")</f>
        <v>-</v>
      </c>
      <c r="BK151" s="59" t="str">
        <f>IF(AND(Q151&gt;0,AN151&gt;0),MIN(Q151,AN151),"-")</f>
        <v>-</v>
      </c>
      <c r="BL151" s="59" t="str">
        <f>IF(AND(R151&gt;0,AO151&gt;0),MIN(R151,AO151),"-")</f>
        <v>-</v>
      </c>
      <c r="BM151" s="59" t="str">
        <f>IF(AND(S151&gt;0,AP151&gt;0),MIN(S151,AP151),"-")</f>
        <v>-</v>
      </c>
      <c r="BN151" s="59" t="str">
        <f>IF(AND(T151&gt;0,AQ151&gt;0),MIN(T151,AQ151),"-")</f>
        <v>-</v>
      </c>
      <c r="BO151" s="59" t="str">
        <f>IF(AND(U151&gt;0,AR151&gt;0),MIN(U151,AR151),"-")</f>
        <v>-</v>
      </c>
      <c r="BP151" s="59" t="str">
        <f>IF(AND(V151&gt;0,AS151&gt;0),MIN(V151,AS151),"-")</f>
        <v>-</v>
      </c>
      <c r="BQ151" s="59" t="str">
        <f t="shared" si="39"/>
        <v>-</v>
      </c>
      <c r="BR151" s="59" t="str">
        <f t="shared" si="40"/>
        <v>-</v>
      </c>
      <c r="BS151" s="59" t="str">
        <f t="shared" si="41"/>
        <v>-</v>
      </c>
      <c r="BT151" s="98" t="str">
        <f>IF(ISNUMBER(BS151),BS151-(C151*Rules!$P$9/100),"-")</f>
        <v>-</v>
      </c>
      <c r="BU151" s="59" t="e">
        <f>RANK($BT151,$BT$5:$BT$106,1)+COUNTIF(BT$5:BT151,BT151)-1</f>
        <v>#VALUE!</v>
      </c>
      <c r="BV151" s="59" t="e">
        <f t="shared" si="42"/>
        <v>#VALUE!</v>
      </c>
      <c r="BW151" s="59" t="str">
        <f t="shared" si="43"/>
        <v xml:space="preserve"> </v>
      </c>
      <c r="BX151" s="59">
        <f t="shared" si="43"/>
        <v>0</v>
      </c>
      <c r="BY151" s="59" t="str">
        <f t="shared" si="44"/>
        <v>-</v>
      </c>
      <c r="CD151" s="79"/>
      <c r="CE151" s="80"/>
      <c r="CF151" s="104"/>
      <c r="CL151" s="77">
        <v>1</v>
      </c>
    </row>
    <row r="152" spans="1:90" ht="17.45" customHeight="1">
      <c r="A152" s="58">
        <v>148</v>
      </c>
      <c r="B152" s="59" t="str">
        <f>'B Div'!A152 &amp; " " &amp; 'B Div'!B152</f>
        <v xml:space="preserve"> </v>
      </c>
      <c r="C152" s="59">
        <f>'B Div'!E152</f>
        <v>0</v>
      </c>
      <c r="D152" s="60"/>
      <c r="E152" s="60"/>
      <c r="F152" s="60"/>
      <c r="G152" s="60"/>
      <c r="H152" s="60"/>
      <c r="I152" s="60"/>
      <c r="J152" s="60"/>
      <c r="K152" s="60"/>
      <c r="L152" s="60"/>
      <c r="M152" s="74" t="str">
        <f t="shared" si="30"/>
        <v>-</v>
      </c>
      <c r="N152" s="60"/>
      <c r="O152" s="60"/>
      <c r="P152" s="60"/>
      <c r="Q152" s="60"/>
      <c r="R152" s="60"/>
      <c r="S152" s="60"/>
      <c r="T152" s="60"/>
      <c r="U152" s="60"/>
      <c r="V152" s="60"/>
      <c r="W152" s="74" t="str">
        <f t="shared" si="31"/>
        <v>-</v>
      </c>
      <c r="X152" s="74" t="str">
        <f t="shared" si="32"/>
        <v>-</v>
      </c>
      <c r="Y152" s="74" t="str">
        <f t="shared" si="33"/>
        <v>-</v>
      </c>
      <c r="AA152" s="60"/>
      <c r="AB152" s="60"/>
      <c r="AC152" s="60"/>
      <c r="AD152" s="60"/>
      <c r="AE152" s="60"/>
      <c r="AF152" s="60"/>
      <c r="AG152" s="60"/>
      <c r="AH152" s="60"/>
      <c r="AI152" s="60"/>
      <c r="AJ152" s="74" t="str">
        <f t="shared" si="34"/>
        <v>-</v>
      </c>
      <c r="AK152" s="60"/>
      <c r="AL152" s="60"/>
      <c r="AM152" s="60"/>
      <c r="AN152" s="60"/>
      <c r="AO152" s="60"/>
      <c r="AP152" s="60"/>
      <c r="AQ152" s="60"/>
      <c r="AR152" s="60"/>
      <c r="AS152" s="60"/>
      <c r="AT152" s="74" t="str">
        <f t="shared" si="35"/>
        <v>-</v>
      </c>
      <c r="AU152" s="74" t="str">
        <f t="shared" si="36"/>
        <v>-</v>
      </c>
      <c r="AV152" s="74" t="str">
        <f t="shared" si="37"/>
        <v>-</v>
      </c>
      <c r="AX152" s="59" t="str">
        <f>IF(AND(D152&gt;0,AA152&gt;0),MIN(D152,AA152),"-")</f>
        <v>-</v>
      </c>
      <c r="AY152" s="59" t="str">
        <f>IF(AND(E152&gt;0,AB152&gt;0),MIN(E152,AB152),"-")</f>
        <v>-</v>
      </c>
      <c r="AZ152" s="59" t="str">
        <f>IF(AND(F152&gt;0,AC152&gt;0),MIN(F152,AC152),"-")</f>
        <v>-</v>
      </c>
      <c r="BA152" s="59" t="str">
        <f>IF(AND(G152&gt;0,AD152&gt;0),MIN(G152,AD152),"-")</f>
        <v>-</v>
      </c>
      <c r="BB152" s="59" t="str">
        <f>IF(AND(H152&gt;0,AE152&gt;0),MIN(H152,AE152),"-")</f>
        <v>-</v>
      </c>
      <c r="BC152" s="59" t="str">
        <f>IF(AND(I152&gt;0,AF152&gt;0),MIN(I152,AF152),"-")</f>
        <v>-</v>
      </c>
      <c r="BD152" s="59" t="str">
        <f>IF(AND(J152&gt;0,AG152&gt;0),MIN(J152,AG152),"-")</f>
        <v>-</v>
      </c>
      <c r="BE152" s="59" t="str">
        <f>IF(AND(K152&gt;0,AH152&gt;0),MIN(K152,AH152),"-")</f>
        <v>-</v>
      </c>
      <c r="BF152" s="59" t="str">
        <f>IF(AND(L152&gt;0,AI152&gt;0),MIN(L152,AI152),"-")</f>
        <v>-</v>
      </c>
      <c r="BG152" s="59" t="str">
        <f t="shared" si="38"/>
        <v>-</v>
      </c>
      <c r="BH152" s="59" t="str">
        <f>IF(AND(N152&gt;0,AK152&gt;0),MIN(N152,AK152),"-")</f>
        <v>-</v>
      </c>
      <c r="BI152" s="59" t="str">
        <f>IF(AND(O152&gt;0,AL152&gt;0),MIN(O152,AL152),"-")</f>
        <v>-</v>
      </c>
      <c r="BJ152" s="59" t="str">
        <f>IF(AND(P152&gt;0,AM152&gt;0),MIN(P152,AM152),"-")</f>
        <v>-</v>
      </c>
      <c r="BK152" s="59" t="str">
        <f>IF(AND(Q152&gt;0,AN152&gt;0),MIN(Q152,AN152),"-")</f>
        <v>-</v>
      </c>
      <c r="BL152" s="59" t="str">
        <f>IF(AND(R152&gt;0,AO152&gt;0),MIN(R152,AO152),"-")</f>
        <v>-</v>
      </c>
      <c r="BM152" s="59" t="str">
        <f>IF(AND(S152&gt;0,AP152&gt;0),MIN(S152,AP152),"-")</f>
        <v>-</v>
      </c>
      <c r="BN152" s="59" t="str">
        <f>IF(AND(T152&gt;0,AQ152&gt;0),MIN(T152,AQ152),"-")</f>
        <v>-</v>
      </c>
      <c r="BO152" s="59" t="str">
        <f>IF(AND(U152&gt;0,AR152&gt;0),MIN(U152,AR152),"-")</f>
        <v>-</v>
      </c>
      <c r="BP152" s="59" t="str">
        <f>IF(AND(V152&gt;0,AS152&gt;0),MIN(V152,AS152),"-")</f>
        <v>-</v>
      </c>
      <c r="BQ152" s="59" t="str">
        <f t="shared" si="39"/>
        <v>-</v>
      </c>
      <c r="BR152" s="59" t="str">
        <f t="shared" si="40"/>
        <v>-</v>
      </c>
      <c r="BS152" s="59" t="str">
        <f t="shared" si="41"/>
        <v>-</v>
      </c>
      <c r="BT152" s="98" t="str">
        <f>IF(ISNUMBER(BS152),BS152-(C152*Rules!$P$9/100),"-")</f>
        <v>-</v>
      </c>
      <c r="BU152" s="59" t="e">
        <f>RANK($BT152,$BT$5:$BT$106,1)+COUNTIF(BT$5:BT152,BT152)-1</f>
        <v>#VALUE!</v>
      </c>
      <c r="BV152" s="59" t="e">
        <f t="shared" si="42"/>
        <v>#VALUE!</v>
      </c>
      <c r="BW152" s="59" t="str">
        <f t="shared" si="43"/>
        <v xml:space="preserve"> </v>
      </c>
      <c r="BX152" s="59">
        <f t="shared" si="43"/>
        <v>0</v>
      </c>
      <c r="BY152" s="59" t="str">
        <f t="shared" si="44"/>
        <v>-</v>
      </c>
      <c r="CD152" s="79"/>
      <c r="CE152" s="80"/>
      <c r="CF152" s="104"/>
      <c r="CL152" s="77">
        <v>1</v>
      </c>
    </row>
    <row r="153" spans="1:90" ht="17.45" customHeight="1">
      <c r="A153" s="58">
        <v>149</v>
      </c>
      <c r="B153" s="59" t="str">
        <f>'B Div'!A153 &amp; " " &amp; 'B Div'!B153</f>
        <v xml:space="preserve"> </v>
      </c>
      <c r="C153" s="59">
        <f>'B Div'!E153</f>
        <v>0</v>
      </c>
      <c r="D153" s="60"/>
      <c r="E153" s="60"/>
      <c r="F153" s="60"/>
      <c r="G153" s="60"/>
      <c r="H153" s="60"/>
      <c r="I153" s="60"/>
      <c r="J153" s="60"/>
      <c r="K153" s="60"/>
      <c r="L153" s="60"/>
      <c r="M153" s="74" t="str">
        <f t="shared" si="30"/>
        <v>-</v>
      </c>
      <c r="N153" s="60"/>
      <c r="O153" s="60"/>
      <c r="P153" s="60"/>
      <c r="Q153" s="60"/>
      <c r="R153" s="60"/>
      <c r="S153" s="60"/>
      <c r="T153" s="60"/>
      <c r="U153" s="60"/>
      <c r="V153" s="60"/>
      <c r="W153" s="74" t="str">
        <f t="shared" si="31"/>
        <v>-</v>
      </c>
      <c r="X153" s="74" t="str">
        <f t="shared" si="32"/>
        <v>-</v>
      </c>
      <c r="Y153" s="74" t="str">
        <f t="shared" si="33"/>
        <v>-</v>
      </c>
      <c r="AA153" s="60"/>
      <c r="AB153" s="60"/>
      <c r="AC153" s="60"/>
      <c r="AD153" s="60"/>
      <c r="AE153" s="60"/>
      <c r="AF153" s="60"/>
      <c r="AG153" s="60"/>
      <c r="AH153" s="60"/>
      <c r="AI153" s="60"/>
      <c r="AJ153" s="74" t="str">
        <f t="shared" si="34"/>
        <v>-</v>
      </c>
      <c r="AK153" s="60"/>
      <c r="AL153" s="60"/>
      <c r="AM153" s="60"/>
      <c r="AN153" s="60"/>
      <c r="AO153" s="60"/>
      <c r="AP153" s="60"/>
      <c r="AQ153" s="60"/>
      <c r="AR153" s="60"/>
      <c r="AS153" s="60"/>
      <c r="AT153" s="74" t="str">
        <f t="shared" si="35"/>
        <v>-</v>
      </c>
      <c r="AU153" s="74" t="str">
        <f t="shared" si="36"/>
        <v>-</v>
      </c>
      <c r="AV153" s="74" t="str">
        <f t="shared" si="37"/>
        <v>-</v>
      </c>
      <c r="AX153" s="59" t="str">
        <f>IF(AND(D153&gt;0,AA153&gt;0),MIN(D153,AA153),"-")</f>
        <v>-</v>
      </c>
      <c r="AY153" s="59" t="str">
        <f>IF(AND(E153&gt;0,AB153&gt;0),MIN(E153,AB153),"-")</f>
        <v>-</v>
      </c>
      <c r="AZ153" s="59" t="str">
        <f>IF(AND(F153&gt;0,AC153&gt;0),MIN(F153,AC153),"-")</f>
        <v>-</v>
      </c>
      <c r="BA153" s="59" t="str">
        <f>IF(AND(G153&gt;0,AD153&gt;0),MIN(G153,AD153),"-")</f>
        <v>-</v>
      </c>
      <c r="BB153" s="59" t="str">
        <f>IF(AND(H153&gt;0,AE153&gt;0),MIN(H153,AE153),"-")</f>
        <v>-</v>
      </c>
      <c r="BC153" s="59" t="str">
        <f>IF(AND(I153&gt;0,AF153&gt;0),MIN(I153,AF153),"-")</f>
        <v>-</v>
      </c>
      <c r="BD153" s="59" t="str">
        <f>IF(AND(J153&gt;0,AG153&gt;0),MIN(J153,AG153),"-")</f>
        <v>-</v>
      </c>
      <c r="BE153" s="59" t="str">
        <f>IF(AND(K153&gt;0,AH153&gt;0),MIN(K153,AH153),"-")</f>
        <v>-</v>
      </c>
      <c r="BF153" s="59" t="str">
        <f>IF(AND(L153&gt;0,AI153&gt;0),MIN(L153,AI153),"-")</f>
        <v>-</v>
      </c>
      <c r="BG153" s="59" t="str">
        <f t="shared" si="38"/>
        <v>-</v>
      </c>
      <c r="BH153" s="59" t="str">
        <f>IF(AND(N153&gt;0,AK153&gt;0),MIN(N153,AK153),"-")</f>
        <v>-</v>
      </c>
      <c r="BI153" s="59" t="str">
        <f>IF(AND(O153&gt;0,AL153&gt;0),MIN(O153,AL153),"-")</f>
        <v>-</v>
      </c>
      <c r="BJ153" s="59" t="str">
        <f>IF(AND(P153&gt;0,AM153&gt;0),MIN(P153,AM153),"-")</f>
        <v>-</v>
      </c>
      <c r="BK153" s="59" t="str">
        <f>IF(AND(Q153&gt;0,AN153&gt;0),MIN(Q153,AN153),"-")</f>
        <v>-</v>
      </c>
      <c r="BL153" s="59" t="str">
        <f>IF(AND(R153&gt;0,AO153&gt;0),MIN(R153,AO153),"-")</f>
        <v>-</v>
      </c>
      <c r="BM153" s="59" t="str">
        <f>IF(AND(S153&gt;0,AP153&gt;0),MIN(S153,AP153),"-")</f>
        <v>-</v>
      </c>
      <c r="BN153" s="59" t="str">
        <f>IF(AND(T153&gt;0,AQ153&gt;0),MIN(T153,AQ153),"-")</f>
        <v>-</v>
      </c>
      <c r="BO153" s="59" t="str">
        <f>IF(AND(U153&gt;0,AR153&gt;0),MIN(U153,AR153),"-")</f>
        <v>-</v>
      </c>
      <c r="BP153" s="59" t="str">
        <f>IF(AND(V153&gt;0,AS153&gt;0),MIN(V153,AS153),"-")</f>
        <v>-</v>
      </c>
      <c r="BQ153" s="59" t="str">
        <f t="shared" si="39"/>
        <v>-</v>
      </c>
      <c r="BR153" s="59" t="str">
        <f t="shared" si="40"/>
        <v>-</v>
      </c>
      <c r="BS153" s="59" t="str">
        <f t="shared" si="41"/>
        <v>-</v>
      </c>
      <c r="BT153" s="98" t="str">
        <f>IF(ISNUMBER(BS153),BS153-(C153*Rules!$P$9/100),"-")</f>
        <v>-</v>
      </c>
      <c r="BU153" s="59" t="e">
        <f>RANK($BT153,$BT$5:$BT$106,1)+COUNTIF(BT$5:BT153,BT153)-1</f>
        <v>#VALUE!</v>
      </c>
      <c r="BV153" s="59" t="e">
        <f t="shared" si="42"/>
        <v>#VALUE!</v>
      </c>
      <c r="BW153" s="59" t="str">
        <f t="shared" si="43"/>
        <v xml:space="preserve"> </v>
      </c>
      <c r="BX153" s="59">
        <f t="shared" si="43"/>
        <v>0</v>
      </c>
      <c r="BY153" s="59" t="str">
        <f t="shared" si="44"/>
        <v>-</v>
      </c>
      <c r="CD153" s="79"/>
      <c r="CE153" s="80"/>
      <c r="CF153" s="104"/>
      <c r="CL153" s="77">
        <v>1</v>
      </c>
    </row>
    <row r="154" spans="1:90" ht="17.45" customHeight="1">
      <c r="A154" s="58">
        <v>150</v>
      </c>
      <c r="B154" s="59" t="str">
        <f>'B Div'!A154 &amp; " " &amp; 'B Div'!B154</f>
        <v xml:space="preserve"> </v>
      </c>
      <c r="C154" s="59">
        <f>'B Div'!E154</f>
        <v>0</v>
      </c>
      <c r="D154" s="60"/>
      <c r="E154" s="60"/>
      <c r="F154" s="60"/>
      <c r="G154" s="60"/>
      <c r="H154" s="60"/>
      <c r="I154" s="60"/>
      <c r="J154" s="60"/>
      <c r="K154" s="60"/>
      <c r="L154" s="60"/>
      <c r="M154" s="74" t="str">
        <f t="shared" si="30"/>
        <v>-</v>
      </c>
      <c r="N154" s="60"/>
      <c r="O154" s="60"/>
      <c r="P154" s="60"/>
      <c r="Q154" s="60"/>
      <c r="R154" s="60"/>
      <c r="S154" s="60"/>
      <c r="T154" s="60"/>
      <c r="U154" s="60"/>
      <c r="V154" s="60"/>
      <c r="W154" s="74" t="str">
        <f t="shared" si="31"/>
        <v>-</v>
      </c>
      <c r="X154" s="74" t="str">
        <f t="shared" si="32"/>
        <v>-</v>
      </c>
      <c r="Y154" s="74" t="str">
        <f t="shared" si="33"/>
        <v>-</v>
      </c>
      <c r="AA154" s="60"/>
      <c r="AB154" s="60"/>
      <c r="AC154" s="60"/>
      <c r="AD154" s="60"/>
      <c r="AE154" s="60"/>
      <c r="AF154" s="60"/>
      <c r="AG154" s="60"/>
      <c r="AH154" s="60"/>
      <c r="AI154" s="60"/>
      <c r="AJ154" s="74" t="str">
        <f t="shared" si="34"/>
        <v>-</v>
      </c>
      <c r="AK154" s="60"/>
      <c r="AL154" s="60"/>
      <c r="AM154" s="60"/>
      <c r="AN154" s="60"/>
      <c r="AO154" s="60"/>
      <c r="AP154" s="60"/>
      <c r="AQ154" s="60"/>
      <c r="AR154" s="60"/>
      <c r="AS154" s="60"/>
      <c r="AT154" s="74" t="str">
        <f t="shared" si="35"/>
        <v>-</v>
      </c>
      <c r="AU154" s="74" t="str">
        <f t="shared" si="36"/>
        <v>-</v>
      </c>
      <c r="AV154" s="74" t="str">
        <f t="shared" si="37"/>
        <v>-</v>
      </c>
      <c r="AX154" s="59" t="str">
        <f>IF(AND(D154&gt;0,AA154&gt;0),MIN(D154,AA154),"-")</f>
        <v>-</v>
      </c>
      <c r="AY154" s="59" t="str">
        <f>IF(AND(E154&gt;0,AB154&gt;0),MIN(E154,AB154),"-")</f>
        <v>-</v>
      </c>
      <c r="AZ154" s="59" t="str">
        <f>IF(AND(F154&gt;0,AC154&gt;0),MIN(F154,AC154),"-")</f>
        <v>-</v>
      </c>
      <c r="BA154" s="59" t="str">
        <f>IF(AND(G154&gt;0,AD154&gt;0),MIN(G154,AD154),"-")</f>
        <v>-</v>
      </c>
      <c r="BB154" s="59" t="str">
        <f>IF(AND(H154&gt;0,AE154&gt;0),MIN(H154,AE154),"-")</f>
        <v>-</v>
      </c>
      <c r="BC154" s="59" t="str">
        <f>IF(AND(I154&gt;0,AF154&gt;0),MIN(I154,AF154),"-")</f>
        <v>-</v>
      </c>
      <c r="BD154" s="59" t="str">
        <f>IF(AND(J154&gt;0,AG154&gt;0),MIN(J154,AG154),"-")</f>
        <v>-</v>
      </c>
      <c r="BE154" s="59" t="str">
        <f>IF(AND(K154&gt;0,AH154&gt;0),MIN(K154,AH154),"-")</f>
        <v>-</v>
      </c>
      <c r="BF154" s="59" t="str">
        <f>IF(AND(L154&gt;0,AI154&gt;0),MIN(L154,AI154),"-")</f>
        <v>-</v>
      </c>
      <c r="BG154" s="59" t="str">
        <f t="shared" si="38"/>
        <v>-</v>
      </c>
      <c r="BH154" s="59" t="str">
        <f>IF(AND(N154&gt;0,AK154&gt;0),MIN(N154,AK154),"-")</f>
        <v>-</v>
      </c>
      <c r="BI154" s="59" t="str">
        <f>IF(AND(O154&gt;0,AL154&gt;0),MIN(O154,AL154),"-")</f>
        <v>-</v>
      </c>
      <c r="BJ154" s="59" t="str">
        <f>IF(AND(P154&gt;0,AM154&gt;0),MIN(P154,AM154),"-")</f>
        <v>-</v>
      </c>
      <c r="BK154" s="59" t="str">
        <f>IF(AND(Q154&gt;0,AN154&gt;0),MIN(Q154,AN154),"-")</f>
        <v>-</v>
      </c>
      <c r="BL154" s="59" t="str">
        <f>IF(AND(R154&gt;0,AO154&gt;0),MIN(R154,AO154),"-")</f>
        <v>-</v>
      </c>
      <c r="BM154" s="59" t="str">
        <f>IF(AND(S154&gt;0,AP154&gt;0),MIN(S154,AP154),"-")</f>
        <v>-</v>
      </c>
      <c r="BN154" s="59" t="str">
        <f>IF(AND(T154&gt;0,AQ154&gt;0),MIN(T154,AQ154),"-")</f>
        <v>-</v>
      </c>
      <c r="BO154" s="59" t="str">
        <f>IF(AND(U154&gt;0,AR154&gt;0),MIN(U154,AR154),"-")</f>
        <v>-</v>
      </c>
      <c r="BP154" s="59" t="str">
        <f>IF(AND(V154&gt;0,AS154&gt;0),MIN(V154,AS154),"-")</f>
        <v>-</v>
      </c>
      <c r="BQ154" s="59" t="str">
        <f t="shared" si="39"/>
        <v>-</v>
      </c>
      <c r="BR154" s="59" t="str">
        <f t="shared" si="40"/>
        <v>-</v>
      </c>
      <c r="BS154" s="59" t="str">
        <f t="shared" si="41"/>
        <v>-</v>
      </c>
      <c r="BT154" s="98" t="str">
        <f>IF(ISNUMBER(BS154),BS154-(C154*Rules!$P$9/100),"-")</f>
        <v>-</v>
      </c>
      <c r="BU154" s="59" t="e">
        <f>RANK($BT154,$BT$5:$BT$106,1)+COUNTIF(BT$5:BT154,BT154)-1</f>
        <v>#VALUE!</v>
      </c>
      <c r="BV154" s="59" t="e">
        <f t="shared" si="42"/>
        <v>#VALUE!</v>
      </c>
      <c r="BW154" s="59" t="str">
        <f t="shared" si="43"/>
        <v xml:space="preserve"> </v>
      </c>
      <c r="BX154" s="59">
        <f t="shared" si="43"/>
        <v>0</v>
      </c>
      <c r="BY154" s="59" t="str">
        <f t="shared" si="44"/>
        <v>-</v>
      </c>
      <c r="CD154" s="79"/>
      <c r="CE154" s="80"/>
      <c r="CF154" s="104"/>
      <c r="CL154" s="77">
        <v>1</v>
      </c>
    </row>
    <row r="155" spans="1:90" ht="17.45" customHeight="1">
      <c r="A155" s="58">
        <v>151</v>
      </c>
      <c r="B155" s="59" t="str">
        <f>'B Div'!A155 &amp; " " &amp; 'B Div'!B155</f>
        <v xml:space="preserve"> </v>
      </c>
      <c r="C155" s="59">
        <f>'B Div'!E155</f>
        <v>0</v>
      </c>
      <c r="D155" s="60"/>
      <c r="E155" s="60"/>
      <c r="F155" s="60"/>
      <c r="G155" s="60"/>
      <c r="H155" s="60"/>
      <c r="I155" s="60"/>
      <c r="J155" s="60"/>
      <c r="K155" s="60"/>
      <c r="L155" s="60"/>
      <c r="M155" s="74" t="str">
        <f t="shared" si="30"/>
        <v>-</v>
      </c>
      <c r="N155" s="60"/>
      <c r="O155" s="60"/>
      <c r="P155" s="60"/>
      <c r="Q155" s="60"/>
      <c r="R155" s="60"/>
      <c r="S155" s="60"/>
      <c r="T155" s="60"/>
      <c r="U155" s="60"/>
      <c r="V155" s="60"/>
      <c r="W155" s="74" t="str">
        <f t="shared" si="31"/>
        <v>-</v>
      </c>
      <c r="X155" s="74" t="str">
        <f t="shared" si="32"/>
        <v>-</v>
      </c>
      <c r="Y155" s="74" t="str">
        <f t="shared" si="33"/>
        <v>-</v>
      </c>
      <c r="AA155" s="60"/>
      <c r="AB155" s="60"/>
      <c r="AC155" s="60"/>
      <c r="AD155" s="60"/>
      <c r="AE155" s="60"/>
      <c r="AF155" s="60"/>
      <c r="AG155" s="60"/>
      <c r="AH155" s="60"/>
      <c r="AI155" s="60"/>
      <c r="AJ155" s="74" t="str">
        <f t="shared" si="34"/>
        <v>-</v>
      </c>
      <c r="AK155" s="60"/>
      <c r="AL155" s="60"/>
      <c r="AM155" s="60"/>
      <c r="AN155" s="60"/>
      <c r="AO155" s="60"/>
      <c r="AP155" s="60"/>
      <c r="AQ155" s="60"/>
      <c r="AR155" s="60"/>
      <c r="AS155" s="60"/>
      <c r="AT155" s="74" t="str">
        <f t="shared" si="35"/>
        <v>-</v>
      </c>
      <c r="AU155" s="74" t="str">
        <f t="shared" si="36"/>
        <v>-</v>
      </c>
      <c r="AV155" s="74" t="str">
        <f t="shared" si="37"/>
        <v>-</v>
      </c>
      <c r="AX155" s="59" t="str">
        <f>IF(AND(D155&gt;0,AA155&gt;0),MIN(D155,AA155),"-")</f>
        <v>-</v>
      </c>
      <c r="AY155" s="59" t="str">
        <f>IF(AND(E155&gt;0,AB155&gt;0),MIN(E155,AB155),"-")</f>
        <v>-</v>
      </c>
      <c r="AZ155" s="59" t="str">
        <f>IF(AND(F155&gt;0,AC155&gt;0),MIN(F155,AC155),"-")</f>
        <v>-</v>
      </c>
      <c r="BA155" s="59" t="str">
        <f>IF(AND(G155&gt;0,AD155&gt;0),MIN(G155,AD155),"-")</f>
        <v>-</v>
      </c>
      <c r="BB155" s="59" t="str">
        <f>IF(AND(H155&gt;0,AE155&gt;0),MIN(H155,AE155),"-")</f>
        <v>-</v>
      </c>
      <c r="BC155" s="59" t="str">
        <f>IF(AND(I155&gt;0,AF155&gt;0),MIN(I155,AF155),"-")</f>
        <v>-</v>
      </c>
      <c r="BD155" s="59" t="str">
        <f>IF(AND(J155&gt;0,AG155&gt;0),MIN(J155,AG155),"-")</f>
        <v>-</v>
      </c>
      <c r="BE155" s="59" t="str">
        <f>IF(AND(K155&gt;0,AH155&gt;0),MIN(K155,AH155),"-")</f>
        <v>-</v>
      </c>
      <c r="BF155" s="59" t="str">
        <f>IF(AND(L155&gt;0,AI155&gt;0),MIN(L155,AI155),"-")</f>
        <v>-</v>
      </c>
      <c r="BG155" s="59" t="str">
        <f t="shared" si="38"/>
        <v>-</v>
      </c>
      <c r="BH155" s="59" t="str">
        <f>IF(AND(N155&gt;0,AK155&gt;0),MIN(N155,AK155),"-")</f>
        <v>-</v>
      </c>
      <c r="BI155" s="59" t="str">
        <f>IF(AND(O155&gt;0,AL155&gt;0),MIN(O155,AL155),"-")</f>
        <v>-</v>
      </c>
      <c r="BJ155" s="59" t="str">
        <f>IF(AND(P155&gt;0,AM155&gt;0),MIN(P155,AM155),"-")</f>
        <v>-</v>
      </c>
      <c r="BK155" s="59" t="str">
        <f>IF(AND(Q155&gt;0,AN155&gt;0),MIN(Q155,AN155),"-")</f>
        <v>-</v>
      </c>
      <c r="BL155" s="59" t="str">
        <f>IF(AND(R155&gt;0,AO155&gt;0),MIN(R155,AO155),"-")</f>
        <v>-</v>
      </c>
      <c r="BM155" s="59" t="str">
        <f>IF(AND(S155&gt;0,AP155&gt;0),MIN(S155,AP155),"-")</f>
        <v>-</v>
      </c>
      <c r="BN155" s="59" t="str">
        <f>IF(AND(T155&gt;0,AQ155&gt;0),MIN(T155,AQ155),"-")</f>
        <v>-</v>
      </c>
      <c r="BO155" s="59" t="str">
        <f>IF(AND(U155&gt;0,AR155&gt;0),MIN(U155,AR155),"-")</f>
        <v>-</v>
      </c>
      <c r="BP155" s="59" t="str">
        <f>IF(AND(V155&gt;0,AS155&gt;0),MIN(V155,AS155),"-")</f>
        <v>-</v>
      </c>
      <c r="BQ155" s="59" t="str">
        <f t="shared" si="39"/>
        <v>-</v>
      </c>
      <c r="BR155" s="59" t="str">
        <f t="shared" si="40"/>
        <v>-</v>
      </c>
      <c r="BS155" s="59" t="str">
        <f t="shared" si="41"/>
        <v>-</v>
      </c>
      <c r="BT155" s="98" t="str">
        <f>IF(ISNUMBER(BS155),BS155-(C155*Rules!$P$9/100),"-")</f>
        <v>-</v>
      </c>
      <c r="BU155" s="59" t="e">
        <f>RANK($BT155,$BT$5:$BT$106,1)+COUNTIF(BT$5:BT155,BT155)-1</f>
        <v>#VALUE!</v>
      </c>
      <c r="BV155" s="59" t="e">
        <f t="shared" si="42"/>
        <v>#VALUE!</v>
      </c>
      <c r="BW155" s="59" t="str">
        <f t="shared" si="43"/>
        <v xml:space="preserve"> </v>
      </c>
      <c r="BX155" s="59">
        <f t="shared" si="43"/>
        <v>0</v>
      </c>
      <c r="BY155" s="59" t="str">
        <f t="shared" si="44"/>
        <v>-</v>
      </c>
      <c r="CD155" s="79"/>
      <c r="CE155" s="80"/>
      <c r="CF155" s="104"/>
      <c r="CL155" s="77">
        <v>1</v>
      </c>
    </row>
    <row r="156" spans="1:90" ht="17.45" customHeight="1">
      <c r="A156" s="58">
        <v>152</v>
      </c>
      <c r="B156" s="59" t="str">
        <f>'B Div'!A156 &amp; " " &amp; 'B Div'!B156</f>
        <v xml:space="preserve"> </v>
      </c>
      <c r="C156" s="59">
        <f>'B Div'!E156</f>
        <v>0</v>
      </c>
      <c r="D156" s="60"/>
      <c r="E156" s="60"/>
      <c r="F156" s="60"/>
      <c r="G156" s="60"/>
      <c r="H156" s="60"/>
      <c r="I156" s="60"/>
      <c r="J156" s="60"/>
      <c r="K156" s="60"/>
      <c r="L156" s="60"/>
      <c r="M156" s="74" t="str">
        <f t="shared" si="30"/>
        <v>-</v>
      </c>
      <c r="N156" s="60"/>
      <c r="O156" s="60"/>
      <c r="P156" s="60"/>
      <c r="Q156" s="60"/>
      <c r="R156" s="60"/>
      <c r="S156" s="60"/>
      <c r="T156" s="60"/>
      <c r="U156" s="60"/>
      <c r="V156" s="60"/>
      <c r="W156" s="74" t="str">
        <f t="shared" si="31"/>
        <v>-</v>
      </c>
      <c r="X156" s="74" t="str">
        <f t="shared" si="32"/>
        <v>-</v>
      </c>
      <c r="Y156" s="74" t="str">
        <f t="shared" si="33"/>
        <v>-</v>
      </c>
      <c r="AA156" s="60"/>
      <c r="AB156" s="60"/>
      <c r="AC156" s="60"/>
      <c r="AD156" s="60"/>
      <c r="AE156" s="60"/>
      <c r="AF156" s="60"/>
      <c r="AG156" s="60"/>
      <c r="AH156" s="60"/>
      <c r="AI156" s="60"/>
      <c r="AJ156" s="74" t="str">
        <f t="shared" si="34"/>
        <v>-</v>
      </c>
      <c r="AK156" s="60"/>
      <c r="AL156" s="60"/>
      <c r="AM156" s="60"/>
      <c r="AN156" s="60"/>
      <c r="AO156" s="60"/>
      <c r="AP156" s="60"/>
      <c r="AQ156" s="60"/>
      <c r="AR156" s="60"/>
      <c r="AS156" s="60"/>
      <c r="AT156" s="74" t="str">
        <f t="shared" si="35"/>
        <v>-</v>
      </c>
      <c r="AU156" s="74" t="str">
        <f t="shared" si="36"/>
        <v>-</v>
      </c>
      <c r="AV156" s="74" t="str">
        <f t="shared" si="37"/>
        <v>-</v>
      </c>
      <c r="AX156" s="59" t="str">
        <f>IF(AND(D156&gt;0,AA156&gt;0),MIN(D156,AA156),"-")</f>
        <v>-</v>
      </c>
      <c r="AY156" s="59" t="str">
        <f>IF(AND(E156&gt;0,AB156&gt;0),MIN(E156,AB156),"-")</f>
        <v>-</v>
      </c>
      <c r="AZ156" s="59" t="str">
        <f>IF(AND(F156&gt;0,AC156&gt;0),MIN(F156,AC156),"-")</f>
        <v>-</v>
      </c>
      <c r="BA156" s="59" t="str">
        <f>IF(AND(G156&gt;0,AD156&gt;0),MIN(G156,AD156),"-")</f>
        <v>-</v>
      </c>
      <c r="BB156" s="59" t="str">
        <f>IF(AND(H156&gt;0,AE156&gt;0),MIN(H156,AE156),"-")</f>
        <v>-</v>
      </c>
      <c r="BC156" s="59" t="str">
        <f>IF(AND(I156&gt;0,AF156&gt;0),MIN(I156,AF156),"-")</f>
        <v>-</v>
      </c>
      <c r="BD156" s="59" t="str">
        <f>IF(AND(J156&gt;0,AG156&gt;0),MIN(J156,AG156),"-")</f>
        <v>-</v>
      </c>
      <c r="BE156" s="59" t="str">
        <f>IF(AND(K156&gt;0,AH156&gt;0),MIN(K156,AH156),"-")</f>
        <v>-</v>
      </c>
      <c r="BF156" s="59" t="str">
        <f>IF(AND(L156&gt;0,AI156&gt;0),MIN(L156,AI156),"-")</f>
        <v>-</v>
      </c>
      <c r="BG156" s="59" t="str">
        <f t="shared" si="38"/>
        <v>-</v>
      </c>
      <c r="BH156" s="59" t="str">
        <f>IF(AND(N156&gt;0,AK156&gt;0),MIN(N156,AK156),"-")</f>
        <v>-</v>
      </c>
      <c r="BI156" s="59" t="str">
        <f>IF(AND(O156&gt;0,AL156&gt;0),MIN(O156,AL156),"-")</f>
        <v>-</v>
      </c>
      <c r="BJ156" s="59" t="str">
        <f>IF(AND(P156&gt;0,AM156&gt;0),MIN(P156,AM156),"-")</f>
        <v>-</v>
      </c>
      <c r="BK156" s="59" t="str">
        <f>IF(AND(Q156&gt;0,AN156&gt;0),MIN(Q156,AN156),"-")</f>
        <v>-</v>
      </c>
      <c r="BL156" s="59" t="str">
        <f>IF(AND(R156&gt;0,AO156&gt;0),MIN(R156,AO156),"-")</f>
        <v>-</v>
      </c>
      <c r="BM156" s="59" t="str">
        <f>IF(AND(S156&gt;0,AP156&gt;0),MIN(S156,AP156),"-")</f>
        <v>-</v>
      </c>
      <c r="BN156" s="59" t="str">
        <f>IF(AND(T156&gt;0,AQ156&gt;0),MIN(T156,AQ156),"-")</f>
        <v>-</v>
      </c>
      <c r="BO156" s="59" t="str">
        <f>IF(AND(U156&gt;0,AR156&gt;0),MIN(U156,AR156),"-")</f>
        <v>-</v>
      </c>
      <c r="BP156" s="59" t="str">
        <f>IF(AND(V156&gt;0,AS156&gt;0),MIN(V156,AS156),"-")</f>
        <v>-</v>
      </c>
      <c r="BQ156" s="59" t="str">
        <f t="shared" si="39"/>
        <v>-</v>
      </c>
      <c r="BR156" s="59" t="str">
        <f t="shared" si="40"/>
        <v>-</v>
      </c>
      <c r="BS156" s="59" t="str">
        <f t="shared" si="41"/>
        <v>-</v>
      </c>
      <c r="BT156" s="98" t="str">
        <f>IF(ISNUMBER(BS156),BS156-(C156*Rules!$P$9/100),"-")</f>
        <v>-</v>
      </c>
      <c r="BU156" s="59" t="e">
        <f>RANK($BT156,$BT$5:$BT$106,1)+COUNTIF(BT$5:BT156,BT156)-1</f>
        <v>#VALUE!</v>
      </c>
      <c r="BV156" s="59" t="e">
        <f t="shared" si="42"/>
        <v>#VALUE!</v>
      </c>
      <c r="BW156" s="59" t="str">
        <f t="shared" si="43"/>
        <v xml:space="preserve"> </v>
      </c>
      <c r="BX156" s="59">
        <f t="shared" si="43"/>
        <v>0</v>
      </c>
      <c r="BY156" s="59" t="str">
        <f t="shared" si="44"/>
        <v>-</v>
      </c>
      <c r="CD156" s="79"/>
      <c r="CE156" s="80"/>
      <c r="CF156" s="104"/>
      <c r="CL156" s="77">
        <v>1</v>
      </c>
    </row>
    <row r="157" spans="1:90" ht="17.45" customHeight="1">
      <c r="A157" s="58">
        <v>153</v>
      </c>
      <c r="B157" s="59" t="str">
        <f>'B Div'!A157 &amp; " " &amp; 'B Div'!B157</f>
        <v xml:space="preserve"> </v>
      </c>
      <c r="C157" s="59">
        <f>'B Div'!E157</f>
        <v>0</v>
      </c>
      <c r="D157" s="60"/>
      <c r="E157" s="60"/>
      <c r="F157" s="60"/>
      <c r="G157" s="60"/>
      <c r="H157" s="60"/>
      <c r="I157" s="60"/>
      <c r="J157" s="60"/>
      <c r="K157" s="60"/>
      <c r="L157" s="60"/>
      <c r="M157" s="74" t="str">
        <f t="shared" si="30"/>
        <v>-</v>
      </c>
      <c r="N157" s="60"/>
      <c r="O157" s="60"/>
      <c r="P157" s="60"/>
      <c r="Q157" s="60"/>
      <c r="R157" s="60"/>
      <c r="S157" s="60"/>
      <c r="T157" s="60"/>
      <c r="U157" s="60"/>
      <c r="V157" s="60"/>
      <c r="W157" s="74" t="str">
        <f t="shared" si="31"/>
        <v>-</v>
      </c>
      <c r="X157" s="74" t="str">
        <f t="shared" si="32"/>
        <v>-</v>
      </c>
      <c r="Y157" s="74" t="str">
        <f t="shared" si="33"/>
        <v>-</v>
      </c>
      <c r="AA157" s="60"/>
      <c r="AB157" s="60"/>
      <c r="AC157" s="60"/>
      <c r="AD157" s="60"/>
      <c r="AE157" s="60"/>
      <c r="AF157" s="60"/>
      <c r="AG157" s="60"/>
      <c r="AH157" s="60"/>
      <c r="AI157" s="60"/>
      <c r="AJ157" s="74" t="str">
        <f t="shared" si="34"/>
        <v>-</v>
      </c>
      <c r="AK157" s="60"/>
      <c r="AL157" s="60"/>
      <c r="AM157" s="60"/>
      <c r="AN157" s="60"/>
      <c r="AO157" s="60"/>
      <c r="AP157" s="60"/>
      <c r="AQ157" s="60"/>
      <c r="AR157" s="60"/>
      <c r="AS157" s="60"/>
      <c r="AT157" s="74" t="str">
        <f t="shared" si="35"/>
        <v>-</v>
      </c>
      <c r="AU157" s="74" t="str">
        <f t="shared" si="36"/>
        <v>-</v>
      </c>
      <c r="AV157" s="74" t="str">
        <f t="shared" si="37"/>
        <v>-</v>
      </c>
      <c r="AX157" s="59" t="str">
        <f>IF(AND(D157&gt;0,AA157&gt;0),MIN(D157,AA157),"-")</f>
        <v>-</v>
      </c>
      <c r="AY157" s="59" t="str">
        <f>IF(AND(E157&gt;0,AB157&gt;0),MIN(E157,AB157),"-")</f>
        <v>-</v>
      </c>
      <c r="AZ157" s="59" t="str">
        <f>IF(AND(F157&gt;0,AC157&gt;0),MIN(F157,AC157),"-")</f>
        <v>-</v>
      </c>
      <c r="BA157" s="59" t="str">
        <f>IF(AND(G157&gt;0,AD157&gt;0),MIN(G157,AD157),"-")</f>
        <v>-</v>
      </c>
      <c r="BB157" s="59" t="str">
        <f>IF(AND(H157&gt;0,AE157&gt;0),MIN(H157,AE157),"-")</f>
        <v>-</v>
      </c>
      <c r="BC157" s="59" t="str">
        <f>IF(AND(I157&gt;0,AF157&gt;0),MIN(I157,AF157),"-")</f>
        <v>-</v>
      </c>
      <c r="BD157" s="59" t="str">
        <f>IF(AND(J157&gt;0,AG157&gt;0),MIN(J157,AG157),"-")</f>
        <v>-</v>
      </c>
      <c r="BE157" s="59" t="str">
        <f>IF(AND(K157&gt;0,AH157&gt;0),MIN(K157,AH157),"-")</f>
        <v>-</v>
      </c>
      <c r="BF157" s="59" t="str">
        <f>IF(AND(L157&gt;0,AI157&gt;0),MIN(L157,AI157),"-")</f>
        <v>-</v>
      </c>
      <c r="BG157" s="59" t="str">
        <f t="shared" si="38"/>
        <v>-</v>
      </c>
      <c r="BH157" s="59" t="str">
        <f>IF(AND(N157&gt;0,AK157&gt;0),MIN(N157,AK157),"-")</f>
        <v>-</v>
      </c>
      <c r="BI157" s="59" t="str">
        <f>IF(AND(O157&gt;0,AL157&gt;0),MIN(O157,AL157),"-")</f>
        <v>-</v>
      </c>
      <c r="BJ157" s="59" t="str">
        <f>IF(AND(P157&gt;0,AM157&gt;0),MIN(P157,AM157),"-")</f>
        <v>-</v>
      </c>
      <c r="BK157" s="59" t="str">
        <f>IF(AND(Q157&gt;0,AN157&gt;0),MIN(Q157,AN157),"-")</f>
        <v>-</v>
      </c>
      <c r="BL157" s="59" t="str">
        <f>IF(AND(R157&gt;0,AO157&gt;0),MIN(R157,AO157),"-")</f>
        <v>-</v>
      </c>
      <c r="BM157" s="59" t="str">
        <f>IF(AND(S157&gt;0,AP157&gt;0),MIN(S157,AP157),"-")</f>
        <v>-</v>
      </c>
      <c r="BN157" s="59" t="str">
        <f>IF(AND(T157&gt;0,AQ157&gt;0),MIN(T157,AQ157),"-")</f>
        <v>-</v>
      </c>
      <c r="BO157" s="59" t="str">
        <f>IF(AND(U157&gt;0,AR157&gt;0),MIN(U157,AR157),"-")</f>
        <v>-</v>
      </c>
      <c r="BP157" s="59" t="str">
        <f>IF(AND(V157&gt;0,AS157&gt;0),MIN(V157,AS157),"-")</f>
        <v>-</v>
      </c>
      <c r="BQ157" s="59" t="str">
        <f t="shared" si="39"/>
        <v>-</v>
      </c>
      <c r="BR157" s="59" t="str">
        <f t="shared" si="40"/>
        <v>-</v>
      </c>
      <c r="BS157" s="59" t="str">
        <f t="shared" si="41"/>
        <v>-</v>
      </c>
      <c r="BT157" s="98" t="str">
        <f>IF(ISNUMBER(BS157),BS157-(C157*Rules!$P$9/100),"-")</f>
        <v>-</v>
      </c>
      <c r="BU157" s="59" t="e">
        <f>RANK($BT157,$BT$5:$BT$106,1)+COUNTIF(BT$5:BT157,BT157)-1</f>
        <v>#VALUE!</v>
      </c>
      <c r="BV157" s="59" t="e">
        <f t="shared" si="42"/>
        <v>#VALUE!</v>
      </c>
      <c r="BW157" s="59" t="str">
        <f t="shared" si="43"/>
        <v xml:space="preserve"> </v>
      </c>
      <c r="BX157" s="59">
        <f t="shared" si="43"/>
        <v>0</v>
      </c>
      <c r="BY157" s="59" t="str">
        <f t="shared" si="44"/>
        <v>-</v>
      </c>
      <c r="CD157" s="79"/>
      <c r="CE157" s="80"/>
      <c r="CF157" s="104"/>
      <c r="CL157" s="77">
        <v>1</v>
      </c>
    </row>
    <row r="158" spans="1:90" ht="17.45" customHeight="1">
      <c r="A158" s="58">
        <v>154</v>
      </c>
      <c r="B158" s="59" t="str">
        <f>'B Div'!A158 &amp; " " &amp; 'B Div'!B158</f>
        <v xml:space="preserve"> </v>
      </c>
      <c r="C158" s="59">
        <f>'B Div'!E158</f>
        <v>0</v>
      </c>
      <c r="D158" s="60"/>
      <c r="E158" s="60"/>
      <c r="F158" s="60"/>
      <c r="G158" s="60"/>
      <c r="H158" s="60"/>
      <c r="I158" s="60"/>
      <c r="J158" s="60"/>
      <c r="K158" s="60"/>
      <c r="L158" s="60"/>
      <c r="M158" s="74" t="str">
        <f t="shared" si="30"/>
        <v>-</v>
      </c>
      <c r="N158" s="60"/>
      <c r="O158" s="60"/>
      <c r="P158" s="60"/>
      <c r="Q158" s="60"/>
      <c r="R158" s="60"/>
      <c r="S158" s="60"/>
      <c r="T158" s="60"/>
      <c r="U158" s="60"/>
      <c r="V158" s="60"/>
      <c r="W158" s="74" t="str">
        <f t="shared" si="31"/>
        <v>-</v>
      </c>
      <c r="X158" s="74" t="str">
        <f t="shared" si="32"/>
        <v>-</v>
      </c>
      <c r="Y158" s="74" t="str">
        <f t="shared" si="33"/>
        <v>-</v>
      </c>
      <c r="AA158" s="60"/>
      <c r="AB158" s="60"/>
      <c r="AC158" s="60"/>
      <c r="AD158" s="60"/>
      <c r="AE158" s="60"/>
      <c r="AF158" s="60"/>
      <c r="AG158" s="60"/>
      <c r="AH158" s="60"/>
      <c r="AI158" s="60"/>
      <c r="AJ158" s="74" t="str">
        <f t="shared" si="34"/>
        <v>-</v>
      </c>
      <c r="AK158" s="60"/>
      <c r="AL158" s="60"/>
      <c r="AM158" s="60"/>
      <c r="AN158" s="60"/>
      <c r="AO158" s="60"/>
      <c r="AP158" s="60"/>
      <c r="AQ158" s="60"/>
      <c r="AR158" s="60"/>
      <c r="AS158" s="60"/>
      <c r="AT158" s="74" t="str">
        <f t="shared" si="35"/>
        <v>-</v>
      </c>
      <c r="AU158" s="74" t="str">
        <f t="shared" si="36"/>
        <v>-</v>
      </c>
      <c r="AV158" s="74" t="str">
        <f t="shared" si="37"/>
        <v>-</v>
      </c>
      <c r="AX158" s="59" t="str">
        <f>IF(AND(D158&gt;0,AA158&gt;0),MIN(D158,AA158),"-")</f>
        <v>-</v>
      </c>
      <c r="AY158" s="59" t="str">
        <f>IF(AND(E158&gt;0,AB158&gt;0),MIN(E158,AB158),"-")</f>
        <v>-</v>
      </c>
      <c r="AZ158" s="59" t="str">
        <f>IF(AND(F158&gt;0,AC158&gt;0),MIN(F158,AC158),"-")</f>
        <v>-</v>
      </c>
      <c r="BA158" s="59" t="str">
        <f>IF(AND(G158&gt;0,AD158&gt;0),MIN(G158,AD158),"-")</f>
        <v>-</v>
      </c>
      <c r="BB158" s="59" t="str">
        <f>IF(AND(H158&gt;0,AE158&gt;0),MIN(H158,AE158),"-")</f>
        <v>-</v>
      </c>
      <c r="BC158" s="59" t="str">
        <f>IF(AND(I158&gt;0,AF158&gt;0),MIN(I158,AF158),"-")</f>
        <v>-</v>
      </c>
      <c r="BD158" s="59" t="str">
        <f>IF(AND(J158&gt;0,AG158&gt;0),MIN(J158,AG158),"-")</f>
        <v>-</v>
      </c>
      <c r="BE158" s="59" t="str">
        <f>IF(AND(K158&gt;0,AH158&gt;0),MIN(K158,AH158),"-")</f>
        <v>-</v>
      </c>
      <c r="BF158" s="59" t="str">
        <f>IF(AND(L158&gt;0,AI158&gt;0),MIN(L158,AI158),"-")</f>
        <v>-</v>
      </c>
      <c r="BG158" s="59" t="str">
        <f t="shared" si="38"/>
        <v>-</v>
      </c>
      <c r="BH158" s="59" t="str">
        <f>IF(AND(N158&gt;0,AK158&gt;0),MIN(N158,AK158),"-")</f>
        <v>-</v>
      </c>
      <c r="BI158" s="59" t="str">
        <f>IF(AND(O158&gt;0,AL158&gt;0),MIN(O158,AL158),"-")</f>
        <v>-</v>
      </c>
      <c r="BJ158" s="59" t="str">
        <f>IF(AND(P158&gt;0,AM158&gt;0),MIN(P158,AM158),"-")</f>
        <v>-</v>
      </c>
      <c r="BK158" s="59" t="str">
        <f>IF(AND(Q158&gt;0,AN158&gt;0),MIN(Q158,AN158),"-")</f>
        <v>-</v>
      </c>
      <c r="BL158" s="59" t="str">
        <f>IF(AND(R158&gt;0,AO158&gt;0),MIN(R158,AO158),"-")</f>
        <v>-</v>
      </c>
      <c r="BM158" s="59" t="str">
        <f>IF(AND(S158&gt;0,AP158&gt;0),MIN(S158,AP158),"-")</f>
        <v>-</v>
      </c>
      <c r="BN158" s="59" t="str">
        <f>IF(AND(T158&gt;0,AQ158&gt;0),MIN(T158,AQ158),"-")</f>
        <v>-</v>
      </c>
      <c r="BO158" s="59" t="str">
        <f>IF(AND(U158&gt;0,AR158&gt;0),MIN(U158,AR158),"-")</f>
        <v>-</v>
      </c>
      <c r="BP158" s="59" t="str">
        <f>IF(AND(V158&gt;0,AS158&gt;0),MIN(V158,AS158),"-")</f>
        <v>-</v>
      </c>
      <c r="BQ158" s="59" t="str">
        <f t="shared" si="39"/>
        <v>-</v>
      </c>
      <c r="BR158" s="59" t="str">
        <f t="shared" si="40"/>
        <v>-</v>
      </c>
      <c r="BS158" s="59" t="str">
        <f t="shared" si="41"/>
        <v>-</v>
      </c>
      <c r="BT158" s="98" t="str">
        <f>IF(ISNUMBER(BS158),BS158-(C158*Rules!$P$9/100),"-")</f>
        <v>-</v>
      </c>
      <c r="BU158" s="59" t="e">
        <f>RANK($BT158,$BT$5:$BT$106,1)+COUNTIF(BT$5:BT158,BT158)-1</f>
        <v>#VALUE!</v>
      </c>
      <c r="BV158" s="59" t="e">
        <f t="shared" si="42"/>
        <v>#VALUE!</v>
      </c>
      <c r="BW158" s="59" t="str">
        <f t="shared" si="43"/>
        <v xml:space="preserve"> </v>
      </c>
      <c r="BX158" s="59">
        <f t="shared" si="43"/>
        <v>0</v>
      </c>
      <c r="BY158" s="59" t="str">
        <f t="shared" si="44"/>
        <v>-</v>
      </c>
      <c r="CD158" s="79"/>
      <c r="CE158" s="80"/>
      <c r="CF158" s="104"/>
      <c r="CL158" s="77">
        <v>1</v>
      </c>
    </row>
    <row r="159" spans="1:90" ht="17.45" customHeight="1">
      <c r="A159" s="58">
        <v>155</v>
      </c>
      <c r="B159" s="59" t="str">
        <f>'B Div'!A159 &amp; " " &amp; 'B Div'!B159</f>
        <v xml:space="preserve"> </v>
      </c>
      <c r="C159" s="59">
        <f>'B Div'!E159</f>
        <v>0</v>
      </c>
      <c r="D159" s="60"/>
      <c r="E159" s="60"/>
      <c r="F159" s="60"/>
      <c r="G159" s="60"/>
      <c r="H159" s="60"/>
      <c r="I159" s="60"/>
      <c r="J159" s="60"/>
      <c r="K159" s="60"/>
      <c r="L159" s="60"/>
      <c r="M159" s="74" t="str">
        <f t="shared" si="30"/>
        <v>-</v>
      </c>
      <c r="N159" s="60"/>
      <c r="O159" s="60"/>
      <c r="P159" s="60"/>
      <c r="Q159" s="60"/>
      <c r="R159" s="60"/>
      <c r="S159" s="60"/>
      <c r="T159" s="60"/>
      <c r="U159" s="60"/>
      <c r="V159" s="60"/>
      <c r="W159" s="74" t="str">
        <f t="shared" si="31"/>
        <v>-</v>
      </c>
      <c r="X159" s="74" t="str">
        <f t="shared" si="32"/>
        <v>-</v>
      </c>
      <c r="Y159" s="74" t="str">
        <f t="shared" si="33"/>
        <v>-</v>
      </c>
      <c r="AA159" s="60"/>
      <c r="AB159" s="60"/>
      <c r="AC159" s="60"/>
      <c r="AD159" s="60"/>
      <c r="AE159" s="60"/>
      <c r="AF159" s="60"/>
      <c r="AG159" s="60"/>
      <c r="AH159" s="60"/>
      <c r="AI159" s="60"/>
      <c r="AJ159" s="74" t="str">
        <f t="shared" si="34"/>
        <v>-</v>
      </c>
      <c r="AK159" s="60"/>
      <c r="AL159" s="60"/>
      <c r="AM159" s="60"/>
      <c r="AN159" s="60"/>
      <c r="AO159" s="60"/>
      <c r="AP159" s="60"/>
      <c r="AQ159" s="60"/>
      <c r="AR159" s="60"/>
      <c r="AS159" s="60"/>
      <c r="AT159" s="74" t="str">
        <f t="shared" si="35"/>
        <v>-</v>
      </c>
      <c r="AU159" s="74" t="str">
        <f t="shared" si="36"/>
        <v>-</v>
      </c>
      <c r="AV159" s="74" t="str">
        <f t="shared" si="37"/>
        <v>-</v>
      </c>
      <c r="AX159" s="59" t="str">
        <f>IF(AND(D159&gt;0,AA159&gt;0),MIN(D159,AA159),"-")</f>
        <v>-</v>
      </c>
      <c r="AY159" s="59" t="str">
        <f>IF(AND(E159&gt;0,AB159&gt;0),MIN(E159,AB159),"-")</f>
        <v>-</v>
      </c>
      <c r="AZ159" s="59" t="str">
        <f>IF(AND(F159&gt;0,AC159&gt;0),MIN(F159,AC159),"-")</f>
        <v>-</v>
      </c>
      <c r="BA159" s="59" t="str">
        <f>IF(AND(G159&gt;0,AD159&gt;0),MIN(G159,AD159),"-")</f>
        <v>-</v>
      </c>
      <c r="BB159" s="59" t="str">
        <f>IF(AND(H159&gt;0,AE159&gt;0),MIN(H159,AE159),"-")</f>
        <v>-</v>
      </c>
      <c r="BC159" s="59" t="str">
        <f>IF(AND(I159&gt;0,AF159&gt;0),MIN(I159,AF159),"-")</f>
        <v>-</v>
      </c>
      <c r="BD159" s="59" t="str">
        <f>IF(AND(J159&gt;0,AG159&gt;0),MIN(J159,AG159),"-")</f>
        <v>-</v>
      </c>
      <c r="BE159" s="59" t="str">
        <f>IF(AND(K159&gt;0,AH159&gt;0),MIN(K159,AH159),"-")</f>
        <v>-</v>
      </c>
      <c r="BF159" s="59" t="str">
        <f>IF(AND(L159&gt;0,AI159&gt;0),MIN(L159,AI159),"-")</f>
        <v>-</v>
      </c>
      <c r="BG159" s="59" t="str">
        <f t="shared" si="38"/>
        <v>-</v>
      </c>
      <c r="BH159" s="59" t="str">
        <f>IF(AND(N159&gt;0,AK159&gt;0),MIN(N159,AK159),"-")</f>
        <v>-</v>
      </c>
      <c r="BI159" s="59" t="str">
        <f>IF(AND(O159&gt;0,AL159&gt;0),MIN(O159,AL159),"-")</f>
        <v>-</v>
      </c>
      <c r="BJ159" s="59" t="str">
        <f>IF(AND(P159&gt;0,AM159&gt;0),MIN(P159,AM159),"-")</f>
        <v>-</v>
      </c>
      <c r="BK159" s="59" t="str">
        <f>IF(AND(Q159&gt;0,AN159&gt;0),MIN(Q159,AN159),"-")</f>
        <v>-</v>
      </c>
      <c r="BL159" s="59" t="str">
        <f>IF(AND(R159&gt;0,AO159&gt;0),MIN(R159,AO159),"-")</f>
        <v>-</v>
      </c>
      <c r="BM159" s="59" t="str">
        <f>IF(AND(S159&gt;0,AP159&gt;0),MIN(S159,AP159),"-")</f>
        <v>-</v>
      </c>
      <c r="BN159" s="59" t="str">
        <f>IF(AND(T159&gt;0,AQ159&gt;0),MIN(T159,AQ159),"-")</f>
        <v>-</v>
      </c>
      <c r="BO159" s="59" t="str">
        <f>IF(AND(U159&gt;0,AR159&gt;0),MIN(U159,AR159),"-")</f>
        <v>-</v>
      </c>
      <c r="BP159" s="59" t="str">
        <f>IF(AND(V159&gt;0,AS159&gt;0),MIN(V159,AS159),"-")</f>
        <v>-</v>
      </c>
      <c r="BQ159" s="59" t="str">
        <f t="shared" si="39"/>
        <v>-</v>
      </c>
      <c r="BR159" s="59" t="str">
        <f t="shared" si="40"/>
        <v>-</v>
      </c>
      <c r="BS159" s="59" t="str">
        <f t="shared" si="41"/>
        <v>-</v>
      </c>
      <c r="BT159" s="98" t="str">
        <f>IF(ISNUMBER(BS159),BS159-(C159*Rules!$P$9/100),"-")</f>
        <v>-</v>
      </c>
      <c r="BU159" s="59" t="e">
        <f>RANK($BT159,$BT$5:$BT$106,1)+COUNTIF(BT$5:BT159,BT159)-1</f>
        <v>#VALUE!</v>
      </c>
      <c r="BV159" s="59" t="e">
        <f t="shared" si="42"/>
        <v>#VALUE!</v>
      </c>
      <c r="BW159" s="59" t="str">
        <f t="shared" si="43"/>
        <v xml:space="preserve"> </v>
      </c>
      <c r="BX159" s="59">
        <f t="shared" si="43"/>
        <v>0</v>
      </c>
      <c r="BY159" s="59" t="str">
        <f t="shared" si="44"/>
        <v>-</v>
      </c>
      <c r="CD159" s="79"/>
      <c r="CE159" s="80"/>
      <c r="CF159" s="104"/>
      <c r="CL159" s="77">
        <v>1</v>
      </c>
    </row>
    <row r="160" spans="1:90" ht="17.45" customHeight="1">
      <c r="A160" s="58">
        <v>156</v>
      </c>
      <c r="B160" s="59" t="str">
        <f>'B Div'!A160 &amp; " " &amp; 'B Div'!B160</f>
        <v xml:space="preserve"> </v>
      </c>
      <c r="C160" s="59">
        <f>'B Div'!E160</f>
        <v>0</v>
      </c>
      <c r="D160" s="60"/>
      <c r="E160" s="60"/>
      <c r="F160" s="60"/>
      <c r="G160" s="60"/>
      <c r="H160" s="60"/>
      <c r="I160" s="60"/>
      <c r="J160" s="60"/>
      <c r="K160" s="60"/>
      <c r="L160" s="60"/>
      <c r="M160" s="74" t="str">
        <f t="shared" si="30"/>
        <v>-</v>
      </c>
      <c r="N160" s="60"/>
      <c r="O160" s="60"/>
      <c r="P160" s="60"/>
      <c r="Q160" s="60"/>
      <c r="R160" s="60"/>
      <c r="S160" s="60"/>
      <c r="T160" s="60"/>
      <c r="U160" s="60"/>
      <c r="V160" s="60"/>
      <c r="W160" s="74" t="str">
        <f t="shared" si="31"/>
        <v>-</v>
      </c>
      <c r="X160" s="74" t="str">
        <f t="shared" si="32"/>
        <v>-</v>
      </c>
      <c r="Y160" s="74" t="str">
        <f t="shared" si="33"/>
        <v>-</v>
      </c>
      <c r="AA160" s="60"/>
      <c r="AB160" s="60"/>
      <c r="AC160" s="60"/>
      <c r="AD160" s="60"/>
      <c r="AE160" s="60"/>
      <c r="AF160" s="60"/>
      <c r="AG160" s="60"/>
      <c r="AH160" s="60"/>
      <c r="AI160" s="60"/>
      <c r="AJ160" s="74" t="str">
        <f t="shared" si="34"/>
        <v>-</v>
      </c>
      <c r="AK160" s="60"/>
      <c r="AL160" s="60"/>
      <c r="AM160" s="60"/>
      <c r="AN160" s="60"/>
      <c r="AO160" s="60"/>
      <c r="AP160" s="60"/>
      <c r="AQ160" s="60"/>
      <c r="AR160" s="60"/>
      <c r="AS160" s="60"/>
      <c r="AT160" s="74" t="str">
        <f t="shared" si="35"/>
        <v>-</v>
      </c>
      <c r="AU160" s="74" t="str">
        <f t="shared" si="36"/>
        <v>-</v>
      </c>
      <c r="AV160" s="74" t="str">
        <f t="shared" si="37"/>
        <v>-</v>
      </c>
      <c r="AX160" s="59" t="str">
        <f>IF(AND(D160&gt;0,AA160&gt;0),MIN(D160,AA160),"-")</f>
        <v>-</v>
      </c>
      <c r="AY160" s="59" t="str">
        <f>IF(AND(E160&gt;0,AB160&gt;0),MIN(E160,AB160),"-")</f>
        <v>-</v>
      </c>
      <c r="AZ160" s="59" t="str">
        <f>IF(AND(F160&gt;0,AC160&gt;0),MIN(F160,AC160),"-")</f>
        <v>-</v>
      </c>
      <c r="BA160" s="59" t="str">
        <f>IF(AND(G160&gt;0,AD160&gt;0),MIN(G160,AD160),"-")</f>
        <v>-</v>
      </c>
      <c r="BB160" s="59" t="str">
        <f>IF(AND(H160&gt;0,AE160&gt;0),MIN(H160,AE160),"-")</f>
        <v>-</v>
      </c>
      <c r="BC160" s="59" t="str">
        <f>IF(AND(I160&gt;0,AF160&gt;0),MIN(I160,AF160),"-")</f>
        <v>-</v>
      </c>
      <c r="BD160" s="59" t="str">
        <f>IF(AND(J160&gt;0,AG160&gt;0),MIN(J160,AG160),"-")</f>
        <v>-</v>
      </c>
      <c r="BE160" s="59" t="str">
        <f>IF(AND(K160&gt;0,AH160&gt;0),MIN(K160,AH160),"-")</f>
        <v>-</v>
      </c>
      <c r="BF160" s="59" t="str">
        <f>IF(AND(L160&gt;0,AI160&gt;0),MIN(L160,AI160),"-")</f>
        <v>-</v>
      </c>
      <c r="BG160" s="59" t="str">
        <f t="shared" si="38"/>
        <v>-</v>
      </c>
      <c r="BH160" s="59" t="str">
        <f>IF(AND(N160&gt;0,AK160&gt;0),MIN(N160,AK160),"-")</f>
        <v>-</v>
      </c>
      <c r="BI160" s="59" t="str">
        <f>IF(AND(O160&gt;0,AL160&gt;0),MIN(O160,AL160),"-")</f>
        <v>-</v>
      </c>
      <c r="BJ160" s="59" t="str">
        <f>IF(AND(P160&gt;0,AM160&gt;0),MIN(P160,AM160),"-")</f>
        <v>-</v>
      </c>
      <c r="BK160" s="59" t="str">
        <f>IF(AND(Q160&gt;0,AN160&gt;0),MIN(Q160,AN160),"-")</f>
        <v>-</v>
      </c>
      <c r="BL160" s="59" t="str">
        <f>IF(AND(R160&gt;0,AO160&gt;0),MIN(R160,AO160),"-")</f>
        <v>-</v>
      </c>
      <c r="BM160" s="59" t="str">
        <f>IF(AND(S160&gt;0,AP160&gt;0),MIN(S160,AP160),"-")</f>
        <v>-</v>
      </c>
      <c r="BN160" s="59" t="str">
        <f>IF(AND(T160&gt;0,AQ160&gt;0),MIN(T160,AQ160),"-")</f>
        <v>-</v>
      </c>
      <c r="BO160" s="59" t="str">
        <f>IF(AND(U160&gt;0,AR160&gt;0),MIN(U160,AR160),"-")</f>
        <v>-</v>
      </c>
      <c r="BP160" s="59" t="str">
        <f>IF(AND(V160&gt;0,AS160&gt;0),MIN(V160,AS160),"-")</f>
        <v>-</v>
      </c>
      <c r="BQ160" s="59" t="str">
        <f t="shared" si="39"/>
        <v>-</v>
      </c>
      <c r="BR160" s="59" t="str">
        <f t="shared" si="40"/>
        <v>-</v>
      </c>
      <c r="BS160" s="59" t="str">
        <f t="shared" si="41"/>
        <v>-</v>
      </c>
      <c r="BT160" s="98" t="str">
        <f>IF(ISNUMBER(BS160),BS160-(C160*Rules!$P$9/100),"-")</f>
        <v>-</v>
      </c>
      <c r="BU160" s="59" t="e">
        <f>RANK($BT160,$BT$5:$BT$106,1)+COUNTIF(BT$5:BT160,BT160)-1</f>
        <v>#VALUE!</v>
      </c>
      <c r="BV160" s="59" t="e">
        <f t="shared" si="42"/>
        <v>#VALUE!</v>
      </c>
      <c r="BW160" s="59" t="str">
        <f t="shared" si="43"/>
        <v xml:space="preserve"> </v>
      </c>
      <c r="BX160" s="59">
        <f t="shared" si="43"/>
        <v>0</v>
      </c>
      <c r="BY160" s="59" t="str">
        <f t="shared" si="44"/>
        <v>-</v>
      </c>
      <c r="CD160" s="79"/>
      <c r="CE160" s="80"/>
      <c r="CF160" s="104"/>
      <c r="CL160" s="77">
        <v>1</v>
      </c>
    </row>
    <row r="161" spans="1:90" ht="17.45" customHeight="1">
      <c r="A161" s="58">
        <v>157</v>
      </c>
      <c r="B161" s="59" t="str">
        <f>'B Div'!A161 &amp; " " &amp; 'B Div'!B161</f>
        <v xml:space="preserve"> </v>
      </c>
      <c r="C161" s="59">
        <f>'B Div'!E161</f>
        <v>0</v>
      </c>
      <c r="D161" s="60"/>
      <c r="E161" s="60"/>
      <c r="F161" s="60"/>
      <c r="G161" s="60"/>
      <c r="H161" s="60"/>
      <c r="I161" s="60"/>
      <c r="J161" s="60"/>
      <c r="K161" s="60"/>
      <c r="L161" s="60"/>
      <c r="M161" s="74" t="str">
        <f t="shared" si="30"/>
        <v>-</v>
      </c>
      <c r="N161" s="60"/>
      <c r="O161" s="60"/>
      <c r="P161" s="60"/>
      <c r="Q161" s="60"/>
      <c r="R161" s="60"/>
      <c r="S161" s="60"/>
      <c r="T161" s="60"/>
      <c r="U161" s="60"/>
      <c r="V161" s="60"/>
      <c r="W161" s="74" t="str">
        <f t="shared" si="31"/>
        <v>-</v>
      </c>
      <c r="X161" s="74" t="str">
        <f t="shared" si="32"/>
        <v>-</v>
      </c>
      <c r="Y161" s="74" t="str">
        <f t="shared" si="33"/>
        <v>-</v>
      </c>
      <c r="AA161" s="60"/>
      <c r="AB161" s="60"/>
      <c r="AC161" s="60"/>
      <c r="AD161" s="60"/>
      <c r="AE161" s="60"/>
      <c r="AF161" s="60"/>
      <c r="AG161" s="60"/>
      <c r="AH161" s="60"/>
      <c r="AI161" s="60"/>
      <c r="AJ161" s="74" t="str">
        <f t="shared" si="34"/>
        <v>-</v>
      </c>
      <c r="AK161" s="60"/>
      <c r="AL161" s="60"/>
      <c r="AM161" s="60"/>
      <c r="AN161" s="60"/>
      <c r="AO161" s="60"/>
      <c r="AP161" s="60"/>
      <c r="AQ161" s="60"/>
      <c r="AR161" s="60"/>
      <c r="AS161" s="60"/>
      <c r="AT161" s="74" t="str">
        <f t="shared" si="35"/>
        <v>-</v>
      </c>
      <c r="AU161" s="74" t="str">
        <f t="shared" si="36"/>
        <v>-</v>
      </c>
      <c r="AV161" s="74" t="str">
        <f t="shared" si="37"/>
        <v>-</v>
      </c>
      <c r="AX161" s="59" t="str">
        <f>IF(AND(D161&gt;0,AA161&gt;0),MIN(D161,AA161),"-")</f>
        <v>-</v>
      </c>
      <c r="AY161" s="59" t="str">
        <f>IF(AND(E161&gt;0,AB161&gt;0),MIN(E161,AB161),"-")</f>
        <v>-</v>
      </c>
      <c r="AZ161" s="59" t="str">
        <f>IF(AND(F161&gt;0,AC161&gt;0),MIN(F161,AC161),"-")</f>
        <v>-</v>
      </c>
      <c r="BA161" s="59" t="str">
        <f>IF(AND(G161&gt;0,AD161&gt;0),MIN(G161,AD161),"-")</f>
        <v>-</v>
      </c>
      <c r="BB161" s="59" t="str">
        <f>IF(AND(H161&gt;0,AE161&gt;0),MIN(H161,AE161),"-")</f>
        <v>-</v>
      </c>
      <c r="BC161" s="59" t="str">
        <f>IF(AND(I161&gt;0,AF161&gt;0),MIN(I161,AF161),"-")</f>
        <v>-</v>
      </c>
      <c r="BD161" s="59" t="str">
        <f>IF(AND(J161&gt;0,AG161&gt;0),MIN(J161,AG161),"-")</f>
        <v>-</v>
      </c>
      <c r="BE161" s="59" t="str">
        <f>IF(AND(K161&gt;0,AH161&gt;0),MIN(K161,AH161),"-")</f>
        <v>-</v>
      </c>
      <c r="BF161" s="59" t="str">
        <f>IF(AND(L161&gt;0,AI161&gt;0),MIN(L161,AI161),"-")</f>
        <v>-</v>
      </c>
      <c r="BG161" s="59" t="str">
        <f t="shared" si="38"/>
        <v>-</v>
      </c>
      <c r="BH161" s="59" t="str">
        <f>IF(AND(N161&gt;0,AK161&gt;0),MIN(N161,AK161),"-")</f>
        <v>-</v>
      </c>
      <c r="BI161" s="59" t="str">
        <f>IF(AND(O161&gt;0,AL161&gt;0),MIN(O161,AL161),"-")</f>
        <v>-</v>
      </c>
      <c r="BJ161" s="59" t="str">
        <f>IF(AND(P161&gt;0,AM161&gt;0),MIN(P161,AM161),"-")</f>
        <v>-</v>
      </c>
      <c r="BK161" s="59" t="str">
        <f>IF(AND(Q161&gt;0,AN161&gt;0),MIN(Q161,AN161),"-")</f>
        <v>-</v>
      </c>
      <c r="BL161" s="59" t="str">
        <f>IF(AND(R161&gt;0,AO161&gt;0),MIN(R161,AO161),"-")</f>
        <v>-</v>
      </c>
      <c r="BM161" s="59" t="str">
        <f>IF(AND(S161&gt;0,AP161&gt;0),MIN(S161,AP161),"-")</f>
        <v>-</v>
      </c>
      <c r="BN161" s="59" t="str">
        <f>IF(AND(T161&gt;0,AQ161&gt;0),MIN(T161,AQ161),"-")</f>
        <v>-</v>
      </c>
      <c r="BO161" s="59" t="str">
        <f>IF(AND(U161&gt;0,AR161&gt;0),MIN(U161,AR161),"-")</f>
        <v>-</v>
      </c>
      <c r="BP161" s="59" t="str">
        <f>IF(AND(V161&gt;0,AS161&gt;0),MIN(V161,AS161),"-")</f>
        <v>-</v>
      </c>
      <c r="BQ161" s="59" t="str">
        <f t="shared" si="39"/>
        <v>-</v>
      </c>
      <c r="BR161" s="59" t="str">
        <f t="shared" si="40"/>
        <v>-</v>
      </c>
      <c r="BS161" s="59" t="str">
        <f t="shared" si="41"/>
        <v>-</v>
      </c>
      <c r="BT161" s="98" t="str">
        <f>IF(ISNUMBER(BS161),BS161-(C161*Rules!$P$9/100),"-")</f>
        <v>-</v>
      </c>
      <c r="BU161" s="59" t="e">
        <f>RANK($BT161,$BT$5:$BT$106,1)+COUNTIF(BT$5:BT161,BT161)-1</f>
        <v>#VALUE!</v>
      </c>
      <c r="BV161" s="59" t="e">
        <f t="shared" si="42"/>
        <v>#VALUE!</v>
      </c>
      <c r="BW161" s="59" t="str">
        <f t="shared" si="43"/>
        <v xml:space="preserve"> </v>
      </c>
      <c r="BX161" s="59">
        <f t="shared" si="43"/>
        <v>0</v>
      </c>
      <c r="BY161" s="59" t="str">
        <f t="shared" si="44"/>
        <v>-</v>
      </c>
      <c r="CD161" s="79"/>
      <c r="CE161" s="80"/>
      <c r="CF161" s="104"/>
      <c r="CL161" s="77">
        <v>1</v>
      </c>
    </row>
    <row r="162" spans="1:90" ht="17.45" customHeight="1">
      <c r="A162" s="58">
        <v>158</v>
      </c>
      <c r="B162" s="59" t="str">
        <f>'B Div'!A162 &amp; " " &amp; 'B Div'!B162</f>
        <v xml:space="preserve"> </v>
      </c>
      <c r="C162" s="59">
        <f>'B Div'!E162</f>
        <v>0</v>
      </c>
      <c r="D162" s="60"/>
      <c r="E162" s="60"/>
      <c r="F162" s="60"/>
      <c r="G162" s="60"/>
      <c r="H162" s="60"/>
      <c r="I162" s="60"/>
      <c r="J162" s="60"/>
      <c r="K162" s="60"/>
      <c r="L162" s="60"/>
      <c r="M162" s="74" t="str">
        <f t="shared" si="30"/>
        <v>-</v>
      </c>
      <c r="N162" s="60"/>
      <c r="O162" s="60"/>
      <c r="P162" s="60"/>
      <c r="Q162" s="60"/>
      <c r="R162" s="60"/>
      <c r="S162" s="60"/>
      <c r="T162" s="60"/>
      <c r="U162" s="60"/>
      <c r="V162" s="60"/>
      <c r="W162" s="74" t="str">
        <f t="shared" si="31"/>
        <v>-</v>
      </c>
      <c r="X162" s="74" t="str">
        <f t="shared" si="32"/>
        <v>-</v>
      </c>
      <c r="Y162" s="74" t="str">
        <f t="shared" si="33"/>
        <v>-</v>
      </c>
      <c r="AA162" s="60"/>
      <c r="AB162" s="60"/>
      <c r="AC162" s="60"/>
      <c r="AD162" s="60"/>
      <c r="AE162" s="60"/>
      <c r="AF162" s="60"/>
      <c r="AG162" s="60"/>
      <c r="AH162" s="60"/>
      <c r="AI162" s="60"/>
      <c r="AJ162" s="74" t="str">
        <f t="shared" si="34"/>
        <v>-</v>
      </c>
      <c r="AK162" s="60"/>
      <c r="AL162" s="60"/>
      <c r="AM162" s="60"/>
      <c r="AN162" s="60"/>
      <c r="AO162" s="60"/>
      <c r="AP162" s="60"/>
      <c r="AQ162" s="60"/>
      <c r="AR162" s="60"/>
      <c r="AS162" s="60"/>
      <c r="AT162" s="74" t="str">
        <f t="shared" si="35"/>
        <v>-</v>
      </c>
      <c r="AU162" s="74" t="str">
        <f t="shared" si="36"/>
        <v>-</v>
      </c>
      <c r="AV162" s="74" t="str">
        <f t="shared" si="37"/>
        <v>-</v>
      </c>
      <c r="AX162" s="59" t="str">
        <f>IF(AND(D162&gt;0,AA162&gt;0),MIN(D162,AA162),"-")</f>
        <v>-</v>
      </c>
      <c r="AY162" s="59" t="str">
        <f>IF(AND(E162&gt;0,AB162&gt;0),MIN(E162,AB162),"-")</f>
        <v>-</v>
      </c>
      <c r="AZ162" s="59" t="str">
        <f>IF(AND(F162&gt;0,AC162&gt;0),MIN(F162,AC162),"-")</f>
        <v>-</v>
      </c>
      <c r="BA162" s="59" t="str">
        <f>IF(AND(G162&gt;0,AD162&gt;0),MIN(G162,AD162),"-")</f>
        <v>-</v>
      </c>
      <c r="BB162" s="59" t="str">
        <f>IF(AND(H162&gt;0,AE162&gt;0),MIN(H162,AE162),"-")</f>
        <v>-</v>
      </c>
      <c r="BC162" s="59" t="str">
        <f>IF(AND(I162&gt;0,AF162&gt;0),MIN(I162,AF162),"-")</f>
        <v>-</v>
      </c>
      <c r="BD162" s="59" t="str">
        <f>IF(AND(J162&gt;0,AG162&gt;0),MIN(J162,AG162),"-")</f>
        <v>-</v>
      </c>
      <c r="BE162" s="59" t="str">
        <f>IF(AND(K162&gt;0,AH162&gt;0),MIN(K162,AH162),"-")</f>
        <v>-</v>
      </c>
      <c r="BF162" s="59" t="str">
        <f>IF(AND(L162&gt;0,AI162&gt;0),MIN(L162,AI162),"-")</f>
        <v>-</v>
      </c>
      <c r="BG162" s="59" t="str">
        <f t="shared" si="38"/>
        <v>-</v>
      </c>
      <c r="BH162" s="59" t="str">
        <f>IF(AND(N162&gt;0,AK162&gt;0),MIN(N162,AK162),"-")</f>
        <v>-</v>
      </c>
      <c r="BI162" s="59" t="str">
        <f>IF(AND(O162&gt;0,AL162&gt;0),MIN(O162,AL162),"-")</f>
        <v>-</v>
      </c>
      <c r="BJ162" s="59" t="str">
        <f>IF(AND(P162&gt;0,AM162&gt;0),MIN(P162,AM162),"-")</f>
        <v>-</v>
      </c>
      <c r="BK162" s="59" t="str">
        <f>IF(AND(Q162&gt;0,AN162&gt;0),MIN(Q162,AN162),"-")</f>
        <v>-</v>
      </c>
      <c r="BL162" s="59" t="str">
        <f>IF(AND(R162&gt;0,AO162&gt;0),MIN(R162,AO162),"-")</f>
        <v>-</v>
      </c>
      <c r="BM162" s="59" t="str">
        <f>IF(AND(S162&gt;0,AP162&gt;0),MIN(S162,AP162),"-")</f>
        <v>-</v>
      </c>
      <c r="BN162" s="59" t="str">
        <f>IF(AND(T162&gt;0,AQ162&gt;0),MIN(T162,AQ162),"-")</f>
        <v>-</v>
      </c>
      <c r="BO162" s="59" t="str">
        <f>IF(AND(U162&gt;0,AR162&gt;0),MIN(U162,AR162),"-")</f>
        <v>-</v>
      </c>
      <c r="BP162" s="59" t="str">
        <f>IF(AND(V162&gt;0,AS162&gt;0),MIN(V162,AS162),"-")</f>
        <v>-</v>
      </c>
      <c r="BQ162" s="59" t="str">
        <f t="shared" si="39"/>
        <v>-</v>
      </c>
      <c r="BR162" s="59" t="str">
        <f t="shared" si="40"/>
        <v>-</v>
      </c>
      <c r="BS162" s="59" t="str">
        <f t="shared" si="41"/>
        <v>-</v>
      </c>
      <c r="BT162" s="98" t="str">
        <f>IF(ISNUMBER(BS162),BS162-(C162*Rules!$P$9/100),"-")</f>
        <v>-</v>
      </c>
      <c r="BU162" s="59" t="e">
        <f>RANK($BT162,$BT$5:$BT$106,1)+COUNTIF(BT$5:BT162,BT162)-1</f>
        <v>#VALUE!</v>
      </c>
      <c r="BV162" s="59" t="e">
        <f t="shared" si="42"/>
        <v>#VALUE!</v>
      </c>
      <c r="BW162" s="59" t="str">
        <f t="shared" si="43"/>
        <v xml:space="preserve"> </v>
      </c>
      <c r="BX162" s="59">
        <f t="shared" si="43"/>
        <v>0</v>
      </c>
      <c r="BY162" s="59" t="str">
        <f t="shared" si="44"/>
        <v>-</v>
      </c>
      <c r="CD162" s="79"/>
      <c r="CE162" s="80"/>
      <c r="CF162" s="104"/>
      <c r="CL162" s="77">
        <v>1</v>
      </c>
    </row>
    <row r="163" spans="1:90" ht="17.45" customHeight="1">
      <c r="A163" s="58">
        <v>159</v>
      </c>
      <c r="B163" s="59" t="str">
        <f>'B Div'!A163 &amp; " " &amp; 'B Div'!B163</f>
        <v xml:space="preserve"> </v>
      </c>
      <c r="C163" s="59">
        <f>'B Div'!E163</f>
        <v>0</v>
      </c>
      <c r="D163" s="60"/>
      <c r="E163" s="60"/>
      <c r="F163" s="60"/>
      <c r="G163" s="60"/>
      <c r="H163" s="60"/>
      <c r="I163" s="60"/>
      <c r="J163" s="60"/>
      <c r="K163" s="60"/>
      <c r="L163" s="60"/>
      <c r="M163" s="74" t="str">
        <f t="shared" si="30"/>
        <v>-</v>
      </c>
      <c r="N163" s="60"/>
      <c r="O163" s="60"/>
      <c r="P163" s="60"/>
      <c r="Q163" s="60"/>
      <c r="R163" s="60"/>
      <c r="S163" s="60"/>
      <c r="T163" s="60"/>
      <c r="U163" s="60"/>
      <c r="V163" s="60"/>
      <c r="W163" s="74" t="str">
        <f t="shared" si="31"/>
        <v>-</v>
      </c>
      <c r="X163" s="74" t="str">
        <f t="shared" si="32"/>
        <v>-</v>
      </c>
      <c r="Y163" s="74" t="str">
        <f t="shared" si="33"/>
        <v>-</v>
      </c>
      <c r="AA163" s="60"/>
      <c r="AB163" s="60"/>
      <c r="AC163" s="60"/>
      <c r="AD163" s="60"/>
      <c r="AE163" s="60"/>
      <c r="AF163" s="60"/>
      <c r="AG163" s="60"/>
      <c r="AH163" s="60"/>
      <c r="AI163" s="60"/>
      <c r="AJ163" s="74" t="str">
        <f t="shared" si="34"/>
        <v>-</v>
      </c>
      <c r="AK163" s="60"/>
      <c r="AL163" s="60"/>
      <c r="AM163" s="60"/>
      <c r="AN163" s="60"/>
      <c r="AO163" s="60"/>
      <c r="AP163" s="60"/>
      <c r="AQ163" s="60"/>
      <c r="AR163" s="60"/>
      <c r="AS163" s="60"/>
      <c r="AT163" s="74" t="str">
        <f t="shared" si="35"/>
        <v>-</v>
      </c>
      <c r="AU163" s="74" t="str">
        <f t="shared" si="36"/>
        <v>-</v>
      </c>
      <c r="AV163" s="74" t="str">
        <f t="shared" si="37"/>
        <v>-</v>
      </c>
      <c r="AX163" s="59" t="str">
        <f>IF(AND(D163&gt;0,AA163&gt;0),MIN(D163,AA163),"-")</f>
        <v>-</v>
      </c>
      <c r="AY163" s="59" t="str">
        <f>IF(AND(E163&gt;0,AB163&gt;0),MIN(E163,AB163),"-")</f>
        <v>-</v>
      </c>
      <c r="AZ163" s="59" t="str">
        <f>IF(AND(F163&gt;0,AC163&gt;0),MIN(F163,AC163),"-")</f>
        <v>-</v>
      </c>
      <c r="BA163" s="59" t="str">
        <f>IF(AND(G163&gt;0,AD163&gt;0),MIN(G163,AD163),"-")</f>
        <v>-</v>
      </c>
      <c r="BB163" s="59" t="str">
        <f>IF(AND(H163&gt;0,AE163&gt;0),MIN(H163,AE163),"-")</f>
        <v>-</v>
      </c>
      <c r="BC163" s="59" t="str">
        <f>IF(AND(I163&gt;0,AF163&gt;0),MIN(I163,AF163),"-")</f>
        <v>-</v>
      </c>
      <c r="BD163" s="59" t="str">
        <f>IF(AND(J163&gt;0,AG163&gt;0),MIN(J163,AG163),"-")</f>
        <v>-</v>
      </c>
      <c r="BE163" s="59" t="str">
        <f>IF(AND(K163&gt;0,AH163&gt;0),MIN(K163,AH163),"-")</f>
        <v>-</v>
      </c>
      <c r="BF163" s="59" t="str">
        <f>IF(AND(L163&gt;0,AI163&gt;0),MIN(L163,AI163),"-")</f>
        <v>-</v>
      </c>
      <c r="BG163" s="59" t="str">
        <f t="shared" si="38"/>
        <v>-</v>
      </c>
      <c r="BH163" s="59" t="str">
        <f>IF(AND(N163&gt;0,AK163&gt;0),MIN(N163,AK163),"-")</f>
        <v>-</v>
      </c>
      <c r="BI163" s="59" t="str">
        <f>IF(AND(O163&gt;0,AL163&gt;0),MIN(O163,AL163),"-")</f>
        <v>-</v>
      </c>
      <c r="BJ163" s="59" t="str">
        <f>IF(AND(P163&gt;0,AM163&gt;0),MIN(P163,AM163),"-")</f>
        <v>-</v>
      </c>
      <c r="BK163" s="59" t="str">
        <f>IF(AND(Q163&gt;0,AN163&gt;0),MIN(Q163,AN163),"-")</f>
        <v>-</v>
      </c>
      <c r="BL163" s="59" t="str">
        <f>IF(AND(R163&gt;0,AO163&gt;0),MIN(R163,AO163),"-")</f>
        <v>-</v>
      </c>
      <c r="BM163" s="59" t="str">
        <f>IF(AND(S163&gt;0,AP163&gt;0),MIN(S163,AP163),"-")</f>
        <v>-</v>
      </c>
      <c r="BN163" s="59" t="str">
        <f>IF(AND(T163&gt;0,AQ163&gt;0),MIN(T163,AQ163),"-")</f>
        <v>-</v>
      </c>
      <c r="BO163" s="59" t="str">
        <f>IF(AND(U163&gt;0,AR163&gt;0),MIN(U163,AR163),"-")</f>
        <v>-</v>
      </c>
      <c r="BP163" s="59" t="str">
        <f>IF(AND(V163&gt;0,AS163&gt;0),MIN(V163,AS163),"-")</f>
        <v>-</v>
      </c>
      <c r="BQ163" s="59" t="str">
        <f t="shared" si="39"/>
        <v>-</v>
      </c>
      <c r="BR163" s="59" t="str">
        <f t="shared" si="40"/>
        <v>-</v>
      </c>
      <c r="BS163" s="59" t="str">
        <f t="shared" si="41"/>
        <v>-</v>
      </c>
      <c r="BT163" s="98" t="str">
        <f>IF(ISNUMBER(BS163),BS163-(C163*Rules!$P$9/100),"-")</f>
        <v>-</v>
      </c>
      <c r="BU163" s="59" t="e">
        <f>RANK($BT163,$BT$5:$BT$106,1)+COUNTIF(BT$5:BT163,BT163)-1</f>
        <v>#VALUE!</v>
      </c>
      <c r="BV163" s="59" t="e">
        <f t="shared" si="42"/>
        <v>#VALUE!</v>
      </c>
      <c r="BW163" s="59" t="str">
        <f t="shared" si="43"/>
        <v xml:space="preserve"> </v>
      </c>
      <c r="BX163" s="59">
        <f t="shared" si="43"/>
        <v>0</v>
      </c>
      <c r="BY163" s="59" t="str">
        <f t="shared" si="44"/>
        <v>-</v>
      </c>
      <c r="CD163" s="79"/>
      <c r="CE163" s="80"/>
      <c r="CF163" s="104"/>
      <c r="CL163" s="77">
        <v>1</v>
      </c>
    </row>
    <row r="164" spans="1:90" ht="17.45" customHeight="1">
      <c r="A164" s="58">
        <v>160</v>
      </c>
      <c r="B164" s="59" t="str">
        <f>'B Div'!A164 &amp; " " &amp; 'B Div'!B164</f>
        <v xml:space="preserve"> </v>
      </c>
      <c r="C164" s="59">
        <f>'B Div'!E164</f>
        <v>0</v>
      </c>
      <c r="D164" s="60"/>
      <c r="E164" s="60"/>
      <c r="F164" s="60"/>
      <c r="G164" s="60"/>
      <c r="H164" s="60"/>
      <c r="I164" s="60"/>
      <c r="J164" s="60"/>
      <c r="K164" s="60"/>
      <c r="L164" s="60"/>
      <c r="M164" s="74" t="str">
        <f t="shared" si="30"/>
        <v>-</v>
      </c>
      <c r="N164" s="60"/>
      <c r="O164" s="60"/>
      <c r="P164" s="60"/>
      <c r="Q164" s="60"/>
      <c r="R164" s="60"/>
      <c r="S164" s="60"/>
      <c r="T164" s="60"/>
      <c r="U164" s="60"/>
      <c r="V164" s="60"/>
      <c r="W164" s="74" t="str">
        <f t="shared" si="31"/>
        <v>-</v>
      </c>
      <c r="X164" s="74" t="str">
        <f t="shared" si="32"/>
        <v>-</v>
      </c>
      <c r="Y164" s="74" t="str">
        <f t="shared" si="33"/>
        <v>-</v>
      </c>
      <c r="AA164" s="60"/>
      <c r="AB164" s="60"/>
      <c r="AC164" s="60"/>
      <c r="AD164" s="60"/>
      <c r="AE164" s="60"/>
      <c r="AF164" s="60"/>
      <c r="AG164" s="60"/>
      <c r="AH164" s="60"/>
      <c r="AI164" s="60"/>
      <c r="AJ164" s="74" t="str">
        <f t="shared" si="34"/>
        <v>-</v>
      </c>
      <c r="AK164" s="60"/>
      <c r="AL164" s="60"/>
      <c r="AM164" s="60"/>
      <c r="AN164" s="60"/>
      <c r="AO164" s="60"/>
      <c r="AP164" s="60"/>
      <c r="AQ164" s="60"/>
      <c r="AR164" s="60"/>
      <c r="AS164" s="60"/>
      <c r="AT164" s="74" t="str">
        <f t="shared" si="35"/>
        <v>-</v>
      </c>
      <c r="AU164" s="74" t="str">
        <f t="shared" si="36"/>
        <v>-</v>
      </c>
      <c r="AV164" s="74" t="str">
        <f t="shared" si="37"/>
        <v>-</v>
      </c>
      <c r="AX164" s="59" t="str">
        <f>IF(AND(D164&gt;0,AA164&gt;0),MIN(D164,AA164),"-")</f>
        <v>-</v>
      </c>
      <c r="AY164" s="59" t="str">
        <f>IF(AND(E164&gt;0,AB164&gt;0),MIN(E164,AB164),"-")</f>
        <v>-</v>
      </c>
      <c r="AZ164" s="59" t="str">
        <f>IF(AND(F164&gt;0,AC164&gt;0),MIN(F164,AC164),"-")</f>
        <v>-</v>
      </c>
      <c r="BA164" s="59" t="str">
        <f>IF(AND(G164&gt;0,AD164&gt;0),MIN(G164,AD164),"-")</f>
        <v>-</v>
      </c>
      <c r="BB164" s="59" t="str">
        <f>IF(AND(H164&gt;0,AE164&gt;0),MIN(H164,AE164),"-")</f>
        <v>-</v>
      </c>
      <c r="BC164" s="59" t="str">
        <f>IF(AND(I164&gt;0,AF164&gt;0),MIN(I164,AF164),"-")</f>
        <v>-</v>
      </c>
      <c r="BD164" s="59" t="str">
        <f>IF(AND(J164&gt;0,AG164&gt;0),MIN(J164,AG164),"-")</f>
        <v>-</v>
      </c>
      <c r="BE164" s="59" t="str">
        <f>IF(AND(K164&gt;0,AH164&gt;0),MIN(K164,AH164),"-")</f>
        <v>-</v>
      </c>
      <c r="BF164" s="59" t="str">
        <f>IF(AND(L164&gt;0,AI164&gt;0),MIN(L164,AI164),"-")</f>
        <v>-</v>
      </c>
      <c r="BG164" s="59" t="str">
        <f t="shared" si="38"/>
        <v>-</v>
      </c>
      <c r="BH164" s="59" t="str">
        <f>IF(AND(N164&gt;0,AK164&gt;0),MIN(N164,AK164),"-")</f>
        <v>-</v>
      </c>
      <c r="BI164" s="59" t="str">
        <f>IF(AND(O164&gt;0,AL164&gt;0),MIN(O164,AL164),"-")</f>
        <v>-</v>
      </c>
      <c r="BJ164" s="59" t="str">
        <f>IF(AND(P164&gt;0,AM164&gt;0),MIN(P164,AM164),"-")</f>
        <v>-</v>
      </c>
      <c r="BK164" s="59" t="str">
        <f>IF(AND(Q164&gt;0,AN164&gt;0),MIN(Q164,AN164),"-")</f>
        <v>-</v>
      </c>
      <c r="BL164" s="59" t="str">
        <f>IF(AND(R164&gt;0,AO164&gt;0),MIN(R164,AO164),"-")</f>
        <v>-</v>
      </c>
      <c r="BM164" s="59" t="str">
        <f>IF(AND(S164&gt;0,AP164&gt;0),MIN(S164,AP164),"-")</f>
        <v>-</v>
      </c>
      <c r="BN164" s="59" t="str">
        <f>IF(AND(T164&gt;0,AQ164&gt;0),MIN(T164,AQ164),"-")</f>
        <v>-</v>
      </c>
      <c r="BO164" s="59" t="str">
        <f>IF(AND(U164&gt;0,AR164&gt;0),MIN(U164,AR164),"-")</f>
        <v>-</v>
      </c>
      <c r="BP164" s="59" t="str">
        <f>IF(AND(V164&gt;0,AS164&gt;0),MIN(V164,AS164),"-")</f>
        <v>-</v>
      </c>
      <c r="BQ164" s="59" t="str">
        <f t="shared" si="39"/>
        <v>-</v>
      </c>
      <c r="BR164" s="59" t="str">
        <f t="shared" si="40"/>
        <v>-</v>
      </c>
      <c r="BS164" s="59" t="str">
        <f t="shared" si="41"/>
        <v>-</v>
      </c>
      <c r="BT164" s="98" t="str">
        <f>IF(ISNUMBER(BS164),BS164-(C164*Rules!$P$9/100),"-")</f>
        <v>-</v>
      </c>
      <c r="BU164" s="59" t="e">
        <f>RANK($BT164,$BT$5:$BT$106,1)+COUNTIF(BT$5:BT164,BT164)-1</f>
        <v>#VALUE!</v>
      </c>
      <c r="BV164" s="59" t="e">
        <f t="shared" si="42"/>
        <v>#VALUE!</v>
      </c>
      <c r="BW164" s="59" t="str">
        <f t="shared" si="43"/>
        <v xml:space="preserve"> </v>
      </c>
      <c r="BX164" s="59">
        <f t="shared" si="43"/>
        <v>0</v>
      </c>
      <c r="BY164" s="59" t="str">
        <f t="shared" si="44"/>
        <v>-</v>
      </c>
      <c r="CD164" s="79"/>
      <c r="CE164" s="80"/>
      <c r="CF164" s="104"/>
      <c r="CL164" s="77">
        <v>1</v>
      </c>
    </row>
    <row r="165" spans="1:90" ht="17.45" customHeight="1">
      <c r="A165" s="58">
        <v>161</v>
      </c>
      <c r="B165" s="59" t="str">
        <f>'B Div'!A165 &amp; " " &amp; 'B Div'!B165</f>
        <v xml:space="preserve"> </v>
      </c>
      <c r="C165" s="59">
        <f>'B Div'!E165</f>
        <v>0</v>
      </c>
      <c r="D165" s="60"/>
      <c r="E165" s="60"/>
      <c r="F165" s="60"/>
      <c r="G165" s="60"/>
      <c r="H165" s="60"/>
      <c r="I165" s="60"/>
      <c r="J165" s="60"/>
      <c r="K165" s="60"/>
      <c r="L165" s="60"/>
      <c r="M165" s="74" t="str">
        <f t="shared" si="30"/>
        <v>-</v>
      </c>
      <c r="N165" s="60"/>
      <c r="O165" s="60"/>
      <c r="P165" s="60"/>
      <c r="Q165" s="60"/>
      <c r="R165" s="60"/>
      <c r="S165" s="60"/>
      <c r="T165" s="60"/>
      <c r="U165" s="60"/>
      <c r="V165" s="60"/>
      <c r="W165" s="74" t="str">
        <f t="shared" si="31"/>
        <v>-</v>
      </c>
      <c r="X165" s="74" t="str">
        <f t="shared" si="32"/>
        <v>-</v>
      </c>
      <c r="Y165" s="74" t="str">
        <f t="shared" si="33"/>
        <v>-</v>
      </c>
      <c r="AA165" s="60"/>
      <c r="AB165" s="60"/>
      <c r="AC165" s="60"/>
      <c r="AD165" s="60"/>
      <c r="AE165" s="60"/>
      <c r="AF165" s="60"/>
      <c r="AG165" s="60"/>
      <c r="AH165" s="60"/>
      <c r="AI165" s="60"/>
      <c r="AJ165" s="74" t="str">
        <f t="shared" si="34"/>
        <v>-</v>
      </c>
      <c r="AK165" s="60"/>
      <c r="AL165" s="60"/>
      <c r="AM165" s="60"/>
      <c r="AN165" s="60"/>
      <c r="AO165" s="60"/>
      <c r="AP165" s="60"/>
      <c r="AQ165" s="60"/>
      <c r="AR165" s="60"/>
      <c r="AS165" s="60"/>
      <c r="AT165" s="74" t="str">
        <f t="shared" si="35"/>
        <v>-</v>
      </c>
      <c r="AU165" s="74" t="str">
        <f t="shared" si="36"/>
        <v>-</v>
      </c>
      <c r="AV165" s="74" t="str">
        <f t="shared" si="37"/>
        <v>-</v>
      </c>
      <c r="AX165" s="59" t="str">
        <f>IF(AND(D165&gt;0,AA165&gt;0),MIN(D165,AA165),"-")</f>
        <v>-</v>
      </c>
      <c r="AY165" s="59" t="str">
        <f>IF(AND(E165&gt;0,AB165&gt;0),MIN(E165,AB165),"-")</f>
        <v>-</v>
      </c>
      <c r="AZ165" s="59" t="str">
        <f>IF(AND(F165&gt;0,AC165&gt;0),MIN(F165,AC165),"-")</f>
        <v>-</v>
      </c>
      <c r="BA165" s="59" t="str">
        <f>IF(AND(G165&gt;0,AD165&gt;0),MIN(G165,AD165),"-")</f>
        <v>-</v>
      </c>
      <c r="BB165" s="59" t="str">
        <f>IF(AND(H165&gt;0,AE165&gt;0),MIN(H165,AE165),"-")</f>
        <v>-</v>
      </c>
      <c r="BC165" s="59" t="str">
        <f>IF(AND(I165&gt;0,AF165&gt;0),MIN(I165,AF165),"-")</f>
        <v>-</v>
      </c>
      <c r="BD165" s="59" t="str">
        <f>IF(AND(J165&gt;0,AG165&gt;0),MIN(J165,AG165),"-")</f>
        <v>-</v>
      </c>
      <c r="BE165" s="59" t="str">
        <f>IF(AND(K165&gt;0,AH165&gt;0),MIN(K165,AH165),"-")</f>
        <v>-</v>
      </c>
      <c r="BF165" s="59" t="str">
        <f>IF(AND(L165&gt;0,AI165&gt;0),MIN(L165,AI165),"-")</f>
        <v>-</v>
      </c>
      <c r="BG165" s="59" t="str">
        <f t="shared" si="38"/>
        <v>-</v>
      </c>
      <c r="BH165" s="59" t="str">
        <f>IF(AND(N165&gt;0,AK165&gt;0),MIN(N165,AK165),"-")</f>
        <v>-</v>
      </c>
      <c r="BI165" s="59" t="str">
        <f>IF(AND(O165&gt;0,AL165&gt;0),MIN(O165,AL165),"-")</f>
        <v>-</v>
      </c>
      <c r="BJ165" s="59" t="str">
        <f>IF(AND(P165&gt;0,AM165&gt;0),MIN(P165,AM165),"-")</f>
        <v>-</v>
      </c>
      <c r="BK165" s="59" t="str">
        <f>IF(AND(Q165&gt;0,AN165&gt;0),MIN(Q165,AN165),"-")</f>
        <v>-</v>
      </c>
      <c r="BL165" s="59" t="str">
        <f>IF(AND(R165&gt;0,AO165&gt;0),MIN(R165,AO165),"-")</f>
        <v>-</v>
      </c>
      <c r="BM165" s="59" t="str">
        <f>IF(AND(S165&gt;0,AP165&gt;0),MIN(S165,AP165),"-")</f>
        <v>-</v>
      </c>
      <c r="BN165" s="59" t="str">
        <f>IF(AND(T165&gt;0,AQ165&gt;0),MIN(T165,AQ165),"-")</f>
        <v>-</v>
      </c>
      <c r="BO165" s="59" t="str">
        <f>IF(AND(U165&gt;0,AR165&gt;0),MIN(U165,AR165),"-")</f>
        <v>-</v>
      </c>
      <c r="BP165" s="59" t="str">
        <f>IF(AND(V165&gt;0,AS165&gt;0),MIN(V165,AS165),"-")</f>
        <v>-</v>
      </c>
      <c r="BQ165" s="59" t="str">
        <f t="shared" si="39"/>
        <v>-</v>
      </c>
      <c r="BR165" s="59" t="str">
        <f t="shared" si="40"/>
        <v>-</v>
      </c>
      <c r="BS165" s="59" t="str">
        <f t="shared" si="41"/>
        <v>-</v>
      </c>
      <c r="BT165" s="98" t="str">
        <f>IF(ISNUMBER(BS165),BS165-(C165*Rules!$P$9/100),"-")</f>
        <v>-</v>
      </c>
      <c r="BU165" s="59" t="e">
        <f>RANK($BT165,$BT$5:$BT$106,1)+COUNTIF(BT$5:BT165,BT165)-1</f>
        <v>#VALUE!</v>
      </c>
      <c r="BV165" s="59" t="e">
        <f t="shared" si="42"/>
        <v>#VALUE!</v>
      </c>
      <c r="BW165" s="59" t="str">
        <f t="shared" si="43"/>
        <v xml:space="preserve"> </v>
      </c>
      <c r="BX165" s="59">
        <f t="shared" si="43"/>
        <v>0</v>
      </c>
      <c r="BY165" s="59" t="str">
        <f t="shared" si="44"/>
        <v>-</v>
      </c>
      <c r="CD165" s="79"/>
      <c r="CE165" s="80"/>
      <c r="CF165" s="104"/>
      <c r="CL165" s="77">
        <v>1</v>
      </c>
    </row>
    <row r="166" spans="1:90" ht="17.45" customHeight="1">
      <c r="A166" s="58">
        <v>162</v>
      </c>
      <c r="B166" s="59" t="str">
        <f>'B Div'!A166 &amp; " " &amp; 'B Div'!B166</f>
        <v xml:space="preserve"> </v>
      </c>
      <c r="C166" s="59">
        <f>'B Div'!E166</f>
        <v>0</v>
      </c>
      <c r="D166" s="60"/>
      <c r="E166" s="60"/>
      <c r="F166" s="60"/>
      <c r="G166" s="60"/>
      <c r="H166" s="60"/>
      <c r="I166" s="60"/>
      <c r="J166" s="60"/>
      <c r="K166" s="60"/>
      <c r="L166" s="60"/>
      <c r="M166" s="74" t="str">
        <f t="shared" si="30"/>
        <v>-</v>
      </c>
      <c r="N166" s="60"/>
      <c r="O166" s="60"/>
      <c r="P166" s="60"/>
      <c r="Q166" s="60"/>
      <c r="R166" s="60"/>
      <c r="S166" s="60"/>
      <c r="T166" s="60"/>
      <c r="U166" s="60"/>
      <c r="V166" s="60"/>
      <c r="W166" s="74" t="str">
        <f t="shared" si="31"/>
        <v>-</v>
      </c>
      <c r="X166" s="74" t="str">
        <f t="shared" si="32"/>
        <v>-</v>
      </c>
      <c r="Y166" s="74" t="str">
        <f t="shared" si="33"/>
        <v>-</v>
      </c>
      <c r="AA166" s="60"/>
      <c r="AB166" s="60"/>
      <c r="AC166" s="60"/>
      <c r="AD166" s="60"/>
      <c r="AE166" s="60"/>
      <c r="AF166" s="60"/>
      <c r="AG166" s="60"/>
      <c r="AH166" s="60"/>
      <c r="AI166" s="60"/>
      <c r="AJ166" s="74" t="str">
        <f t="shared" si="34"/>
        <v>-</v>
      </c>
      <c r="AK166" s="60"/>
      <c r="AL166" s="60"/>
      <c r="AM166" s="60"/>
      <c r="AN166" s="60"/>
      <c r="AO166" s="60"/>
      <c r="AP166" s="60"/>
      <c r="AQ166" s="60"/>
      <c r="AR166" s="60"/>
      <c r="AS166" s="60"/>
      <c r="AT166" s="74" t="str">
        <f t="shared" si="35"/>
        <v>-</v>
      </c>
      <c r="AU166" s="74" t="str">
        <f t="shared" si="36"/>
        <v>-</v>
      </c>
      <c r="AV166" s="74" t="str">
        <f t="shared" si="37"/>
        <v>-</v>
      </c>
      <c r="AX166" s="59" t="str">
        <f>IF(AND(D166&gt;0,AA166&gt;0),MIN(D166,AA166),"-")</f>
        <v>-</v>
      </c>
      <c r="AY166" s="59" t="str">
        <f>IF(AND(E166&gt;0,AB166&gt;0),MIN(E166,AB166),"-")</f>
        <v>-</v>
      </c>
      <c r="AZ166" s="59" t="str">
        <f>IF(AND(F166&gt;0,AC166&gt;0),MIN(F166,AC166),"-")</f>
        <v>-</v>
      </c>
      <c r="BA166" s="59" t="str">
        <f>IF(AND(G166&gt;0,AD166&gt;0),MIN(G166,AD166),"-")</f>
        <v>-</v>
      </c>
      <c r="BB166" s="59" t="str">
        <f>IF(AND(H166&gt;0,AE166&gt;0),MIN(H166,AE166),"-")</f>
        <v>-</v>
      </c>
      <c r="BC166" s="59" t="str">
        <f>IF(AND(I166&gt;0,AF166&gt;0),MIN(I166,AF166),"-")</f>
        <v>-</v>
      </c>
      <c r="BD166" s="59" t="str">
        <f>IF(AND(J166&gt;0,AG166&gt;0),MIN(J166,AG166),"-")</f>
        <v>-</v>
      </c>
      <c r="BE166" s="59" t="str">
        <f>IF(AND(K166&gt;0,AH166&gt;0),MIN(K166,AH166),"-")</f>
        <v>-</v>
      </c>
      <c r="BF166" s="59" t="str">
        <f>IF(AND(L166&gt;0,AI166&gt;0),MIN(L166,AI166),"-")</f>
        <v>-</v>
      </c>
      <c r="BG166" s="59" t="str">
        <f t="shared" si="38"/>
        <v>-</v>
      </c>
      <c r="BH166" s="59" t="str">
        <f>IF(AND(N166&gt;0,AK166&gt;0),MIN(N166,AK166),"-")</f>
        <v>-</v>
      </c>
      <c r="BI166" s="59" t="str">
        <f>IF(AND(O166&gt;0,AL166&gt;0),MIN(O166,AL166),"-")</f>
        <v>-</v>
      </c>
      <c r="BJ166" s="59" t="str">
        <f>IF(AND(P166&gt;0,AM166&gt;0),MIN(P166,AM166),"-")</f>
        <v>-</v>
      </c>
      <c r="BK166" s="59" t="str">
        <f>IF(AND(Q166&gt;0,AN166&gt;0),MIN(Q166,AN166),"-")</f>
        <v>-</v>
      </c>
      <c r="BL166" s="59" t="str">
        <f>IF(AND(R166&gt;0,AO166&gt;0),MIN(R166,AO166),"-")</f>
        <v>-</v>
      </c>
      <c r="BM166" s="59" t="str">
        <f>IF(AND(S166&gt;0,AP166&gt;0),MIN(S166,AP166),"-")</f>
        <v>-</v>
      </c>
      <c r="BN166" s="59" t="str">
        <f>IF(AND(T166&gt;0,AQ166&gt;0),MIN(T166,AQ166),"-")</f>
        <v>-</v>
      </c>
      <c r="BO166" s="59" t="str">
        <f>IF(AND(U166&gt;0,AR166&gt;0),MIN(U166,AR166),"-")</f>
        <v>-</v>
      </c>
      <c r="BP166" s="59" t="str">
        <f>IF(AND(V166&gt;0,AS166&gt;0),MIN(V166,AS166),"-")</f>
        <v>-</v>
      </c>
      <c r="BQ166" s="59" t="str">
        <f t="shared" si="39"/>
        <v>-</v>
      </c>
      <c r="BR166" s="59" t="str">
        <f t="shared" si="40"/>
        <v>-</v>
      </c>
      <c r="BS166" s="59" t="str">
        <f t="shared" si="41"/>
        <v>-</v>
      </c>
      <c r="BT166" s="98" t="str">
        <f>IF(ISNUMBER(BS166),BS166-(C166*Rules!$P$9/100),"-")</f>
        <v>-</v>
      </c>
      <c r="BU166" s="59" t="e">
        <f>RANK($BT166,$BT$5:$BT$106,1)+COUNTIF(BT$5:BT166,BT166)-1</f>
        <v>#VALUE!</v>
      </c>
      <c r="BV166" s="59" t="e">
        <f t="shared" si="42"/>
        <v>#VALUE!</v>
      </c>
      <c r="BW166" s="59" t="str">
        <f t="shared" si="43"/>
        <v xml:space="preserve"> </v>
      </c>
      <c r="BX166" s="59">
        <f t="shared" si="43"/>
        <v>0</v>
      </c>
      <c r="BY166" s="59" t="str">
        <f t="shared" si="44"/>
        <v>-</v>
      </c>
      <c r="CD166" s="79"/>
      <c r="CE166" s="80"/>
      <c r="CF166" s="104"/>
      <c r="CL166" s="77">
        <v>1</v>
      </c>
    </row>
    <row r="167" spans="1:90" ht="17.45" customHeight="1">
      <c r="A167" s="58">
        <v>163</v>
      </c>
      <c r="B167" s="59" t="str">
        <f>'B Div'!A167 &amp; " " &amp; 'B Div'!B167</f>
        <v xml:space="preserve"> </v>
      </c>
      <c r="C167" s="59">
        <f>'B Div'!E167</f>
        <v>0</v>
      </c>
      <c r="D167" s="60"/>
      <c r="E167" s="60"/>
      <c r="F167" s="60"/>
      <c r="G167" s="60"/>
      <c r="H167" s="60"/>
      <c r="I167" s="60"/>
      <c r="J167" s="60"/>
      <c r="K167" s="60"/>
      <c r="L167" s="60"/>
      <c r="M167" s="74" t="str">
        <f t="shared" si="30"/>
        <v>-</v>
      </c>
      <c r="N167" s="60"/>
      <c r="O167" s="60"/>
      <c r="P167" s="60"/>
      <c r="Q167" s="60"/>
      <c r="R167" s="60"/>
      <c r="S167" s="60"/>
      <c r="T167" s="60"/>
      <c r="U167" s="60"/>
      <c r="V167" s="60"/>
      <c r="W167" s="74" t="str">
        <f t="shared" si="31"/>
        <v>-</v>
      </c>
      <c r="X167" s="74" t="str">
        <f t="shared" si="32"/>
        <v>-</v>
      </c>
      <c r="Y167" s="74" t="str">
        <f t="shared" si="33"/>
        <v>-</v>
      </c>
      <c r="AA167" s="60"/>
      <c r="AB167" s="60"/>
      <c r="AC167" s="60"/>
      <c r="AD167" s="60"/>
      <c r="AE167" s="60"/>
      <c r="AF167" s="60"/>
      <c r="AG167" s="60"/>
      <c r="AH167" s="60"/>
      <c r="AI167" s="60"/>
      <c r="AJ167" s="74" t="str">
        <f t="shared" si="34"/>
        <v>-</v>
      </c>
      <c r="AK167" s="60"/>
      <c r="AL167" s="60"/>
      <c r="AM167" s="60"/>
      <c r="AN167" s="60"/>
      <c r="AO167" s="60"/>
      <c r="AP167" s="60"/>
      <c r="AQ167" s="60"/>
      <c r="AR167" s="60"/>
      <c r="AS167" s="60"/>
      <c r="AT167" s="74" t="str">
        <f t="shared" si="35"/>
        <v>-</v>
      </c>
      <c r="AU167" s="74" t="str">
        <f t="shared" si="36"/>
        <v>-</v>
      </c>
      <c r="AV167" s="74" t="str">
        <f t="shared" si="37"/>
        <v>-</v>
      </c>
      <c r="AX167" s="59" t="str">
        <f>IF(AND(D167&gt;0,AA167&gt;0),MIN(D167,AA167),"-")</f>
        <v>-</v>
      </c>
      <c r="AY167" s="59" t="str">
        <f>IF(AND(E167&gt;0,AB167&gt;0),MIN(E167,AB167),"-")</f>
        <v>-</v>
      </c>
      <c r="AZ167" s="59" t="str">
        <f>IF(AND(F167&gt;0,AC167&gt;0),MIN(F167,AC167),"-")</f>
        <v>-</v>
      </c>
      <c r="BA167" s="59" t="str">
        <f>IF(AND(G167&gt;0,AD167&gt;0),MIN(G167,AD167),"-")</f>
        <v>-</v>
      </c>
      <c r="BB167" s="59" t="str">
        <f>IF(AND(H167&gt;0,AE167&gt;0),MIN(H167,AE167),"-")</f>
        <v>-</v>
      </c>
      <c r="BC167" s="59" t="str">
        <f>IF(AND(I167&gt;0,AF167&gt;0),MIN(I167,AF167),"-")</f>
        <v>-</v>
      </c>
      <c r="BD167" s="59" t="str">
        <f>IF(AND(J167&gt;0,AG167&gt;0),MIN(J167,AG167),"-")</f>
        <v>-</v>
      </c>
      <c r="BE167" s="59" t="str">
        <f>IF(AND(K167&gt;0,AH167&gt;0),MIN(K167,AH167),"-")</f>
        <v>-</v>
      </c>
      <c r="BF167" s="59" t="str">
        <f>IF(AND(L167&gt;0,AI167&gt;0),MIN(L167,AI167),"-")</f>
        <v>-</v>
      </c>
      <c r="BG167" s="59" t="str">
        <f t="shared" si="38"/>
        <v>-</v>
      </c>
      <c r="BH167" s="59" t="str">
        <f>IF(AND(N167&gt;0,AK167&gt;0),MIN(N167,AK167),"-")</f>
        <v>-</v>
      </c>
      <c r="BI167" s="59" t="str">
        <f>IF(AND(O167&gt;0,AL167&gt;0),MIN(O167,AL167),"-")</f>
        <v>-</v>
      </c>
      <c r="BJ167" s="59" t="str">
        <f>IF(AND(P167&gt;0,AM167&gt;0),MIN(P167,AM167),"-")</f>
        <v>-</v>
      </c>
      <c r="BK167" s="59" t="str">
        <f>IF(AND(Q167&gt;0,AN167&gt;0),MIN(Q167,AN167),"-")</f>
        <v>-</v>
      </c>
      <c r="BL167" s="59" t="str">
        <f>IF(AND(R167&gt;0,AO167&gt;0),MIN(R167,AO167),"-")</f>
        <v>-</v>
      </c>
      <c r="BM167" s="59" t="str">
        <f>IF(AND(S167&gt;0,AP167&gt;0),MIN(S167,AP167),"-")</f>
        <v>-</v>
      </c>
      <c r="BN167" s="59" t="str">
        <f>IF(AND(T167&gt;0,AQ167&gt;0),MIN(T167,AQ167),"-")</f>
        <v>-</v>
      </c>
      <c r="BO167" s="59" t="str">
        <f>IF(AND(U167&gt;0,AR167&gt;0),MIN(U167,AR167),"-")</f>
        <v>-</v>
      </c>
      <c r="BP167" s="59" t="str">
        <f>IF(AND(V167&gt;0,AS167&gt;0),MIN(V167,AS167),"-")</f>
        <v>-</v>
      </c>
      <c r="BQ167" s="59" t="str">
        <f t="shared" si="39"/>
        <v>-</v>
      </c>
      <c r="BR167" s="59" t="str">
        <f t="shared" si="40"/>
        <v>-</v>
      </c>
      <c r="BS167" s="59" t="str">
        <f t="shared" si="41"/>
        <v>-</v>
      </c>
      <c r="BT167" s="98" t="str">
        <f>IF(ISNUMBER(BS167),BS167-(C167*Rules!$P$9/100),"-")</f>
        <v>-</v>
      </c>
      <c r="BU167" s="59" t="e">
        <f>RANK($BT167,$BT$5:$BT$106,1)+COUNTIF(BT$5:BT167,BT167)-1</f>
        <v>#VALUE!</v>
      </c>
      <c r="BV167" s="59" t="e">
        <f t="shared" si="42"/>
        <v>#VALUE!</v>
      </c>
      <c r="BW167" s="59" t="str">
        <f t="shared" si="43"/>
        <v xml:space="preserve"> </v>
      </c>
      <c r="BX167" s="59">
        <f t="shared" si="43"/>
        <v>0</v>
      </c>
      <c r="BY167" s="59" t="str">
        <f t="shared" si="44"/>
        <v>-</v>
      </c>
      <c r="CD167" s="79"/>
      <c r="CE167" s="80"/>
      <c r="CF167" s="104"/>
      <c r="CL167" s="77">
        <v>1</v>
      </c>
    </row>
    <row r="168" spans="1:90" ht="17.45" customHeight="1">
      <c r="A168" s="58">
        <v>164</v>
      </c>
      <c r="B168" s="59" t="str">
        <f>'B Div'!A168 &amp; " " &amp; 'B Div'!B168</f>
        <v xml:space="preserve"> </v>
      </c>
      <c r="C168" s="59">
        <f>'B Div'!E168</f>
        <v>0</v>
      </c>
      <c r="D168" s="60"/>
      <c r="E168" s="60"/>
      <c r="F168" s="60"/>
      <c r="G168" s="60"/>
      <c r="H168" s="60"/>
      <c r="I168" s="60"/>
      <c r="J168" s="60"/>
      <c r="K168" s="60"/>
      <c r="L168" s="60"/>
      <c r="M168" s="74" t="str">
        <f t="shared" si="30"/>
        <v>-</v>
      </c>
      <c r="N168" s="60"/>
      <c r="O168" s="60"/>
      <c r="P168" s="60"/>
      <c r="Q168" s="60"/>
      <c r="R168" s="60"/>
      <c r="S168" s="60"/>
      <c r="T168" s="60"/>
      <c r="U168" s="60"/>
      <c r="V168" s="60"/>
      <c r="W168" s="74" t="str">
        <f t="shared" si="31"/>
        <v>-</v>
      </c>
      <c r="X168" s="74" t="str">
        <f t="shared" si="32"/>
        <v>-</v>
      </c>
      <c r="Y168" s="74" t="str">
        <f t="shared" si="33"/>
        <v>-</v>
      </c>
      <c r="AA168" s="60"/>
      <c r="AB168" s="60"/>
      <c r="AC168" s="60"/>
      <c r="AD168" s="60"/>
      <c r="AE168" s="60"/>
      <c r="AF168" s="60"/>
      <c r="AG168" s="60"/>
      <c r="AH168" s="60"/>
      <c r="AI168" s="60"/>
      <c r="AJ168" s="74" t="str">
        <f t="shared" si="34"/>
        <v>-</v>
      </c>
      <c r="AK168" s="60"/>
      <c r="AL168" s="60"/>
      <c r="AM168" s="60"/>
      <c r="AN168" s="60"/>
      <c r="AO168" s="60"/>
      <c r="AP168" s="60"/>
      <c r="AQ168" s="60"/>
      <c r="AR168" s="60"/>
      <c r="AS168" s="60"/>
      <c r="AT168" s="74" t="str">
        <f t="shared" si="35"/>
        <v>-</v>
      </c>
      <c r="AU168" s="74" t="str">
        <f t="shared" si="36"/>
        <v>-</v>
      </c>
      <c r="AV168" s="74" t="str">
        <f t="shared" si="37"/>
        <v>-</v>
      </c>
      <c r="AX168" s="59" t="str">
        <f>IF(AND(D168&gt;0,AA168&gt;0),MIN(D168,AA168),"-")</f>
        <v>-</v>
      </c>
      <c r="AY168" s="59" t="str">
        <f>IF(AND(E168&gt;0,AB168&gt;0),MIN(E168,AB168),"-")</f>
        <v>-</v>
      </c>
      <c r="AZ168" s="59" t="str">
        <f>IF(AND(F168&gt;0,AC168&gt;0),MIN(F168,AC168),"-")</f>
        <v>-</v>
      </c>
      <c r="BA168" s="59" t="str">
        <f>IF(AND(G168&gt;0,AD168&gt;0),MIN(G168,AD168),"-")</f>
        <v>-</v>
      </c>
      <c r="BB168" s="59" t="str">
        <f>IF(AND(H168&gt;0,AE168&gt;0),MIN(H168,AE168),"-")</f>
        <v>-</v>
      </c>
      <c r="BC168" s="59" t="str">
        <f>IF(AND(I168&gt;0,AF168&gt;0),MIN(I168,AF168),"-")</f>
        <v>-</v>
      </c>
      <c r="BD168" s="59" t="str">
        <f>IF(AND(J168&gt;0,AG168&gt;0),MIN(J168,AG168),"-")</f>
        <v>-</v>
      </c>
      <c r="BE168" s="59" t="str">
        <f>IF(AND(K168&gt;0,AH168&gt;0),MIN(K168,AH168),"-")</f>
        <v>-</v>
      </c>
      <c r="BF168" s="59" t="str">
        <f>IF(AND(L168&gt;0,AI168&gt;0),MIN(L168,AI168),"-")</f>
        <v>-</v>
      </c>
      <c r="BG168" s="59" t="str">
        <f t="shared" si="38"/>
        <v>-</v>
      </c>
      <c r="BH168" s="59" t="str">
        <f>IF(AND(N168&gt;0,AK168&gt;0),MIN(N168,AK168),"-")</f>
        <v>-</v>
      </c>
      <c r="BI168" s="59" t="str">
        <f>IF(AND(O168&gt;0,AL168&gt;0),MIN(O168,AL168),"-")</f>
        <v>-</v>
      </c>
      <c r="BJ168" s="59" t="str">
        <f>IF(AND(P168&gt;0,AM168&gt;0),MIN(P168,AM168),"-")</f>
        <v>-</v>
      </c>
      <c r="BK168" s="59" t="str">
        <f>IF(AND(Q168&gt;0,AN168&gt;0),MIN(Q168,AN168),"-")</f>
        <v>-</v>
      </c>
      <c r="BL168" s="59" t="str">
        <f>IF(AND(R168&gt;0,AO168&gt;0),MIN(R168,AO168),"-")</f>
        <v>-</v>
      </c>
      <c r="BM168" s="59" t="str">
        <f>IF(AND(S168&gt;0,AP168&gt;0),MIN(S168,AP168),"-")</f>
        <v>-</v>
      </c>
      <c r="BN168" s="59" t="str">
        <f>IF(AND(T168&gt;0,AQ168&gt;0),MIN(T168,AQ168),"-")</f>
        <v>-</v>
      </c>
      <c r="BO168" s="59" t="str">
        <f>IF(AND(U168&gt;0,AR168&gt;0),MIN(U168,AR168),"-")</f>
        <v>-</v>
      </c>
      <c r="BP168" s="59" t="str">
        <f>IF(AND(V168&gt;0,AS168&gt;0),MIN(V168,AS168),"-")</f>
        <v>-</v>
      </c>
      <c r="BQ168" s="59" t="str">
        <f t="shared" si="39"/>
        <v>-</v>
      </c>
      <c r="BR168" s="59" t="str">
        <f t="shared" si="40"/>
        <v>-</v>
      </c>
      <c r="BS168" s="59" t="str">
        <f t="shared" si="41"/>
        <v>-</v>
      </c>
      <c r="BT168" s="98" t="str">
        <f>IF(ISNUMBER(BS168),BS168-(C168*Rules!$P$9/100),"-")</f>
        <v>-</v>
      </c>
      <c r="BU168" s="59" t="e">
        <f>RANK($BT168,$BT$5:$BT$106,1)+COUNTIF(BT$5:BT168,BT168)-1</f>
        <v>#VALUE!</v>
      </c>
      <c r="BV168" s="59" t="e">
        <f t="shared" si="42"/>
        <v>#VALUE!</v>
      </c>
      <c r="BW168" s="59" t="str">
        <f t="shared" si="43"/>
        <v xml:space="preserve"> </v>
      </c>
      <c r="BX168" s="59">
        <f t="shared" si="43"/>
        <v>0</v>
      </c>
      <c r="BY168" s="59" t="str">
        <f t="shared" si="44"/>
        <v>-</v>
      </c>
      <c r="CD168" s="79"/>
      <c r="CE168" s="80"/>
      <c r="CF168" s="104"/>
      <c r="CL168" s="77">
        <v>1</v>
      </c>
    </row>
    <row r="169" spans="1:90" ht="17.45" customHeight="1">
      <c r="A169" s="58">
        <v>165</v>
      </c>
      <c r="B169" s="59" t="str">
        <f>'B Div'!A169 &amp; " " &amp; 'B Div'!B169</f>
        <v xml:space="preserve"> </v>
      </c>
      <c r="C169" s="59">
        <f>'B Div'!E169</f>
        <v>0</v>
      </c>
      <c r="D169" s="60"/>
      <c r="E169" s="60"/>
      <c r="F169" s="60"/>
      <c r="G169" s="60"/>
      <c r="H169" s="60"/>
      <c r="I169" s="60"/>
      <c r="J169" s="60"/>
      <c r="K169" s="60"/>
      <c r="L169" s="60"/>
      <c r="M169" s="74" t="str">
        <f t="shared" si="30"/>
        <v>-</v>
      </c>
      <c r="N169" s="60"/>
      <c r="O169" s="60"/>
      <c r="P169" s="60"/>
      <c r="Q169" s="60"/>
      <c r="R169" s="60"/>
      <c r="S169" s="60"/>
      <c r="T169" s="60"/>
      <c r="U169" s="60"/>
      <c r="V169" s="60"/>
      <c r="W169" s="74" t="str">
        <f t="shared" si="31"/>
        <v>-</v>
      </c>
      <c r="X169" s="74" t="str">
        <f t="shared" si="32"/>
        <v>-</v>
      </c>
      <c r="Y169" s="74" t="str">
        <f t="shared" si="33"/>
        <v>-</v>
      </c>
      <c r="AA169" s="60"/>
      <c r="AB169" s="60"/>
      <c r="AC169" s="60"/>
      <c r="AD169" s="60"/>
      <c r="AE169" s="60"/>
      <c r="AF169" s="60"/>
      <c r="AG169" s="60"/>
      <c r="AH169" s="60"/>
      <c r="AI169" s="60"/>
      <c r="AJ169" s="74" t="str">
        <f t="shared" si="34"/>
        <v>-</v>
      </c>
      <c r="AK169" s="60"/>
      <c r="AL169" s="60"/>
      <c r="AM169" s="60"/>
      <c r="AN169" s="60"/>
      <c r="AO169" s="60"/>
      <c r="AP169" s="60"/>
      <c r="AQ169" s="60"/>
      <c r="AR169" s="60"/>
      <c r="AS169" s="60"/>
      <c r="AT169" s="74" t="str">
        <f t="shared" si="35"/>
        <v>-</v>
      </c>
      <c r="AU169" s="74" t="str">
        <f t="shared" si="36"/>
        <v>-</v>
      </c>
      <c r="AV169" s="74" t="str">
        <f t="shared" si="37"/>
        <v>-</v>
      </c>
      <c r="AX169" s="59" t="str">
        <f>IF(AND(D169&gt;0,AA169&gt;0),MIN(D169,AA169),"-")</f>
        <v>-</v>
      </c>
      <c r="AY169" s="59" t="str">
        <f>IF(AND(E169&gt;0,AB169&gt;0),MIN(E169,AB169),"-")</f>
        <v>-</v>
      </c>
      <c r="AZ169" s="59" t="str">
        <f>IF(AND(F169&gt;0,AC169&gt;0),MIN(F169,AC169),"-")</f>
        <v>-</v>
      </c>
      <c r="BA169" s="59" t="str">
        <f>IF(AND(G169&gt;0,AD169&gt;0),MIN(G169,AD169),"-")</f>
        <v>-</v>
      </c>
      <c r="BB169" s="59" t="str">
        <f>IF(AND(H169&gt;0,AE169&gt;0),MIN(H169,AE169),"-")</f>
        <v>-</v>
      </c>
      <c r="BC169" s="59" t="str">
        <f>IF(AND(I169&gt;0,AF169&gt;0),MIN(I169,AF169),"-")</f>
        <v>-</v>
      </c>
      <c r="BD169" s="59" t="str">
        <f>IF(AND(J169&gt;0,AG169&gt;0),MIN(J169,AG169),"-")</f>
        <v>-</v>
      </c>
      <c r="BE169" s="59" t="str">
        <f>IF(AND(K169&gt;0,AH169&gt;0),MIN(K169,AH169),"-")</f>
        <v>-</v>
      </c>
      <c r="BF169" s="59" t="str">
        <f>IF(AND(L169&gt;0,AI169&gt;0),MIN(L169,AI169),"-")</f>
        <v>-</v>
      </c>
      <c r="BG169" s="59" t="str">
        <f t="shared" si="38"/>
        <v>-</v>
      </c>
      <c r="BH169" s="59" t="str">
        <f>IF(AND(N169&gt;0,AK169&gt;0),MIN(N169,AK169),"-")</f>
        <v>-</v>
      </c>
      <c r="BI169" s="59" t="str">
        <f>IF(AND(O169&gt;0,AL169&gt;0),MIN(O169,AL169),"-")</f>
        <v>-</v>
      </c>
      <c r="BJ169" s="59" t="str">
        <f>IF(AND(P169&gt;0,AM169&gt;0),MIN(P169,AM169),"-")</f>
        <v>-</v>
      </c>
      <c r="BK169" s="59" t="str">
        <f>IF(AND(Q169&gt;0,AN169&gt;0),MIN(Q169,AN169),"-")</f>
        <v>-</v>
      </c>
      <c r="BL169" s="59" t="str">
        <f>IF(AND(R169&gt;0,AO169&gt;0),MIN(R169,AO169),"-")</f>
        <v>-</v>
      </c>
      <c r="BM169" s="59" t="str">
        <f>IF(AND(S169&gt;0,AP169&gt;0),MIN(S169,AP169),"-")</f>
        <v>-</v>
      </c>
      <c r="BN169" s="59" t="str">
        <f>IF(AND(T169&gt;0,AQ169&gt;0),MIN(T169,AQ169),"-")</f>
        <v>-</v>
      </c>
      <c r="BO169" s="59" t="str">
        <f>IF(AND(U169&gt;0,AR169&gt;0),MIN(U169,AR169),"-")</f>
        <v>-</v>
      </c>
      <c r="BP169" s="59" t="str">
        <f>IF(AND(V169&gt;0,AS169&gt;0),MIN(V169,AS169),"-")</f>
        <v>-</v>
      </c>
      <c r="BQ169" s="59" t="str">
        <f t="shared" si="39"/>
        <v>-</v>
      </c>
      <c r="BR169" s="59" t="str">
        <f t="shared" si="40"/>
        <v>-</v>
      </c>
      <c r="BS169" s="59" t="str">
        <f t="shared" si="41"/>
        <v>-</v>
      </c>
      <c r="BT169" s="98" t="str">
        <f>IF(ISNUMBER(BS169),BS169-(C169*Rules!$P$9/100),"-")</f>
        <v>-</v>
      </c>
      <c r="BU169" s="59" t="e">
        <f>RANK($BT169,$BT$5:$BT$106,1)+COUNTIF(BT$5:BT169,BT169)-1</f>
        <v>#VALUE!</v>
      </c>
      <c r="BV169" s="59" t="e">
        <f t="shared" si="42"/>
        <v>#VALUE!</v>
      </c>
      <c r="BW169" s="59" t="str">
        <f t="shared" si="43"/>
        <v xml:space="preserve"> </v>
      </c>
      <c r="BX169" s="59">
        <f t="shared" si="43"/>
        <v>0</v>
      </c>
      <c r="BY169" s="59" t="str">
        <f t="shared" si="44"/>
        <v>-</v>
      </c>
      <c r="CD169" s="79"/>
      <c r="CE169" s="80"/>
      <c r="CF169" s="104"/>
      <c r="CL169" s="77">
        <v>1</v>
      </c>
    </row>
    <row r="170" spans="1:90" ht="17.45" customHeight="1">
      <c r="A170" s="58">
        <v>166</v>
      </c>
      <c r="B170" s="59" t="str">
        <f>'B Div'!A170 &amp; " " &amp; 'B Div'!B170</f>
        <v xml:space="preserve"> </v>
      </c>
      <c r="C170" s="59">
        <f>'B Div'!E170</f>
        <v>0</v>
      </c>
      <c r="D170" s="60"/>
      <c r="E170" s="60"/>
      <c r="F170" s="60"/>
      <c r="G170" s="60"/>
      <c r="H170" s="60"/>
      <c r="I170" s="60"/>
      <c r="J170" s="60"/>
      <c r="K170" s="60"/>
      <c r="L170" s="60"/>
      <c r="M170" s="74" t="str">
        <f t="shared" si="30"/>
        <v>-</v>
      </c>
      <c r="N170" s="60"/>
      <c r="O170" s="60"/>
      <c r="P170" s="60"/>
      <c r="Q170" s="60"/>
      <c r="R170" s="60"/>
      <c r="S170" s="60"/>
      <c r="T170" s="60"/>
      <c r="U170" s="60"/>
      <c r="V170" s="60"/>
      <c r="W170" s="74" t="str">
        <f t="shared" si="31"/>
        <v>-</v>
      </c>
      <c r="X170" s="74" t="str">
        <f t="shared" si="32"/>
        <v>-</v>
      </c>
      <c r="Y170" s="74" t="str">
        <f t="shared" si="33"/>
        <v>-</v>
      </c>
      <c r="AA170" s="60"/>
      <c r="AB170" s="60"/>
      <c r="AC170" s="60"/>
      <c r="AD170" s="60"/>
      <c r="AE170" s="60"/>
      <c r="AF170" s="60"/>
      <c r="AG170" s="60"/>
      <c r="AH170" s="60"/>
      <c r="AI170" s="60"/>
      <c r="AJ170" s="74" t="str">
        <f t="shared" si="34"/>
        <v>-</v>
      </c>
      <c r="AK170" s="60"/>
      <c r="AL170" s="60"/>
      <c r="AM170" s="60"/>
      <c r="AN170" s="60"/>
      <c r="AO170" s="60"/>
      <c r="AP170" s="60"/>
      <c r="AQ170" s="60"/>
      <c r="AR170" s="60"/>
      <c r="AS170" s="60"/>
      <c r="AT170" s="74" t="str">
        <f t="shared" si="35"/>
        <v>-</v>
      </c>
      <c r="AU170" s="74" t="str">
        <f t="shared" si="36"/>
        <v>-</v>
      </c>
      <c r="AV170" s="74" t="str">
        <f t="shared" si="37"/>
        <v>-</v>
      </c>
      <c r="AX170" s="59" t="str">
        <f>IF(AND(D170&gt;0,AA170&gt;0),MIN(D170,AA170),"-")</f>
        <v>-</v>
      </c>
      <c r="AY170" s="59" t="str">
        <f>IF(AND(E170&gt;0,AB170&gt;0),MIN(E170,AB170),"-")</f>
        <v>-</v>
      </c>
      <c r="AZ170" s="59" t="str">
        <f>IF(AND(F170&gt;0,AC170&gt;0),MIN(F170,AC170),"-")</f>
        <v>-</v>
      </c>
      <c r="BA170" s="59" t="str">
        <f>IF(AND(G170&gt;0,AD170&gt;0),MIN(G170,AD170),"-")</f>
        <v>-</v>
      </c>
      <c r="BB170" s="59" t="str">
        <f>IF(AND(H170&gt;0,AE170&gt;0),MIN(H170,AE170),"-")</f>
        <v>-</v>
      </c>
      <c r="BC170" s="59" t="str">
        <f>IF(AND(I170&gt;0,AF170&gt;0),MIN(I170,AF170),"-")</f>
        <v>-</v>
      </c>
      <c r="BD170" s="59" t="str">
        <f>IF(AND(J170&gt;0,AG170&gt;0),MIN(J170,AG170),"-")</f>
        <v>-</v>
      </c>
      <c r="BE170" s="59" t="str">
        <f>IF(AND(K170&gt;0,AH170&gt;0),MIN(K170,AH170),"-")</f>
        <v>-</v>
      </c>
      <c r="BF170" s="59" t="str">
        <f>IF(AND(L170&gt;0,AI170&gt;0),MIN(L170,AI170),"-")</f>
        <v>-</v>
      </c>
      <c r="BG170" s="59" t="str">
        <f t="shared" si="38"/>
        <v>-</v>
      </c>
      <c r="BH170" s="59" t="str">
        <f>IF(AND(N170&gt;0,AK170&gt;0),MIN(N170,AK170),"-")</f>
        <v>-</v>
      </c>
      <c r="BI170" s="59" t="str">
        <f>IF(AND(O170&gt;0,AL170&gt;0),MIN(O170,AL170),"-")</f>
        <v>-</v>
      </c>
      <c r="BJ170" s="59" t="str">
        <f>IF(AND(P170&gt;0,AM170&gt;0),MIN(P170,AM170),"-")</f>
        <v>-</v>
      </c>
      <c r="BK170" s="59" t="str">
        <f>IF(AND(Q170&gt;0,AN170&gt;0),MIN(Q170,AN170),"-")</f>
        <v>-</v>
      </c>
      <c r="BL170" s="59" t="str">
        <f>IF(AND(R170&gt;0,AO170&gt;0),MIN(R170,AO170),"-")</f>
        <v>-</v>
      </c>
      <c r="BM170" s="59" t="str">
        <f>IF(AND(S170&gt;0,AP170&gt;0),MIN(S170,AP170),"-")</f>
        <v>-</v>
      </c>
      <c r="BN170" s="59" t="str">
        <f>IF(AND(T170&gt;0,AQ170&gt;0),MIN(T170,AQ170),"-")</f>
        <v>-</v>
      </c>
      <c r="BO170" s="59" t="str">
        <f>IF(AND(U170&gt;0,AR170&gt;0),MIN(U170,AR170),"-")</f>
        <v>-</v>
      </c>
      <c r="BP170" s="59" t="str">
        <f>IF(AND(V170&gt;0,AS170&gt;0),MIN(V170,AS170),"-")</f>
        <v>-</v>
      </c>
      <c r="BQ170" s="59" t="str">
        <f t="shared" si="39"/>
        <v>-</v>
      </c>
      <c r="BR170" s="59" t="str">
        <f t="shared" si="40"/>
        <v>-</v>
      </c>
      <c r="BS170" s="59" t="str">
        <f t="shared" si="41"/>
        <v>-</v>
      </c>
      <c r="BT170" s="98" t="str">
        <f>IF(ISNUMBER(BS170),BS170-(C170*Rules!$P$9/100),"-")</f>
        <v>-</v>
      </c>
      <c r="BU170" s="59" t="e">
        <f>RANK($BT170,$BT$5:$BT$106,1)+COUNTIF(BT$5:BT170,BT170)-1</f>
        <v>#VALUE!</v>
      </c>
      <c r="BV170" s="59" t="e">
        <f t="shared" si="42"/>
        <v>#VALUE!</v>
      </c>
      <c r="BW170" s="59" t="str">
        <f t="shared" si="43"/>
        <v xml:space="preserve"> </v>
      </c>
      <c r="BX170" s="59">
        <f t="shared" si="43"/>
        <v>0</v>
      </c>
      <c r="BY170" s="59" t="str">
        <f t="shared" si="44"/>
        <v>-</v>
      </c>
      <c r="CD170" s="79"/>
      <c r="CE170" s="80"/>
      <c r="CF170" s="104"/>
      <c r="CL170" s="77">
        <v>1</v>
      </c>
    </row>
    <row r="171" spans="1:90" ht="17.45" customHeight="1">
      <c r="A171" s="58">
        <v>167</v>
      </c>
      <c r="B171" s="59" t="str">
        <f>'B Div'!A171 &amp; " " &amp; 'B Div'!B171</f>
        <v xml:space="preserve"> </v>
      </c>
      <c r="C171" s="59">
        <f>'B Div'!E171</f>
        <v>0</v>
      </c>
      <c r="D171" s="60"/>
      <c r="E171" s="60"/>
      <c r="F171" s="60"/>
      <c r="G171" s="60"/>
      <c r="H171" s="60"/>
      <c r="I171" s="60"/>
      <c r="J171" s="60"/>
      <c r="K171" s="60"/>
      <c r="L171" s="60"/>
      <c r="M171" s="74" t="str">
        <f t="shared" si="30"/>
        <v>-</v>
      </c>
      <c r="N171" s="60"/>
      <c r="O171" s="60"/>
      <c r="P171" s="60"/>
      <c r="Q171" s="60"/>
      <c r="R171" s="60"/>
      <c r="S171" s="60"/>
      <c r="T171" s="60"/>
      <c r="U171" s="60"/>
      <c r="V171" s="60"/>
      <c r="W171" s="74" t="str">
        <f t="shared" si="31"/>
        <v>-</v>
      </c>
      <c r="X171" s="74" t="str">
        <f t="shared" si="32"/>
        <v>-</v>
      </c>
      <c r="Y171" s="74" t="str">
        <f t="shared" si="33"/>
        <v>-</v>
      </c>
      <c r="AA171" s="60"/>
      <c r="AB171" s="60"/>
      <c r="AC171" s="60"/>
      <c r="AD171" s="60"/>
      <c r="AE171" s="60"/>
      <c r="AF171" s="60"/>
      <c r="AG171" s="60"/>
      <c r="AH171" s="60"/>
      <c r="AI171" s="60"/>
      <c r="AJ171" s="74" t="str">
        <f t="shared" si="34"/>
        <v>-</v>
      </c>
      <c r="AK171" s="60"/>
      <c r="AL171" s="60"/>
      <c r="AM171" s="60"/>
      <c r="AN171" s="60"/>
      <c r="AO171" s="60"/>
      <c r="AP171" s="60"/>
      <c r="AQ171" s="60"/>
      <c r="AR171" s="60"/>
      <c r="AS171" s="60"/>
      <c r="AT171" s="74" t="str">
        <f t="shared" si="35"/>
        <v>-</v>
      </c>
      <c r="AU171" s="74" t="str">
        <f t="shared" si="36"/>
        <v>-</v>
      </c>
      <c r="AV171" s="74" t="str">
        <f t="shared" si="37"/>
        <v>-</v>
      </c>
      <c r="AX171" s="59" t="str">
        <f>IF(AND(D171&gt;0,AA171&gt;0),MIN(D171,AA171),"-")</f>
        <v>-</v>
      </c>
      <c r="AY171" s="59" t="str">
        <f>IF(AND(E171&gt;0,AB171&gt;0),MIN(E171,AB171),"-")</f>
        <v>-</v>
      </c>
      <c r="AZ171" s="59" t="str">
        <f>IF(AND(F171&gt;0,AC171&gt;0),MIN(F171,AC171),"-")</f>
        <v>-</v>
      </c>
      <c r="BA171" s="59" t="str">
        <f>IF(AND(G171&gt;0,AD171&gt;0),MIN(G171,AD171),"-")</f>
        <v>-</v>
      </c>
      <c r="BB171" s="59" t="str">
        <f>IF(AND(H171&gt;0,AE171&gt;0),MIN(H171,AE171),"-")</f>
        <v>-</v>
      </c>
      <c r="BC171" s="59" t="str">
        <f>IF(AND(I171&gt;0,AF171&gt;0),MIN(I171,AF171),"-")</f>
        <v>-</v>
      </c>
      <c r="BD171" s="59" t="str">
        <f>IF(AND(J171&gt;0,AG171&gt;0),MIN(J171,AG171),"-")</f>
        <v>-</v>
      </c>
      <c r="BE171" s="59" t="str">
        <f>IF(AND(K171&gt;0,AH171&gt;0),MIN(K171,AH171),"-")</f>
        <v>-</v>
      </c>
      <c r="BF171" s="59" t="str">
        <f>IF(AND(L171&gt;0,AI171&gt;0),MIN(L171,AI171),"-")</f>
        <v>-</v>
      </c>
      <c r="BG171" s="59" t="str">
        <f t="shared" si="38"/>
        <v>-</v>
      </c>
      <c r="BH171" s="59" t="str">
        <f>IF(AND(N171&gt;0,AK171&gt;0),MIN(N171,AK171),"-")</f>
        <v>-</v>
      </c>
      <c r="BI171" s="59" t="str">
        <f>IF(AND(O171&gt;0,AL171&gt;0),MIN(O171,AL171),"-")</f>
        <v>-</v>
      </c>
      <c r="BJ171" s="59" t="str">
        <f>IF(AND(P171&gt;0,AM171&gt;0),MIN(P171,AM171),"-")</f>
        <v>-</v>
      </c>
      <c r="BK171" s="59" t="str">
        <f>IF(AND(Q171&gt;0,AN171&gt;0),MIN(Q171,AN171),"-")</f>
        <v>-</v>
      </c>
      <c r="BL171" s="59" t="str">
        <f>IF(AND(R171&gt;0,AO171&gt;0),MIN(R171,AO171),"-")</f>
        <v>-</v>
      </c>
      <c r="BM171" s="59" t="str">
        <f>IF(AND(S171&gt;0,AP171&gt;0),MIN(S171,AP171),"-")</f>
        <v>-</v>
      </c>
      <c r="BN171" s="59" t="str">
        <f>IF(AND(T171&gt;0,AQ171&gt;0),MIN(T171,AQ171),"-")</f>
        <v>-</v>
      </c>
      <c r="BO171" s="59" t="str">
        <f>IF(AND(U171&gt;0,AR171&gt;0),MIN(U171,AR171),"-")</f>
        <v>-</v>
      </c>
      <c r="BP171" s="59" t="str">
        <f>IF(AND(V171&gt;0,AS171&gt;0),MIN(V171,AS171),"-")</f>
        <v>-</v>
      </c>
      <c r="BQ171" s="59" t="str">
        <f t="shared" si="39"/>
        <v>-</v>
      </c>
      <c r="BR171" s="59" t="str">
        <f t="shared" si="40"/>
        <v>-</v>
      </c>
      <c r="BS171" s="59" t="str">
        <f t="shared" si="41"/>
        <v>-</v>
      </c>
      <c r="BT171" s="98" t="str">
        <f>IF(ISNUMBER(BS171),BS171-(C171*Rules!$P$9/100),"-")</f>
        <v>-</v>
      </c>
      <c r="BU171" s="59" t="e">
        <f>RANK($BT171,$BT$5:$BT$106,1)+COUNTIF(BT$5:BT171,BT171)-1</f>
        <v>#VALUE!</v>
      </c>
      <c r="BV171" s="59" t="e">
        <f t="shared" si="42"/>
        <v>#VALUE!</v>
      </c>
      <c r="BW171" s="59" t="str">
        <f t="shared" si="43"/>
        <v xml:space="preserve"> </v>
      </c>
      <c r="BX171" s="59">
        <f t="shared" si="43"/>
        <v>0</v>
      </c>
      <c r="BY171" s="59" t="str">
        <f t="shared" si="44"/>
        <v>-</v>
      </c>
      <c r="CD171" s="79"/>
      <c r="CE171" s="80"/>
      <c r="CF171" s="104"/>
      <c r="CL171" s="77">
        <v>1</v>
      </c>
    </row>
    <row r="172" spans="1:90" ht="17.45" customHeight="1">
      <c r="A172" s="58">
        <v>168</v>
      </c>
      <c r="B172" s="59" t="str">
        <f>'B Div'!A172 &amp; " " &amp; 'B Div'!B172</f>
        <v xml:space="preserve"> </v>
      </c>
      <c r="C172" s="59">
        <f>'B Div'!E172</f>
        <v>0</v>
      </c>
      <c r="D172" s="60"/>
      <c r="E172" s="60"/>
      <c r="F172" s="60"/>
      <c r="G172" s="60"/>
      <c r="H172" s="60"/>
      <c r="I172" s="60"/>
      <c r="J172" s="60"/>
      <c r="K172" s="60"/>
      <c r="L172" s="60"/>
      <c r="M172" s="74" t="str">
        <f t="shared" si="30"/>
        <v>-</v>
      </c>
      <c r="N172" s="60"/>
      <c r="O172" s="60"/>
      <c r="P172" s="60"/>
      <c r="Q172" s="60"/>
      <c r="R172" s="60"/>
      <c r="S172" s="60"/>
      <c r="T172" s="60"/>
      <c r="U172" s="60"/>
      <c r="V172" s="60"/>
      <c r="W172" s="74" t="str">
        <f t="shared" si="31"/>
        <v>-</v>
      </c>
      <c r="X172" s="74" t="str">
        <f t="shared" si="32"/>
        <v>-</v>
      </c>
      <c r="Y172" s="74" t="str">
        <f t="shared" si="33"/>
        <v>-</v>
      </c>
      <c r="AA172" s="60"/>
      <c r="AB172" s="60"/>
      <c r="AC172" s="60"/>
      <c r="AD172" s="60"/>
      <c r="AE172" s="60"/>
      <c r="AF172" s="60"/>
      <c r="AG172" s="60"/>
      <c r="AH172" s="60"/>
      <c r="AI172" s="60"/>
      <c r="AJ172" s="74" t="str">
        <f t="shared" si="34"/>
        <v>-</v>
      </c>
      <c r="AK172" s="60"/>
      <c r="AL172" s="60"/>
      <c r="AM172" s="60"/>
      <c r="AN172" s="60"/>
      <c r="AO172" s="60"/>
      <c r="AP172" s="60"/>
      <c r="AQ172" s="60"/>
      <c r="AR172" s="60"/>
      <c r="AS172" s="60"/>
      <c r="AT172" s="74" t="str">
        <f t="shared" si="35"/>
        <v>-</v>
      </c>
      <c r="AU172" s="74" t="str">
        <f t="shared" si="36"/>
        <v>-</v>
      </c>
      <c r="AV172" s="74" t="str">
        <f t="shared" si="37"/>
        <v>-</v>
      </c>
      <c r="AX172" s="59" t="str">
        <f>IF(AND(D172&gt;0,AA172&gt;0),MIN(D172,AA172),"-")</f>
        <v>-</v>
      </c>
      <c r="AY172" s="59" t="str">
        <f>IF(AND(E172&gt;0,AB172&gt;0),MIN(E172,AB172),"-")</f>
        <v>-</v>
      </c>
      <c r="AZ172" s="59" t="str">
        <f>IF(AND(F172&gt;0,AC172&gt;0),MIN(F172,AC172),"-")</f>
        <v>-</v>
      </c>
      <c r="BA172" s="59" t="str">
        <f>IF(AND(G172&gt;0,AD172&gt;0),MIN(G172,AD172),"-")</f>
        <v>-</v>
      </c>
      <c r="BB172" s="59" t="str">
        <f>IF(AND(H172&gt;0,AE172&gt;0),MIN(H172,AE172),"-")</f>
        <v>-</v>
      </c>
      <c r="BC172" s="59" t="str">
        <f>IF(AND(I172&gt;0,AF172&gt;0),MIN(I172,AF172),"-")</f>
        <v>-</v>
      </c>
      <c r="BD172" s="59" t="str">
        <f>IF(AND(J172&gt;0,AG172&gt;0),MIN(J172,AG172),"-")</f>
        <v>-</v>
      </c>
      <c r="BE172" s="59" t="str">
        <f>IF(AND(K172&gt;0,AH172&gt;0),MIN(K172,AH172),"-")</f>
        <v>-</v>
      </c>
      <c r="BF172" s="59" t="str">
        <f>IF(AND(L172&gt;0,AI172&gt;0),MIN(L172,AI172),"-")</f>
        <v>-</v>
      </c>
      <c r="BG172" s="59" t="str">
        <f t="shared" si="38"/>
        <v>-</v>
      </c>
      <c r="BH172" s="59" t="str">
        <f>IF(AND(N172&gt;0,AK172&gt;0),MIN(N172,AK172),"-")</f>
        <v>-</v>
      </c>
      <c r="BI172" s="59" t="str">
        <f>IF(AND(O172&gt;0,AL172&gt;0),MIN(O172,AL172),"-")</f>
        <v>-</v>
      </c>
      <c r="BJ172" s="59" t="str">
        <f>IF(AND(P172&gt;0,AM172&gt;0),MIN(P172,AM172),"-")</f>
        <v>-</v>
      </c>
      <c r="BK172" s="59" t="str">
        <f>IF(AND(Q172&gt;0,AN172&gt;0),MIN(Q172,AN172),"-")</f>
        <v>-</v>
      </c>
      <c r="BL172" s="59" t="str">
        <f>IF(AND(R172&gt;0,AO172&gt;0),MIN(R172,AO172),"-")</f>
        <v>-</v>
      </c>
      <c r="BM172" s="59" t="str">
        <f>IF(AND(S172&gt;0,AP172&gt;0),MIN(S172,AP172),"-")</f>
        <v>-</v>
      </c>
      <c r="BN172" s="59" t="str">
        <f>IF(AND(T172&gt;0,AQ172&gt;0),MIN(T172,AQ172),"-")</f>
        <v>-</v>
      </c>
      <c r="BO172" s="59" t="str">
        <f>IF(AND(U172&gt;0,AR172&gt;0),MIN(U172,AR172),"-")</f>
        <v>-</v>
      </c>
      <c r="BP172" s="59" t="str">
        <f>IF(AND(V172&gt;0,AS172&gt;0),MIN(V172,AS172),"-")</f>
        <v>-</v>
      </c>
      <c r="BQ172" s="59" t="str">
        <f t="shared" si="39"/>
        <v>-</v>
      </c>
      <c r="BR172" s="59" t="str">
        <f t="shared" si="40"/>
        <v>-</v>
      </c>
      <c r="BS172" s="59" t="str">
        <f t="shared" si="41"/>
        <v>-</v>
      </c>
      <c r="BT172" s="98" t="str">
        <f>IF(ISNUMBER(BS172),BS172-(C172*Rules!$P$9/100),"-")</f>
        <v>-</v>
      </c>
      <c r="BU172" s="59" t="e">
        <f>RANK($BT172,$BT$5:$BT$106,1)+COUNTIF(BT$5:BT172,BT172)-1</f>
        <v>#VALUE!</v>
      </c>
      <c r="BV172" s="59" t="e">
        <f t="shared" si="42"/>
        <v>#VALUE!</v>
      </c>
      <c r="BW172" s="59" t="str">
        <f t="shared" si="43"/>
        <v xml:space="preserve"> </v>
      </c>
      <c r="BX172" s="59">
        <f t="shared" si="43"/>
        <v>0</v>
      </c>
      <c r="BY172" s="59" t="str">
        <f t="shared" si="44"/>
        <v>-</v>
      </c>
      <c r="CD172" s="79"/>
      <c r="CE172" s="80"/>
      <c r="CF172" s="104"/>
      <c r="CL172" s="77">
        <v>1</v>
      </c>
    </row>
    <row r="173" spans="1:90" ht="17.45" customHeight="1">
      <c r="A173" s="58">
        <v>169</v>
      </c>
      <c r="B173" s="59" t="str">
        <f>'B Div'!A173 &amp; " " &amp; 'B Div'!B173</f>
        <v xml:space="preserve"> </v>
      </c>
      <c r="C173" s="59">
        <f>'B Div'!E173</f>
        <v>0</v>
      </c>
      <c r="D173" s="60"/>
      <c r="E173" s="60"/>
      <c r="F173" s="60"/>
      <c r="G173" s="60"/>
      <c r="H173" s="60"/>
      <c r="I173" s="60"/>
      <c r="J173" s="60"/>
      <c r="K173" s="60"/>
      <c r="L173" s="60"/>
      <c r="M173" s="74" t="str">
        <f t="shared" si="30"/>
        <v>-</v>
      </c>
      <c r="N173" s="60"/>
      <c r="O173" s="60"/>
      <c r="P173" s="60"/>
      <c r="Q173" s="60"/>
      <c r="R173" s="60"/>
      <c r="S173" s="60"/>
      <c r="T173" s="60"/>
      <c r="U173" s="60"/>
      <c r="V173" s="60"/>
      <c r="W173" s="74" t="str">
        <f t="shared" si="31"/>
        <v>-</v>
      </c>
      <c r="X173" s="74" t="str">
        <f t="shared" si="32"/>
        <v>-</v>
      </c>
      <c r="Y173" s="74" t="str">
        <f t="shared" si="33"/>
        <v>-</v>
      </c>
      <c r="AA173" s="60"/>
      <c r="AB173" s="60"/>
      <c r="AC173" s="60"/>
      <c r="AD173" s="60"/>
      <c r="AE173" s="60"/>
      <c r="AF173" s="60"/>
      <c r="AG173" s="60"/>
      <c r="AH173" s="60"/>
      <c r="AI173" s="60"/>
      <c r="AJ173" s="74" t="str">
        <f t="shared" si="34"/>
        <v>-</v>
      </c>
      <c r="AK173" s="60"/>
      <c r="AL173" s="60"/>
      <c r="AM173" s="60"/>
      <c r="AN173" s="60"/>
      <c r="AO173" s="60"/>
      <c r="AP173" s="60"/>
      <c r="AQ173" s="60"/>
      <c r="AR173" s="60"/>
      <c r="AS173" s="60"/>
      <c r="AT173" s="74" t="str">
        <f t="shared" si="35"/>
        <v>-</v>
      </c>
      <c r="AU173" s="74" t="str">
        <f t="shared" si="36"/>
        <v>-</v>
      </c>
      <c r="AV173" s="74" t="str">
        <f t="shared" si="37"/>
        <v>-</v>
      </c>
      <c r="AX173" s="59" t="str">
        <f>IF(AND(D173&gt;0,AA173&gt;0),MIN(D173,AA173),"-")</f>
        <v>-</v>
      </c>
      <c r="AY173" s="59" t="str">
        <f>IF(AND(E173&gt;0,AB173&gt;0),MIN(E173,AB173),"-")</f>
        <v>-</v>
      </c>
      <c r="AZ173" s="59" t="str">
        <f>IF(AND(F173&gt;0,AC173&gt;0),MIN(F173,AC173),"-")</f>
        <v>-</v>
      </c>
      <c r="BA173" s="59" t="str">
        <f>IF(AND(G173&gt;0,AD173&gt;0),MIN(G173,AD173),"-")</f>
        <v>-</v>
      </c>
      <c r="BB173" s="59" t="str">
        <f>IF(AND(H173&gt;0,AE173&gt;0),MIN(H173,AE173),"-")</f>
        <v>-</v>
      </c>
      <c r="BC173" s="59" t="str">
        <f>IF(AND(I173&gt;0,AF173&gt;0),MIN(I173,AF173),"-")</f>
        <v>-</v>
      </c>
      <c r="BD173" s="59" t="str">
        <f>IF(AND(J173&gt;0,AG173&gt;0),MIN(J173,AG173),"-")</f>
        <v>-</v>
      </c>
      <c r="BE173" s="59" t="str">
        <f>IF(AND(K173&gt;0,AH173&gt;0),MIN(K173,AH173),"-")</f>
        <v>-</v>
      </c>
      <c r="BF173" s="59" t="str">
        <f>IF(AND(L173&gt;0,AI173&gt;0),MIN(L173,AI173),"-")</f>
        <v>-</v>
      </c>
      <c r="BG173" s="59" t="str">
        <f t="shared" si="38"/>
        <v>-</v>
      </c>
      <c r="BH173" s="59" t="str">
        <f>IF(AND(N173&gt;0,AK173&gt;0),MIN(N173,AK173),"-")</f>
        <v>-</v>
      </c>
      <c r="BI173" s="59" t="str">
        <f>IF(AND(O173&gt;0,AL173&gt;0),MIN(O173,AL173),"-")</f>
        <v>-</v>
      </c>
      <c r="BJ173" s="59" t="str">
        <f>IF(AND(P173&gt;0,AM173&gt;0),MIN(P173,AM173),"-")</f>
        <v>-</v>
      </c>
      <c r="BK173" s="59" t="str">
        <f>IF(AND(Q173&gt;0,AN173&gt;0),MIN(Q173,AN173),"-")</f>
        <v>-</v>
      </c>
      <c r="BL173" s="59" t="str">
        <f>IF(AND(R173&gt;0,AO173&gt;0),MIN(R173,AO173),"-")</f>
        <v>-</v>
      </c>
      <c r="BM173" s="59" t="str">
        <f>IF(AND(S173&gt;0,AP173&gt;0),MIN(S173,AP173),"-")</f>
        <v>-</v>
      </c>
      <c r="BN173" s="59" t="str">
        <f>IF(AND(T173&gt;0,AQ173&gt;0),MIN(T173,AQ173),"-")</f>
        <v>-</v>
      </c>
      <c r="BO173" s="59" t="str">
        <f>IF(AND(U173&gt;0,AR173&gt;0),MIN(U173,AR173),"-")</f>
        <v>-</v>
      </c>
      <c r="BP173" s="59" t="str">
        <f>IF(AND(V173&gt;0,AS173&gt;0),MIN(V173,AS173),"-")</f>
        <v>-</v>
      </c>
      <c r="BQ173" s="59" t="str">
        <f t="shared" si="39"/>
        <v>-</v>
      </c>
      <c r="BR173" s="59" t="str">
        <f t="shared" si="40"/>
        <v>-</v>
      </c>
      <c r="BS173" s="59" t="str">
        <f t="shared" si="41"/>
        <v>-</v>
      </c>
      <c r="BT173" s="98" t="str">
        <f>IF(ISNUMBER(BS173),BS173-(C173*Rules!$P$9/100),"-")</f>
        <v>-</v>
      </c>
      <c r="BU173" s="59" t="e">
        <f>RANK($BT173,$BT$5:$BT$106,1)+COUNTIF(BT$5:BT173,BT173)-1</f>
        <v>#VALUE!</v>
      </c>
      <c r="BV173" s="59" t="e">
        <f t="shared" si="42"/>
        <v>#VALUE!</v>
      </c>
      <c r="BW173" s="59" t="str">
        <f t="shared" si="43"/>
        <v xml:space="preserve"> </v>
      </c>
      <c r="BX173" s="59">
        <f t="shared" si="43"/>
        <v>0</v>
      </c>
      <c r="BY173" s="59" t="str">
        <f t="shared" si="44"/>
        <v>-</v>
      </c>
      <c r="CD173" s="79"/>
      <c r="CE173" s="80"/>
      <c r="CF173" s="104"/>
      <c r="CL173" s="77">
        <v>1</v>
      </c>
    </row>
    <row r="174" spans="1:90" ht="17.45" customHeight="1">
      <c r="A174" s="58">
        <v>170</v>
      </c>
      <c r="B174" s="59" t="str">
        <f>'B Div'!A174 &amp; " " &amp; 'B Div'!B174</f>
        <v xml:space="preserve"> </v>
      </c>
      <c r="C174" s="59">
        <f>'B Div'!E174</f>
        <v>0</v>
      </c>
      <c r="D174" s="60"/>
      <c r="E174" s="60"/>
      <c r="F174" s="60"/>
      <c r="G174" s="60"/>
      <c r="H174" s="60"/>
      <c r="I174" s="60"/>
      <c r="J174" s="60"/>
      <c r="K174" s="60"/>
      <c r="L174" s="60"/>
      <c r="M174" s="74" t="str">
        <f t="shared" si="30"/>
        <v>-</v>
      </c>
      <c r="N174" s="60"/>
      <c r="O174" s="60"/>
      <c r="P174" s="60"/>
      <c r="Q174" s="60"/>
      <c r="R174" s="60"/>
      <c r="S174" s="60"/>
      <c r="T174" s="60"/>
      <c r="U174" s="60"/>
      <c r="V174" s="60"/>
      <c r="W174" s="74" t="str">
        <f t="shared" si="31"/>
        <v>-</v>
      </c>
      <c r="X174" s="74" t="str">
        <f t="shared" si="32"/>
        <v>-</v>
      </c>
      <c r="Y174" s="74" t="str">
        <f t="shared" si="33"/>
        <v>-</v>
      </c>
      <c r="AA174" s="60"/>
      <c r="AB174" s="60"/>
      <c r="AC174" s="60"/>
      <c r="AD174" s="60"/>
      <c r="AE174" s="60"/>
      <c r="AF174" s="60"/>
      <c r="AG174" s="60"/>
      <c r="AH174" s="60"/>
      <c r="AI174" s="60"/>
      <c r="AJ174" s="74" t="str">
        <f t="shared" si="34"/>
        <v>-</v>
      </c>
      <c r="AK174" s="60"/>
      <c r="AL174" s="60"/>
      <c r="AM174" s="60"/>
      <c r="AN174" s="60"/>
      <c r="AO174" s="60"/>
      <c r="AP174" s="60"/>
      <c r="AQ174" s="60"/>
      <c r="AR174" s="60"/>
      <c r="AS174" s="60"/>
      <c r="AT174" s="74" t="str">
        <f t="shared" si="35"/>
        <v>-</v>
      </c>
      <c r="AU174" s="74" t="str">
        <f t="shared" si="36"/>
        <v>-</v>
      </c>
      <c r="AV174" s="74" t="str">
        <f t="shared" si="37"/>
        <v>-</v>
      </c>
      <c r="AX174" s="59" t="str">
        <f>IF(AND(D174&gt;0,AA174&gt;0),MIN(D174,AA174),"-")</f>
        <v>-</v>
      </c>
      <c r="AY174" s="59" t="str">
        <f>IF(AND(E174&gt;0,AB174&gt;0),MIN(E174,AB174),"-")</f>
        <v>-</v>
      </c>
      <c r="AZ174" s="59" t="str">
        <f>IF(AND(F174&gt;0,AC174&gt;0),MIN(F174,AC174),"-")</f>
        <v>-</v>
      </c>
      <c r="BA174" s="59" t="str">
        <f>IF(AND(G174&gt;0,AD174&gt;0),MIN(G174,AD174),"-")</f>
        <v>-</v>
      </c>
      <c r="BB174" s="59" t="str">
        <f>IF(AND(H174&gt;0,AE174&gt;0),MIN(H174,AE174),"-")</f>
        <v>-</v>
      </c>
      <c r="BC174" s="59" t="str">
        <f>IF(AND(I174&gt;0,AF174&gt;0),MIN(I174,AF174),"-")</f>
        <v>-</v>
      </c>
      <c r="BD174" s="59" t="str">
        <f>IF(AND(J174&gt;0,AG174&gt;0),MIN(J174,AG174),"-")</f>
        <v>-</v>
      </c>
      <c r="BE174" s="59" t="str">
        <f>IF(AND(K174&gt;0,AH174&gt;0),MIN(K174,AH174),"-")</f>
        <v>-</v>
      </c>
      <c r="BF174" s="59" t="str">
        <f>IF(AND(L174&gt;0,AI174&gt;0),MIN(L174,AI174),"-")</f>
        <v>-</v>
      </c>
      <c r="BG174" s="59" t="str">
        <f t="shared" si="38"/>
        <v>-</v>
      </c>
      <c r="BH174" s="59" t="str">
        <f>IF(AND(N174&gt;0,AK174&gt;0),MIN(N174,AK174),"-")</f>
        <v>-</v>
      </c>
      <c r="BI174" s="59" t="str">
        <f>IF(AND(O174&gt;0,AL174&gt;0),MIN(O174,AL174),"-")</f>
        <v>-</v>
      </c>
      <c r="BJ174" s="59" t="str">
        <f>IF(AND(P174&gt;0,AM174&gt;0),MIN(P174,AM174),"-")</f>
        <v>-</v>
      </c>
      <c r="BK174" s="59" t="str">
        <f>IF(AND(Q174&gt;0,AN174&gt;0),MIN(Q174,AN174),"-")</f>
        <v>-</v>
      </c>
      <c r="BL174" s="59" t="str">
        <f>IF(AND(R174&gt;0,AO174&gt;0),MIN(R174,AO174),"-")</f>
        <v>-</v>
      </c>
      <c r="BM174" s="59" t="str">
        <f>IF(AND(S174&gt;0,AP174&gt;0),MIN(S174,AP174),"-")</f>
        <v>-</v>
      </c>
      <c r="BN174" s="59" t="str">
        <f>IF(AND(T174&gt;0,AQ174&gt;0),MIN(T174,AQ174),"-")</f>
        <v>-</v>
      </c>
      <c r="BO174" s="59" t="str">
        <f>IF(AND(U174&gt;0,AR174&gt;0),MIN(U174,AR174),"-")</f>
        <v>-</v>
      </c>
      <c r="BP174" s="59" t="str">
        <f>IF(AND(V174&gt;0,AS174&gt;0),MIN(V174,AS174),"-")</f>
        <v>-</v>
      </c>
      <c r="BQ174" s="59" t="str">
        <f t="shared" si="39"/>
        <v>-</v>
      </c>
      <c r="BR174" s="59" t="str">
        <f t="shared" si="40"/>
        <v>-</v>
      </c>
      <c r="BS174" s="59" t="str">
        <f t="shared" si="41"/>
        <v>-</v>
      </c>
      <c r="BT174" s="98" t="str">
        <f>IF(ISNUMBER(BS174),BS174-(C174*Rules!$P$9/100),"-")</f>
        <v>-</v>
      </c>
      <c r="BU174" s="59" t="e">
        <f>RANK($BT174,$BT$5:$BT$106,1)+COUNTIF(BT$5:BT174,BT174)-1</f>
        <v>#VALUE!</v>
      </c>
      <c r="BV174" s="59" t="e">
        <f t="shared" si="42"/>
        <v>#VALUE!</v>
      </c>
      <c r="BW174" s="59" t="str">
        <f t="shared" si="43"/>
        <v xml:space="preserve"> </v>
      </c>
      <c r="BX174" s="59">
        <f t="shared" si="43"/>
        <v>0</v>
      </c>
      <c r="BY174" s="59" t="str">
        <f t="shared" si="44"/>
        <v>-</v>
      </c>
      <c r="CD174" s="79"/>
      <c r="CE174" s="80"/>
      <c r="CF174" s="104"/>
      <c r="CL174" s="77">
        <v>1</v>
      </c>
    </row>
    <row r="175" spans="1:90" ht="17.45" customHeight="1">
      <c r="A175" s="58">
        <v>171</v>
      </c>
      <c r="B175" s="59" t="str">
        <f>'B Div'!A175 &amp; " " &amp; 'B Div'!B175</f>
        <v xml:space="preserve"> </v>
      </c>
      <c r="C175" s="59">
        <f>'B Div'!E175</f>
        <v>0</v>
      </c>
      <c r="D175" s="60"/>
      <c r="E175" s="60"/>
      <c r="F175" s="60"/>
      <c r="G175" s="60"/>
      <c r="H175" s="60"/>
      <c r="I175" s="60"/>
      <c r="J175" s="60"/>
      <c r="K175" s="60"/>
      <c r="L175" s="60"/>
      <c r="M175" s="74" t="str">
        <f t="shared" si="30"/>
        <v>-</v>
      </c>
      <c r="N175" s="60"/>
      <c r="O175" s="60"/>
      <c r="P175" s="60"/>
      <c r="Q175" s="60"/>
      <c r="R175" s="60"/>
      <c r="S175" s="60"/>
      <c r="T175" s="60"/>
      <c r="U175" s="60"/>
      <c r="V175" s="60"/>
      <c r="W175" s="74" t="str">
        <f t="shared" si="31"/>
        <v>-</v>
      </c>
      <c r="X175" s="74" t="str">
        <f t="shared" si="32"/>
        <v>-</v>
      </c>
      <c r="Y175" s="74" t="str">
        <f t="shared" si="33"/>
        <v>-</v>
      </c>
      <c r="AA175" s="60"/>
      <c r="AB175" s="60"/>
      <c r="AC175" s="60"/>
      <c r="AD175" s="60"/>
      <c r="AE175" s="60"/>
      <c r="AF175" s="60"/>
      <c r="AG175" s="60"/>
      <c r="AH175" s="60"/>
      <c r="AI175" s="60"/>
      <c r="AJ175" s="74" t="str">
        <f t="shared" si="34"/>
        <v>-</v>
      </c>
      <c r="AK175" s="60"/>
      <c r="AL175" s="60"/>
      <c r="AM175" s="60"/>
      <c r="AN175" s="60"/>
      <c r="AO175" s="60"/>
      <c r="AP175" s="60"/>
      <c r="AQ175" s="60"/>
      <c r="AR175" s="60"/>
      <c r="AS175" s="60"/>
      <c r="AT175" s="74" t="str">
        <f t="shared" si="35"/>
        <v>-</v>
      </c>
      <c r="AU175" s="74" t="str">
        <f t="shared" si="36"/>
        <v>-</v>
      </c>
      <c r="AV175" s="74" t="str">
        <f t="shared" si="37"/>
        <v>-</v>
      </c>
      <c r="AX175" s="59" t="str">
        <f>IF(AND(D175&gt;0,AA175&gt;0),MIN(D175,AA175),"-")</f>
        <v>-</v>
      </c>
      <c r="AY175" s="59" t="str">
        <f>IF(AND(E175&gt;0,AB175&gt;0),MIN(E175,AB175),"-")</f>
        <v>-</v>
      </c>
      <c r="AZ175" s="59" t="str">
        <f>IF(AND(F175&gt;0,AC175&gt;0),MIN(F175,AC175),"-")</f>
        <v>-</v>
      </c>
      <c r="BA175" s="59" t="str">
        <f>IF(AND(G175&gt;0,AD175&gt;0),MIN(G175,AD175),"-")</f>
        <v>-</v>
      </c>
      <c r="BB175" s="59" t="str">
        <f>IF(AND(H175&gt;0,AE175&gt;0),MIN(H175,AE175),"-")</f>
        <v>-</v>
      </c>
      <c r="BC175" s="59" t="str">
        <f>IF(AND(I175&gt;0,AF175&gt;0),MIN(I175,AF175),"-")</f>
        <v>-</v>
      </c>
      <c r="BD175" s="59" t="str">
        <f>IF(AND(J175&gt;0,AG175&gt;0),MIN(J175,AG175),"-")</f>
        <v>-</v>
      </c>
      <c r="BE175" s="59" t="str">
        <f>IF(AND(K175&gt;0,AH175&gt;0),MIN(K175,AH175),"-")</f>
        <v>-</v>
      </c>
      <c r="BF175" s="59" t="str">
        <f>IF(AND(L175&gt;0,AI175&gt;0),MIN(L175,AI175),"-")</f>
        <v>-</v>
      </c>
      <c r="BG175" s="59" t="str">
        <f t="shared" si="38"/>
        <v>-</v>
      </c>
      <c r="BH175" s="59" t="str">
        <f>IF(AND(N175&gt;0,AK175&gt;0),MIN(N175,AK175),"-")</f>
        <v>-</v>
      </c>
      <c r="BI175" s="59" t="str">
        <f>IF(AND(O175&gt;0,AL175&gt;0),MIN(O175,AL175),"-")</f>
        <v>-</v>
      </c>
      <c r="BJ175" s="59" t="str">
        <f>IF(AND(P175&gt;0,AM175&gt;0),MIN(P175,AM175),"-")</f>
        <v>-</v>
      </c>
      <c r="BK175" s="59" t="str">
        <f>IF(AND(Q175&gt;0,AN175&gt;0),MIN(Q175,AN175),"-")</f>
        <v>-</v>
      </c>
      <c r="BL175" s="59" t="str">
        <f>IF(AND(R175&gt;0,AO175&gt;0),MIN(R175,AO175),"-")</f>
        <v>-</v>
      </c>
      <c r="BM175" s="59" t="str">
        <f>IF(AND(S175&gt;0,AP175&gt;0),MIN(S175,AP175),"-")</f>
        <v>-</v>
      </c>
      <c r="BN175" s="59" t="str">
        <f>IF(AND(T175&gt;0,AQ175&gt;0),MIN(T175,AQ175),"-")</f>
        <v>-</v>
      </c>
      <c r="BO175" s="59" t="str">
        <f>IF(AND(U175&gt;0,AR175&gt;0),MIN(U175,AR175),"-")</f>
        <v>-</v>
      </c>
      <c r="BP175" s="59" t="str">
        <f>IF(AND(V175&gt;0,AS175&gt;0),MIN(V175,AS175),"-")</f>
        <v>-</v>
      </c>
      <c r="BQ175" s="59" t="str">
        <f t="shared" si="39"/>
        <v>-</v>
      </c>
      <c r="BR175" s="59" t="str">
        <f t="shared" si="40"/>
        <v>-</v>
      </c>
      <c r="BS175" s="59" t="str">
        <f t="shared" si="41"/>
        <v>-</v>
      </c>
      <c r="BT175" s="98" t="str">
        <f>IF(ISNUMBER(BS175),BS175-(C175*Rules!$P$9/100),"-")</f>
        <v>-</v>
      </c>
      <c r="BU175" s="59" t="e">
        <f>RANK($BT175,$BT$5:$BT$106,1)+COUNTIF(BT$5:BT175,BT175)-1</f>
        <v>#VALUE!</v>
      </c>
      <c r="BV175" s="59" t="e">
        <f t="shared" si="42"/>
        <v>#VALUE!</v>
      </c>
      <c r="BW175" s="59" t="str">
        <f t="shared" si="43"/>
        <v xml:space="preserve"> </v>
      </c>
      <c r="BX175" s="59">
        <f t="shared" si="43"/>
        <v>0</v>
      </c>
      <c r="BY175" s="59" t="str">
        <f t="shared" si="44"/>
        <v>-</v>
      </c>
      <c r="CD175" s="79"/>
      <c r="CE175" s="80"/>
      <c r="CF175" s="104"/>
      <c r="CL175" s="77">
        <v>1</v>
      </c>
    </row>
    <row r="176" spans="1:90" ht="17.45" customHeight="1">
      <c r="A176" s="58">
        <v>172</v>
      </c>
      <c r="B176" s="59" t="str">
        <f>'B Div'!A176 &amp; " " &amp; 'B Div'!B176</f>
        <v xml:space="preserve"> </v>
      </c>
      <c r="C176" s="59">
        <f>'B Div'!E176</f>
        <v>0</v>
      </c>
      <c r="D176" s="60"/>
      <c r="E176" s="60"/>
      <c r="F176" s="60"/>
      <c r="G176" s="60"/>
      <c r="H176" s="60"/>
      <c r="I176" s="60"/>
      <c r="J176" s="60"/>
      <c r="K176" s="60"/>
      <c r="L176" s="60"/>
      <c r="M176" s="74" t="str">
        <f t="shared" si="30"/>
        <v>-</v>
      </c>
      <c r="N176" s="60"/>
      <c r="O176" s="60"/>
      <c r="P176" s="60"/>
      <c r="Q176" s="60"/>
      <c r="R176" s="60"/>
      <c r="S176" s="60"/>
      <c r="T176" s="60"/>
      <c r="U176" s="60"/>
      <c r="V176" s="60"/>
      <c r="W176" s="74" t="str">
        <f t="shared" si="31"/>
        <v>-</v>
      </c>
      <c r="X176" s="74" t="str">
        <f t="shared" si="32"/>
        <v>-</v>
      </c>
      <c r="Y176" s="74" t="str">
        <f t="shared" si="33"/>
        <v>-</v>
      </c>
      <c r="AA176" s="60"/>
      <c r="AB176" s="60"/>
      <c r="AC176" s="60"/>
      <c r="AD176" s="60"/>
      <c r="AE176" s="60"/>
      <c r="AF176" s="60"/>
      <c r="AG176" s="60"/>
      <c r="AH176" s="60"/>
      <c r="AI176" s="60"/>
      <c r="AJ176" s="74" t="str">
        <f t="shared" si="34"/>
        <v>-</v>
      </c>
      <c r="AK176" s="60"/>
      <c r="AL176" s="60"/>
      <c r="AM176" s="60"/>
      <c r="AN176" s="60"/>
      <c r="AO176" s="60"/>
      <c r="AP176" s="60"/>
      <c r="AQ176" s="60"/>
      <c r="AR176" s="60"/>
      <c r="AS176" s="60"/>
      <c r="AT176" s="74" t="str">
        <f t="shared" si="35"/>
        <v>-</v>
      </c>
      <c r="AU176" s="74" t="str">
        <f t="shared" si="36"/>
        <v>-</v>
      </c>
      <c r="AV176" s="74" t="str">
        <f t="shared" si="37"/>
        <v>-</v>
      </c>
      <c r="AX176" s="59" t="str">
        <f>IF(AND(D176&gt;0,AA176&gt;0),MIN(D176,AA176),"-")</f>
        <v>-</v>
      </c>
      <c r="AY176" s="59" t="str">
        <f>IF(AND(E176&gt;0,AB176&gt;0),MIN(E176,AB176),"-")</f>
        <v>-</v>
      </c>
      <c r="AZ176" s="59" t="str">
        <f>IF(AND(F176&gt;0,AC176&gt;0),MIN(F176,AC176),"-")</f>
        <v>-</v>
      </c>
      <c r="BA176" s="59" t="str">
        <f>IF(AND(G176&gt;0,AD176&gt;0),MIN(G176,AD176),"-")</f>
        <v>-</v>
      </c>
      <c r="BB176" s="59" t="str">
        <f>IF(AND(H176&gt;0,AE176&gt;0),MIN(H176,AE176),"-")</f>
        <v>-</v>
      </c>
      <c r="BC176" s="59" t="str">
        <f>IF(AND(I176&gt;0,AF176&gt;0),MIN(I176,AF176),"-")</f>
        <v>-</v>
      </c>
      <c r="BD176" s="59" t="str">
        <f>IF(AND(J176&gt;0,AG176&gt;0),MIN(J176,AG176),"-")</f>
        <v>-</v>
      </c>
      <c r="BE176" s="59" t="str">
        <f>IF(AND(K176&gt;0,AH176&gt;0),MIN(K176,AH176),"-")</f>
        <v>-</v>
      </c>
      <c r="BF176" s="59" t="str">
        <f>IF(AND(L176&gt;0,AI176&gt;0),MIN(L176,AI176),"-")</f>
        <v>-</v>
      </c>
      <c r="BG176" s="59" t="str">
        <f t="shared" si="38"/>
        <v>-</v>
      </c>
      <c r="BH176" s="59" t="str">
        <f>IF(AND(N176&gt;0,AK176&gt;0),MIN(N176,AK176),"-")</f>
        <v>-</v>
      </c>
      <c r="BI176" s="59" t="str">
        <f>IF(AND(O176&gt;0,AL176&gt;0),MIN(O176,AL176),"-")</f>
        <v>-</v>
      </c>
      <c r="BJ176" s="59" t="str">
        <f>IF(AND(P176&gt;0,AM176&gt;0),MIN(P176,AM176),"-")</f>
        <v>-</v>
      </c>
      <c r="BK176" s="59" t="str">
        <f>IF(AND(Q176&gt;0,AN176&gt;0),MIN(Q176,AN176),"-")</f>
        <v>-</v>
      </c>
      <c r="BL176" s="59" t="str">
        <f>IF(AND(R176&gt;0,AO176&gt;0),MIN(R176,AO176),"-")</f>
        <v>-</v>
      </c>
      <c r="BM176" s="59" t="str">
        <f>IF(AND(S176&gt;0,AP176&gt;0),MIN(S176,AP176),"-")</f>
        <v>-</v>
      </c>
      <c r="BN176" s="59" t="str">
        <f>IF(AND(T176&gt;0,AQ176&gt;0),MIN(T176,AQ176),"-")</f>
        <v>-</v>
      </c>
      <c r="BO176" s="59" t="str">
        <f>IF(AND(U176&gt;0,AR176&gt;0),MIN(U176,AR176),"-")</f>
        <v>-</v>
      </c>
      <c r="BP176" s="59" t="str">
        <f>IF(AND(V176&gt;0,AS176&gt;0),MIN(V176,AS176),"-")</f>
        <v>-</v>
      </c>
      <c r="BQ176" s="59" t="str">
        <f t="shared" si="39"/>
        <v>-</v>
      </c>
      <c r="BR176" s="59" t="str">
        <f t="shared" si="40"/>
        <v>-</v>
      </c>
      <c r="BS176" s="59" t="str">
        <f t="shared" si="41"/>
        <v>-</v>
      </c>
      <c r="BT176" s="98" t="str">
        <f>IF(ISNUMBER(BS176),BS176-(C176*Rules!$P$9/100),"-")</f>
        <v>-</v>
      </c>
      <c r="BU176" s="59" t="e">
        <f>RANK($BT176,$BT$5:$BT$106,1)+COUNTIF(BT$5:BT176,BT176)-1</f>
        <v>#VALUE!</v>
      </c>
      <c r="BV176" s="59" t="e">
        <f t="shared" si="42"/>
        <v>#VALUE!</v>
      </c>
      <c r="BW176" s="59" t="str">
        <f t="shared" si="43"/>
        <v xml:space="preserve"> </v>
      </c>
      <c r="BX176" s="59">
        <f t="shared" si="43"/>
        <v>0</v>
      </c>
      <c r="BY176" s="59" t="str">
        <f t="shared" si="44"/>
        <v>-</v>
      </c>
      <c r="CD176" s="79"/>
      <c r="CE176" s="80"/>
      <c r="CF176" s="104"/>
      <c r="CL176" s="77">
        <v>1</v>
      </c>
    </row>
    <row r="177" spans="1:90" ht="17.45" customHeight="1">
      <c r="A177" s="58">
        <v>173</v>
      </c>
      <c r="B177" s="59" t="str">
        <f>'B Div'!A177 &amp; " " &amp; 'B Div'!B177</f>
        <v xml:space="preserve"> </v>
      </c>
      <c r="C177" s="59">
        <f>'B Div'!E177</f>
        <v>0</v>
      </c>
      <c r="D177" s="60"/>
      <c r="E177" s="60"/>
      <c r="F177" s="60"/>
      <c r="G177" s="60"/>
      <c r="H177" s="60"/>
      <c r="I177" s="60"/>
      <c r="J177" s="60"/>
      <c r="K177" s="60"/>
      <c r="L177" s="60"/>
      <c r="M177" s="74" t="str">
        <f t="shared" si="30"/>
        <v>-</v>
      </c>
      <c r="N177" s="60"/>
      <c r="O177" s="60"/>
      <c r="P177" s="60"/>
      <c r="Q177" s="60"/>
      <c r="R177" s="60"/>
      <c r="S177" s="60"/>
      <c r="T177" s="60"/>
      <c r="U177" s="60"/>
      <c r="V177" s="60"/>
      <c r="W177" s="74" t="str">
        <f t="shared" si="31"/>
        <v>-</v>
      </c>
      <c r="X177" s="74" t="str">
        <f t="shared" si="32"/>
        <v>-</v>
      </c>
      <c r="Y177" s="74" t="str">
        <f t="shared" si="33"/>
        <v>-</v>
      </c>
      <c r="AA177" s="60"/>
      <c r="AB177" s="60"/>
      <c r="AC177" s="60"/>
      <c r="AD177" s="60"/>
      <c r="AE177" s="60"/>
      <c r="AF177" s="60"/>
      <c r="AG177" s="60"/>
      <c r="AH177" s="60"/>
      <c r="AI177" s="60"/>
      <c r="AJ177" s="74" t="str">
        <f t="shared" si="34"/>
        <v>-</v>
      </c>
      <c r="AK177" s="60"/>
      <c r="AL177" s="60"/>
      <c r="AM177" s="60"/>
      <c r="AN177" s="60"/>
      <c r="AO177" s="60"/>
      <c r="AP177" s="60"/>
      <c r="AQ177" s="60"/>
      <c r="AR177" s="60"/>
      <c r="AS177" s="60"/>
      <c r="AT177" s="74" t="str">
        <f t="shared" si="35"/>
        <v>-</v>
      </c>
      <c r="AU177" s="74" t="str">
        <f t="shared" si="36"/>
        <v>-</v>
      </c>
      <c r="AV177" s="74" t="str">
        <f t="shared" si="37"/>
        <v>-</v>
      </c>
      <c r="AX177" s="59" t="str">
        <f>IF(AND(D177&gt;0,AA177&gt;0),MIN(D177,AA177),"-")</f>
        <v>-</v>
      </c>
      <c r="AY177" s="59" t="str">
        <f>IF(AND(E177&gt;0,AB177&gt;0),MIN(E177,AB177),"-")</f>
        <v>-</v>
      </c>
      <c r="AZ177" s="59" t="str">
        <f>IF(AND(F177&gt;0,AC177&gt;0),MIN(F177,AC177),"-")</f>
        <v>-</v>
      </c>
      <c r="BA177" s="59" t="str">
        <f>IF(AND(G177&gt;0,AD177&gt;0),MIN(G177,AD177),"-")</f>
        <v>-</v>
      </c>
      <c r="BB177" s="59" t="str">
        <f>IF(AND(H177&gt;0,AE177&gt;0),MIN(H177,AE177),"-")</f>
        <v>-</v>
      </c>
      <c r="BC177" s="59" t="str">
        <f>IF(AND(I177&gt;0,AF177&gt;0),MIN(I177,AF177),"-")</f>
        <v>-</v>
      </c>
      <c r="BD177" s="59" t="str">
        <f>IF(AND(J177&gt;0,AG177&gt;0),MIN(J177,AG177),"-")</f>
        <v>-</v>
      </c>
      <c r="BE177" s="59" t="str">
        <f>IF(AND(K177&gt;0,AH177&gt;0),MIN(K177,AH177),"-")</f>
        <v>-</v>
      </c>
      <c r="BF177" s="59" t="str">
        <f>IF(AND(L177&gt;0,AI177&gt;0),MIN(L177,AI177),"-")</f>
        <v>-</v>
      </c>
      <c r="BG177" s="59" t="str">
        <f t="shared" si="38"/>
        <v>-</v>
      </c>
      <c r="BH177" s="59" t="str">
        <f>IF(AND(N177&gt;0,AK177&gt;0),MIN(N177,AK177),"-")</f>
        <v>-</v>
      </c>
      <c r="BI177" s="59" t="str">
        <f>IF(AND(O177&gt;0,AL177&gt;0),MIN(O177,AL177),"-")</f>
        <v>-</v>
      </c>
      <c r="BJ177" s="59" t="str">
        <f>IF(AND(P177&gt;0,AM177&gt;0),MIN(P177,AM177),"-")</f>
        <v>-</v>
      </c>
      <c r="BK177" s="59" t="str">
        <f>IF(AND(Q177&gt;0,AN177&gt;0),MIN(Q177,AN177),"-")</f>
        <v>-</v>
      </c>
      <c r="BL177" s="59" t="str">
        <f>IF(AND(R177&gt;0,AO177&gt;0),MIN(R177,AO177),"-")</f>
        <v>-</v>
      </c>
      <c r="BM177" s="59" t="str">
        <f>IF(AND(S177&gt;0,AP177&gt;0),MIN(S177,AP177),"-")</f>
        <v>-</v>
      </c>
      <c r="BN177" s="59" t="str">
        <f>IF(AND(T177&gt;0,AQ177&gt;0),MIN(T177,AQ177),"-")</f>
        <v>-</v>
      </c>
      <c r="BO177" s="59" t="str">
        <f>IF(AND(U177&gt;0,AR177&gt;0),MIN(U177,AR177),"-")</f>
        <v>-</v>
      </c>
      <c r="BP177" s="59" t="str">
        <f>IF(AND(V177&gt;0,AS177&gt;0),MIN(V177,AS177),"-")</f>
        <v>-</v>
      </c>
      <c r="BQ177" s="59" t="str">
        <f t="shared" si="39"/>
        <v>-</v>
      </c>
      <c r="BR177" s="59" t="str">
        <f t="shared" si="40"/>
        <v>-</v>
      </c>
      <c r="BS177" s="59" t="str">
        <f t="shared" si="41"/>
        <v>-</v>
      </c>
      <c r="BT177" s="98" t="str">
        <f>IF(ISNUMBER(BS177),BS177-(C177*Rules!$P$9/100),"-")</f>
        <v>-</v>
      </c>
      <c r="BU177" s="59" t="e">
        <f>RANK($BT177,$BT$5:$BT$106,1)+COUNTIF(BT$5:BT177,BT177)-1</f>
        <v>#VALUE!</v>
      </c>
      <c r="BV177" s="59" t="e">
        <f t="shared" si="42"/>
        <v>#VALUE!</v>
      </c>
      <c r="BW177" s="59" t="str">
        <f t="shared" si="43"/>
        <v xml:space="preserve"> </v>
      </c>
      <c r="BX177" s="59">
        <f t="shared" si="43"/>
        <v>0</v>
      </c>
      <c r="BY177" s="59" t="str">
        <f t="shared" si="44"/>
        <v>-</v>
      </c>
      <c r="CD177" s="79"/>
      <c r="CE177" s="80"/>
      <c r="CF177" s="104"/>
      <c r="CL177" s="77">
        <v>1</v>
      </c>
    </row>
    <row r="178" spans="1:90" ht="17.45" customHeight="1">
      <c r="A178" s="58">
        <v>174</v>
      </c>
      <c r="B178" s="59" t="str">
        <f>'B Div'!A178 &amp; " " &amp; 'B Div'!B178</f>
        <v xml:space="preserve"> </v>
      </c>
      <c r="C178" s="59">
        <f>'B Div'!E178</f>
        <v>0</v>
      </c>
      <c r="D178" s="60"/>
      <c r="E178" s="60"/>
      <c r="F178" s="60"/>
      <c r="G178" s="60"/>
      <c r="H178" s="60"/>
      <c r="I178" s="60"/>
      <c r="J178" s="60"/>
      <c r="K178" s="60"/>
      <c r="L178" s="60"/>
      <c r="M178" s="74" t="str">
        <f t="shared" si="30"/>
        <v>-</v>
      </c>
      <c r="N178" s="60"/>
      <c r="O178" s="60"/>
      <c r="P178" s="60"/>
      <c r="Q178" s="60"/>
      <c r="R178" s="60"/>
      <c r="S178" s="60"/>
      <c r="T178" s="60"/>
      <c r="U178" s="60"/>
      <c r="V178" s="60"/>
      <c r="W178" s="74" t="str">
        <f t="shared" si="31"/>
        <v>-</v>
      </c>
      <c r="X178" s="74" t="str">
        <f t="shared" si="32"/>
        <v>-</v>
      </c>
      <c r="Y178" s="74" t="str">
        <f t="shared" si="33"/>
        <v>-</v>
      </c>
      <c r="AA178" s="60"/>
      <c r="AB178" s="60"/>
      <c r="AC178" s="60"/>
      <c r="AD178" s="60"/>
      <c r="AE178" s="60"/>
      <c r="AF178" s="60"/>
      <c r="AG178" s="60"/>
      <c r="AH178" s="60"/>
      <c r="AI178" s="60"/>
      <c r="AJ178" s="74" t="str">
        <f t="shared" si="34"/>
        <v>-</v>
      </c>
      <c r="AK178" s="60"/>
      <c r="AL178" s="60"/>
      <c r="AM178" s="60"/>
      <c r="AN178" s="60"/>
      <c r="AO178" s="60"/>
      <c r="AP178" s="60"/>
      <c r="AQ178" s="60"/>
      <c r="AR178" s="60"/>
      <c r="AS178" s="60"/>
      <c r="AT178" s="74" t="str">
        <f t="shared" si="35"/>
        <v>-</v>
      </c>
      <c r="AU178" s="74" t="str">
        <f t="shared" si="36"/>
        <v>-</v>
      </c>
      <c r="AV178" s="74" t="str">
        <f t="shared" si="37"/>
        <v>-</v>
      </c>
      <c r="AX178" s="59" t="str">
        <f>IF(AND(D178&gt;0,AA178&gt;0),MIN(D178,AA178),"-")</f>
        <v>-</v>
      </c>
      <c r="AY178" s="59" t="str">
        <f>IF(AND(E178&gt;0,AB178&gt;0),MIN(E178,AB178),"-")</f>
        <v>-</v>
      </c>
      <c r="AZ178" s="59" t="str">
        <f>IF(AND(F178&gt;0,AC178&gt;0),MIN(F178,AC178),"-")</f>
        <v>-</v>
      </c>
      <c r="BA178" s="59" t="str">
        <f>IF(AND(G178&gt;0,AD178&gt;0),MIN(G178,AD178),"-")</f>
        <v>-</v>
      </c>
      <c r="BB178" s="59" t="str">
        <f>IF(AND(H178&gt;0,AE178&gt;0),MIN(H178,AE178),"-")</f>
        <v>-</v>
      </c>
      <c r="BC178" s="59" t="str">
        <f>IF(AND(I178&gt;0,AF178&gt;0),MIN(I178,AF178),"-")</f>
        <v>-</v>
      </c>
      <c r="BD178" s="59" t="str">
        <f>IF(AND(J178&gt;0,AG178&gt;0),MIN(J178,AG178),"-")</f>
        <v>-</v>
      </c>
      <c r="BE178" s="59" t="str">
        <f>IF(AND(K178&gt;0,AH178&gt;0),MIN(K178,AH178),"-")</f>
        <v>-</v>
      </c>
      <c r="BF178" s="59" t="str">
        <f>IF(AND(L178&gt;0,AI178&gt;0),MIN(L178,AI178),"-")</f>
        <v>-</v>
      </c>
      <c r="BG178" s="59" t="str">
        <f t="shared" si="38"/>
        <v>-</v>
      </c>
      <c r="BH178" s="59" t="str">
        <f>IF(AND(N178&gt;0,AK178&gt;0),MIN(N178,AK178),"-")</f>
        <v>-</v>
      </c>
      <c r="BI178" s="59" t="str">
        <f>IF(AND(O178&gt;0,AL178&gt;0),MIN(O178,AL178),"-")</f>
        <v>-</v>
      </c>
      <c r="BJ178" s="59" t="str">
        <f>IF(AND(P178&gt;0,AM178&gt;0),MIN(P178,AM178),"-")</f>
        <v>-</v>
      </c>
      <c r="BK178" s="59" t="str">
        <f>IF(AND(Q178&gt;0,AN178&gt;0),MIN(Q178,AN178),"-")</f>
        <v>-</v>
      </c>
      <c r="BL178" s="59" t="str">
        <f>IF(AND(R178&gt;0,AO178&gt;0),MIN(R178,AO178),"-")</f>
        <v>-</v>
      </c>
      <c r="BM178" s="59" t="str">
        <f>IF(AND(S178&gt;0,AP178&gt;0),MIN(S178,AP178),"-")</f>
        <v>-</v>
      </c>
      <c r="BN178" s="59" t="str">
        <f>IF(AND(T178&gt;0,AQ178&gt;0),MIN(T178,AQ178),"-")</f>
        <v>-</v>
      </c>
      <c r="BO178" s="59" t="str">
        <f>IF(AND(U178&gt;0,AR178&gt;0),MIN(U178,AR178),"-")</f>
        <v>-</v>
      </c>
      <c r="BP178" s="59" t="str">
        <f>IF(AND(V178&gt;0,AS178&gt;0),MIN(V178,AS178),"-")</f>
        <v>-</v>
      </c>
      <c r="BQ178" s="59" t="str">
        <f t="shared" si="39"/>
        <v>-</v>
      </c>
      <c r="BR178" s="59" t="str">
        <f t="shared" si="40"/>
        <v>-</v>
      </c>
      <c r="BS178" s="59" t="str">
        <f t="shared" si="41"/>
        <v>-</v>
      </c>
      <c r="BT178" s="98" t="str">
        <f>IF(ISNUMBER(BS178),BS178-(C178*Rules!$P$9/100),"-")</f>
        <v>-</v>
      </c>
      <c r="BU178" s="59" t="e">
        <f>RANK($BT178,$BT$5:$BT$106,1)+COUNTIF(BT$5:BT178,BT178)-1</f>
        <v>#VALUE!</v>
      </c>
      <c r="BV178" s="59" t="e">
        <f t="shared" si="42"/>
        <v>#VALUE!</v>
      </c>
      <c r="BW178" s="59" t="str">
        <f t="shared" si="43"/>
        <v xml:space="preserve"> </v>
      </c>
      <c r="BX178" s="59">
        <f t="shared" si="43"/>
        <v>0</v>
      </c>
      <c r="BY178" s="59" t="str">
        <f t="shared" si="44"/>
        <v>-</v>
      </c>
      <c r="CD178" s="79"/>
      <c r="CE178" s="80"/>
      <c r="CF178" s="104"/>
      <c r="CL178" s="77">
        <v>1</v>
      </c>
    </row>
    <row r="179" spans="1:90" ht="17.45" customHeight="1">
      <c r="A179" s="58">
        <v>175</v>
      </c>
      <c r="B179" s="59" t="str">
        <f>'B Div'!A179 &amp; " " &amp; 'B Div'!B179</f>
        <v xml:space="preserve"> </v>
      </c>
      <c r="C179" s="59">
        <f>'B Div'!E179</f>
        <v>0</v>
      </c>
      <c r="D179" s="60"/>
      <c r="E179" s="60"/>
      <c r="F179" s="60"/>
      <c r="G179" s="60"/>
      <c r="H179" s="60"/>
      <c r="I179" s="60"/>
      <c r="J179" s="60"/>
      <c r="K179" s="60"/>
      <c r="L179" s="60"/>
      <c r="M179" s="74" t="str">
        <f t="shared" si="30"/>
        <v>-</v>
      </c>
      <c r="N179" s="60"/>
      <c r="O179" s="60"/>
      <c r="P179" s="60"/>
      <c r="Q179" s="60"/>
      <c r="R179" s="60"/>
      <c r="S179" s="60"/>
      <c r="T179" s="60"/>
      <c r="U179" s="60"/>
      <c r="V179" s="60"/>
      <c r="W179" s="74" t="str">
        <f t="shared" si="31"/>
        <v>-</v>
      </c>
      <c r="X179" s="74" t="str">
        <f t="shared" si="32"/>
        <v>-</v>
      </c>
      <c r="Y179" s="74" t="str">
        <f t="shared" si="33"/>
        <v>-</v>
      </c>
      <c r="AA179" s="60"/>
      <c r="AB179" s="60"/>
      <c r="AC179" s="60"/>
      <c r="AD179" s="60"/>
      <c r="AE179" s="60"/>
      <c r="AF179" s="60"/>
      <c r="AG179" s="60"/>
      <c r="AH179" s="60"/>
      <c r="AI179" s="60"/>
      <c r="AJ179" s="74" t="str">
        <f t="shared" si="34"/>
        <v>-</v>
      </c>
      <c r="AK179" s="60"/>
      <c r="AL179" s="60"/>
      <c r="AM179" s="60"/>
      <c r="AN179" s="60"/>
      <c r="AO179" s="60"/>
      <c r="AP179" s="60"/>
      <c r="AQ179" s="60"/>
      <c r="AR179" s="60"/>
      <c r="AS179" s="60"/>
      <c r="AT179" s="74" t="str">
        <f t="shared" si="35"/>
        <v>-</v>
      </c>
      <c r="AU179" s="74" t="str">
        <f t="shared" si="36"/>
        <v>-</v>
      </c>
      <c r="AV179" s="74" t="str">
        <f t="shared" si="37"/>
        <v>-</v>
      </c>
      <c r="AX179" s="59" t="str">
        <f>IF(AND(D179&gt;0,AA179&gt;0),MIN(D179,AA179),"-")</f>
        <v>-</v>
      </c>
      <c r="AY179" s="59" t="str">
        <f>IF(AND(E179&gt;0,AB179&gt;0),MIN(E179,AB179),"-")</f>
        <v>-</v>
      </c>
      <c r="AZ179" s="59" t="str">
        <f>IF(AND(F179&gt;0,AC179&gt;0),MIN(F179,AC179),"-")</f>
        <v>-</v>
      </c>
      <c r="BA179" s="59" t="str">
        <f>IF(AND(G179&gt;0,AD179&gt;0),MIN(G179,AD179),"-")</f>
        <v>-</v>
      </c>
      <c r="BB179" s="59" t="str">
        <f>IF(AND(H179&gt;0,AE179&gt;0),MIN(H179,AE179),"-")</f>
        <v>-</v>
      </c>
      <c r="BC179" s="59" t="str">
        <f>IF(AND(I179&gt;0,AF179&gt;0),MIN(I179,AF179),"-")</f>
        <v>-</v>
      </c>
      <c r="BD179" s="59" t="str">
        <f>IF(AND(J179&gt;0,AG179&gt;0),MIN(J179,AG179),"-")</f>
        <v>-</v>
      </c>
      <c r="BE179" s="59" t="str">
        <f>IF(AND(K179&gt;0,AH179&gt;0),MIN(K179,AH179),"-")</f>
        <v>-</v>
      </c>
      <c r="BF179" s="59" t="str">
        <f>IF(AND(L179&gt;0,AI179&gt;0),MIN(L179,AI179),"-")</f>
        <v>-</v>
      </c>
      <c r="BG179" s="59" t="str">
        <f t="shared" si="38"/>
        <v>-</v>
      </c>
      <c r="BH179" s="59" t="str">
        <f>IF(AND(N179&gt;0,AK179&gt;0),MIN(N179,AK179),"-")</f>
        <v>-</v>
      </c>
      <c r="BI179" s="59" t="str">
        <f>IF(AND(O179&gt;0,AL179&gt;0),MIN(O179,AL179),"-")</f>
        <v>-</v>
      </c>
      <c r="BJ179" s="59" t="str">
        <f>IF(AND(P179&gt;0,AM179&gt;0),MIN(P179,AM179),"-")</f>
        <v>-</v>
      </c>
      <c r="BK179" s="59" t="str">
        <f>IF(AND(Q179&gt;0,AN179&gt;0),MIN(Q179,AN179),"-")</f>
        <v>-</v>
      </c>
      <c r="BL179" s="59" t="str">
        <f>IF(AND(R179&gt;0,AO179&gt;0),MIN(R179,AO179),"-")</f>
        <v>-</v>
      </c>
      <c r="BM179" s="59" t="str">
        <f>IF(AND(S179&gt;0,AP179&gt;0),MIN(S179,AP179),"-")</f>
        <v>-</v>
      </c>
      <c r="BN179" s="59" t="str">
        <f>IF(AND(T179&gt;0,AQ179&gt;0),MIN(T179,AQ179),"-")</f>
        <v>-</v>
      </c>
      <c r="BO179" s="59" t="str">
        <f>IF(AND(U179&gt;0,AR179&gt;0),MIN(U179,AR179),"-")</f>
        <v>-</v>
      </c>
      <c r="BP179" s="59" t="str">
        <f>IF(AND(V179&gt;0,AS179&gt;0),MIN(V179,AS179),"-")</f>
        <v>-</v>
      </c>
      <c r="BQ179" s="59" t="str">
        <f t="shared" si="39"/>
        <v>-</v>
      </c>
      <c r="BR179" s="59" t="str">
        <f t="shared" si="40"/>
        <v>-</v>
      </c>
      <c r="BS179" s="59" t="str">
        <f t="shared" si="41"/>
        <v>-</v>
      </c>
      <c r="BT179" s="98" t="str">
        <f>IF(ISNUMBER(BS179),BS179-(C179*Rules!$P$9/100),"-")</f>
        <v>-</v>
      </c>
      <c r="BU179" s="59" t="e">
        <f>RANK($BT179,$BT$5:$BT$106,1)+COUNTIF(BT$5:BT179,BT179)-1</f>
        <v>#VALUE!</v>
      </c>
      <c r="BV179" s="59" t="e">
        <f t="shared" si="42"/>
        <v>#VALUE!</v>
      </c>
      <c r="BW179" s="59" t="str">
        <f t="shared" si="43"/>
        <v xml:space="preserve"> </v>
      </c>
      <c r="BX179" s="59">
        <f t="shared" si="43"/>
        <v>0</v>
      </c>
      <c r="BY179" s="59" t="str">
        <f t="shared" si="44"/>
        <v>-</v>
      </c>
      <c r="CD179" s="79"/>
      <c r="CE179" s="80"/>
      <c r="CF179" s="104"/>
      <c r="CL179" s="77">
        <v>1</v>
      </c>
    </row>
    <row r="180" spans="1:90" ht="17.45" customHeight="1">
      <c r="A180" s="58">
        <v>176</v>
      </c>
      <c r="B180" s="59" t="str">
        <f>'B Div'!A180 &amp; " " &amp; 'B Div'!B180</f>
        <v xml:space="preserve"> </v>
      </c>
      <c r="C180" s="59">
        <f>'B Div'!E180</f>
        <v>0</v>
      </c>
      <c r="D180" s="60"/>
      <c r="E180" s="60"/>
      <c r="F180" s="60"/>
      <c r="G180" s="60"/>
      <c r="H180" s="60"/>
      <c r="I180" s="60"/>
      <c r="J180" s="60"/>
      <c r="K180" s="60"/>
      <c r="L180" s="60"/>
      <c r="M180" s="74" t="str">
        <f t="shared" si="30"/>
        <v>-</v>
      </c>
      <c r="N180" s="60"/>
      <c r="O180" s="60"/>
      <c r="P180" s="60"/>
      <c r="Q180" s="60"/>
      <c r="R180" s="60"/>
      <c r="S180" s="60"/>
      <c r="T180" s="60"/>
      <c r="U180" s="60"/>
      <c r="V180" s="60"/>
      <c r="W180" s="74" t="str">
        <f t="shared" si="31"/>
        <v>-</v>
      </c>
      <c r="X180" s="74" t="str">
        <f t="shared" si="32"/>
        <v>-</v>
      </c>
      <c r="Y180" s="74" t="str">
        <f t="shared" si="33"/>
        <v>-</v>
      </c>
      <c r="AA180" s="60"/>
      <c r="AB180" s="60"/>
      <c r="AC180" s="60"/>
      <c r="AD180" s="60"/>
      <c r="AE180" s="60"/>
      <c r="AF180" s="60"/>
      <c r="AG180" s="60"/>
      <c r="AH180" s="60"/>
      <c r="AI180" s="60"/>
      <c r="AJ180" s="74" t="str">
        <f t="shared" si="34"/>
        <v>-</v>
      </c>
      <c r="AK180" s="60"/>
      <c r="AL180" s="60"/>
      <c r="AM180" s="60"/>
      <c r="AN180" s="60"/>
      <c r="AO180" s="60"/>
      <c r="AP180" s="60"/>
      <c r="AQ180" s="60"/>
      <c r="AR180" s="60"/>
      <c r="AS180" s="60"/>
      <c r="AT180" s="74" t="str">
        <f t="shared" si="35"/>
        <v>-</v>
      </c>
      <c r="AU180" s="74" t="str">
        <f t="shared" si="36"/>
        <v>-</v>
      </c>
      <c r="AV180" s="74" t="str">
        <f t="shared" si="37"/>
        <v>-</v>
      </c>
      <c r="AX180" s="59" t="str">
        <f>IF(AND(D180&gt;0,AA180&gt;0),MIN(D180,AA180),"-")</f>
        <v>-</v>
      </c>
      <c r="AY180" s="59" t="str">
        <f>IF(AND(E180&gt;0,AB180&gt;0),MIN(E180,AB180),"-")</f>
        <v>-</v>
      </c>
      <c r="AZ180" s="59" t="str">
        <f>IF(AND(F180&gt;0,AC180&gt;0),MIN(F180,AC180),"-")</f>
        <v>-</v>
      </c>
      <c r="BA180" s="59" t="str">
        <f>IF(AND(G180&gt;0,AD180&gt;0),MIN(G180,AD180),"-")</f>
        <v>-</v>
      </c>
      <c r="BB180" s="59" t="str">
        <f>IF(AND(H180&gt;0,AE180&gt;0),MIN(H180,AE180),"-")</f>
        <v>-</v>
      </c>
      <c r="BC180" s="59" t="str">
        <f>IF(AND(I180&gt;0,AF180&gt;0),MIN(I180,AF180),"-")</f>
        <v>-</v>
      </c>
      <c r="BD180" s="59" t="str">
        <f>IF(AND(J180&gt;0,AG180&gt;0),MIN(J180,AG180),"-")</f>
        <v>-</v>
      </c>
      <c r="BE180" s="59" t="str">
        <f>IF(AND(K180&gt;0,AH180&gt;0),MIN(K180,AH180),"-")</f>
        <v>-</v>
      </c>
      <c r="BF180" s="59" t="str">
        <f>IF(AND(L180&gt;0,AI180&gt;0),MIN(L180,AI180),"-")</f>
        <v>-</v>
      </c>
      <c r="BG180" s="59" t="str">
        <f t="shared" si="38"/>
        <v>-</v>
      </c>
      <c r="BH180" s="59" t="str">
        <f>IF(AND(N180&gt;0,AK180&gt;0),MIN(N180,AK180),"-")</f>
        <v>-</v>
      </c>
      <c r="BI180" s="59" t="str">
        <f>IF(AND(O180&gt;0,AL180&gt;0),MIN(O180,AL180),"-")</f>
        <v>-</v>
      </c>
      <c r="BJ180" s="59" t="str">
        <f>IF(AND(P180&gt;0,AM180&gt;0),MIN(P180,AM180),"-")</f>
        <v>-</v>
      </c>
      <c r="BK180" s="59" t="str">
        <f>IF(AND(Q180&gt;0,AN180&gt;0),MIN(Q180,AN180),"-")</f>
        <v>-</v>
      </c>
      <c r="BL180" s="59" t="str">
        <f>IF(AND(R180&gt;0,AO180&gt;0),MIN(R180,AO180),"-")</f>
        <v>-</v>
      </c>
      <c r="BM180" s="59" t="str">
        <f>IF(AND(S180&gt;0,AP180&gt;0),MIN(S180,AP180),"-")</f>
        <v>-</v>
      </c>
      <c r="BN180" s="59" t="str">
        <f>IF(AND(T180&gt;0,AQ180&gt;0),MIN(T180,AQ180),"-")</f>
        <v>-</v>
      </c>
      <c r="BO180" s="59" t="str">
        <f>IF(AND(U180&gt;0,AR180&gt;0),MIN(U180,AR180),"-")</f>
        <v>-</v>
      </c>
      <c r="BP180" s="59" t="str">
        <f>IF(AND(V180&gt;0,AS180&gt;0),MIN(V180,AS180),"-")</f>
        <v>-</v>
      </c>
      <c r="BQ180" s="59" t="str">
        <f t="shared" si="39"/>
        <v>-</v>
      </c>
      <c r="BR180" s="59" t="str">
        <f t="shared" si="40"/>
        <v>-</v>
      </c>
      <c r="BS180" s="59" t="str">
        <f t="shared" si="41"/>
        <v>-</v>
      </c>
      <c r="BT180" s="98" t="str">
        <f>IF(ISNUMBER(BS180),BS180-(C180*Rules!$P$9/100),"-")</f>
        <v>-</v>
      </c>
      <c r="BU180" s="59" t="e">
        <f>RANK($BT180,$BT$5:$BT$106,1)+COUNTIF(BT$5:BT180,BT180)-1</f>
        <v>#VALUE!</v>
      </c>
      <c r="BV180" s="59" t="e">
        <f t="shared" si="42"/>
        <v>#VALUE!</v>
      </c>
      <c r="BW180" s="59" t="str">
        <f t="shared" si="43"/>
        <v xml:space="preserve"> </v>
      </c>
      <c r="BX180" s="59">
        <f t="shared" si="43"/>
        <v>0</v>
      </c>
      <c r="BY180" s="59" t="str">
        <f t="shared" si="44"/>
        <v>-</v>
      </c>
      <c r="CD180" s="79"/>
      <c r="CE180" s="80"/>
      <c r="CF180" s="104"/>
      <c r="CL180" s="77">
        <v>1</v>
      </c>
    </row>
    <row r="181" spans="1:90" ht="17.45" customHeight="1">
      <c r="A181" s="58">
        <v>177</v>
      </c>
      <c r="B181" s="59" t="str">
        <f>'B Div'!A181 &amp; " " &amp; 'B Div'!B181</f>
        <v xml:space="preserve"> </v>
      </c>
      <c r="C181" s="59">
        <f>'B Div'!E181</f>
        <v>0</v>
      </c>
      <c r="D181" s="60"/>
      <c r="E181" s="60"/>
      <c r="F181" s="60"/>
      <c r="G181" s="60"/>
      <c r="H181" s="60"/>
      <c r="I181" s="60"/>
      <c r="J181" s="60"/>
      <c r="K181" s="60"/>
      <c r="L181" s="60"/>
      <c r="M181" s="74" t="str">
        <f t="shared" si="30"/>
        <v>-</v>
      </c>
      <c r="N181" s="60"/>
      <c r="O181" s="60"/>
      <c r="P181" s="60"/>
      <c r="Q181" s="60"/>
      <c r="R181" s="60"/>
      <c r="S181" s="60"/>
      <c r="T181" s="60"/>
      <c r="U181" s="60"/>
      <c r="V181" s="60"/>
      <c r="W181" s="74" t="str">
        <f t="shared" si="31"/>
        <v>-</v>
      </c>
      <c r="X181" s="74" t="str">
        <f t="shared" si="32"/>
        <v>-</v>
      </c>
      <c r="Y181" s="74" t="str">
        <f t="shared" si="33"/>
        <v>-</v>
      </c>
      <c r="AA181" s="60"/>
      <c r="AB181" s="60"/>
      <c r="AC181" s="60"/>
      <c r="AD181" s="60"/>
      <c r="AE181" s="60"/>
      <c r="AF181" s="60"/>
      <c r="AG181" s="60"/>
      <c r="AH181" s="60"/>
      <c r="AI181" s="60"/>
      <c r="AJ181" s="74" t="str">
        <f t="shared" si="34"/>
        <v>-</v>
      </c>
      <c r="AK181" s="60"/>
      <c r="AL181" s="60"/>
      <c r="AM181" s="60"/>
      <c r="AN181" s="60"/>
      <c r="AO181" s="60"/>
      <c r="AP181" s="60"/>
      <c r="AQ181" s="60"/>
      <c r="AR181" s="60"/>
      <c r="AS181" s="60"/>
      <c r="AT181" s="74" t="str">
        <f t="shared" si="35"/>
        <v>-</v>
      </c>
      <c r="AU181" s="74" t="str">
        <f t="shared" si="36"/>
        <v>-</v>
      </c>
      <c r="AV181" s="74" t="str">
        <f t="shared" si="37"/>
        <v>-</v>
      </c>
      <c r="AX181" s="59" t="str">
        <f>IF(AND(D181&gt;0,AA181&gt;0),MIN(D181,AA181),"-")</f>
        <v>-</v>
      </c>
      <c r="AY181" s="59" t="str">
        <f>IF(AND(E181&gt;0,AB181&gt;0),MIN(E181,AB181),"-")</f>
        <v>-</v>
      </c>
      <c r="AZ181" s="59" t="str">
        <f>IF(AND(F181&gt;0,AC181&gt;0),MIN(F181,AC181),"-")</f>
        <v>-</v>
      </c>
      <c r="BA181" s="59" t="str">
        <f>IF(AND(G181&gt;0,AD181&gt;0),MIN(G181,AD181),"-")</f>
        <v>-</v>
      </c>
      <c r="BB181" s="59" t="str">
        <f>IF(AND(H181&gt;0,AE181&gt;0),MIN(H181,AE181),"-")</f>
        <v>-</v>
      </c>
      <c r="BC181" s="59" t="str">
        <f>IF(AND(I181&gt;0,AF181&gt;0),MIN(I181,AF181),"-")</f>
        <v>-</v>
      </c>
      <c r="BD181" s="59" t="str">
        <f>IF(AND(J181&gt;0,AG181&gt;0),MIN(J181,AG181),"-")</f>
        <v>-</v>
      </c>
      <c r="BE181" s="59" t="str">
        <f>IF(AND(K181&gt;0,AH181&gt;0),MIN(K181,AH181),"-")</f>
        <v>-</v>
      </c>
      <c r="BF181" s="59" t="str">
        <f>IF(AND(L181&gt;0,AI181&gt;0),MIN(L181,AI181),"-")</f>
        <v>-</v>
      </c>
      <c r="BG181" s="59" t="str">
        <f t="shared" si="38"/>
        <v>-</v>
      </c>
      <c r="BH181" s="59" t="str">
        <f>IF(AND(N181&gt;0,AK181&gt;0),MIN(N181,AK181),"-")</f>
        <v>-</v>
      </c>
      <c r="BI181" s="59" t="str">
        <f>IF(AND(O181&gt;0,AL181&gt;0),MIN(O181,AL181),"-")</f>
        <v>-</v>
      </c>
      <c r="BJ181" s="59" t="str">
        <f>IF(AND(P181&gt;0,AM181&gt;0),MIN(P181,AM181),"-")</f>
        <v>-</v>
      </c>
      <c r="BK181" s="59" t="str">
        <f>IF(AND(Q181&gt;0,AN181&gt;0),MIN(Q181,AN181),"-")</f>
        <v>-</v>
      </c>
      <c r="BL181" s="59" t="str">
        <f>IF(AND(R181&gt;0,AO181&gt;0),MIN(R181,AO181),"-")</f>
        <v>-</v>
      </c>
      <c r="BM181" s="59" t="str">
        <f>IF(AND(S181&gt;0,AP181&gt;0),MIN(S181,AP181),"-")</f>
        <v>-</v>
      </c>
      <c r="BN181" s="59" t="str">
        <f>IF(AND(T181&gt;0,AQ181&gt;0),MIN(T181,AQ181),"-")</f>
        <v>-</v>
      </c>
      <c r="BO181" s="59" t="str">
        <f>IF(AND(U181&gt;0,AR181&gt;0),MIN(U181,AR181),"-")</f>
        <v>-</v>
      </c>
      <c r="BP181" s="59" t="str">
        <f>IF(AND(V181&gt;0,AS181&gt;0),MIN(V181,AS181),"-")</f>
        <v>-</v>
      </c>
      <c r="BQ181" s="59" t="str">
        <f t="shared" si="39"/>
        <v>-</v>
      </c>
      <c r="BR181" s="59" t="str">
        <f t="shared" si="40"/>
        <v>-</v>
      </c>
      <c r="BS181" s="59" t="str">
        <f t="shared" si="41"/>
        <v>-</v>
      </c>
      <c r="BT181" s="98" t="str">
        <f>IF(ISNUMBER(BS181),BS181-(C181*Rules!$P$9/100),"-")</f>
        <v>-</v>
      </c>
      <c r="BU181" s="59" t="e">
        <f>RANK($BT181,$BT$5:$BT$106,1)+COUNTIF(BT$5:BT181,BT181)-1</f>
        <v>#VALUE!</v>
      </c>
      <c r="BV181" s="59" t="e">
        <f t="shared" si="42"/>
        <v>#VALUE!</v>
      </c>
      <c r="BW181" s="59" t="str">
        <f t="shared" si="43"/>
        <v xml:space="preserve"> </v>
      </c>
      <c r="BX181" s="59">
        <f t="shared" si="43"/>
        <v>0</v>
      </c>
      <c r="BY181" s="59" t="str">
        <f t="shared" si="44"/>
        <v>-</v>
      </c>
      <c r="CD181" s="79"/>
      <c r="CE181" s="80"/>
      <c r="CF181" s="104"/>
      <c r="CL181" s="77">
        <v>1</v>
      </c>
    </row>
    <row r="182" spans="1:90" ht="17.45" customHeight="1">
      <c r="A182" s="58">
        <v>178</v>
      </c>
      <c r="B182" s="59" t="str">
        <f>'B Div'!A182 &amp; " " &amp; 'B Div'!B182</f>
        <v xml:space="preserve"> </v>
      </c>
      <c r="C182" s="59">
        <f>'B Div'!E182</f>
        <v>0</v>
      </c>
      <c r="D182" s="60"/>
      <c r="E182" s="60"/>
      <c r="F182" s="60"/>
      <c r="G182" s="60"/>
      <c r="H182" s="60"/>
      <c r="I182" s="60"/>
      <c r="J182" s="60"/>
      <c r="K182" s="60"/>
      <c r="L182" s="60"/>
      <c r="M182" s="74" t="str">
        <f t="shared" si="30"/>
        <v>-</v>
      </c>
      <c r="N182" s="60"/>
      <c r="O182" s="60"/>
      <c r="P182" s="60"/>
      <c r="Q182" s="60"/>
      <c r="R182" s="60"/>
      <c r="S182" s="60"/>
      <c r="T182" s="60"/>
      <c r="U182" s="60"/>
      <c r="V182" s="60"/>
      <c r="W182" s="74" t="str">
        <f t="shared" si="31"/>
        <v>-</v>
      </c>
      <c r="X182" s="74" t="str">
        <f t="shared" si="32"/>
        <v>-</v>
      </c>
      <c r="Y182" s="74" t="str">
        <f t="shared" si="33"/>
        <v>-</v>
      </c>
      <c r="AA182" s="60"/>
      <c r="AB182" s="60"/>
      <c r="AC182" s="60"/>
      <c r="AD182" s="60"/>
      <c r="AE182" s="60"/>
      <c r="AF182" s="60"/>
      <c r="AG182" s="60"/>
      <c r="AH182" s="60"/>
      <c r="AI182" s="60"/>
      <c r="AJ182" s="74" t="str">
        <f t="shared" si="34"/>
        <v>-</v>
      </c>
      <c r="AK182" s="60"/>
      <c r="AL182" s="60"/>
      <c r="AM182" s="60"/>
      <c r="AN182" s="60"/>
      <c r="AO182" s="60"/>
      <c r="AP182" s="60"/>
      <c r="AQ182" s="60"/>
      <c r="AR182" s="60"/>
      <c r="AS182" s="60"/>
      <c r="AT182" s="74" t="str">
        <f t="shared" si="35"/>
        <v>-</v>
      </c>
      <c r="AU182" s="74" t="str">
        <f t="shared" si="36"/>
        <v>-</v>
      </c>
      <c r="AV182" s="74" t="str">
        <f t="shared" si="37"/>
        <v>-</v>
      </c>
      <c r="AX182" s="59" t="str">
        <f>IF(AND(D182&gt;0,AA182&gt;0),MIN(D182,AA182),"-")</f>
        <v>-</v>
      </c>
      <c r="AY182" s="59" t="str">
        <f>IF(AND(E182&gt;0,AB182&gt;0),MIN(E182,AB182),"-")</f>
        <v>-</v>
      </c>
      <c r="AZ182" s="59" t="str">
        <f>IF(AND(F182&gt;0,AC182&gt;0),MIN(F182,AC182),"-")</f>
        <v>-</v>
      </c>
      <c r="BA182" s="59" t="str">
        <f>IF(AND(G182&gt;0,AD182&gt;0),MIN(G182,AD182),"-")</f>
        <v>-</v>
      </c>
      <c r="BB182" s="59" t="str">
        <f>IF(AND(H182&gt;0,AE182&gt;0),MIN(H182,AE182),"-")</f>
        <v>-</v>
      </c>
      <c r="BC182" s="59" t="str">
        <f>IF(AND(I182&gt;0,AF182&gt;0),MIN(I182,AF182),"-")</f>
        <v>-</v>
      </c>
      <c r="BD182" s="59" t="str">
        <f>IF(AND(J182&gt;0,AG182&gt;0),MIN(J182,AG182),"-")</f>
        <v>-</v>
      </c>
      <c r="BE182" s="59" t="str">
        <f>IF(AND(K182&gt;0,AH182&gt;0),MIN(K182,AH182),"-")</f>
        <v>-</v>
      </c>
      <c r="BF182" s="59" t="str">
        <f>IF(AND(L182&gt;0,AI182&gt;0),MIN(L182,AI182),"-")</f>
        <v>-</v>
      </c>
      <c r="BG182" s="59" t="str">
        <f t="shared" si="38"/>
        <v>-</v>
      </c>
      <c r="BH182" s="59" t="str">
        <f>IF(AND(N182&gt;0,AK182&gt;0),MIN(N182,AK182),"-")</f>
        <v>-</v>
      </c>
      <c r="BI182" s="59" t="str">
        <f>IF(AND(O182&gt;0,AL182&gt;0),MIN(O182,AL182),"-")</f>
        <v>-</v>
      </c>
      <c r="BJ182" s="59" t="str">
        <f>IF(AND(P182&gt;0,AM182&gt;0),MIN(P182,AM182),"-")</f>
        <v>-</v>
      </c>
      <c r="BK182" s="59" t="str">
        <f>IF(AND(Q182&gt;0,AN182&gt;0),MIN(Q182,AN182),"-")</f>
        <v>-</v>
      </c>
      <c r="BL182" s="59" t="str">
        <f>IF(AND(R182&gt;0,AO182&gt;0),MIN(R182,AO182),"-")</f>
        <v>-</v>
      </c>
      <c r="BM182" s="59" t="str">
        <f>IF(AND(S182&gt;0,AP182&gt;0),MIN(S182,AP182),"-")</f>
        <v>-</v>
      </c>
      <c r="BN182" s="59" t="str">
        <f>IF(AND(T182&gt;0,AQ182&gt;0),MIN(T182,AQ182),"-")</f>
        <v>-</v>
      </c>
      <c r="BO182" s="59" t="str">
        <f>IF(AND(U182&gt;0,AR182&gt;0),MIN(U182,AR182),"-")</f>
        <v>-</v>
      </c>
      <c r="BP182" s="59" t="str">
        <f>IF(AND(V182&gt;0,AS182&gt;0),MIN(V182,AS182),"-")</f>
        <v>-</v>
      </c>
      <c r="BQ182" s="59" t="str">
        <f t="shared" si="39"/>
        <v>-</v>
      </c>
      <c r="BR182" s="59" t="str">
        <f t="shared" si="40"/>
        <v>-</v>
      </c>
      <c r="BS182" s="59" t="str">
        <f t="shared" si="41"/>
        <v>-</v>
      </c>
      <c r="BT182" s="98" t="str">
        <f>IF(ISNUMBER(BS182),BS182-(C182*Rules!$P$9/100),"-")</f>
        <v>-</v>
      </c>
      <c r="BU182" s="59" t="e">
        <f>RANK($BT182,$BT$5:$BT$106,1)+COUNTIF(BT$5:BT182,BT182)-1</f>
        <v>#VALUE!</v>
      </c>
      <c r="BV182" s="59" t="e">
        <f t="shared" si="42"/>
        <v>#VALUE!</v>
      </c>
      <c r="BW182" s="59" t="str">
        <f t="shared" si="43"/>
        <v xml:space="preserve"> </v>
      </c>
      <c r="BX182" s="59">
        <f t="shared" si="43"/>
        <v>0</v>
      </c>
      <c r="BY182" s="59" t="str">
        <f t="shared" si="44"/>
        <v>-</v>
      </c>
      <c r="CD182" s="79"/>
      <c r="CE182" s="80"/>
      <c r="CF182" s="104"/>
      <c r="CL182" s="77">
        <v>1</v>
      </c>
    </row>
    <row r="183" spans="1:90" ht="17.45" customHeight="1">
      <c r="A183" s="58">
        <v>179</v>
      </c>
      <c r="B183" s="59" t="str">
        <f>'B Div'!A183 &amp; " " &amp; 'B Div'!B183</f>
        <v xml:space="preserve"> </v>
      </c>
      <c r="C183" s="59">
        <f>'B Div'!E183</f>
        <v>0</v>
      </c>
      <c r="D183" s="60"/>
      <c r="E183" s="60"/>
      <c r="F183" s="60"/>
      <c r="G183" s="60"/>
      <c r="H183" s="60"/>
      <c r="I183" s="60"/>
      <c r="J183" s="60"/>
      <c r="K183" s="60"/>
      <c r="L183" s="60"/>
      <c r="M183" s="74" t="str">
        <f t="shared" si="30"/>
        <v>-</v>
      </c>
      <c r="N183" s="60"/>
      <c r="O183" s="60"/>
      <c r="P183" s="60"/>
      <c r="Q183" s="60"/>
      <c r="R183" s="60"/>
      <c r="S183" s="60"/>
      <c r="T183" s="60"/>
      <c r="U183" s="60"/>
      <c r="V183" s="60"/>
      <c r="W183" s="74" t="str">
        <f t="shared" si="31"/>
        <v>-</v>
      </c>
      <c r="X183" s="74" t="str">
        <f t="shared" si="32"/>
        <v>-</v>
      </c>
      <c r="Y183" s="74" t="str">
        <f t="shared" si="33"/>
        <v>-</v>
      </c>
      <c r="AA183" s="60"/>
      <c r="AB183" s="60"/>
      <c r="AC183" s="60"/>
      <c r="AD183" s="60"/>
      <c r="AE183" s="60"/>
      <c r="AF183" s="60"/>
      <c r="AG183" s="60"/>
      <c r="AH183" s="60"/>
      <c r="AI183" s="60"/>
      <c r="AJ183" s="74" t="str">
        <f t="shared" si="34"/>
        <v>-</v>
      </c>
      <c r="AK183" s="60"/>
      <c r="AL183" s="60"/>
      <c r="AM183" s="60"/>
      <c r="AN183" s="60"/>
      <c r="AO183" s="60"/>
      <c r="AP183" s="60"/>
      <c r="AQ183" s="60"/>
      <c r="AR183" s="60"/>
      <c r="AS183" s="60"/>
      <c r="AT183" s="74" t="str">
        <f t="shared" si="35"/>
        <v>-</v>
      </c>
      <c r="AU183" s="74" t="str">
        <f t="shared" si="36"/>
        <v>-</v>
      </c>
      <c r="AV183" s="74" t="str">
        <f t="shared" si="37"/>
        <v>-</v>
      </c>
      <c r="AX183" s="59" t="str">
        <f>IF(AND(D183&gt;0,AA183&gt;0),MIN(D183,AA183),"-")</f>
        <v>-</v>
      </c>
      <c r="AY183" s="59" t="str">
        <f>IF(AND(E183&gt;0,AB183&gt;0),MIN(E183,AB183),"-")</f>
        <v>-</v>
      </c>
      <c r="AZ183" s="59" t="str">
        <f>IF(AND(F183&gt;0,AC183&gt;0),MIN(F183,AC183),"-")</f>
        <v>-</v>
      </c>
      <c r="BA183" s="59" t="str">
        <f>IF(AND(G183&gt;0,AD183&gt;0),MIN(G183,AD183),"-")</f>
        <v>-</v>
      </c>
      <c r="BB183" s="59" t="str">
        <f>IF(AND(H183&gt;0,AE183&gt;0),MIN(H183,AE183),"-")</f>
        <v>-</v>
      </c>
      <c r="BC183" s="59" t="str">
        <f>IF(AND(I183&gt;0,AF183&gt;0),MIN(I183,AF183),"-")</f>
        <v>-</v>
      </c>
      <c r="BD183" s="59" t="str">
        <f>IF(AND(J183&gt;0,AG183&gt;0),MIN(J183,AG183),"-")</f>
        <v>-</v>
      </c>
      <c r="BE183" s="59" t="str">
        <f>IF(AND(K183&gt;0,AH183&gt;0),MIN(K183,AH183),"-")</f>
        <v>-</v>
      </c>
      <c r="BF183" s="59" t="str">
        <f>IF(AND(L183&gt;0,AI183&gt;0),MIN(L183,AI183),"-")</f>
        <v>-</v>
      </c>
      <c r="BG183" s="59" t="str">
        <f t="shared" si="38"/>
        <v>-</v>
      </c>
      <c r="BH183" s="59" t="str">
        <f>IF(AND(N183&gt;0,AK183&gt;0),MIN(N183,AK183),"-")</f>
        <v>-</v>
      </c>
      <c r="BI183" s="59" t="str">
        <f>IF(AND(O183&gt;0,AL183&gt;0),MIN(O183,AL183),"-")</f>
        <v>-</v>
      </c>
      <c r="BJ183" s="59" t="str">
        <f>IF(AND(P183&gt;0,AM183&gt;0),MIN(P183,AM183),"-")</f>
        <v>-</v>
      </c>
      <c r="BK183" s="59" t="str">
        <f>IF(AND(Q183&gt;0,AN183&gt;0),MIN(Q183,AN183),"-")</f>
        <v>-</v>
      </c>
      <c r="BL183" s="59" t="str">
        <f>IF(AND(R183&gt;0,AO183&gt;0),MIN(R183,AO183),"-")</f>
        <v>-</v>
      </c>
      <c r="BM183" s="59" t="str">
        <f>IF(AND(S183&gt;0,AP183&gt;0),MIN(S183,AP183),"-")</f>
        <v>-</v>
      </c>
      <c r="BN183" s="59" t="str">
        <f>IF(AND(T183&gt;0,AQ183&gt;0),MIN(T183,AQ183),"-")</f>
        <v>-</v>
      </c>
      <c r="BO183" s="59" t="str">
        <f>IF(AND(U183&gt;0,AR183&gt;0),MIN(U183,AR183),"-")</f>
        <v>-</v>
      </c>
      <c r="BP183" s="59" t="str">
        <f>IF(AND(V183&gt;0,AS183&gt;0),MIN(V183,AS183),"-")</f>
        <v>-</v>
      </c>
      <c r="BQ183" s="59" t="str">
        <f t="shared" si="39"/>
        <v>-</v>
      </c>
      <c r="BR183" s="59" t="str">
        <f t="shared" si="40"/>
        <v>-</v>
      </c>
      <c r="BS183" s="59" t="str">
        <f t="shared" si="41"/>
        <v>-</v>
      </c>
      <c r="BT183" s="98" t="str">
        <f>IF(ISNUMBER(BS183),BS183-(C183*Rules!$P$9/100),"-")</f>
        <v>-</v>
      </c>
      <c r="BU183" s="59" t="e">
        <f>RANK($BT183,$BT$5:$BT$106,1)+COUNTIF(BT$5:BT183,BT183)-1</f>
        <v>#VALUE!</v>
      </c>
      <c r="BV183" s="59" t="e">
        <f t="shared" si="42"/>
        <v>#VALUE!</v>
      </c>
      <c r="BW183" s="59" t="str">
        <f t="shared" si="43"/>
        <v xml:space="preserve"> </v>
      </c>
      <c r="BX183" s="59">
        <f t="shared" si="43"/>
        <v>0</v>
      </c>
      <c r="BY183" s="59" t="str">
        <f t="shared" si="44"/>
        <v>-</v>
      </c>
      <c r="CD183" s="79"/>
      <c r="CE183" s="80"/>
      <c r="CF183" s="104"/>
      <c r="CL183" s="77">
        <v>1</v>
      </c>
    </row>
    <row r="184" spans="1:90" ht="17.45" customHeight="1">
      <c r="A184" s="58">
        <v>180</v>
      </c>
      <c r="B184" s="59" t="str">
        <f>'B Div'!A184 &amp; " " &amp; 'B Div'!B184</f>
        <v xml:space="preserve"> </v>
      </c>
      <c r="C184" s="59">
        <f>'B Div'!E184</f>
        <v>0</v>
      </c>
      <c r="D184" s="60"/>
      <c r="E184" s="60"/>
      <c r="F184" s="60"/>
      <c r="G184" s="60"/>
      <c r="H184" s="60"/>
      <c r="I184" s="60"/>
      <c r="J184" s="60"/>
      <c r="K184" s="60"/>
      <c r="L184" s="60"/>
      <c r="M184" s="74" t="str">
        <f t="shared" si="30"/>
        <v>-</v>
      </c>
      <c r="N184" s="60"/>
      <c r="O184" s="60"/>
      <c r="P184" s="60"/>
      <c r="Q184" s="60"/>
      <c r="R184" s="60"/>
      <c r="S184" s="60"/>
      <c r="T184" s="60"/>
      <c r="U184" s="60"/>
      <c r="V184" s="60"/>
      <c r="W184" s="74" t="str">
        <f t="shared" si="31"/>
        <v>-</v>
      </c>
      <c r="X184" s="74" t="str">
        <f t="shared" si="32"/>
        <v>-</v>
      </c>
      <c r="Y184" s="74" t="str">
        <f t="shared" si="33"/>
        <v>-</v>
      </c>
      <c r="AA184" s="60"/>
      <c r="AB184" s="60"/>
      <c r="AC184" s="60"/>
      <c r="AD184" s="60"/>
      <c r="AE184" s="60"/>
      <c r="AF184" s="60"/>
      <c r="AG184" s="60"/>
      <c r="AH184" s="60"/>
      <c r="AI184" s="60"/>
      <c r="AJ184" s="74" t="str">
        <f t="shared" si="34"/>
        <v>-</v>
      </c>
      <c r="AK184" s="60"/>
      <c r="AL184" s="60"/>
      <c r="AM184" s="60"/>
      <c r="AN184" s="60"/>
      <c r="AO184" s="60"/>
      <c r="AP184" s="60"/>
      <c r="AQ184" s="60"/>
      <c r="AR184" s="60"/>
      <c r="AS184" s="60"/>
      <c r="AT184" s="74" t="str">
        <f t="shared" si="35"/>
        <v>-</v>
      </c>
      <c r="AU184" s="74" t="str">
        <f t="shared" si="36"/>
        <v>-</v>
      </c>
      <c r="AV184" s="74" t="str">
        <f t="shared" si="37"/>
        <v>-</v>
      </c>
      <c r="AX184" s="59" t="str">
        <f>IF(AND(D184&gt;0,AA184&gt;0),MIN(D184,AA184),"-")</f>
        <v>-</v>
      </c>
      <c r="AY184" s="59" t="str">
        <f>IF(AND(E184&gt;0,AB184&gt;0),MIN(E184,AB184),"-")</f>
        <v>-</v>
      </c>
      <c r="AZ184" s="59" t="str">
        <f>IF(AND(F184&gt;0,AC184&gt;0),MIN(F184,AC184),"-")</f>
        <v>-</v>
      </c>
      <c r="BA184" s="59" t="str">
        <f>IF(AND(G184&gt;0,AD184&gt;0),MIN(G184,AD184),"-")</f>
        <v>-</v>
      </c>
      <c r="BB184" s="59" t="str">
        <f>IF(AND(H184&gt;0,AE184&gt;0),MIN(H184,AE184),"-")</f>
        <v>-</v>
      </c>
      <c r="BC184" s="59" t="str">
        <f>IF(AND(I184&gt;0,AF184&gt;0),MIN(I184,AF184),"-")</f>
        <v>-</v>
      </c>
      <c r="BD184" s="59" t="str">
        <f>IF(AND(J184&gt;0,AG184&gt;0),MIN(J184,AG184),"-")</f>
        <v>-</v>
      </c>
      <c r="BE184" s="59" t="str">
        <f>IF(AND(K184&gt;0,AH184&gt;0),MIN(K184,AH184),"-")</f>
        <v>-</v>
      </c>
      <c r="BF184" s="59" t="str">
        <f>IF(AND(L184&gt;0,AI184&gt;0),MIN(L184,AI184),"-")</f>
        <v>-</v>
      </c>
      <c r="BG184" s="59" t="str">
        <f t="shared" si="38"/>
        <v>-</v>
      </c>
      <c r="BH184" s="59" t="str">
        <f>IF(AND(N184&gt;0,AK184&gt;0),MIN(N184,AK184),"-")</f>
        <v>-</v>
      </c>
      <c r="BI184" s="59" t="str">
        <f>IF(AND(O184&gt;0,AL184&gt;0),MIN(O184,AL184),"-")</f>
        <v>-</v>
      </c>
      <c r="BJ184" s="59" t="str">
        <f>IF(AND(P184&gt;0,AM184&gt;0),MIN(P184,AM184),"-")</f>
        <v>-</v>
      </c>
      <c r="BK184" s="59" t="str">
        <f>IF(AND(Q184&gt;0,AN184&gt;0),MIN(Q184,AN184),"-")</f>
        <v>-</v>
      </c>
      <c r="BL184" s="59" t="str">
        <f>IF(AND(R184&gt;0,AO184&gt;0),MIN(R184,AO184),"-")</f>
        <v>-</v>
      </c>
      <c r="BM184" s="59" t="str">
        <f>IF(AND(S184&gt;0,AP184&gt;0),MIN(S184,AP184),"-")</f>
        <v>-</v>
      </c>
      <c r="BN184" s="59" t="str">
        <f>IF(AND(T184&gt;0,AQ184&gt;0),MIN(T184,AQ184),"-")</f>
        <v>-</v>
      </c>
      <c r="BO184" s="59" t="str">
        <f>IF(AND(U184&gt;0,AR184&gt;0),MIN(U184,AR184),"-")</f>
        <v>-</v>
      </c>
      <c r="BP184" s="59" t="str">
        <f>IF(AND(V184&gt;0,AS184&gt;0),MIN(V184,AS184),"-")</f>
        <v>-</v>
      </c>
      <c r="BQ184" s="59" t="str">
        <f t="shared" si="39"/>
        <v>-</v>
      </c>
      <c r="BR184" s="59" t="str">
        <f t="shared" si="40"/>
        <v>-</v>
      </c>
      <c r="BS184" s="59" t="str">
        <f t="shared" si="41"/>
        <v>-</v>
      </c>
      <c r="BT184" s="98" t="str">
        <f>IF(ISNUMBER(BS184),BS184-(C184*Rules!$P$9/100),"-")</f>
        <v>-</v>
      </c>
      <c r="BU184" s="59" t="e">
        <f>RANK($BT184,$BT$5:$BT$106,1)+COUNTIF(BT$5:BT184,BT184)-1</f>
        <v>#VALUE!</v>
      </c>
      <c r="BV184" s="59" t="e">
        <f t="shared" si="42"/>
        <v>#VALUE!</v>
      </c>
      <c r="BW184" s="59" t="str">
        <f t="shared" si="43"/>
        <v xml:space="preserve"> </v>
      </c>
      <c r="BX184" s="59">
        <f t="shared" si="43"/>
        <v>0</v>
      </c>
      <c r="BY184" s="59" t="str">
        <f t="shared" si="44"/>
        <v>-</v>
      </c>
      <c r="CD184" s="79"/>
      <c r="CE184" s="80"/>
      <c r="CF184" s="104"/>
      <c r="CL184" s="77">
        <v>1</v>
      </c>
    </row>
    <row r="185" spans="1:90" ht="17.45" customHeight="1">
      <c r="A185" s="58">
        <v>181</v>
      </c>
      <c r="B185" s="59" t="str">
        <f>'B Div'!A185 &amp; " " &amp; 'B Div'!B185</f>
        <v xml:space="preserve"> </v>
      </c>
      <c r="C185" s="59">
        <f>'B Div'!E185</f>
        <v>0</v>
      </c>
      <c r="D185" s="60"/>
      <c r="E185" s="60"/>
      <c r="F185" s="60"/>
      <c r="G185" s="60"/>
      <c r="H185" s="60"/>
      <c r="I185" s="60"/>
      <c r="J185" s="60"/>
      <c r="K185" s="60"/>
      <c r="L185" s="60"/>
      <c r="M185" s="74" t="str">
        <f t="shared" si="30"/>
        <v>-</v>
      </c>
      <c r="N185" s="60"/>
      <c r="O185" s="60"/>
      <c r="P185" s="60"/>
      <c r="Q185" s="60"/>
      <c r="R185" s="60"/>
      <c r="S185" s="60"/>
      <c r="T185" s="60"/>
      <c r="U185" s="60"/>
      <c r="V185" s="60"/>
      <c r="W185" s="74" t="str">
        <f t="shared" si="31"/>
        <v>-</v>
      </c>
      <c r="X185" s="74" t="str">
        <f t="shared" si="32"/>
        <v>-</v>
      </c>
      <c r="Y185" s="74" t="str">
        <f t="shared" si="33"/>
        <v>-</v>
      </c>
      <c r="AA185" s="60"/>
      <c r="AB185" s="60"/>
      <c r="AC185" s="60"/>
      <c r="AD185" s="60"/>
      <c r="AE185" s="60"/>
      <c r="AF185" s="60"/>
      <c r="AG185" s="60"/>
      <c r="AH185" s="60"/>
      <c r="AI185" s="60"/>
      <c r="AJ185" s="74" t="str">
        <f t="shared" si="34"/>
        <v>-</v>
      </c>
      <c r="AK185" s="60"/>
      <c r="AL185" s="60"/>
      <c r="AM185" s="60"/>
      <c r="AN185" s="60"/>
      <c r="AO185" s="60"/>
      <c r="AP185" s="60"/>
      <c r="AQ185" s="60"/>
      <c r="AR185" s="60"/>
      <c r="AS185" s="60"/>
      <c r="AT185" s="74" t="str">
        <f t="shared" si="35"/>
        <v>-</v>
      </c>
      <c r="AU185" s="74" t="str">
        <f t="shared" si="36"/>
        <v>-</v>
      </c>
      <c r="AV185" s="74" t="str">
        <f t="shared" si="37"/>
        <v>-</v>
      </c>
      <c r="AX185" s="59" t="str">
        <f>IF(AND(D185&gt;0,AA185&gt;0),MIN(D185,AA185),"-")</f>
        <v>-</v>
      </c>
      <c r="AY185" s="59" t="str">
        <f>IF(AND(E185&gt;0,AB185&gt;0),MIN(E185,AB185),"-")</f>
        <v>-</v>
      </c>
      <c r="AZ185" s="59" t="str">
        <f>IF(AND(F185&gt;0,AC185&gt;0),MIN(F185,AC185),"-")</f>
        <v>-</v>
      </c>
      <c r="BA185" s="59" t="str">
        <f>IF(AND(G185&gt;0,AD185&gt;0),MIN(G185,AD185),"-")</f>
        <v>-</v>
      </c>
      <c r="BB185" s="59" t="str">
        <f>IF(AND(H185&gt;0,AE185&gt;0),MIN(H185,AE185),"-")</f>
        <v>-</v>
      </c>
      <c r="BC185" s="59" t="str">
        <f>IF(AND(I185&gt;0,AF185&gt;0),MIN(I185,AF185),"-")</f>
        <v>-</v>
      </c>
      <c r="BD185" s="59" t="str">
        <f>IF(AND(J185&gt;0,AG185&gt;0),MIN(J185,AG185),"-")</f>
        <v>-</v>
      </c>
      <c r="BE185" s="59" t="str">
        <f>IF(AND(K185&gt;0,AH185&gt;0),MIN(K185,AH185),"-")</f>
        <v>-</v>
      </c>
      <c r="BF185" s="59" t="str">
        <f>IF(AND(L185&gt;0,AI185&gt;0),MIN(L185,AI185),"-")</f>
        <v>-</v>
      </c>
      <c r="BG185" s="59" t="str">
        <f t="shared" si="38"/>
        <v>-</v>
      </c>
      <c r="BH185" s="59" t="str">
        <f>IF(AND(N185&gt;0,AK185&gt;0),MIN(N185,AK185),"-")</f>
        <v>-</v>
      </c>
      <c r="BI185" s="59" t="str">
        <f>IF(AND(O185&gt;0,AL185&gt;0),MIN(O185,AL185),"-")</f>
        <v>-</v>
      </c>
      <c r="BJ185" s="59" t="str">
        <f>IF(AND(P185&gt;0,AM185&gt;0),MIN(P185,AM185),"-")</f>
        <v>-</v>
      </c>
      <c r="BK185" s="59" t="str">
        <f>IF(AND(Q185&gt;0,AN185&gt;0),MIN(Q185,AN185),"-")</f>
        <v>-</v>
      </c>
      <c r="BL185" s="59" t="str">
        <f>IF(AND(R185&gt;0,AO185&gt;0),MIN(R185,AO185),"-")</f>
        <v>-</v>
      </c>
      <c r="BM185" s="59" t="str">
        <f>IF(AND(S185&gt;0,AP185&gt;0),MIN(S185,AP185),"-")</f>
        <v>-</v>
      </c>
      <c r="BN185" s="59" t="str">
        <f>IF(AND(T185&gt;0,AQ185&gt;0),MIN(T185,AQ185),"-")</f>
        <v>-</v>
      </c>
      <c r="BO185" s="59" t="str">
        <f>IF(AND(U185&gt;0,AR185&gt;0),MIN(U185,AR185),"-")</f>
        <v>-</v>
      </c>
      <c r="BP185" s="59" t="str">
        <f>IF(AND(V185&gt;0,AS185&gt;0),MIN(V185,AS185),"-")</f>
        <v>-</v>
      </c>
      <c r="BQ185" s="59" t="str">
        <f t="shared" si="39"/>
        <v>-</v>
      </c>
      <c r="BR185" s="59" t="str">
        <f t="shared" si="40"/>
        <v>-</v>
      </c>
      <c r="BS185" s="59" t="str">
        <f t="shared" si="41"/>
        <v>-</v>
      </c>
      <c r="BT185" s="98" t="str">
        <f>IF(ISNUMBER(BS185),BS185-(C185*Rules!$P$9/100),"-")</f>
        <v>-</v>
      </c>
      <c r="BU185" s="59" t="e">
        <f>RANK($BT185,$BT$5:$BT$106,1)+COUNTIF(BT$5:BT185,BT185)-1</f>
        <v>#VALUE!</v>
      </c>
      <c r="BV185" s="59" t="e">
        <f t="shared" si="42"/>
        <v>#VALUE!</v>
      </c>
      <c r="BW185" s="59" t="str">
        <f t="shared" si="43"/>
        <v xml:space="preserve"> </v>
      </c>
      <c r="BX185" s="59">
        <f t="shared" si="43"/>
        <v>0</v>
      </c>
      <c r="BY185" s="59" t="str">
        <f t="shared" si="44"/>
        <v>-</v>
      </c>
      <c r="CD185" s="79"/>
      <c r="CE185" s="80"/>
      <c r="CF185" s="104"/>
      <c r="CL185" s="77">
        <v>1</v>
      </c>
    </row>
    <row r="186" spans="1:90" ht="17.45" customHeight="1">
      <c r="A186" s="58">
        <v>182</v>
      </c>
      <c r="B186" s="59" t="str">
        <f>'B Div'!A186 &amp; " " &amp; 'B Div'!B186</f>
        <v xml:space="preserve"> </v>
      </c>
      <c r="C186" s="59">
        <f>'B Div'!E186</f>
        <v>0</v>
      </c>
      <c r="D186" s="60"/>
      <c r="E186" s="60"/>
      <c r="F186" s="60"/>
      <c r="G186" s="60"/>
      <c r="H186" s="60"/>
      <c r="I186" s="60"/>
      <c r="J186" s="60"/>
      <c r="K186" s="60"/>
      <c r="L186" s="60"/>
      <c r="M186" s="74" t="str">
        <f t="shared" si="30"/>
        <v>-</v>
      </c>
      <c r="N186" s="60"/>
      <c r="O186" s="60"/>
      <c r="P186" s="60"/>
      <c r="Q186" s="60"/>
      <c r="R186" s="60"/>
      <c r="S186" s="60"/>
      <c r="T186" s="60"/>
      <c r="U186" s="60"/>
      <c r="V186" s="60"/>
      <c r="W186" s="74" t="str">
        <f t="shared" si="31"/>
        <v>-</v>
      </c>
      <c r="X186" s="74" t="str">
        <f t="shared" si="32"/>
        <v>-</v>
      </c>
      <c r="Y186" s="74" t="str">
        <f t="shared" si="33"/>
        <v>-</v>
      </c>
      <c r="AA186" s="60"/>
      <c r="AB186" s="60"/>
      <c r="AC186" s="60"/>
      <c r="AD186" s="60"/>
      <c r="AE186" s="60"/>
      <c r="AF186" s="60"/>
      <c r="AG186" s="60"/>
      <c r="AH186" s="60"/>
      <c r="AI186" s="60"/>
      <c r="AJ186" s="74" t="str">
        <f t="shared" si="34"/>
        <v>-</v>
      </c>
      <c r="AK186" s="60"/>
      <c r="AL186" s="60"/>
      <c r="AM186" s="60"/>
      <c r="AN186" s="60"/>
      <c r="AO186" s="60"/>
      <c r="AP186" s="60"/>
      <c r="AQ186" s="60"/>
      <c r="AR186" s="60"/>
      <c r="AS186" s="60"/>
      <c r="AT186" s="74" t="str">
        <f t="shared" si="35"/>
        <v>-</v>
      </c>
      <c r="AU186" s="74" t="str">
        <f t="shared" si="36"/>
        <v>-</v>
      </c>
      <c r="AV186" s="74" t="str">
        <f t="shared" si="37"/>
        <v>-</v>
      </c>
      <c r="AX186" s="59" t="str">
        <f>IF(AND(D186&gt;0,AA186&gt;0),MIN(D186,AA186),"-")</f>
        <v>-</v>
      </c>
      <c r="AY186" s="59" t="str">
        <f>IF(AND(E186&gt;0,AB186&gt;0),MIN(E186,AB186),"-")</f>
        <v>-</v>
      </c>
      <c r="AZ186" s="59" t="str">
        <f>IF(AND(F186&gt;0,AC186&gt;0),MIN(F186,AC186),"-")</f>
        <v>-</v>
      </c>
      <c r="BA186" s="59" t="str">
        <f>IF(AND(G186&gt;0,AD186&gt;0),MIN(G186,AD186),"-")</f>
        <v>-</v>
      </c>
      <c r="BB186" s="59" t="str">
        <f>IF(AND(H186&gt;0,AE186&gt;0),MIN(H186,AE186),"-")</f>
        <v>-</v>
      </c>
      <c r="BC186" s="59" t="str">
        <f>IF(AND(I186&gt;0,AF186&gt;0),MIN(I186,AF186),"-")</f>
        <v>-</v>
      </c>
      <c r="BD186" s="59" t="str">
        <f>IF(AND(J186&gt;0,AG186&gt;0),MIN(J186,AG186),"-")</f>
        <v>-</v>
      </c>
      <c r="BE186" s="59" t="str">
        <f>IF(AND(K186&gt;0,AH186&gt;0),MIN(K186,AH186),"-")</f>
        <v>-</v>
      </c>
      <c r="BF186" s="59" t="str">
        <f>IF(AND(L186&gt;0,AI186&gt;0),MIN(L186,AI186),"-")</f>
        <v>-</v>
      </c>
      <c r="BG186" s="59" t="str">
        <f t="shared" si="38"/>
        <v>-</v>
      </c>
      <c r="BH186" s="59" t="str">
        <f>IF(AND(N186&gt;0,AK186&gt;0),MIN(N186,AK186),"-")</f>
        <v>-</v>
      </c>
      <c r="BI186" s="59" t="str">
        <f>IF(AND(O186&gt;0,AL186&gt;0),MIN(O186,AL186),"-")</f>
        <v>-</v>
      </c>
      <c r="BJ186" s="59" t="str">
        <f>IF(AND(P186&gt;0,AM186&gt;0),MIN(P186,AM186),"-")</f>
        <v>-</v>
      </c>
      <c r="BK186" s="59" t="str">
        <f>IF(AND(Q186&gt;0,AN186&gt;0),MIN(Q186,AN186),"-")</f>
        <v>-</v>
      </c>
      <c r="BL186" s="59" t="str">
        <f>IF(AND(R186&gt;0,AO186&gt;0),MIN(R186,AO186),"-")</f>
        <v>-</v>
      </c>
      <c r="BM186" s="59" t="str">
        <f>IF(AND(S186&gt;0,AP186&gt;0),MIN(S186,AP186),"-")</f>
        <v>-</v>
      </c>
      <c r="BN186" s="59" t="str">
        <f>IF(AND(T186&gt;0,AQ186&gt;0),MIN(T186,AQ186),"-")</f>
        <v>-</v>
      </c>
      <c r="BO186" s="59" t="str">
        <f>IF(AND(U186&gt;0,AR186&gt;0),MIN(U186,AR186),"-")</f>
        <v>-</v>
      </c>
      <c r="BP186" s="59" t="str">
        <f>IF(AND(V186&gt;0,AS186&gt;0),MIN(V186,AS186),"-")</f>
        <v>-</v>
      </c>
      <c r="BQ186" s="59" t="str">
        <f t="shared" si="39"/>
        <v>-</v>
      </c>
      <c r="BR186" s="59" t="str">
        <f t="shared" si="40"/>
        <v>-</v>
      </c>
      <c r="BS186" s="59" t="str">
        <f t="shared" si="41"/>
        <v>-</v>
      </c>
      <c r="BT186" s="98" t="str">
        <f>IF(ISNUMBER(BS186),BS186-(C186*Rules!$P$9/100),"-")</f>
        <v>-</v>
      </c>
      <c r="BU186" s="59" t="e">
        <f>RANK($BT186,$BT$5:$BT$106,1)+COUNTIF(BT$5:BT186,BT186)-1</f>
        <v>#VALUE!</v>
      </c>
      <c r="BV186" s="59" t="e">
        <f t="shared" si="42"/>
        <v>#VALUE!</v>
      </c>
      <c r="BW186" s="59" t="str">
        <f t="shared" si="43"/>
        <v xml:space="preserve"> </v>
      </c>
      <c r="BX186" s="59">
        <f t="shared" si="43"/>
        <v>0</v>
      </c>
      <c r="BY186" s="59" t="str">
        <f t="shared" si="44"/>
        <v>-</v>
      </c>
      <c r="CD186" s="79"/>
      <c r="CE186" s="80"/>
      <c r="CF186" s="104"/>
      <c r="CL186" s="77">
        <v>1</v>
      </c>
    </row>
    <row r="187" spans="1:90" ht="17.45" customHeight="1">
      <c r="A187" s="58">
        <v>183</v>
      </c>
      <c r="B187" s="59" t="str">
        <f>'B Div'!A187 &amp; " " &amp; 'B Div'!B187</f>
        <v xml:space="preserve"> </v>
      </c>
      <c r="C187" s="59">
        <f>'B Div'!E187</f>
        <v>0</v>
      </c>
      <c r="D187" s="60"/>
      <c r="E187" s="60"/>
      <c r="F187" s="60"/>
      <c r="G187" s="60"/>
      <c r="H187" s="60"/>
      <c r="I187" s="60"/>
      <c r="J187" s="60"/>
      <c r="K187" s="60"/>
      <c r="L187" s="60"/>
      <c r="M187" s="74" t="str">
        <f t="shared" si="30"/>
        <v>-</v>
      </c>
      <c r="N187" s="60"/>
      <c r="O187" s="60"/>
      <c r="P187" s="60"/>
      <c r="Q187" s="60"/>
      <c r="R187" s="60"/>
      <c r="S187" s="60"/>
      <c r="T187" s="60"/>
      <c r="U187" s="60"/>
      <c r="V187" s="60"/>
      <c r="W187" s="74" t="str">
        <f t="shared" si="31"/>
        <v>-</v>
      </c>
      <c r="X187" s="74" t="str">
        <f t="shared" si="32"/>
        <v>-</v>
      </c>
      <c r="Y187" s="74" t="str">
        <f t="shared" si="33"/>
        <v>-</v>
      </c>
      <c r="AA187" s="60"/>
      <c r="AB187" s="60"/>
      <c r="AC187" s="60"/>
      <c r="AD187" s="60"/>
      <c r="AE187" s="60"/>
      <c r="AF187" s="60"/>
      <c r="AG187" s="60"/>
      <c r="AH187" s="60"/>
      <c r="AI187" s="60"/>
      <c r="AJ187" s="74" t="str">
        <f t="shared" si="34"/>
        <v>-</v>
      </c>
      <c r="AK187" s="60"/>
      <c r="AL187" s="60"/>
      <c r="AM187" s="60"/>
      <c r="AN187" s="60"/>
      <c r="AO187" s="60"/>
      <c r="AP187" s="60"/>
      <c r="AQ187" s="60"/>
      <c r="AR187" s="60"/>
      <c r="AS187" s="60"/>
      <c r="AT187" s="74" t="str">
        <f t="shared" si="35"/>
        <v>-</v>
      </c>
      <c r="AU187" s="74" t="str">
        <f t="shared" si="36"/>
        <v>-</v>
      </c>
      <c r="AV187" s="74" t="str">
        <f t="shared" si="37"/>
        <v>-</v>
      </c>
      <c r="AX187" s="59" t="str">
        <f>IF(AND(D187&gt;0,AA187&gt;0),MIN(D187,AA187),"-")</f>
        <v>-</v>
      </c>
      <c r="AY187" s="59" t="str">
        <f>IF(AND(E187&gt;0,AB187&gt;0),MIN(E187,AB187),"-")</f>
        <v>-</v>
      </c>
      <c r="AZ187" s="59" t="str">
        <f>IF(AND(F187&gt;0,AC187&gt;0),MIN(F187,AC187),"-")</f>
        <v>-</v>
      </c>
      <c r="BA187" s="59" t="str">
        <f>IF(AND(G187&gt;0,AD187&gt;0),MIN(G187,AD187),"-")</f>
        <v>-</v>
      </c>
      <c r="BB187" s="59" t="str">
        <f>IF(AND(H187&gt;0,AE187&gt;0),MIN(H187,AE187),"-")</f>
        <v>-</v>
      </c>
      <c r="BC187" s="59" t="str">
        <f>IF(AND(I187&gt;0,AF187&gt;0),MIN(I187,AF187),"-")</f>
        <v>-</v>
      </c>
      <c r="BD187" s="59" t="str">
        <f>IF(AND(J187&gt;0,AG187&gt;0),MIN(J187,AG187),"-")</f>
        <v>-</v>
      </c>
      <c r="BE187" s="59" t="str">
        <f>IF(AND(K187&gt;0,AH187&gt;0),MIN(K187,AH187),"-")</f>
        <v>-</v>
      </c>
      <c r="BF187" s="59" t="str">
        <f>IF(AND(L187&gt;0,AI187&gt;0),MIN(L187,AI187),"-")</f>
        <v>-</v>
      </c>
      <c r="BG187" s="59" t="str">
        <f t="shared" si="38"/>
        <v>-</v>
      </c>
      <c r="BH187" s="59" t="str">
        <f>IF(AND(N187&gt;0,AK187&gt;0),MIN(N187,AK187),"-")</f>
        <v>-</v>
      </c>
      <c r="BI187" s="59" t="str">
        <f>IF(AND(O187&gt;0,AL187&gt;0),MIN(O187,AL187),"-")</f>
        <v>-</v>
      </c>
      <c r="BJ187" s="59" t="str">
        <f>IF(AND(P187&gt;0,AM187&gt;0),MIN(P187,AM187),"-")</f>
        <v>-</v>
      </c>
      <c r="BK187" s="59" t="str">
        <f>IF(AND(Q187&gt;0,AN187&gt;0),MIN(Q187,AN187),"-")</f>
        <v>-</v>
      </c>
      <c r="BL187" s="59" t="str">
        <f>IF(AND(R187&gt;0,AO187&gt;0),MIN(R187,AO187),"-")</f>
        <v>-</v>
      </c>
      <c r="BM187" s="59" t="str">
        <f>IF(AND(S187&gt;0,AP187&gt;0),MIN(S187,AP187),"-")</f>
        <v>-</v>
      </c>
      <c r="BN187" s="59" t="str">
        <f>IF(AND(T187&gt;0,AQ187&gt;0),MIN(T187,AQ187),"-")</f>
        <v>-</v>
      </c>
      <c r="BO187" s="59" t="str">
        <f>IF(AND(U187&gt;0,AR187&gt;0),MIN(U187,AR187),"-")</f>
        <v>-</v>
      </c>
      <c r="BP187" s="59" t="str">
        <f>IF(AND(V187&gt;0,AS187&gt;0),MIN(V187,AS187),"-")</f>
        <v>-</v>
      </c>
      <c r="BQ187" s="59" t="str">
        <f t="shared" si="39"/>
        <v>-</v>
      </c>
      <c r="BR187" s="59" t="str">
        <f t="shared" si="40"/>
        <v>-</v>
      </c>
      <c r="BS187" s="59" t="str">
        <f t="shared" si="41"/>
        <v>-</v>
      </c>
      <c r="BT187" s="98" t="str">
        <f>IF(ISNUMBER(BS187),BS187-(C187*Rules!$P$9/100),"-")</f>
        <v>-</v>
      </c>
      <c r="BU187" s="59" t="e">
        <f>RANK($BT187,$BT$5:$BT$106,1)+COUNTIF(BT$5:BT187,BT187)-1</f>
        <v>#VALUE!</v>
      </c>
      <c r="BV187" s="59" t="e">
        <f t="shared" si="42"/>
        <v>#VALUE!</v>
      </c>
      <c r="BW187" s="59" t="str">
        <f t="shared" si="43"/>
        <v xml:space="preserve"> </v>
      </c>
      <c r="BX187" s="59">
        <f t="shared" si="43"/>
        <v>0</v>
      </c>
      <c r="BY187" s="59" t="str">
        <f t="shared" si="44"/>
        <v>-</v>
      </c>
      <c r="CD187" s="79"/>
      <c r="CE187" s="80"/>
      <c r="CF187" s="104"/>
      <c r="CL187" s="77">
        <v>1</v>
      </c>
    </row>
    <row r="188" spans="1:90" ht="17.45" customHeight="1">
      <c r="A188" s="58">
        <v>184</v>
      </c>
      <c r="B188" s="59" t="str">
        <f>'B Div'!A188 &amp; " " &amp; 'B Div'!B188</f>
        <v xml:space="preserve"> </v>
      </c>
      <c r="C188" s="59">
        <f>'B Div'!E188</f>
        <v>0</v>
      </c>
      <c r="D188" s="60"/>
      <c r="E188" s="60"/>
      <c r="F188" s="60"/>
      <c r="G188" s="60"/>
      <c r="H188" s="60"/>
      <c r="I188" s="60"/>
      <c r="J188" s="60"/>
      <c r="K188" s="60"/>
      <c r="L188" s="60"/>
      <c r="M188" s="74" t="str">
        <f t="shared" si="30"/>
        <v>-</v>
      </c>
      <c r="N188" s="60"/>
      <c r="O188" s="60"/>
      <c r="P188" s="60"/>
      <c r="Q188" s="60"/>
      <c r="R188" s="60"/>
      <c r="S188" s="60"/>
      <c r="T188" s="60"/>
      <c r="U188" s="60"/>
      <c r="V188" s="60"/>
      <c r="W188" s="74" t="str">
        <f t="shared" si="31"/>
        <v>-</v>
      </c>
      <c r="X188" s="74" t="str">
        <f t="shared" si="32"/>
        <v>-</v>
      </c>
      <c r="Y188" s="74" t="str">
        <f t="shared" si="33"/>
        <v>-</v>
      </c>
      <c r="AA188" s="60"/>
      <c r="AB188" s="60"/>
      <c r="AC188" s="60"/>
      <c r="AD188" s="60"/>
      <c r="AE188" s="60"/>
      <c r="AF188" s="60"/>
      <c r="AG188" s="60"/>
      <c r="AH188" s="60"/>
      <c r="AI188" s="60"/>
      <c r="AJ188" s="74" t="str">
        <f t="shared" si="34"/>
        <v>-</v>
      </c>
      <c r="AK188" s="60"/>
      <c r="AL188" s="60"/>
      <c r="AM188" s="60"/>
      <c r="AN188" s="60"/>
      <c r="AO188" s="60"/>
      <c r="AP188" s="60"/>
      <c r="AQ188" s="60"/>
      <c r="AR188" s="60"/>
      <c r="AS188" s="60"/>
      <c r="AT188" s="74" t="str">
        <f t="shared" si="35"/>
        <v>-</v>
      </c>
      <c r="AU188" s="74" t="str">
        <f t="shared" si="36"/>
        <v>-</v>
      </c>
      <c r="AV188" s="74" t="str">
        <f t="shared" si="37"/>
        <v>-</v>
      </c>
      <c r="AX188" s="59" t="str">
        <f>IF(AND(D188&gt;0,AA188&gt;0),MIN(D188,AA188),"-")</f>
        <v>-</v>
      </c>
      <c r="AY188" s="59" t="str">
        <f>IF(AND(E188&gt;0,AB188&gt;0),MIN(E188,AB188),"-")</f>
        <v>-</v>
      </c>
      <c r="AZ188" s="59" t="str">
        <f>IF(AND(F188&gt;0,AC188&gt;0),MIN(F188,AC188),"-")</f>
        <v>-</v>
      </c>
      <c r="BA188" s="59" t="str">
        <f>IF(AND(G188&gt;0,AD188&gt;0),MIN(G188,AD188),"-")</f>
        <v>-</v>
      </c>
      <c r="BB188" s="59" t="str">
        <f>IF(AND(H188&gt;0,AE188&gt;0),MIN(H188,AE188),"-")</f>
        <v>-</v>
      </c>
      <c r="BC188" s="59" t="str">
        <f>IF(AND(I188&gt;0,AF188&gt;0),MIN(I188,AF188),"-")</f>
        <v>-</v>
      </c>
      <c r="BD188" s="59" t="str">
        <f>IF(AND(J188&gt;0,AG188&gt;0),MIN(J188,AG188),"-")</f>
        <v>-</v>
      </c>
      <c r="BE188" s="59" t="str">
        <f>IF(AND(K188&gt;0,AH188&gt;0),MIN(K188,AH188),"-")</f>
        <v>-</v>
      </c>
      <c r="BF188" s="59" t="str">
        <f>IF(AND(L188&gt;0,AI188&gt;0),MIN(L188,AI188),"-")</f>
        <v>-</v>
      </c>
      <c r="BG188" s="59" t="str">
        <f t="shared" si="38"/>
        <v>-</v>
      </c>
      <c r="BH188" s="59" t="str">
        <f>IF(AND(N188&gt;0,AK188&gt;0),MIN(N188,AK188),"-")</f>
        <v>-</v>
      </c>
      <c r="BI188" s="59" t="str">
        <f>IF(AND(O188&gt;0,AL188&gt;0),MIN(O188,AL188),"-")</f>
        <v>-</v>
      </c>
      <c r="BJ188" s="59" t="str">
        <f>IF(AND(P188&gt;0,AM188&gt;0),MIN(P188,AM188),"-")</f>
        <v>-</v>
      </c>
      <c r="BK188" s="59" t="str">
        <f>IF(AND(Q188&gt;0,AN188&gt;0),MIN(Q188,AN188),"-")</f>
        <v>-</v>
      </c>
      <c r="BL188" s="59" t="str">
        <f>IF(AND(R188&gt;0,AO188&gt;0),MIN(R188,AO188),"-")</f>
        <v>-</v>
      </c>
      <c r="BM188" s="59" t="str">
        <f>IF(AND(S188&gt;0,AP188&gt;0),MIN(S188,AP188),"-")</f>
        <v>-</v>
      </c>
      <c r="BN188" s="59" t="str">
        <f>IF(AND(T188&gt;0,AQ188&gt;0),MIN(T188,AQ188),"-")</f>
        <v>-</v>
      </c>
      <c r="BO188" s="59" t="str">
        <f>IF(AND(U188&gt;0,AR188&gt;0),MIN(U188,AR188),"-")</f>
        <v>-</v>
      </c>
      <c r="BP188" s="59" t="str">
        <f>IF(AND(V188&gt;0,AS188&gt;0),MIN(V188,AS188),"-")</f>
        <v>-</v>
      </c>
      <c r="BQ188" s="59" t="str">
        <f t="shared" si="39"/>
        <v>-</v>
      </c>
      <c r="BR188" s="59" t="str">
        <f t="shared" si="40"/>
        <v>-</v>
      </c>
      <c r="BS188" s="59" t="str">
        <f t="shared" si="41"/>
        <v>-</v>
      </c>
      <c r="BT188" s="98" t="str">
        <f>IF(ISNUMBER(BS188),BS188-(C188*Rules!$P$9/100),"-")</f>
        <v>-</v>
      </c>
      <c r="BU188" s="59" t="e">
        <f>RANK($BT188,$BT$5:$BT$106,1)+COUNTIF(BT$5:BT188,BT188)-1</f>
        <v>#VALUE!</v>
      </c>
      <c r="BV188" s="59" t="e">
        <f t="shared" si="42"/>
        <v>#VALUE!</v>
      </c>
      <c r="BW188" s="59" t="str">
        <f t="shared" si="43"/>
        <v xml:space="preserve"> </v>
      </c>
      <c r="BX188" s="59">
        <f t="shared" si="43"/>
        <v>0</v>
      </c>
      <c r="BY188" s="59" t="str">
        <f t="shared" si="44"/>
        <v>-</v>
      </c>
      <c r="CD188" s="79"/>
      <c r="CE188" s="80"/>
      <c r="CF188" s="104"/>
      <c r="CL188" s="77">
        <v>1</v>
      </c>
    </row>
    <row r="189" spans="1:90" ht="17.45" customHeight="1">
      <c r="A189" s="58">
        <v>185</v>
      </c>
      <c r="B189" s="59" t="str">
        <f>'B Div'!A189 &amp; " " &amp; 'B Div'!B189</f>
        <v xml:space="preserve"> </v>
      </c>
      <c r="C189" s="59">
        <f>'B Div'!E189</f>
        <v>0</v>
      </c>
      <c r="D189" s="60"/>
      <c r="E189" s="60"/>
      <c r="F189" s="60"/>
      <c r="G189" s="60"/>
      <c r="H189" s="60"/>
      <c r="I189" s="60"/>
      <c r="J189" s="60"/>
      <c r="K189" s="60"/>
      <c r="L189" s="60"/>
      <c r="M189" s="74" t="str">
        <f t="shared" si="30"/>
        <v>-</v>
      </c>
      <c r="N189" s="60"/>
      <c r="O189" s="60"/>
      <c r="P189" s="60"/>
      <c r="Q189" s="60"/>
      <c r="R189" s="60"/>
      <c r="S189" s="60"/>
      <c r="T189" s="60"/>
      <c r="U189" s="60"/>
      <c r="V189" s="60"/>
      <c r="W189" s="74" t="str">
        <f t="shared" si="31"/>
        <v>-</v>
      </c>
      <c r="X189" s="74" t="str">
        <f t="shared" si="32"/>
        <v>-</v>
      </c>
      <c r="Y189" s="74" t="str">
        <f t="shared" si="33"/>
        <v>-</v>
      </c>
      <c r="AA189" s="60"/>
      <c r="AB189" s="60"/>
      <c r="AC189" s="60"/>
      <c r="AD189" s="60"/>
      <c r="AE189" s="60"/>
      <c r="AF189" s="60"/>
      <c r="AG189" s="60"/>
      <c r="AH189" s="60"/>
      <c r="AI189" s="60"/>
      <c r="AJ189" s="74" t="str">
        <f t="shared" si="34"/>
        <v>-</v>
      </c>
      <c r="AK189" s="60"/>
      <c r="AL189" s="60"/>
      <c r="AM189" s="60"/>
      <c r="AN189" s="60"/>
      <c r="AO189" s="60"/>
      <c r="AP189" s="60"/>
      <c r="AQ189" s="60"/>
      <c r="AR189" s="60"/>
      <c r="AS189" s="60"/>
      <c r="AT189" s="74" t="str">
        <f t="shared" si="35"/>
        <v>-</v>
      </c>
      <c r="AU189" s="74" t="str">
        <f t="shared" si="36"/>
        <v>-</v>
      </c>
      <c r="AV189" s="74" t="str">
        <f t="shared" si="37"/>
        <v>-</v>
      </c>
      <c r="AX189" s="59" t="str">
        <f>IF(AND(D189&gt;0,AA189&gt;0),MIN(D189,AA189),"-")</f>
        <v>-</v>
      </c>
      <c r="AY189" s="59" t="str">
        <f>IF(AND(E189&gt;0,AB189&gt;0),MIN(E189,AB189),"-")</f>
        <v>-</v>
      </c>
      <c r="AZ189" s="59" t="str">
        <f>IF(AND(F189&gt;0,AC189&gt;0),MIN(F189,AC189),"-")</f>
        <v>-</v>
      </c>
      <c r="BA189" s="59" t="str">
        <f>IF(AND(G189&gt;0,AD189&gt;0),MIN(G189,AD189),"-")</f>
        <v>-</v>
      </c>
      <c r="BB189" s="59" t="str">
        <f>IF(AND(H189&gt;0,AE189&gt;0),MIN(H189,AE189),"-")</f>
        <v>-</v>
      </c>
      <c r="BC189" s="59" t="str">
        <f>IF(AND(I189&gt;0,AF189&gt;0),MIN(I189,AF189),"-")</f>
        <v>-</v>
      </c>
      <c r="BD189" s="59" t="str">
        <f>IF(AND(J189&gt;0,AG189&gt;0),MIN(J189,AG189),"-")</f>
        <v>-</v>
      </c>
      <c r="BE189" s="59" t="str">
        <f>IF(AND(K189&gt;0,AH189&gt;0),MIN(K189,AH189),"-")</f>
        <v>-</v>
      </c>
      <c r="BF189" s="59" t="str">
        <f>IF(AND(L189&gt;0,AI189&gt;0),MIN(L189,AI189),"-")</f>
        <v>-</v>
      </c>
      <c r="BG189" s="59" t="str">
        <f t="shared" si="38"/>
        <v>-</v>
      </c>
      <c r="BH189" s="59" t="str">
        <f>IF(AND(N189&gt;0,AK189&gt;0),MIN(N189,AK189),"-")</f>
        <v>-</v>
      </c>
      <c r="BI189" s="59" t="str">
        <f>IF(AND(O189&gt;0,AL189&gt;0),MIN(O189,AL189),"-")</f>
        <v>-</v>
      </c>
      <c r="BJ189" s="59" t="str">
        <f>IF(AND(P189&gt;0,AM189&gt;0),MIN(P189,AM189),"-")</f>
        <v>-</v>
      </c>
      <c r="BK189" s="59" t="str">
        <f>IF(AND(Q189&gt;0,AN189&gt;0),MIN(Q189,AN189),"-")</f>
        <v>-</v>
      </c>
      <c r="BL189" s="59" t="str">
        <f>IF(AND(R189&gt;0,AO189&gt;0),MIN(R189,AO189),"-")</f>
        <v>-</v>
      </c>
      <c r="BM189" s="59" t="str">
        <f>IF(AND(S189&gt;0,AP189&gt;0),MIN(S189,AP189),"-")</f>
        <v>-</v>
      </c>
      <c r="BN189" s="59" t="str">
        <f>IF(AND(T189&gt;0,AQ189&gt;0),MIN(T189,AQ189),"-")</f>
        <v>-</v>
      </c>
      <c r="BO189" s="59" t="str">
        <f>IF(AND(U189&gt;0,AR189&gt;0),MIN(U189,AR189),"-")</f>
        <v>-</v>
      </c>
      <c r="BP189" s="59" t="str">
        <f>IF(AND(V189&gt;0,AS189&gt;0),MIN(V189,AS189),"-")</f>
        <v>-</v>
      </c>
      <c r="BQ189" s="59" t="str">
        <f t="shared" si="39"/>
        <v>-</v>
      </c>
      <c r="BR189" s="59" t="str">
        <f t="shared" si="40"/>
        <v>-</v>
      </c>
      <c r="BS189" s="59" t="str">
        <f t="shared" si="41"/>
        <v>-</v>
      </c>
      <c r="BT189" s="98" t="str">
        <f>IF(ISNUMBER(BS189),BS189-(C189*Rules!$P$9/100),"-")</f>
        <v>-</v>
      </c>
      <c r="BU189" s="59" t="e">
        <f>RANK($BT189,$BT$5:$BT$106,1)+COUNTIF(BT$5:BT189,BT189)-1</f>
        <v>#VALUE!</v>
      </c>
      <c r="BV189" s="59" t="e">
        <f t="shared" si="42"/>
        <v>#VALUE!</v>
      </c>
      <c r="BW189" s="59" t="str">
        <f t="shared" si="43"/>
        <v xml:space="preserve"> </v>
      </c>
      <c r="BX189" s="59">
        <f t="shared" si="43"/>
        <v>0</v>
      </c>
      <c r="BY189" s="59" t="str">
        <f t="shared" si="44"/>
        <v>-</v>
      </c>
      <c r="CD189" s="79"/>
      <c r="CE189" s="80"/>
      <c r="CF189" s="104"/>
      <c r="CL189" s="77">
        <v>1</v>
      </c>
    </row>
    <row r="190" spans="1:90" ht="17.45" customHeight="1">
      <c r="A190" s="58">
        <v>186</v>
      </c>
      <c r="B190" s="59" t="str">
        <f>'B Div'!A190 &amp; " " &amp; 'B Div'!B190</f>
        <v xml:space="preserve"> </v>
      </c>
      <c r="C190" s="59">
        <f>'B Div'!E190</f>
        <v>0</v>
      </c>
      <c r="D190" s="60"/>
      <c r="E190" s="60"/>
      <c r="F190" s="60"/>
      <c r="G190" s="60"/>
      <c r="H190" s="60"/>
      <c r="I190" s="60"/>
      <c r="J190" s="60"/>
      <c r="K190" s="60"/>
      <c r="L190" s="60"/>
      <c r="M190" s="74" t="str">
        <f t="shared" si="30"/>
        <v>-</v>
      </c>
      <c r="N190" s="60"/>
      <c r="O190" s="60"/>
      <c r="P190" s="60"/>
      <c r="Q190" s="60"/>
      <c r="R190" s="60"/>
      <c r="S190" s="60"/>
      <c r="T190" s="60"/>
      <c r="U190" s="60"/>
      <c r="V190" s="60"/>
      <c r="W190" s="74" t="str">
        <f t="shared" si="31"/>
        <v>-</v>
      </c>
      <c r="X190" s="74" t="str">
        <f t="shared" si="32"/>
        <v>-</v>
      </c>
      <c r="Y190" s="74" t="str">
        <f t="shared" si="33"/>
        <v>-</v>
      </c>
      <c r="AA190" s="60"/>
      <c r="AB190" s="60"/>
      <c r="AC190" s="60"/>
      <c r="AD190" s="60"/>
      <c r="AE190" s="60"/>
      <c r="AF190" s="60"/>
      <c r="AG190" s="60"/>
      <c r="AH190" s="60"/>
      <c r="AI190" s="60"/>
      <c r="AJ190" s="74" t="str">
        <f t="shared" si="34"/>
        <v>-</v>
      </c>
      <c r="AK190" s="60"/>
      <c r="AL190" s="60"/>
      <c r="AM190" s="60"/>
      <c r="AN190" s="60"/>
      <c r="AO190" s="60"/>
      <c r="AP190" s="60"/>
      <c r="AQ190" s="60"/>
      <c r="AR190" s="60"/>
      <c r="AS190" s="60"/>
      <c r="AT190" s="74" t="str">
        <f t="shared" si="35"/>
        <v>-</v>
      </c>
      <c r="AU190" s="74" t="str">
        <f t="shared" si="36"/>
        <v>-</v>
      </c>
      <c r="AV190" s="74" t="str">
        <f t="shared" si="37"/>
        <v>-</v>
      </c>
      <c r="AX190" s="59" t="str">
        <f>IF(AND(D190&gt;0,AA190&gt;0),MIN(D190,AA190),"-")</f>
        <v>-</v>
      </c>
      <c r="AY190" s="59" t="str">
        <f>IF(AND(E190&gt;0,AB190&gt;0),MIN(E190,AB190),"-")</f>
        <v>-</v>
      </c>
      <c r="AZ190" s="59" t="str">
        <f>IF(AND(F190&gt;0,AC190&gt;0),MIN(F190,AC190),"-")</f>
        <v>-</v>
      </c>
      <c r="BA190" s="59" t="str">
        <f>IF(AND(G190&gt;0,AD190&gt;0),MIN(G190,AD190),"-")</f>
        <v>-</v>
      </c>
      <c r="BB190" s="59" t="str">
        <f>IF(AND(H190&gt;0,AE190&gt;0),MIN(H190,AE190),"-")</f>
        <v>-</v>
      </c>
      <c r="BC190" s="59" t="str">
        <f>IF(AND(I190&gt;0,AF190&gt;0),MIN(I190,AF190),"-")</f>
        <v>-</v>
      </c>
      <c r="BD190" s="59" t="str">
        <f>IF(AND(J190&gt;0,AG190&gt;0),MIN(J190,AG190),"-")</f>
        <v>-</v>
      </c>
      <c r="BE190" s="59" t="str">
        <f>IF(AND(K190&gt;0,AH190&gt;0),MIN(K190,AH190),"-")</f>
        <v>-</v>
      </c>
      <c r="BF190" s="59" t="str">
        <f>IF(AND(L190&gt;0,AI190&gt;0),MIN(L190,AI190),"-")</f>
        <v>-</v>
      </c>
      <c r="BG190" s="59" t="str">
        <f t="shared" si="38"/>
        <v>-</v>
      </c>
      <c r="BH190" s="59" t="str">
        <f>IF(AND(N190&gt;0,AK190&gt;0),MIN(N190,AK190),"-")</f>
        <v>-</v>
      </c>
      <c r="BI190" s="59" t="str">
        <f>IF(AND(O190&gt;0,AL190&gt;0),MIN(O190,AL190),"-")</f>
        <v>-</v>
      </c>
      <c r="BJ190" s="59" t="str">
        <f>IF(AND(P190&gt;0,AM190&gt;0),MIN(P190,AM190),"-")</f>
        <v>-</v>
      </c>
      <c r="BK190" s="59" t="str">
        <f>IF(AND(Q190&gt;0,AN190&gt;0),MIN(Q190,AN190),"-")</f>
        <v>-</v>
      </c>
      <c r="BL190" s="59" t="str">
        <f>IF(AND(R190&gt;0,AO190&gt;0),MIN(R190,AO190),"-")</f>
        <v>-</v>
      </c>
      <c r="BM190" s="59" t="str">
        <f>IF(AND(S190&gt;0,AP190&gt;0),MIN(S190,AP190),"-")</f>
        <v>-</v>
      </c>
      <c r="BN190" s="59" t="str">
        <f>IF(AND(T190&gt;0,AQ190&gt;0),MIN(T190,AQ190),"-")</f>
        <v>-</v>
      </c>
      <c r="BO190" s="59" t="str">
        <f>IF(AND(U190&gt;0,AR190&gt;0),MIN(U190,AR190),"-")</f>
        <v>-</v>
      </c>
      <c r="BP190" s="59" t="str">
        <f>IF(AND(V190&gt;0,AS190&gt;0),MIN(V190,AS190),"-")</f>
        <v>-</v>
      </c>
      <c r="BQ190" s="59" t="str">
        <f t="shared" si="39"/>
        <v>-</v>
      </c>
      <c r="BR190" s="59" t="str">
        <f t="shared" si="40"/>
        <v>-</v>
      </c>
      <c r="BS190" s="59" t="str">
        <f t="shared" si="41"/>
        <v>-</v>
      </c>
      <c r="BT190" s="98" t="str">
        <f>IF(ISNUMBER(BS190),BS190-(C190*Rules!$P$9/100),"-")</f>
        <v>-</v>
      </c>
      <c r="BU190" s="59" t="e">
        <f>RANK($BT190,$BT$5:$BT$106,1)+COUNTIF(BT$5:BT190,BT190)-1</f>
        <v>#VALUE!</v>
      </c>
      <c r="BV190" s="59" t="e">
        <f t="shared" si="42"/>
        <v>#VALUE!</v>
      </c>
      <c r="BW190" s="59" t="str">
        <f t="shared" si="43"/>
        <v xml:space="preserve"> </v>
      </c>
      <c r="BX190" s="59">
        <f t="shared" si="43"/>
        <v>0</v>
      </c>
      <c r="BY190" s="59" t="str">
        <f t="shared" si="44"/>
        <v>-</v>
      </c>
      <c r="CD190" s="79"/>
      <c r="CE190" s="80"/>
      <c r="CF190" s="104"/>
      <c r="CL190" s="77">
        <v>1</v>
      </c>
    </row>
    <row r="191" spans="1:90" ht="17.45" customHeight="1">
      <c r="A191" s="58">
        <v>187</v>
      </c>
      <c r="B191" s="59" t="str">
        <f>'B Div'!A191 &amp; " " &amp; 'B Div'!B191</f>
        <v xml:space="preserve"> </v>
      </c>
      <c r="C191" s="59">
        <f>'B Div'!E191</f>
        <v>0</v>
      </c>
      <c r="D191" s="60"/>
      <c r="E191" s="60"/>
      <c r="F191" s="60"/>
      <c r="G191" s="60"/>
      <c r="H191" s="60"/>
      <c r="I191" s="60"/>
      <c r="J191" s="60"/>
      <c r="K191" s="60"/>
      <c r="L191" s="60"/>
      <c r="M191" s="74" t="str">
        <f t="shared" si="30"/>
        <v>-</v>
      </c>
      <c r="N191" s="60"/>
      <c r="O191" s="60"/>
      <c r="P191" s="60"/>
      <c r="Q191" s="60"/>
      <c r="R191" s="60"/>
      <c r="S191" s="60"/>
      <c r="T191" s="60"/>
      <c r="U191" s="60"/>
      <c r="V191" s="60"/>
      <c r="W191" s="74" t="str">
        <f t="shared" si="31"/>
        <v>-</v>
      </c>
      <c r="X191" s="74" t="str">
        <f t="shared" si="32"/>
        <v>-</v>
      </c>
      <c r="Y191" s="74" t="str">
        <f t="shared" si="33"/>
        <v>-</v>
      </c>
      <c r="AA191" s="60"/>
      <c r="AB191" s="60"/>
      <c r="AC191" s="60"/>
      <c r="AD191" s="60"/>
      <c r="AE191" s="60"/>
      <c r="AF191" s="60"/>
      <c r="AG191" s="60"/>
      <c r="AH191" s="60"/>
      <c r="AI191" s="60"/>
      <c r="AJ191" s="74" t="str">
        <f t="shared" si="34"/>
        <v>-</v>
      </c>
      <c r="AK191" s="60"/>
      <c r="AL191" s="60"/>
      <c r="AM191" s="60"/>
      <c r="AN191" s="60"/>
      <c r="AO191" s="60"/>
      <c r="AP191" s="60"/>
      <c r="AQ191" s="60"/>
      <c r="AR191" s="60"/>
      <c r="AS191" s="60"/>
      <c r="AT191" s="74" t="str">
        <f t="shared" si="35"/>
        <v>-</v>
      </c>
      <c r="AU191" s="74" t="str">
        <f t="shared" si="36"/>
        <v>-</v>
      </c>
      <c r="AV191" s="74" t="str">
        <f t="shared" si="37"/>
        <v>-</v>
      </c>
      <c r="AX191" s="59" t="str">
        <f>IF(AND(D191&gt;0,AA191&gt;0),MIN(D191,AA191),"-")</f>
        <v>-</v>
      </c>
      <c r="AY191" s="59" t="str">
        <f>IF(AND(E191&gt;0,AB191&gt;0),MIN(E191,AB191),"-")</f>
        <v>-</v>
      </c>
      <c r="AZ191" s="59" t="str">
        <f>IF(AND(F191&gt;0,AC191&gt;0),MIN(F191,AC191),"-")</f>
        <v>-</v>
      </c>
      <c r="BA191" s="59" t="str">
        <f>IF(AND(G191&gt;0,AD191&gt;0),MIN(G191,AD191),"-")</f>
        <v>-</v>
      </c>
      <c r="BB191" s="59" t="str">
        <f>IF(AND(H191&gt;0,AE191&gt;0),MIN(H191,AE191),"-")</f>
        <v>-</v>
      </c>
      <c r="BC191" s="59" t="str">
        <f>IF(AND(I191&gt;0,AF191&gt;0),MIN(I191,AF191),"-")</f>
        <v>-</v>
      </c>
      <c r="BD191" s="59" t="str">
        <f>IF(AND(J191&gt;0,AG191&gt;0),MIN(J191,AG191),"-")</f>
        <v>-</v>
      </c>
      <c r="BE191" s="59" t="str">
        <f>IF(AND(K191&gt;0,AH191&gt;0),MIN(K191,AH191),"-")</f>
        <v>-</v>
      </c>
      <c r="BF191" s="59" t="str">
        <f>IF(AND(L191&gt;0,AI191&gt;0),MIN(L191,AI191),"-")</f>
        <v>-</v>
      </c>
      <c r="BG191" s="59" t="str">
        <f t="shared" si="38"/>
        <v>-</v>
      </c>
      <c r="BH191" s="59" t="str">
        <f>IF(AND(N191&gt;0,AK191&gt;0),MIN(N191,AK191),"-")</f>
        <v>-</v>
      </c>
      <c r="BI191" s="59" t="str">
        <f>IF(AND(O191&gt;0,AL191&gt;0),MIN(O191,AL191),"-")</f>
        <v>-</v>
      </c>
      <c r="BJ191" s="59" t="str">
        <f>IF(AND(P191&gt;0,AM191&gt;0),MIN(P191,AM191),"-")</f>
        <v>-</v>
      </c>
      <c r="BK191" s="59" t="str">
        <f>IF(AND(Q191&gt;0,AN191&gt;0),MIN(Q191,AN191),"-")</f>
        <v>-</v>
      </c>
      <c r="BL191" s="59" t="str">
        <f>IF(AND(R191&gt;0,AO191&gt;0),MIN(R191,AO191),"-")</f>
        <v>-</v>
      </c>
      <c r="BM191" s="59" t="str">
        <f>IF(AND(S191&gt;0,AP191&gt;0),MIN(S191,AP191),"-")</f>
        <v>-</v>
      </c>
      <c r="BN191" s="59" t="str">
        <f>IF(AND(T191&gt;0,AQ191&gt;0),MIN(T191,AQ191),"-")</f>
        <v>-</v>
      </c>
      <c r="BO191" s="59" t="str">
        <f>IF(AND(U191&gt;0,AR191&gt;0),MIN(U191,AR191),"-")</f>
        <v>-</v>
      </c>
      <c r="BP191" s="59" t="str">
        <f>IF(AND(V191&gt;0,AS191&gt;0),MIN(V191,AS191),"-")</f>
        <v>-</v>
      </c>
      <c r="BQ191" s="59" t="str">
        <f t="shared" si="39"/>
        <v>-</v>
      </c>
      <c r="BR191" s="59" t="str">
        <f t="shared" si="40"/>
        <v>-</v>
      </c>
      <c r="BS191" s="59" t="str">
        <f t="shared" si="41"/>
        <v>-</v>
      </c>
      <c r="BT191" s="98" t="str">
        <f>IF(ISNUMBER(BS191),BS191-(C191*Rules!$P$9/100),"-")</f>
        <v>-</v>
      </c>
      <c r="BU191" s="59" t="e">
        <f>RANK($BT191,$BT$5:$BT$106,1)+COUNTIF(BT$5:BT191,BT191)-1</f>
        <v>#VALUE!</v>
      </c>
      <c r="BV191" s="59" t="e">
        <f t="shared" si="42"/>
        <v>#VALUE!</v>
      </c>
      <c r="BW191" s="59" t="str">
        <f t="shared" si="43"/>
        <v xml:space="preserve"> </v>
      </c>
      <c r="BX191" s="59">
        <f t="shared" si="43"/>
        <v>0</v>
      </c>
      <c r="BY191" s="59" t="str">
        <f t="shared" si="44"/>
        <v>-</v>
      </c>
      <c r="CD191" s="79"/>
      <c r="CE191" s="80"/>
      <c r="CF191" s="104"/>
      <c r="CL191" s="77">
        <v>1</v>
      </c>
    </row>
    <row r="192" spans="1:90" ht="17.45" customHeight="1">
      <c r="A192" s="58">
        <v>188</v>
      </c>
      <c r="B192" s="59" t="str">
        <f>'B Div'!A192 &amp; " " &amp; 'B Div'!B192</f>
        <v xml:space="preserve"> </v>
      </c>
      <c r="C192" s="59">
        <f>'B Div'!E192</f>
        <v>0</v>
      </c>
      <c r="D192" s="60"/>
      <c r="E192" s="60"/>
      <c r="F192" s="60"/>
      <c r="G192" s="60"/>
      <c r="H192" s="60"/>
      <c r="I192" s="60"/>
      <c r="J192" s="60"/>
      <c r="K192" s="60"/>
      <c r="L192" s="60"/>
      <c r="M192" s="74" t="str">
        <f t="shared" si="30"/>
        <v>-</v>
      </c>
      <c r="N192" s="60"/>
      <c r="O192" s="60"/>
      <c r="P192" s="60"/>
      <c r="Q192" s="60"/>
      <c r="R192" s="60"/>
      <c r="S192" s="60"/>
      <c r="T192" s="60"/>
      <c r="U192" s="60"/>
      <c r="V192" s="60"/>
      <c r="W192" s="74" t="str">
        <f t="shared" si="31"/>
        <v>-</v>
      </c>
      <c r="X192" s="74" t="str">
        <f t="shared" si="32"/>
        <v>-</v>
      </c>
      <c r="Y192" s="74" t="str">
        <f t="shared" si="33"/>
        <v>-</v>
      </c>
      <c r="AA192" s="60"/>
      <c r="AB192" s="60"/>
      <c r="AC192" s="60"/>
      <c r="AD192" s="60"/>
      <c r="AE192" s="60"/>
      <c r="AF192" s="60"/>
      <c r="AG192" s="60"/>
      <c r="AH192" s="60"/>
      <c r="AI192" s="60"/>
      <c r="AJ192" s="74" t="str">
        <f t="shared" si="34"/>
        <v>-</v>
      </c>
      <c r="AK192" s="60"/>
      <c r="AL192" s="60"/>
      <c r="AM192" s="60"/>
      <c r="AN192" s="60"/>
      <c r="AO192" s="60"/>
      <c r="AP192" s="60"/>
      <c r="AQ192" s="60"/>
      <c r="AR192" s="60"/>
      <c r="AS192" s="60"/>
      <c r="AT192" s="74" t="str">
        <f t="shared" si="35"/>
        <v>-</v>
      </c>
      <c r="AU192" s="74" t="str">
        <f t="shared" si="36"/>
        <v>-</v>
      </c>
      <c r="AV192" s="74" t="str">
        <f t="shared" si="37"/>
        <v>-</v>
      </c>
      <c r="AX192" s="59" t="str">
        <f>IF(AND(D192&gt;0,AA192&gt;0),MIN(D192,AA192),"-")</f>
        <v>-</v>
      </c>
      <c r="AY192" s="59" t="str">
        <f>IF(AND(E192&gt;0,AB192&gt;0),MIN(E192,AB192),"-")</f>
        <v>-</v>
      </c>
      <c r="AZ192" s="59" t="str">
        <f>IF(AND(F192&gt;0,AC192&gt;0),MIN(F192,AC192),"-")</f>
        <v>-</v>
      </c>
      <c r="BA192" s="59" t="str">
        <f>IF(AND(G192&gt;0,AD192&gt;0),MIN(G192,AD192),"-")</f>
        <v>-</v>
      </c>
      <c r="BB192" s="59" t="str">
        <f>IF(AND(H192&gt;0,AE192&gt;0),MIN(H192,AE192),"-")</f>
        <v>-</v>
      </c>
      <c r="BC192" s="59" t="str">
        <f>IF(AND(I192&gt;0,AF192&gt;0),MIN(I192,AF192),"-")</f>
        <v>-</v>
      </c>
      <c r="BD192" s="59" t="str">
        <f>IF(AND(J192&gt;0,AG192&gt;0),MIN(J192,AG192),"-")</f>
        <v>-</v>
      </c>
      <c r="BE192" s="59" t="str">
        <f>IF(AND(K192&gt;0,AH192&gt;0),MIN(K192,AH192),"-")</f>
        <v>-</v>
      </c>
      <c r="BF192" s="59" t="str">
        <f>IF(AND(L192&gt;0,AI192&gt;0),MIN(L192,AI192),"-")</f>
        <v>-</v>
      </c>
      <c r="BG192" s="59" t="str">
        <f t="shared" si="38"/>
        <v>-</v>
      </c>
      <c r="BH192" s="59" t="str">
        <f>IF(AND(N192&gt;0,AK192&gt;0),MIN(N192,AK192),"-")</f>
        <v>-</v>
      </c>
      <c r="BI192" s="59" t="str">
        <f>IF(AND(O192&gt;0,AL192&gt;0),MIN(O192,AL192),"-")</f>
        <v>-</v>
      </c>
      <c r="BJ192" s="59" t="str">
        <f>IF(AND(P192&gt;0,AM192&gt;0),MIN(P192,AM192),"-")</f>
        <v>-</v>
      </c>
      <c r="BK192" s="59" t="str">
        <f>IF(AND(Q192&gt;0,AN192&gt;0),MIN(Q192,AN192),"-")</f>
        <v>-</v>
      </c>
      <c r="BL192" s="59" t="str">
        <f>IF(AND(R192&gt;0,AO192&gt;0),MIN(R192,AO192),"-")</f>
        <v>-</v>
      </c>
      <c r="BM192" s="59" t="str">
        <f>IF(AND(S192&gt;0,AP192&gt;0),MIN(S192,AP192),"-")</f>
        <v>-</v>
      </c>
      <c r="BN192" s="59" t="str">
        <f>IF(AND(T192&gt;0,AQ192&gt;0),MIN(T192,AQ192),"-")</f>
        <v>-</v>
      </c>
      <c r="BO192" s="59" t="str">
        <f>IF(AND(U192&gt;0,AR192&gt;0),MIN(U192,AR192),"-")</f>
        <v>-</v>
      </c>
      <c r="BP192" s="59" t="str">
        <f>IF(AND(V192&gt;0,AS192&gt;0),MIN(V192,AS192),"-")</f>
        <v>-</v>
      </c>
      <c r="BQ192" s="59" t="str">
        <f t="shared" si="39"/>
        <v>-</v>
      </c>
      <c r="BR192" s="59" t="str">
        <f t="shared" si="40"/>
        <v>-</v>
      </c>
      <c r="BS192" s="59" t="str">
        <f t="shared" si="41"/>
        <v>-</v>
      </c>
      <c r="BT192" s="98" t="str">
        <f>IF(ISNUMBER(BS192),BS192-(C192*Rules!$P$9/100),"-")</f>
        <v>-</v>
      </c>
      <c r="BU192" s="59" t="e">
        <f>RANK($BT192,$BT$5:$BT$106,1)+COUNTIF(BT$5:BT192,BT192)-1</f>
        <v>#VALUE!</v>
      </c>
      <c r="BV192" s="59" t="e">
        <f t="shared" si="42"/>
        <v>#VALUE!</v>
      </c>
      <c r="BW192" s="59" t="str">
        <f t="shared" si="43"/>
        <v xml:space="preserve"> </v>
      </c>
      <c r="BX192" s="59">
        <f t="shared" si="43"/>
        <v>0</v>
      </c>
      <c r="BY192" s="59" t="str">
        <f t="shared" si="44"/>
        <v>-</v>
      </c>
      <c r="CD192" s="79"/>
      <c r="CE192" s="80"/>
      <c r="CF192" s="104"/>
      <c r="CL192" s="77">
        <v>1</v>
      </c>
    </row>
    <row r="193" spans="1:90" ht="17.45" customHeight="1">
      <c r="A193" s="58">
        <v>189</v>
      </c>
      <c r="B193" s="59" t="str">
        <f>'B Div'!A193 &amp; " " &amp; 'B Div'!B193</f>
        <v xml:space="preserve"> </v>
      </c>
      <c r="C193" s="59">
        <f>'B Div'!E193</f>
        <v>0</v>
      </c>
      <c r="D193" s="60"/>
      <c r="E193" s="60"/>
      <c r="F193" s="60"/>
      <c r="G193" s="60"/>
      <c r="H193" s="60"/>
      <c r="I193" s="60"/>
      <c r="J193" s="60"/>
      <c r="K193" s="60"/>
      <c r="L193" s="60"/>
      <c r="M193" s="74" t="str">
        <f t="shared" si="30"/>
        <v>-</v>
      </c>
      <c r="N193" s="60"/>
      <c r="O193" s="60"/>
      <c r="P193" s="60"/>
      <c r="Q193" s="60"/>
      <c r="R193" s="60"/>
      <c r="S193" s="60"/>
      <c r="T193" s="60"/>
      <c r="U193" s="60"/>
      <c r="V193" s="60"/>
      <c r="W193" s="74" t="str">
        <f t="shared" si="31"/>
        <v>-</v>
      </c>
      <c r="X193" s="74" t="str">
        <f t="shared" si="32"/>
        <v>-</v>
      </c>
      <c r="Y193" s="74" t="str">
        <f t="shared" si="33"/>
        <v>-</v>
      </c>
      <c r="AA193" s="60"/>
      <c r="AB193" s="60"/>
      <c r="AC193" s="60"/>
      <c r="AD193" s="60"/>
      <c r="AE193" s="60"/>
      <c r="AF193" s="60"/>
      <c r="AG193" s="60"/>
      <c r="AH193" s="60"/>
      <c r="AI193" s="60"/>
      <c r="AJ193" s="74" t="str">
        <f t="shared" si="34"/>
        <v>-</v>
      </c>
      <c r="AK193" s="60"/>
      <c r="AL193" s="60"/>
      <c r="AM193" s="60"/>
      <c r="AN193" s="60"/>
      <c r="AO193" s="60"/>
      <c r="AP193" s="60"/>
      <c r="AQ193" s="60"/>
      <c r="AR193" s="60"/>
      <c r="AS193" s="60"/>
      <c r="AT193" s="74" t="str">
        <f t="shared" si="35"/>
        <v>-</v>
      </c>
      <c r="AU193" s="74" t="str">
        <f t="shared" si="36"/>
        <v>-</v>
      </c>
      <c r="AV193" s="74" t="str">
        <f t="shared" si="37"/>
        <v>-</v>
      </c>
      <c r="AX193" s="59" t="str">
        <f>IF(AND(D193&gt;0,AA193&gt;0),MIN(D193,AA193),"-")</f>
        <v>-</v>
      </c>
      <c r="AY193" s="59" t="str">
        <f>IF(AND(E193&gt;0,AB193&gt;0),MIN(E193,AB193),"-")</f>
        <v>-</v>
      </c>
      <c r="AZ193" s="59" t="str">
        <f>IF(AND(F193&gt;0,AC193&gt;0),MIN(F193,AC193),"-")</f>
        <v>-</v>
      </c>
      <c r="BA193" s="59" t="str">
        <f>IF(AND(G193&gt;0,AD193&gt;0),MIN(G193,AD193),"-")</f>
        <v>-</v>
      </c>
      <c r="BB193" s="59" t="str">
        <f>IF(AND(H193&gt;0,AE193&gt;0),MIN(H193,AE193),"-")</f>
        <v>-</v>
      </c>
      <c r="BC193" s="59" t="str">
        <f>IF(AND(I193&gt;0,AF193&gt;0),MIN(I193,AF193),"-")</f>
        <v>-</v>
      </c>
      <c r="BD193" s="59" t="str">
        <f>IF(AND(J193&gt;0,AG193&gt;0),MIN(J193,AG193),"-")</f>
        <v>-</v>
      </c>
      <c r="BE193" s="59" t="str">
        <f>IF(AND(K193&gt;0,AH193&gt;0),MIN(K193,AH193),"-")</f>
        <v>-</v>
      </c>
      <c r="BF193" s="59" t="str">
        <f>IF(AND(L193&gt;0,AI193&gt;0),MIN(L193,AI193),"-")</f>
        <v>-</v>
      </c>
      <c r="BG193" s="59" t="str">
        <f t="shared" si="38"/>
        <v>-</v>
      </c>
      <c r="BH193" s="59" t="str">
        <f>IF(AND(N193&gt;0,AK193&gt;0),MIN(N193,AK193),"-")</f>
        <v>-</v>
      </c>
      <c r="BI193" s="59" t="str">
        <f>IF(AND(O193&gt;0,AL193&gt;0),MIN(O193,AL193),"-")</f>
        <v>-</v>
      </c>
      <c r="BJ193" s="59" t="str">
        <f>IF(AND(P193&gt;0,AM193&gt;0),MIN(P193,AM193),"-")</f>
        <v>-</v>
      </c>
      <c r="BK193" s="59" t="str">
        <f>IF(AND(Q193&gt;0,AN193&gt;0),MIN(Q193,AN193),"-")</f>
        <v>-</v>
      </c>
      <c r="BL193" s="59" t="str">
        <f>IF(AND(R193&gt;0,AO193&gt;0),MIN(R193,AO193),"-")</f>
        <v>-</v>
      </c>
      <c r="BM193" s="59" t="str">
        <f>IF(AND(S193&gt;0,AP193&gt;0),MIN(S193,AP193),"-")</f>
        <v>-</v>
      </c>
      <c r="BN193" s="59" t="str">
        <f>IF(AND(T193&gt;0,AQ193&gt;0),MIN(T193,AQ193),"-")</f>
        <v>-</v>
      </c>
      <c r="BO193" s="59" t="str">
        <f>IF(AND(U193&gt;0,AR193&gt;0),MIN(U193,AR193),"-")</f>
        <v>-</v>
      </c>
      <c r="BP193" s="59" t="str">
        <f>IF(AND(V193&gt;0,AS193&gt;0),MIN(V193,AS193),"-")</f>
        <v>-</v>
      </c>
      <c r="BQ193" s="59" t="str">
        <f t="shared" si="39"/>
        <v>-</v>
      </c>
      <c r="BR193" s="59" t="str">
        <f t="shared" si="40"/>
        <v>-</v>
      </c>
      <c r="BS193" s="59" t="str">
        <f t="shared" si="41"/>
        <v>-</v>
      </c>
      <c r="BT193" s="98" t="str">
        <f>IF(ISNUMBER(BS193),BS193-(C193*Rules!$P$9/100),"-")</f>
        <v>-</v>
      </c>
      <c r="BU193" s="59" t="e">
        <f>RANK($BT193,$BT$5:$BT$106,1)+COUNTIF(BT$5:BT193,BT193)-1</f>
        <v>#VALUE!</v>
      </c>
      <c r="BV193" s="59" t="e">
        <f t="shared" si="42"/>
        <v>#VALUE!</v>
      </c>
      <c r="BW193" s="59" t="str">
        <f t="shared" si="43"/>
        <v xml:space="preserve"> </v>
      </c>
      <c r="BX193" s="59">
        <f t="shared" si="43"/>
        <v>0</v>
      </c>
      <c r="BY193" s="59" t="str">
        <f t="shared" si="44"/>
        <v>-</v>
      </c>
      <c r="CD193" s="79"/>
      <c r="CE193" s="80"/>
      <c r="CF193" s="104"/>
      <c r="CL193" s="77">
        <v>1</v>
      </c>
    </row>
    <row r="194" spans="1:90" ht="17.45" customHeight="1">
      <c r="A194" s="58">
        <v>190</v>
      </c>
      <c r="B194" s="59" t="str">
        <f>'B Div'!A194 &amp; " " &amp; 'B Div'!B194</f>
        <v xml:space="preserve"> </v>
      </c>
      <c r="C194" s="59">
        <f>'B Div'!E194</f>
        <v>0</v>
      </c>
      <c r="D194" s="60"/>
      <c r="E194" s="60"/>
      <c r="F194" s="60"/>
      <c r="G194" s="60"/>
      <c r="H194" s="60"/>
      <c r="I194" s="60"/>
      <c r="J194" s="60"/>
      <c r="K194" s="60"/>
      <c r="L194" s="60"/>
      <c r="M194" s="74" t="str">
        <f t="shared" si="30"/>
        <v>-</v>
      </c>
      <c r="N194" s="60"/>
      <c r="O194" s="60"/>
      <c r="P194" s="60"/>
      <c r="Q194" s="60"/>
      <c r="R194" s="60"/>
      <c r="S194" s="60"/>
      <c r="T194" s="60"/>
      <c r="U194" s="60"/>
      <c r="V194" s="60"/>
      <c r="W194" s="74" t="str">
        <f t="shared" si="31"/>
        <v>-</v>
      </c>
      <c r="X194" s="74" t="str">
        <f t="shared" si="32"/>
        <v>-</v>
      </c>
      <c r="Y194" s="74" t="str">
        <f t="shared" si="33"/>
        <v>-</v>
      </c>
      <c r="AA194" s="60"/>
      <c r="AB194" s="60"/>
      <c r="AC194" s="60"/>
      <c r="AD194" s="60"/>
      <c r="AE194" s="60"/>
      <c r="AF194" s="60"/>
      <c r="AG194" s="60"/>
      <c r="AH194" s="60"/>
      <c r="AI194" s="60"/>
      <c r="AJ194" s="74" t="str">
        <f t="shared" si="34"/>
        <v>-</v>
      </c>
      <c r="AK194" s="60"/>
      <c r="AL194" s="60"/>
      <c r="AM194" s="60"/>
      <c r="AN194" s="60"/>
      <c r="AO194" s="60"/>
      <c r="AP194" s="60"/>
      <c r="AQ194" s="60"/>
      <c r="AR194" s="60"/>
      <c r="AS194" s="60"/>
      <c r="AT194" s="74" t="str">
        <f t="shared" si="35"/>
        <v>-</v>
      </c>
      <c r="AU194" s="74" t="str">
        <f t="shared" si="36"/>
        <v>-</v>
      </c>
      <c r="AV194" s="74" t="str">
        <f t="shared" si="37"/>
        <v>-</v>
      </c>
      <c r="AX194" s="59" t="str">
        <f>IF(AND(D194&gt;0,AA194&gt;0),MIN(D194,AA194),"-")</f>
        <v>-</v>
      </c>
      <c r="AY194" s="59" t="str">
        <f>IF(AND(E194&gt;0,AB194&gt;0),MIN(E194,AB194),"-")</f>
        <v>-</v>
      </c>
      <c r="AZ194" s="59" t="str">
        <f>IF(AND(F194&gt;0,AC194&gt;0),MIN(F194,AC194),"-")</f>
        <v>-</v>
      </c>
      <c r="BA194" s="59" t="str">
        <f>IF(AND(G194&gt;0,AD194&gt;0),MIN(G194,AD194),"-")</f>
        <v>-</v>
      </c>
      <c r="BB194" s="59" t="str">
        <f>IF(AND(H194&gt;0,AE194&gt;0),MIN(H194,AE194),"-")</f>
        <v>-</v>
      </c>
      <c r="BC194" s="59" t="str">
        <f>IF(AND(I194&gt;0,AF194&gt;0),MIN(I194,AF194),"-")</f>
        <v>-</v>
      </c>
      <c r="BD194" s="59" t="str">
        <f>IF(AND(J194&gt;0,AG194&gt;0),MIN(J194,AG194),"-")</f>
        <v>-</v>
      </c>
      <c r="BE194" s="59" t="str">
        <f>IF(AND(K194&gt;0,AH194&gt;0),MIN(K194,AH194),"-")</f>
        <v>-</v>
      </c>
      <c r="BF194" s="59" t="str">
        <f>IF(AND(L194&gt;0,AI194&gt;0),MIN(L194,AI194),"-")</f>
        <v>-</v>
      </c>
      <c r="BG194" s="59" t="str">
        <f t="shared" si="38"/>
        <v>-</v>
      </c>
      <c r="BH194" s="59" t="str">
        <f>IF(AND(N194&gt;0,AK194&gt;0),MIN(N194,AK194),"-")</f>
        <v>-</v>
      </c>
      <c r="BI194" s="59" t="str">
        <f>IF(AND(O194&gt;0,AL194&gt;0),MIN(O194,AL194),"-")</f>
        <v>-</v>
      </c>
      <c r="BJ194" s="59" t="str">
        <f>IF(AND(P194&gt;0,AM194&gt;0),MIN(P194,AM194),"-")</f>
        <v>-</v>
      </c>
      <c r="BK194" s="59" t="str">
        <f>IF(AND(Q194&gt;0,AN194&gt;0),MIN(Q194,AN194),"-")</f>
        <v>-</v>
      </c>
      <c r="BL194" s="59" t="str">
        <f>IF(AND(R194&gt;0,AO194&gt;0),MIN(R194,AO194),"-")</f>
        <v>-</v>
      </c>
      <c r="BM194" s="59" t="str">
        <f>IF(AND(S194&gt;0,AP194&gt;0),MIN(S194,AP194),"-")</f>
        <v>-</v>
      </c>
      <c r="BN194" s="59" t="str">
        <f>IF(AND(T194&gt;0,AQ194&gt;0),MIN(T194,AQ194),"-")</f>
        <v>-</v>
      </c>
      <c r="BO194" s="59" t="str">
        <f>IF(AND(U194&gt;0,AR194&gt;0),MIN(U194,AR194),"-")</f>
        <v>-</v>
      </c>
      <c r="BP194" s="59" t="str">
        <f>IF(AND(V194&gt;0,AS194&gt;0),MIN(V194,AS194),"-")</f>
        <v>-</v>
      </c>
      <c r="BQ194" s="59" t="str">
        <f t="shared" si="39"/>
        <v>-</v>
      </c>
      <c r="BR194" s="59" t="str">
        <f t="shared" si="40"/>
        <v>-</v>
      </c>
      <c r="BS194" s="59" t="str">
        <f t="shared" si="41"/>
        <v>-</v>
      </c>
      <c r="BT194" s="98" t="str">
        <f>IF(ISNUMBER(BS194),BS194-(C194*Rules!$P$9/100),"-")</f>
        <v>-</v>
      </c>
      <c r="BU194" s="59" t="e">
        <f>RANK($BT194,$BT$5:$BT$106,1)+COUNTIF(BT$5:BT194,BT194)-1</f>
        <v>#VALUE!</v>
      </c>
      <c r="BV194" s="59" t="e">
        <f t="shared" si="42"/>
        <v>#VALUE!</v>
      </c>
      <c r="BW194" s="59" t="str">
        <f t="shared" si="43"/>
        <v xml:space="preserve"> </v>
      </c>
      <c r="BX194" s="59">
        <f t="shared" si="43"/>
        <v>0</v>
      </c>
      <c r="BY194" s="59" t="str">
        <f t="shared" si="44"/>
        <v>-</v>
      </c>
      <c r="CD194" s="79"/>
      <c r="CE194" s="80"/>
      <c r="CF194" s="104"/>
      <c r="CL194" s="77">
        <v>1</v>
      </c>
    </row>
    <row r="195" spans="1:90" ht="17.45" customHeight="1">
      <c r="A195" s="58">
        <v>191</v>
      </c>
      <c r="B195" s="59" t="str">
        <f>'B Div'!A195 &amp; " " &amp; 'B Div'!B195</f>
        <v xml:space="preserve"> </v>
      </c>
      <c r="C195" s="59">
        <f>'B Div'!E195</f>
        <v>0</v>
      </c>
      <c r="D195" s="60"/>
      <c r="E195" s="60"/>
      <c r="F195" s="60"/>
      <c r="G195" s="60"/>
      <c r="H195" s="60"/>
      <c r="I195" s="60"/>
      <c r="J195" s="60"/>
      <c r="K195" s="60"/>
      <c r="L195" s="60"/>
      <c r="M195" s="74" t="str">
        <f t="shared" si="30"/>
        <v>-</v>
      </c>
      <c r="N195" s="60"/>
      <c r="O195" s="60"/>
      <c r="P195" s="60"/>
      <c r="Q195" s="60"/>
      <c r="R195" s="60"/>
      <c r="S195" s="60"/>
      <c r="T195" s="60"/>
      <c r="U195" s="60"/>
      <c r="V195" s="60"/>
      <c r="W195" s="74" t="str">
        <f t="shared" si="31"/>
        <v>-</v>
      </c>
      <c r="X195" s="74" t="str">
        <f t="shared" si="32"/>
        <v>-</v>
      </c>
      <c r="Y195" s="74" t="str">
        <f t="shared" si="33"/>
        <v>-</v>
      </c>
      <c r="AA195" s="60"/>
      <c r="AB195" s="60"/>
      <c r="AC195" s="60"/>
      <c r="AD195" s="60"/>
      <c r="AE195" s="60"/>
      <c r="AF195" s="60"/>
      <c r="AG195" s="60"/>
      <c r="AH195" s="60"/>
      <c r="AI195" s="60"/>
      <c r="AJ195" s="74" t="str">
        <f t="shared" si="34"/>
        <v>-</v>
      </c>
      <c r="AK195" s="60"/>
      <c r="AL195" s="60"/>
      <c r="AM195" s="60"/>
      <c r="AN195" s="60"/>
      <c r="AO195" s="60"/>
      <c r="AP195" s="60"/>
      <c r="AQ195" s="60"/>
      <c r="AR195" s="60"/>
      <c r="AS195" s="60"/>
      <c r="AT195" s="74" t="str">
        <f t="shared" si="35"/>
        <v>-</v>
      </c>
      <c r="AU195" s="74" t="str">
        <f t="shared" si="36"/>
        <v>-</v>
      </c>
      <c r="AV195" s="74" t="str">
        <f t="shared" si="37"/>
        <v>-</v>
      </c>
      <c r="AX195" s="59" t="str">
        <f>IF(AND(D195&gt;0,AA195&gt;0),MIN(D195,AA195),"-")</f>
        <v>-</v>
      </c>
      <c r="AY195" s="59" t="str">
        <f>IF(AND(E195&gt;0,AB195&gt;0),MIN(E195,AB195),"-")</f>
        <v>-</v>
      </c>
      <c r="AZ195" s="59" t="str">
        <f>IF(AND(F195&gt;0,AC195&gt;0),MIN(F195,AC195),"-")</f>
        <v>-</v>
      </c>
      <c r="BA195" s="59" t="str">
        <f>IF(AND(G195&gt;0,AD195&gt;0),MIN(G195,AD195),"-")</f>
        <v>-</v>
      </c>
      <c r="BB195" s="59" t="str">
        <f>IF(AND(H195&gt;0,AE195&gt;0),MIN(H195,AE195),"-")</f>
        <v>-</v>
      </c>
      <c r="BC195" s="59" t="str">
        <f>IF(AND(I195&gt;0,AF195&gt;0),MIN(I195,AF195),"-")</f>
        <v>-</v>
      </c>
      <c r="BD195" s="59" t="str">
        <f>IF(AND(J195&gt;0,AG195&gt;0),MIN(J195,AG195),"-")</f>
        <v>-</v>
      </c>
      <c r="BE195" s="59" t="str">
        <f>IF(AND(K195&gt;0,AH195&gt;0),MIN(K195,AH195),"-")</f>
        <v>-</v>
      </c>
      <c r="BF195" s="59" t="str">
        <f>IF(AND(L195&gt;0,AI195&gt;0),MIN(L195,AI195),"-")</f>
        <v>-</v>
      </c>
      <c r="BG195" s="59" t="str">
        <f t="shared" si="38"/>
        <v>-</v>
      </c>
      <c r="BH195" s="59" t="str">
        <f>IF(AND(N195&gt;0,AK195&gt;0),MIN(N195,AK195),"-")</f>
        <v>-</v>
      </c>
      <c r="BI195" s="59" t="str">
        <f>IF(AND(O195&gt;0,AL195&gt;0),MIN(O195,AL195),"-")</f>
        <v>-</v>
      </c>
      <c r="BJ195" s="59" t="str">
        <f>IF(AND(P195&gt;0,AM195&gt;0),MIN(P195,AM195),"-")</f>
        <v>-</v>
      </c>
      <c r="BK195" s="59" t="str">
        <f>IF(AND(Q195&gt;0,AN195&gt;0),MIN(Q195,AN195),"-")</f>
        <v>-</v>
      </c>
      <c r="BL195" s="59" t="str">
        <f>IF(AND(R195&gt;0,AO195&gt;0),MIN(R195,AO195),"-")</f>
        <v>-</v>
      </c>
      <c r="BM195" s="59" t="str">
        <f>IF(AND(S195&gt;0,AP195&gt;0),MIN(S195,AP195),"-")</f>
        <v>-</v>
      </c>
      <c r="BN195" s="59" t="str">
        <f>IF(AND(T195&gt;0,AQ195&gt;0),MIN(T195,AQ195),"-")</f>
        <v>-</v>
      </c>
      <c r="BO195" s="59" t="str">
        <f>IF(AND(U195&gt;0,AR195&gt;0),MIN(U195,AR195),"-")</f>
        <v>-</v>
      </c>
      <c r="BP195" s="59" t="str">
        <f>IF(AND(V195&gt;0,AS195&gt;0),MIN(V195,AS195),"-")</f>
        <v>-</v>
      </c>
      <c r="BQ195" s="59" t="str">
        <f t="shared" si="39"/>
        <v>-</v>
      </c>
      <c r="BR195" s="59" t="str">
        <f t="shared" si="40"/>
        <v>-</v>
      </c>
      <c r="BS195" s="59" t="str">
        <f t="shared" si="41"/>
        <v>-</v>
      </c>
      <c r="BT195" s="98" t="str">
        <f>IF(ISNUMBER(BS195),BS195-(C195*Rules!$P$9/100),"-")</f>
        <v>-</v>
      </c>
      <c r="BU195" s="59" t="e">
        <f>RANK($BT195,$BT$5:$BT$106,1)+COUNTIF(BT$5:BT195,BT195)-1</f>
        <v>#VALUE!</v>
      </c>
      <c r="BV195" s="59" t="e">
        <f t="shared" si="42"/>
        <v>#VALUE!</v>
      </c>
      <c r="BW195" s="59" t="str">
        <f t="shared" si="43"/>
        <v xml:space="preserve"> </v>
      </c>
      <c r="BX195" s="59">
        <f t="shared" si="43"/>
        <v>0</v>
      </c>
      <c r="BY195" s="59" t="str">
        <f t="shared" si="44"/>
        <v>-</v>
      </c>
      <c r="CD195" s="79"/>
      <c r="CE195" s="80"/>
      <c r="CF195" s="104"/>
      <c r="CL195" s="77">
        <v>1</v>
      </c>
    </row>
    <row r="196" spans="1:90" ht="17.45" customHeight="1">
      <c r="A196" s="58">
        <v>192</v>
      </c>
      <c r="B196" s="59" t="str">
        <f>'B Div'!A196 &amp; " " &amp; 'B Div'!B196</f>
        <v xml:space="preserve"> </v>
      </c>
      <c r="C196" s="59">
        <f>'B Div'!E196</f>
        <v>0</v>
      </c>
      <c r="D196" s="60"/>
      <c r="E196" s="60"/>
      <c r="F196" s="60"/>
      <c r="G196" s="60"/>
      <c r="H196" s="60"/>
      <c r="I196" s="60"/>
      <c r="J196" s="60"/>
      <c r="K196" s="60"/>
      <c r="L196" s="60"/>
      <c r="M196" s="74" t="str">
        <f t="shared" si="30"/>
        <v>-</v>
      </c>
      <c r="N196" s="60"/>
      <c r="O196" s="60"/>
      <c r="P196" s="60"/>
      <c r="Q196" s="60"/>
      <c r="R196" s="60"/>
      <c r="S196" s="60"/>
      <c r="T196" s="60"/>
      <c r="U196" s="60"/>
      <c r="V196" s="60"/>
      <c r="W196" s="74" t="str">
        <f t="shared" si="31"/>
        <v>-</v>
      </c>
      <c r="X196" s="74" t="str">
        <f t="shared" si="32"/>
        <v>-</v>
      </c>
      <c r="Y196" s="74" t="str">
        <f t="shared" si="33"/>
        <v>-</v>
      </c>
      <c r="AA196" s="60"/>
      <c r="AB196" s="60"/>
      <c r="AC196" s="60"/>
      <c r="AD196" s="60"/>
      <c r="AE196" s="60"/>
      <c r="AF196" s="60"/>
      <c r="AG196" s="60"/>
      <c r="AH196" s="60"/>
      <c r="AI196" s="60"/>
      <c r="AJ196" s="74" t="str">
        <f t="shared" si="34"/>
        <v>-</v>
      </c>
      <c r="AK196" s="60"/>
      <c r="AL196" s="60"/>
      <c r="AM196" s="60"/>
      <c r="AN196" s="60"/>
      <c r="AO196" s="60"/>
      <c r="AP196" s="60"/>
      <c r="AQ196" s="60"/>
      <c r="AR196" s="60"/>
      <c r="AS196" s="60"/>
      <c r="AT196" s="74" t="str">
        <f t="shared" si="35"/>
        <v>-</v>
      </c>
      <c r="AU196" s="74" t="str">
        <f t="shared" si="36"/>
        <v>-</v>
      </c>
      <c r="AV196" s="74" t="str">
        <f t="shared" si="37"/>
        <v>-</v>
      </c>
      <c r="AX196" s="59" t="str">
        <f>IF(AND(D196&gt;0,AA196&gt;0),MIN(D196,AA196),"-")</f>
        <v>-</v>
      </c>
      <c r="AY196" s="59" t="str">
        <f>IF(AND(E196&gt;0,AB196&gt;0),MIN(E196,AB196),"-")</f>
        <v>-</v>
      </c>
      <c r="AZ196" s="59" t="str">
        <f>IF(AND(F196&gt;0,AC196&gt;0),MIN(F196,AC196),"-")</f>
        <v>-</v>
      </c>
      <c r="BA196" s="59" t="str">
        <f>IF(AND(G196&gt;0,AD196&gt;0),MIN(G196,AD196),"-")</f>
        <v>-</v>
      </c>
      <c r="BB196" s="59" t="str">
        <f>IF(AND(H196&gt;0,AE196&gt;0),MIN(H196,AE196),"-")</f>
        <v>-</v>
      </c>
      <c r="BC196" s="59" t="str">
        <f>IF(AND(I196&gt;0,AF196&gt;0),MIN(I196,AF196),"-")</f>
        <v>-</v>
      </c>
      <c r="BD196" s="59" t="str">
        <f>IF(AND(J196&gt;0,AG196&gt;0),MIN(J196,AG196),"-")</f>
        <v>-</v>
      </c>
      <c r="BE196" s="59" t="str">
        <f>IF(AND(K196&gt;0,AH196&gt;0),MIN(K196,AH196),"-")</f>
        <v>-</v>
      </c>
      <c r="BF196" s="59" t="str">
        <f>IF(AND(L196&gt;0,AI196&gt;0),MIN(L196,AI196),"-")</f>
        <v>-</v>
      </c>
      <c r="BG196" s="59" t="str">
        <f t="shared" si="38"/>
        <v>-</v>
      </c>
      <c r="BH196" s="59" t="str">
        <f>IF(AND(N196&gt;0,AK196&gt;0),MIN(N196,AK196),"-")</f>
        <v>-</v>
      </c>
      <c r="BI196" s="59" t="str">
        <f>IF(AND(O196&gt;0,AL196&gt;0),MIN(O196,AL196),"-")</f>
        <v>-</v>
      </c>
      <c r="BJ196" s="59" t="str">
        <f>IF(AND(P196&gt;0,AM196&gt;0),MIN(P196,AM196),"-")</f>
        <v>-</v>
      </c>
      <c r="BK196" s="59" t="str">
        <f>IF(AND(Q196&gt;0,AN196&gt;0),MIN(Q196,AN196),"-")</f>
        <v>-</v>
      </c>
      <c r="BL196" s="59" t="str">
        <f>IF(AND(R196&gt;0,AO196&gt;0),MIN(R196,AO196),"-")</f>
        <v>-</v>
      </c>
      <c r="BM196" s="59" t="str">
        <f>IF(AND(S196&gt;0,AP196&gt;0),MIN(S196,AP196),"-")</f>
        <v>-</v>
      </c>
      <c r="BN196" s="59" t="str">
        <f>IF(AND(T196&gt;0,AQ196&gt;0),MIN(T196,AQ196),"-")</f>
        <v>-</v>
      </c>
      <c r="BO196" s="59" t="str">
        <f>IF(AND(U196&gt;0,AR196&gt;0),MIN(U196,AR196),"-")</f>
        <v>-</v>
      </c>
      <c r="BP196" s="59" t="str">
        <f>IF(AND(V196&gt;0,AS196&gt;0),MIN(V196,AS196),"-")</f>
        <v>-</v>
      </c>
      <c r="BQ196" s="59" t="str">
        <f t="shared" si="39"/>
        <v>-</v>
      </c>
      <c r="BR196" s="59" t="str">
        <f t="shared" si="40"/>
        <v>-</v>
      </c>
      <c r="BS196" s="59" t="str">
        <f t="shared" si="41"/>
        <v>-</v>
      </c>
      <c r="BT196" s="98" t="str">
        <f>IF(ISNUMBER(BS196),BS196-(C196*Rules!$P$9/100),"-")</f>
        <v>-</v>
      </c>
      <c r="BU196" s="59" t="e">
        <f>RANK($BT196,$BT$5:$BT$106,1)+COUNTIF(BT$5:BT196,BT196)-1</f>
        <v>#VALUE!</v>
      </c>
      <c r="BV196" s="59" t="e">
        <f t="shared" si="42"/>
        <v>#VALUE!</v>
      </c>
      <c r="BW196" s="59" t="str">
        <f t="shared" si="43"/>
        <v xml:space="preserve"> </v>
      </c>
      <c r="BX196" s="59">
        <f t="shared" si="43"/>
        <v>0</v>
      </c>
      <c r="BY196" s="59" t="str">
        <f t="shared" si="44"/>
        <v>-</v>
      </c>
      <c r="CD196" s="79"/>
      <c r="CE196" s="80"/>
      <c r="CF196" s="104"/>
      <c r="CL196" s="77">
        <v>1</v>
      </c>
    </row>
    <row r="197" spans="1:90" ht="17.45" customHeight="1">
      <c r="A197" s="58">
        <v>193</v>
      </c>
      <c r="B197" s="59" t="str">
        <f>'B Div'!A197 &amp; " " &amp; 'B Div'!B197</f>
        <v xml:space="preserve"> </v>
      </c>
      <c r="C197" s="59">
        <f>'B Div'!E197</f>
        <v>0</v>
      </c>
      <c r="D197" s="60"/>
      <c r="E197" s="60"/>
      <c r="F197" s="60"/>
      <c r="G197" s="60"/>
      <c r="H197" s="60"/>
      <c r="I197" s="60"/>
      <c r="J197" s="60"/>
      <c r="K197" s="60"/>
      <c r="L197" s="60"/>
      <c r="M197" s="74" t="str">
        <f t="shared" si="30"/>
        <v>-</v>
      </c>
      <c r="N197" s="60"/>
      <c r="O197" s="60"/>
      <c r="P197" s="60"/>
      <c r="Q197" s="60"/>
      <c r="R197" s="60"/>
      <c r="S197" s="60"/>
      <c r="T197" s="60"/>
      <c r="U197" s="60"/>
      <c r="V197" s="60"/>
      <c r="W197" s="74" t="str">
        <f t="shared" si="31"/>
        <v>-</v>
      </c>
      <c r="X197" s="74" t="str">
        <f t="shared" si="32"/>
        <v>-</v>
      </c>
      <c r="Y197" s="74" t="str">
        <f t="shared" si="33"/>
        <v>-</v>
      </c>
      <c r="AA197" s="60"/>
      <c r="AB197" s="60"/>
      <c r="AC197" s="60"/>
      <c r="AD197" s="60"/>
      <c r="AE197" s="60"/>
      <c r="AF197" s="60"/>
      <c r="AG197" s="60"/>
      <c r="AH197" s="60"/>
      <c r="AI197" s="60"/>
      <c r="AJ197" s="74" t="str">
        <f t="shared" si="34"/>
        <v>-</v>
      </c>
      <c r="AK197" s="60"/>
      <c r="AL197" s="60"/>
      <c r="AM197" s="60"/>
      <c r="AN197" s="60"/>
      <c r="AO197" s="60"/>
      <c r="AP197" s="60"/>
      <c r="AQ197" s="60"/>
      <c r="AR197" s="60"/>
      <c r="AS197" s="60"/>
      <c r="AT197" s="74" t="str">
        <f t="shared" si="35"/>
        <v>-</v>
      </c>
      <c r="AU197" s="74" t="str">
        <f t="shared" si="36"/>
        <v>-</v>
      </c>
      <c r="AV197" s="74" t="str">
        <f t="shared" si="37"/>
        <v>-</v>
      </c>
      <c r="AX197" s="59" t="str">
        <f>IF(AND(D197&gt;0,AA197&gt;0),MIN(D197,AA197),"-")</f>
        <v>-</v>
      </c>
      <c r="AY197" s="59" t="str">
        <f>IF(AND(E197&gt;0,AB197&gt;0),MIN(E197,AB197),"-")</f>
        <v>-</v>
      </c>
      <c r="AZ197" s="59" t="str">
        <f>IF(AND(F197&gt;0,AC197&gt;0),MIN(F197,AC197),"-")</f>
        <v>-</v>
      </c>
      <c r="BA197" s="59" t="str">
        <f>IF(AND(G197&gt;0,AD197&gt;0),MIN(G197,AD197),"-")</f>
        <v>-</v>
      </c>
      <c r="BB197" s="59" t="str">
        <f>IF(AND(H197&gt;0,AE197&gt;0),MIN(H197,AE197),"-")</f>
        <v>-</v>
      </c>
      <c r="BC197" s="59" t="str">
        <f>IF(AND(I197&gt;0,AF197&gt;0),MIN(I197,AF197),"-")</f>
        <v>-</v>
      </c>
      <c r="BD197" s="59" t="str">
        <f>IF(AND(J197&gt;0,AG197&gt;0),MIN(J197,AG197),"-")</f>
        <v>-</v>
      </c>
      <c r="BE197" s="59" t="str">
        <f>IF(AND(K197&gt;0,AH197&gt;0),MIN(K197,AH197),"-")</f>
        <v>-</v>
      </c>
      <c r="BF197" s="59" t="str">
        <f>IF(AND(L197&gt;0,AI197&gt;0),MIN(L197,AI197),"-")</f>
        <v>-</v>
      </c>
      <c r="BG197" s="59" t="str">
        <f t="shared" si="38"/>
        <v>-</v>
      </c>
      <c r="BH197" s="59" t="str">
        <f>IF(AND(N197&gt;0,AK197&gt;0),MIN(N197,AK197),"-")</f>
        <v>-</v>
      </c>
      <c r="BI197" s="59" t="str">
        <f>IF(AND(O197&gt;0,AL197&gt;0),MIN(O197,AL197),"-")</f>
        <v>-</v>
      </c>
      <c r="BJ197" s="59" t="str">
        <f>IF(AND(P197&gt;0,AM197&gt;0),MIN(P197,AM197),"-")</f>
        <v>-</v>
      </c>
      <c r="BK197" s="59" t="str">
        <f>IF(AND(Q197&gt;0,AN197&gt;0),MIN(Q197,AN197),"-")</f>
        <v>-</v>
      </c>
      <c r="BL197" s="59" t="str">
        <f>IF(AND(R197&gt;0,AO197&gt;0),MIN(R197,AO197),"-")</f>
        <v>-</v>
      </c>
      <c r="BM197" s="59" t="str">
        <f>IF(AND(S197&gt;0,AP197&gt;0),MIN(S197,AP197),"-")</f>
        <v>-</v>
      </c>
      <c r="BN197" s="59" t="str">
        <f>IF(AND(T197&gt;0,AQ197&gt;0),MIN(T197,AQ197),"-")</f>
        <v>-</v>
      </c>
      <c r="BO197" s="59" t="str">
        <f>IF(AND(U197&gt;0,AR197&gt;0),MIN(U197,AR197),"-")</f>
        <v>-</v>
      </c>
      <c r="BP197" s="59" t="str">
        <f>IF(AND(V197&gt;0,AS197&gt;0),MIN(V197,AS197),"-")</f>
        <v>-</v>
      </c>
      <c r="BQ197" s="59" t="str">
        <f t="shared" si="39"/>
        <v>-</v>
      </c>
      <c r="BR197" s="59" t="str">
        <f t="shared" si="40"/>
        <v>-</v>
      </c>
      <c r="BS197" s="59" t="str">
        <f t="shared" si="41"/>
        <v>-</v>
      </c>
      <c r="BT197" s="98" t="str">
        <f>IF(ISNUMBER(BS197),BS197-(C197*Rules!$P$9/100),"-")</f>
        <v>-</v>
      </c>
      <c r="BU197" s="59" t="e">
        <f>RANK($BT197,$BT$5:$BT$106,1)+COUNTIF(BT$5:BT197,BT197)-1</f>
        <v>#VALUE!</v>
      </c>
      <c r="BV197" s="59" t="e">
        <f t="shared" si="42"/>
        <v>#VALUE!</v>
      </c>
      <c r="BW197" s="59" t="str">
        <f t="shared" si="43"/>
        <v xml:space="preserve"> </v>
      </c>
      <c r="BX197" s="59">
        <f t="shared" si="43"/>
        <v>0</v>
      </c>
      <c r="BY197" s="59" t="str">
        <f t="shared" si="44"/>
        <v>-</v>
      </c>
      <c r="CD197" s="79"/>
      <c r="CE197" s="80"/>
      <c r="CF197" s="104"/>
      <c r="CL197" s="77">
        <v>1</v>
      </c>
    </row>
    <row r="198" spans="1:90" ht="17.45" customHeight="1">
      <c r="A198" s="58">
        <v>194</v>
      </c>
      <c r="B198" s="59" t="str">
        <f>'B Div'!A198 &amp; " " &amp; 'B Div'!B198</f>
        <v xml:space="preserve"> </v>
      </c>
      <c r="C198" s="59">
        <f>'B Div'!E198</f>
        <v>0</v>
      </c>
      <c r="D198" s="60"/>
      <c r="E198" s="60"/>
      <c r="F198" s="60"/>
      <c r="G198" s="60"/>
      <c r="H198" s="60"/>
      <c r="I198" s="60"/>
      <c r="J198" s="60"/>
      <c r="K198" s="60"/>
      <c r="L198" s="60"/>
      <c r="M198" s="74" t="str">
        <f t="shared" ref="M198:M215" si="45">IF(COUNTIF(D198:L198,"&lt;&gt;"&amp;"")=9,SUM(D198:L198),"-")</f>
        <v>-</v>
      </c>
      <c r="N198" s="60"/>
      <c r="O198" s="60"/>
      <c r="P198" s="60"/>
      <c r="Q198" s="60"/>
      <c r="R198" s="60"/>
      <c r="S198" s="60"/>
      <c r="T198" s="60"/>
      <c r="U198" s="60"/>
      <c r="V198" s="60"/>
      <c r="W198" s="74" t="str">
        <f t="shared" ref="W198:W215" si="46">IF(COUNTIF(N198:V198,"&lt;&gt;"&amp;"")=9,SUM(N198:V198),"-")</f>
        <v>-</v>
      </c>
      <c r="X198" s="74" t="str">
        <f t="shared" ref="X198:X215" si="47">IF(AND(ISNUMBER(M198),ISNUMBER(W198)),M198+W198,"-")</f>
        <v>-</v>
      </c>
      <c r="Y198" s="74" t="str">
        <f t="shared" ref="Y198:Y215" si="48">IF(ISNUMBER(X198),X198-C198,"-")</f>
        <v>-</v>
      </c>
      <c r="AA198" s="60"/>
      <c r="AB198" s="60"/>
      <c r="AC198" s="60"/>
      <c r="AD198" s="60"/>
      <c r="AE198" s="60"/>
      <c r="AF198" s="60"/>
      <c r="AG198" s="60"/>
      <c r="AH198" s="60"/>
      <c r="AI198" s="60"/>
      <c r="AJ198" s="74" t="str">
        <f t="shared" ref="AJ198:AJ215" si="49">IF(COUNTIF(AA198:AI198,"&lt;&gt;"&amp;"")=9,SUM(AA198:AI198),"-")</f>
        <v>-</v>
      </c>
      <c r="AK198" s="60"/>
      <c r="AL198" s="60"/>
      <c r="AM198" s="60"/>
      <c r="AN198" s="60"/>
      <c r="AO198" s="60"/>
      <c r="AP198" s="60"/>
      <c r="AQ198" s="60"/>
      <c r="AR198" s="60"/>
      <c r="AS198" s="60"/>
      <c r="AT198" s="74" t="str">
        <f t="shared" ref="AT198:AT215" si="50">IF(COUNTIF(AK198:AS198,"&lt;&gt;"&amp;"")=9,SUM(AK198:AS198),"-")</f>
        <v>-</v>
      </c>
      <c r="AU198" s="74" t="str">
        <f t="shared" ref="AU198:AU215" si="51">IF(AND(ISNUMBER(AJ198),ISNUMBER(AT198)),AJ198+AT198,"-")</f>
        <v>-</v>
      </c>
      <c r="AV198" s="74" t="str">
        <f t="shared" ref="AV198:AV215" si="52">IF(ISNUMBER(AU198),AU198-C198,"-")</f>
        <v>-</v>
      </c>
      <c r="AX198" s="59" t="str">
        <f>IF(AND(D198&gt;0,AA198&gt;0),MIN(D198,AA198),"-")</f>
        <v>-</v>
      </c>
      <c r="AY198" s="59" t="str">
        <f>IF(AND(E198&gt;0,AB198&gt;0),MIN(E198,AB198),"-")</f>
        <v>-</v>
      </c>
      <c r="AZ198" s="59" t="str">
        <f>IF(AND(F198&gt;0,AC198&gt;0),MIN(F198,AC198),"-")</f>
        <v>-</v>
      </c>
      <c r="BA198" s="59" t="str">
        <f>IF(AND(G198&gt;0,AD198&gt;0),MIN(G198,AD198),"-")</f>
        <v>-</v>
      </c>
      <c r="BB198" s="59" t="str">
        <f>IF(AND(H198&gt;0,AE198&gt;0),MIN(H198,AE198),"-")</f>
        <v>-</v>
      </c>
      <c r="BC198" s="59" t="str">
        <f>IF(AND(I198&gt;0,AF198&gt;0),MIN(I198,AF198),"-")</f>
        <v>-</v>
      </c>
      <c r="BD198" s="59" t="str">
        <f>IF(AND(J198&gt;0,AG198&gt;0),MIN(J198,AG198),"-")</f>
        <v>-</v>
      </c>
      <c r="BE198" s="59" t="str">
        <f>IF(AND(K198&gt;0,AH198&gt;0),MIN(K198,AH198),"-")</f>
        <v>-</v>
      </c>
      <c r="BF198" s="59" t="str">
        <f>IF(AND(L198&gt;0,AI198&gt;0),MIN(L198,AI198),"-")</f>
        <v>-</v>
      </c>
      <c r="BG198" s="59" t="str">
        <f t="shared" ref="BG198:BG215" si="53">IF(COUNTIF(AX198:BF198,"&lt;&gt;-")=9,SUM(AX198:BF198),"-")</f>
        <v>-</v>
      </c>
      <c r="BH198" s="59" t="str">
        <f>IF(AND(N198&gt;0,AK198&gt;0),MIN(N198,AK198),"-")</f>
        <v>-</v>
      </c>
      <c r="BI198" s="59" t="str">
        <f>IF(AND(O198&gt;0,AL198&gt;0),MIN(O198,AL198),"-")</f>
        <v>-</v>
      </c>
      <c r="BJ198" s="59" t="str">
        <f>IF(AND(P198&gt;0,AM198&gt;0),MIN(P198,AM198),"-")</f>
        <v>-</v>
      </c>
      <c r="BK198" s="59" t="str">
        <f>IF(AND(Q198&gt;0,AN198&gt;0),MIN(Q198,AN198),"-")</f>
        <v>-</v>
      </c>
      <c r="BL198" s="59" t="str">
        <f>IF(AND(R198&gt;0,AO198&gt;0),MIN(R198,AO198),"-")</f>
        <v>-</v>
      </c>
      <c r="BM198" s="59" t="str">
        <f>IF(AND(S198&gt;0,AP198&gt;0),MIN(S198,AP198),"-")</f>
        <v>-</v>
      </c>
      <c r="BN198" s="59" t="str">
        <f>IF(AND(T198&gt;0,AQ198&gt;0),MIN(T198,AQ198),"-")</f>
        <v>-</v>
      </c>
      <c r="BO198" s="59" t="str">
        <f>IF(AND(U198&gt;0,AR198&gt;0),MIN(U198,AR198),"-")</f>
        <v>-</v>
      </c>
      <c r="BP198" s="59" t="str">
        <f>IF(AND(V198&gt;0,AS198&gt;0),MIN(V198,AS198),"-")</f>
        <v>-</v>
      </c>
      <c r="BQ198" s="59" t="str">
        <f t="shared" ref="BQ198:BQ215" si="54">IF(COUNTIF(BH198:BP198,"&lt;&gt;-")=9,SUM(BH198:BP198),"-")</f>
        <v>-</v>
      </c>
      <c r="BR198" s="59" t="str">
        <f t="shared" ref="BR198:BR215" si="55">BG198</f>
        <v>-</v>
      </c>
      <c r="BS198" s="59" t="str">
        <f t="shared" ref="BS198:BS215" si="56">IF(COUNTIF(BQ198:BR198,"&lt;&gt;-")=2,SUM(BQ198:BR198),"-")</f>
        <v>-</v>
      </c>
      <c r="BT198" s="98" t="str">
        <f>IF(ISNUMBER(BS198),BS198-(C198*Rules!$P$9/100),"-")</f>
        <v>-</v>
      </c>
      <c r="BU198" s="59" t="e">
        <f>RANK($BT198,$BT$5:$BT$106,1)+COUNTIF(BT$5:BT198,BT198)-1</f>
        <v>#VALUE!</v>
      </c>
      <c r="BV198" s="59" t="e">
        <f t="shared" ref="BV198:BV215" si="57">RANK(BT198,$BT$5:$BT$215,1)</f>
        <v>#VALUE!</v>
      </c>
      <c r="BW198" s="59" t="str">
        <f t="shared" ref="BW198:BX215" si="58">B198</f>
        <v xml:space="preserve"> </v>
      </c>
      <c r="BX198" s="59">
        <f t="shared" si="58"/>
        <v>0</v>
      </c>
      <c r="BY198" s="59" t="str">
        <f t="shared" ref="BY198:BY215" si="59">BT198</f>
        <v>-</v>
      </c>
      <c r="CD198" s="79"/>
      <c r="CE198" s="80"/>
      <c r="CF198" s="104"/>
      <c r="CL198" s="77">
        <v>1</v>
      </c>
    </row>
    <row r="199" spans="1:90" ht="17.45" customHeight="1">
      <c r="A199" s="58">
        <v>195</v>
      </c>
      <c r="B199" s="59" t="str">
        <f>'B Div'!A199 &amp; " " &amp; 'B Div'!B199</f>
        <v xml:space="preserve"> </v>
      </c>
      <c r="C199" s="59">
        <f>'B Div'!E199</f>
        <v>0</v>
      </c>
      <c r="D199" s="60"/>
      <c r="E199" s="60"/>
      <c r="F199" s="60"/>
      <c r="G199" s="60"/>
      <c r="H199" s="60"/>
      <c r="I199" s="60"/>
      <c r="J199" s="60"/>
      <c r="K199" s="60"/>
      <c r="L199" s="60"/>
      <c r="M199" s="74" t="str">
        <f t="shared" si="45"/>
        <v>-</v>
      </c>
      <c r="N199" s="60"/>
      <c r="O199" s="60"/>
      <c r="P199" s="60"/>
      <c r="Q199" s="60"/>
      <c r="R199" s="60"/>
      <c r="S199" s="60"/>
      <c r="T199" s="60"/>
      <c r="U199" s="60"/>
      <c r="V199" s="60"/>
      <c r="W199" s="74" t="str">
        <f t="shared" si="46"/>
        <v>-</v>
      </c>
      <c r="X199" s="74" t="str">
        <f t="shared" si="47"/>
        <v>-</v>
      </c>
      <c r="Y199" s="74" t="str">
        <f t="shared" si="48"/>
        <v>-</v>
      </c>
      <c r="AA199" s="60"/>
      <c r="AB199" s="60"/>
      <c r="AC199" s="60"/>
      <c r="AD199" s="60"/>
      <c r="AE199" s="60"/>
      <c r="AF199" s="60"/>
      <c r="AG199" s="60"/>
      <c r="AH199" s="60"/>
      <c r="AI199" s="60"/>
      <c r="AJ199" s="74" t="str">
        <f t="shared" si="49"/>
        <v>-</v>
      </c>
      <c r="AK199" s="60"/>
      <c r="AL199" s="60"/>
      <c r="AM199" s="60"/>
      <c r="AN199" s="60"/>
      <c r="AO199" s="60"/>
      <c r="AP199" s="60"/>
      <c r="AQ199" s="60"/>
      <c r="AR199" s="60"/>
      <c r="AS199" s="60"/>
      <c r="AT199" s="74" t="str">
        <f t="shared" si="50"/>
        <v>-</v>
      </c>
      <c r="AU199" s="74" t="str">
        <f t="shared" si="51"/>
        <v>-</v>
      </c>
      <c r="AV199" s="74" t="str">
        <f t="shared" si="52"/>
        <v>-</v>
      </c>
      <c r="AX199" s="59" t="str">
        <f>IF(AND(D199&gt;0,AA199&gt;0),MIN(D199,AA199),"-")</f>
        <v>-</v>
      </c>
      <c r="AY199" s="59" t="str">
        <f>IF(AND(E199&gt;0,AB199&gt;0),MIN(E199,AB199),"-")</f>
        <v>-</v>
      </c>
      <c r="AZ199" s="59" t="str">
        <f>IF(AND(F199&gt;0,AC199&gt;0),MIN(F199,AC199),"-")</f>
        <v>-</v>
      </c>
      <c r="BA199" s="59" t="str">
        <f>IF(AND(G199&gt;0,AD199&gt;0),MIN(G199,AD199),"-")</f>
        <v>-</v>
      </c>
      <c r="BB199" s="59" t="str">
        <f>IF(AND(H199&gt;0,AE199&gt;0),MIN(H199,AE199),"-")</f>
        <v>-</v>
      </c>
      <c r="BC199" s="59" t="str">
        <f>IF(AND(I199&gt;0,AF199&gt;0),MIN(I199,AF199),"-")</f>
        <v>-</v>
      </c>
      <c r="BD199" s="59" t="str">
        <f>IF(AND(J199&gt;0,AG199&gt;0),MIN(J199,AG199),"-")</f>
        <v>-</v>
      </c>
      <c r="BE199" s="59" t="str">
        <f>IF(AND(K199&gt;0,AH199&gt;0),MIN(K199,AH199),"-")</f>
        <v>-</v>
      </c>
      <c r="BF199" s="59" t="str">
        <f>IF(AND(L199&gt;0,AI199&gt;0),MIN(L199,AI199),"-")</f>
        <v>-</v>
      </c>
      <c r="BG199" s="59" t="str">
        <f t="shared" si="53"/>
        <v>-</v>
      </c>
      <c r="BH199" s="59" t="str">
        <f>IF(AND(N199&gt;0,AK199&gt;0),MIN(N199,AK199),"-")</f>
        <v>-</v>
      </c>
      <c r="BI199" s="59" t="str">
        <f>IF(AND(O199&gt;0,AL199&gt;0),MIN(O199,AL199),"-")</f>
        <v>-</v>
      </c>
      <c r="BJ199" s="59" t="str">
        <f>IF(AND(P199&gt;0,AM199&gt;0),MIN(P199,AM199),"-")</f>
        <v>-</v>
      </c>
      <c r="BK199" s="59" t="str">
        <f>IF(AND(Q199&gt;0,AN199&gt;0),MIN(Q199,AN199),"-")</f>
        <v>-</v>
      </c>
      <c r="BL199" s="59" t="str">
        <f>IF(AND(R199&gt;0,AO199&gt;0),MIN(R199,AO199),"-")</f>
        <v>-</v>
      </c>
      <c r="BM199" s="59" t="str">
        <f>IF(AND(S199&gt;0,AP199&gt;0),MIN(S199,AP199),"-")</f>
        <v>-</v>
      </c>
      <c r="BN199" s="59" t="str">
        <f>IF(AND(T199&gt;0,AQ199&gt;0),MIN(T199,AQ199),"-")</f>
        <v>-</v>
      </c>
      <c r="BO199" s="59" t="str">
        <f>IF(AND(U199&gt;0,AR199&gt;0),MIN(U199,AR199),"-")</f>
        <v>-</v>
      </c>
      <c r="BP199" s="59" t="str">
        <f>IF(AND(V199&gt;0,AS199&gt;0),MIN(V199,AS199),"-")</f>
        <v>-</v>
      </c>
      <c r="BQ199" s="59" t="str">
        <f t="shared" si="54"/>
        <v>-</v>
      </c>
      <c r="BR199" s="59" t="str">
        <f t="shared" si="55"/>
        <v>-</v>
      </c>
      <c r="BS199" s="59" t="str">
        <f t="shared" si="56"/>
        <v>-</v>
      </c>
      <c r="BT199" s="98" t="str">
        <f>IF(ISNUMBER(BS199),BS199-(C199*Rules!$P$9/100),"-")</f>
        <v>-</v>
      </c>
      <c r="BU199" s="59" t="e">
        <f>RANK($BT199,$BT$5:$BT$106,1)+COUNTIF(BT$5:BT199,BT199)-1</f>
        <v>#VALUE!</v>
      </c>
      <c r="BV199" s="59" t="e">
        <f t="shared" si="57"/>
        <v>#VALUE!</v>
      </c>
      <c r="BW199" s="59" t="str">
        <f t="shared" si="58"/>
        <v xml:space="preserve"> </v>
      </c>
      <c r="BX199" s="59">
        <f t="shared" si="58"/>
        <v>0</v>
      </c>
      <c r="BY199" s="59" t="str">
        <f t="shared" si="59"/>
        <v>-</v>
      </c>
      <c r="CD199" s="79"/>
      <c r="CE199" s="80"/>
      <c r="CF199" s="104"/>
      <c r="CL199" s="77">
        <v>1</v>
      </c>
    </row>
    <row r="200" spans="1:90" ht="17.45" customHeight="1">
      <c r="A200" s="58">
        <v>196</v>
      </c>
      <c r="B200" s="59" t="str">
        <f>'B Div'!A200 &amp; " " &amp; 'B Div'!B200</f>
        <v xml:space="preserve"> </v>
      </c>
      <c r="C200" s="59">
        <f>'B Div'!E200</f>
        <v>0</v>
      </c>
      <c r="D200" s="60"/>
      <c r="E200" s="60"/>
      <c r="F200" s="60"/>
      <c r="G200" s="60"/>
      <c r="H200" s="60"/>
      <c r="I200" s="60"/>
      <c r="J200" s="60"/>
      <c r="K200" s="60"/>
      <c r="L200" s="60"/>
      <c r="M200" s="74" t="str">
        <f t="shared" si="45"/>
        <v>-</v>
      </c>
      <c r="N200" s="60"/>
      <c r="O200" s="60"/>
      <c r="P200" s="60"/>
      <c r="Q200" s="60"/>
      <c r="R200" s="60"/>
      <c r="S200" s="60"/>
      <c r="T200" s="60"/>
      <c r="U200" s="60"/>
      <c r="V200" s="60"/>
      <c r="W200" s="74" t="str">
        <f t="shared" si="46"/>
        <v>-</v>
      </c>
      <c r="X200" s="74" t="str">
        <f t="shared" si="47"/>
        <v>-</v>
      </c>
      <c r="Y200" s="74" t="str">
        <f t="shared" si="48"/>
        <v>-</v>
      </c>
      <c r="AA200" s="60"/>
      <c r="AB200" s="60"/>
      <c r="AC200" s="60"/>
      <c r="AD200" s="60"/>
      <c r="AE200" s="60"/>
      <c r="AF200" s="60"/>
      <c r="AG200" s="60"/>
      <c r="AH200" s="60"/>
      <c r="AI200" s="60"/>
      <c r="AJ200" s="74" t="str">
        <f t="shared" si="49"/>
        <v>-</v>
      </c>
      <c r="AK200" s="60"/>
      <c r="AL200" s="60"/>
      <c r="AM200" s="60"/>
      <c r="AN200" s="60"/>
      <c r="AO200" s="60"/>
      <c r="AP200" s="60"/>
      <c r="AQ200" s="60"/>
      <c r="AR200" s="60"/>
      <c r="AS200" s="60"/>
      <c r="AT200" s="74" t="str">
        <f t="shared" si="50"/>
        <v>-</v>
      </c>
      <c r="AU200" s="74" t="str">
        <f t="shared" si="51"/>
        <v>-</v>
      </c>
      <c r="AV200" s="74" t="str">
        <f t="shared" si="52"/>
        <v>-</v>
      </c>
      <c r="AX200" s="59" t="str">
        <f>IF(AND(D200&gt;0,AA200&gt;0),MIN(D200,AA200),"-")</f>
        <v>-</v>
      </c>
      <c r="AY200" s="59" t="str">
        <f>IF(AND(E200&gt;0,AB200&gt;0),MIN(E200,AB200),"-")</f>
        <v>-</v>
      </c>
      <c r="AZ200" s="59" t="str">
        <f>IF(AND(F200&gt;0,AC200&gt;0),MIN(F200,AC200),"-")</f>
        <v>-</v>
      </c>
      <c r="BA200" s="59" t="str">
        <f>IF(AND(G200&gt;0,AD200&gt;0),MIN(G200,AD200),"-")</f>
        <v>-</v>
      </c>
      <c r="BB200" s="59" t="str">
        <f>IF(AND(H200&gt;0,AE200&gt;0),MIN(H200,AE200),"-")</f>
        <v>-</v>
      </c>
      <c r="BC200" s="59" t="str">
        <f>IF(AND(I200&gt;0,AF200&gt;0),MIN(I200,AF200),"-")</f>
        <v>-</v>
      </c>
      <c r="BD200" s="59" t="str">
        <f>IF(AND(J200&gt;0,AG200&gt;0),MIN(J200,AG200),"-")</f>
        <v>-</v>
      </c>
      <c r="BE200" s="59" t="str">
        <f>IF(AND(K200&gt;0,AH200&gt;0),MIN(K200,AH200),"-")</f>
        <v>-</v>
      </c>
      <c r="BF200" s="59" t="str">
        <f>IF(AND(L200&gt;0,AI200&gt;0),MIN(L200,AI200),"-")</f>
        <v>-</v>
      </c>
      <c r="BG200" s="59" t="str">
        <f t="shared" si="53"/>
        <v>-</v>
      </c>
      <c r="BH200" s="59" t="str">
        <f>IF(AND(N200&gt;0,AK200&gt;0),MIN(N200,AK200),"-")</f>
        <v>-</v>
      </c>
      <c r="BI200" s="59" t="str">
        <f>IF(AND(O200&gt;0,AL200&gt;0),MIN(O200,AL200),"-")</f>
        <v>-</v>
      </c>
      <c r="BJ200" s="59" t="str">
        <f>IF(AND(P200&gt;0,AM200&gt;0),MIN(P200,AM200),"-")</f>
        <v>-</v>
      </c>
      <c r="BK200" s="59" t="str">
        <f>IF(AND(Q200&gt;0,AN200&gt;0),MIN(Q200,AN200),"-")</f>
        <v>-</v>
      </c>
      <c r="BL200" s="59" t="str">
        <f>IF(AND(R200&gt;0,AO200&gt;0),MIN(R200,AO200),"-")</f>
        <v>-</v>
      </c>
      <c r="BM200" s="59" t="str">
        <f>IF(AND(S200&gt;0,AP200&gt;0),MIN(S200,AP200),"-")</f>
        <v>-</v>
      </c>
      <c r="BN200" s="59" t="str">
        <f>IF(AND(T200&gt;0,AQ200&gt;0),MIN(T200,AQ200),"-")</f>
        <v>-</v>
      </c>
      <c r="BO200" s="59" t="str">
        <f>IF(AND(U200&gt;0,AR200&gt;0),MIN(U200,AR200),"-")</f>
        <v>-</v>
      </c>
      <c r="BP200" s="59" t="str">
        <f>IF(AND(V200&gt;0,AS200&gt;0),MIN(V200,AS200),"-")</f>
        <v>-</v>
      </c>
      <c r="BQ200" s="59" t="str">
        <f t="shared" si="54"/>
        <v>-</v>
      </c>
      <c r="BR200" s="59" t="str">
        <f t="shared" si="55"/>
        <v>-</v>
      </c>
      <c r="BS200" s="59" t="str">
        <f t="shared" si="56"/>
        <v>-</v>
      </c>
      <c r="BT200" s="98" t="str">
        <f>IF(ISNUMBER(BS200),BS200-(C200*Rules!$P$9/100),"-")</f>
        <v>-</v>
      </c>
      <c r="BU200" s="59" t="e">
        <f>RANK($BT200,$BT$5:$BT$106,1)+COUNTIF(BT$5:BT200,BT200)-1</f>
        <v>#VALUE!</v>
      </c>
      <c r="BV200" s="59" t="e">
        <f t="shared" si="57"/>
        <v>#VALUE!</v>
      </c>
      <c r="BW200" s="59" t="str">
        <f t="shared" si="58"/>
        <v xml:space="preserve"> </v>
      </c>
      <c r="BX200" s="59">
        <f t="shared" si="58"/>
        <v>0</v>
      </c>
      <c r="BY200" s="59" t="str">
        <f t="shared" si="59"/>
        <v>-</v>
      </c>
      <c r="CD200" s="79"/>
      <c r="CE200" s="80"/>
      <c r="CF200" s="104"/>
      <c r="CL200" s="77">
        <v>1</v>
      </c>
    </row>
    <row r="201" spans="1:90" ht="17.45" customHeight="1">
      <c r="A201" s="58">
        <v>197</v>
      </c>
      <c r="B201" s="59" t="str">
        <f>'B Div'!A201 &amp; " " &amp; 'B Div'!B201</f>
        <v xml:space="preserve"> </v>
      </c>
      <c r="C201" s="59">
        <f>'B Div'!E201</f>
        <v>0</v>
      </c>
      <c r="D201" s="60"/>
      <c r="E201" s="60"/>
      <c r="F201" s="60"/>
      <c r="G201" s="60"/>
      <c r="H201" s="60"/>
      <c r="I201" s="60"/>
      <c r="J201" s="60"/>
      <c r="K201" s="60"/>
      <c r="L201" s="60"/>
      <c r="M201" s="74" t="str">
        <f t="shared" si="45"/>
        <v>-</v>
      </c>
      <c r="N201" s="60"/>
      <c r="O201" s="60"/>
      <c r="P201" s="60"/>
      <c r="Q201" s="60"/>
      <c r="R201" s="60"/>
      <c r="S201" s="60"/>
      <c r="T201" s="60"/>
      <c r="U201" s="60"/>
      <c r="V201" s="60"/>
      <c r="W201" s="74" t="str">
        <f t="shared" si="46"/>
        <v>-</v>
      </c>
      <c r="X201" s="74" t="str">
        <f t="shared" si="47"/>
        <v>-</v>
      </c>
      <c r="Y201" s="74" t="str">
        <f t="shared" si="48"/>
        <v>-</v>
      </c>
      <c r="AA201" s="60"/>
      <c r="AB201" s="60"/>
      <c r="AC201" s="60"/>
      <c r="AD201" s="60"/>
      <c r="AE201" s="60"/>
      <c r="AF201" s="60"/>
      <c r="AG201" s="60"/>
      <c r="AH201" s="60"/>
      <c r="AI201" s="60"/>
      <c r="AJ201" s="74" t="str">
        <f t="shared" si="49"/>
        <v>-</v>
      </c>
      <c r="AK201" s="60"/>
      <c r="AL201" s="60"/>
      <c r="AM201" s="60"/>
      <c r="AN201" s="60"/>
      <c r="AO201" s="60"/>
      <c r="AP201" s="60"/>
      <c r="AQ201" s="60"/>
      <c r="AR201" s="60"/>
      <c r="AS201" s="60"/>
      <c r="AT201" s="74" t="str">
        <f t="shared" si="50"/>
        <v>-</v>
      </c>
      <c r="AU201" s="74" t="str">
        <f t="shared" si="51"/>
        <v>-</v>
      </c>
      <c r="AV201" s="74" t="str">
        <f t="shared" si="52"/>
        <v>-</v>
      </c>
      <c r="AX201" s="59" t="str">
        <f>IF(AND(D201&gt;0,AA201&gt;0),MIN(D201,AA201),"-")</f>
        <v>-</v>
      </c>
      <c r="AY201" s="59" t="str">
        <f>IF(AND(E201&gt;0,AB201&gt;0),MIN(E201,AB201),"-")</f>
        <v>-</v>
      </c>
      <c r="AZ201" s="59" t="str">
        <f>IF(AND(F201&gt;0,AC201&gt;0),MIN(F201,AC201),"-")</f>
        <v>-</v>
      </c>
      <c r="BA201" s="59" t="str">
        <f>IF(AND(G201&gt;0,AD201&gt;0),MIN(G201,AD201),"-")</f>
        <v>-</v>
      </c>
      <c r="BB201" s="59" t="str">
        <f>IF(AND(H201&gt;0,AE201&gt;0),MIN(H201,AE201),"-")</f>
        <v>-</v>
      </c>
      <c r="BC201" s="59" t="str">
        <f>IF(AND(I201&gt;0,AF201&gt;0),MIN(I201,AF201),"-")</f>
        <v>-</v>
      </c>
      <c r="BD201" s="59" t="str">
        <f>IF(AND(J201&gt;0,AG201&gt;0),MIN(J201,AG201),"-")</f>
        <v>-</v>
      </c>
      <c r="BE201" s="59" t="str">
        <f>IF(AND(K201&gt;0,AH201&gt;0),MIN(K201,AH201),"-")</f>
        <v>-</v>
      </c>
      <c r="BF201" s="59" t="str">
        <f>IF(AND(L201&gt;0,AI201&gt;0),MIN(L201,AI201),"-")</f>
        <v>-</v>
      </c>
      <c r="BG201" s="59" t="str">
        <f t="shared" si="53"/>
        <v>-</v>
      </c>
      <c r="BH201" s="59" t="str">
        <f>IF(AND(N201&gt;0,AK201&gt;0),MIN(N201,AK201),"-")</f>
        <v>-</v>
      </c>
      <c r="BI201" s="59" t="str">
        <f>IF(AND(O201&gt;0,AL201&gt;0),MIN(O201,AL201),"-")</f>
        <v>-</v>
      </c>
      <c r="BJ201" s="59" t="str">
        <f>IF(AND(P201&gt;0,AM201&gt;0),MIN(P201,AM201),"-")</f>
        <v>-</v>
      </c>
      <c r="BK201" s="59" t="str">
        <f>IF(AND(Q201&gt;0,AN201&gt;0),MIN(Q201,AN201),"-")</f>
        <v>-</v>
      </c>
      <c r="BL201" s="59" t="str">
        <f>IF(AND(R201&gt;0,AO201&gt;0),MIN(R201,AO201),"-")</f>
        <v>-</v>
      </c>
      <c r="BM201" s="59" t="str">
        <f>IF(AND(S201&gt;0,AP201&gt;0),MIN(S201,AP201),"-")</f>
        <v>-</v>
      </c>
      <c r="BN201" s="59" t="str">
        <f>IF(AND(T201&gt;0,AQ201&gt;0),MIN(T201,AQ201),"-")</f>
        <v>-</v>
      </c>
      <c r="BO201" s="59" t="str">
        <f>IF(AND(U201&gt;0,AR201&gt;0),MIN(U201,AR201),"-")</f>
        <v>-</v>
      </c>
      <c r="BP201" s="59" t="str">
        <f>IF(AND(V201&gt;0,AS201&gt;0),MIN(V201,AS201),"-")</f>
        <v>-</v>
      </c>
      <c r="BQ201" s="59" t="str">
        <f t="shared" si="54"/>
        <v>-</v>
      </c>
      <c r="BR201" s="59" t="str">
        <f t="shared" si="55"/>
        <v>-</v>
      </c>
      <c r="BS201" s="59" t="str">
        <f t="shared" si="56"/>
        <v>-</v>
      </c>
      <c r="BT201" s="98" t="str">
        <f>IF(ISNUMBER(BS201),BS201-(C201*Rules!$P$9/100),"-")</f>
        <v>-</v>
      </c>
      <c r="BU201" s="59" t="e">
        <f>RANK($BT201,$BT$5:$BT$106,1)+COUNTIF(BT$5:BT201,BT201)-1</f>
        <v>#VALUE!</v>
      </c>
      <c r="BV201" s="59" t="e">
        <f t="shared" si="57"/>
        <v>#VALUE!</v>
      </c>
      <c r="BW201" s="59" t="str">
        <f t="shared" si="58"/>
        <v xml:space="preserve"> </v>
      </c>
      <c r="BX201" s="59">
        <f t="shared" si="58"/>
        <v>0</v>
      </c>
      <c r="BY201" s="59" t="str">
        <f t="shared" si="59"/>
        <v>-</v>
      </c>
      <c r="CD201" s="79"/>
      <c r="CE201" s="80"/>
      <c r="CF201" s="104"/>
      <c r="CL201" s="77">
        <v>1</v>
      </c>
    </row>
    <row r="202" spans="1:90" ht="17.45" customHeight="1">
      <c r="A202" s="58">
        <v>198</v>
      </c>
      <c r="B202" s="59" t="str">
        <f>'B Div'!A202 &amp; " " &amp; 'B Div'!B202</f>
        <v xml:space="preserve"> </v>
      </c>
      <c r="C202" s="59">
        <f>'B Div'!E202</f>
        <v>0</v>
      </c>
      <c r="D202" s="60"/>
      <c r="E202" s="60"/>
      <c r="F202" s="60"/>
      <c r="G202" s="60"/>
      <c r="H202" s="60"/>
      <c r="I202" s="60"/>
      <c r="J202" s="60"/>
      <c r="K202" s="60"/>
      <c r="L202" s="60"/>
      <c r="M202" s="74" t="str">
        <f t="shared" si="45"/>
        <v>-</v>
      </c>
      <c r="N202" s="60"/>
      <c r="O202" s="60"/>
      <c r="P202" s="60"/>
      <c r="Q202" s="60"/>
      <c r="R202" s="60"/>
      <c r="S202" s="60"/>
      <c r="T202" s="60"/>
      <c r="U202" s="60"/>
      <c r="V202" s="60"/>
      <c r="W202" s="74" t="str">
        <f t="shared" si="46"/>
        <v>-</v>
      </c>
      <c r="X202" s="74" t="str">
        <f t="shared" si="47"/>
        <v>-</v>
      </c>
      <c r="Y202" s="74" t="str">
        <f t="shared" si="48"/>
        <v>-</v>
      </c>
      <c r="AA202" s="60"/>
      <c r="AB202" s="60"/>
      <c r="AC202" s="60"/>
      <c r="AD202" s="60"/>
      <c r="AE202" s="60"/>
      <c r="AF202" s="60"/>
      <c r="AG202" s="60"/>
      <c r="AH202" s="60"/>
      <c r="AI202" s="60"/>
      <c r="AJ202" s="74" t="str">
        <f t="shared" si="49"/>
        <v>-</v>
      </c>
      <c r="AK202" s="60"/>
      <c r="AL202" s="60"/>
      <c r="AM202" s="60"/>
      <c r="AN202" s="60"/>
      <c r="AO202" s="60"/>
      <c r="AP202" s="60"/>
      <c r="AQ202" s="60"/>
      <c r="AR202" s="60"/>
      <c r="AS202" s="60"/>
      <c r="AT202" s="74" t="str">
        <f t="shared" si="50"/>
        <v>-</v>
      </c>
      <c r="AU202" s="74" t="str">
        <f t="shared" si="51"/>
        <v>-</v>
      </c>
      <c r="AV202" s="74" t="str">
        <f t="shared" si="52"/>
        <v>-</v>
      </c>
      <c r="AX202" s="59" t="str">
        <f>IF(AND(D202&gt;0,AA202&gt;0),MIN(D202,AA202),"-")</f>
        <v>-</v>
      </c>
      <c r="AY202" s="59" t="str">
        <f>IF(AND(E202&gt;0,AB202&gt;0),MIN(E202,AB202),"-")</f>
        <v>-</v>
      </c>
      <c r="AZ202" s="59" t="str">
        <f>IF(AND(F202&gt;0,AC202&gt;0),MIN(F202,AC202),"-")</f>
        <v>-</v>
      </c>
      <c r="BA202" s="59" t="str">
        <f>IF(AND(G202&gt;0,AD202&gt;0),MIN(G202,AD202),"-")</f>
        <v>-</v>
      </c>
      <c r="BB202" s="59" t="str">
        <f>IF(AND(H202&gt;0,AE202&gt;0),MIN(H202,AE202),"-")</f>
        <v>-</v>
      </c>
      <c r="BC202" s="59" t="str">
        <f>IF(AND(I202&gt;0,AF202&gt;0),MIN(I202,AF202),"-")</f>
        <v>-</v>
      </c>
      <c r="BD202" s="59" t="str">
        <f>IF(AND(J202&gt;0,AG202&gt;0),MIN(J202,AG202),"-")</f>
        <v>-</v>
      </c>
      <c r="BE202" s="59" t="str">
        <f>IF(AND(K202&gt;0,AH202&gt;0),MIN(K202,AH202),"-")</f>
        <v>-</v>
      </c>
      <c r="BF202" s="59" t="str">
        <f>IF(AND(L202&gt;0,AI202&gt;0),MIN(L202,AI202),"-")</f>
        <v>-</v>
      </c>
      <c r="BG202" s="59" t="str">
        <f t="shared" si="53"/>
        <v>-</v>
      </c>
      <c r="BH202" s="59" t="str">
        <f>IF(AND(N202&gt;0,AK202&gt;0),MIN(N202,AK202),"-")</f>
        <v>-</v>
      </c>
      <c r="BI202" s="59" t="str">
        <f>IF(AND(O202&gt;0,AL202&gt;0),MIN(O202,AL202),"-")</f>
        <v>-</v>
      </c>
      <c r="BJ202" s="59" t="str">
        <f>IF(AND(P202&gt;0,AM202&gt;0),MIN(P202,AM202),"-")</f>
        <v>-</v>
      </c>
      <c r="BK202" s="59" t="str">
        <f>IF(AND(Q202&gt;0,AN202&gt;0),MIN(Q202,AN202),"-")</f>
        <v>-</v>
      </c>
      <c r="BL202" s="59" t="str">
        <f>IF(AND(R202&gt;0,AO202&gt;0),MIN(R202,AO202),"-")</f>
        <v>-</v>
      </c>
      <c r="BM202" s="59" t="str">
        <f>IF(AND(S202&gt;0,AP202&gt;0),MIN(S202,AP202),"-")</f>
        <v>-</v>
      </c>
      <c r="BN202" s="59" t="str">
        <f>IF(AND(T202&gt;0,AQ202&gt;0),MIN(T202,AQ202),"-")</f>
        <v>-</v>
      </c>
      <c r="BO202" s="59" t="str">
        <f>IF(AND(U202&gt;0,AR202&gt;0),MIN(U202,AR202),"-")</f>
        <v>-</v>
      </c>
      <c r="BP202" s="59" t="str">
        <f>IF(AND(V202&gt;0,AS202&gt;0),MIN(V202,AS202),"-")</f>
        <v>-</v>
      </c>
      <c r="BQ202" s="59" t="str">
        <f t="shared" si="54"/>
        <v>-</v>
      </c>
      <c r="BR202" s="59" t="str">
        <f t="shared" si="55"/>
        <v>-</v>
      </c>
      <c r="BS202" s="59" t="str">
        <f t="shared" si="56"/>
        <v>-</v>
      </c>
      <c r="BT202" s="98" t="str">
        <f>IF(ISNUMBER(BS202),BS202-(C202*Rules!$P$9/100),"-")</f>
        <v>-</v>
      </c>
      <c r="BU202" s="59" t="e">
        <f>RANK($BT202,$BT$5:$BT$106,1)+COUNTIF(BT$5:BT202,BT202)-1</f>
        <v>#VALUE!</v>
      </c>
      <c r="BV202" s="59" t="e">
        <f t="shared" si="57"/>
        <v>#VALUE!</v>
      </c>
      <c r="BW202" s="59" t="str">
        <f t="shared" si="58"/>
        <v xml:space="preserve"> </v>
      </c>
      <c r="BX202" s="59">
        <f t="shared" si="58"/>
        <v>0</v>
      </c>
      <c r="BY202" s="59" t="str">
        <f t="shared" si="59"/>
        <v>-</v>
      </c>
      <c r="CD202" s="79"/>
      <c r="CE202" s="80"/>
      <c r="CF202" s="104"/>
      <c r="CL202" s="77">
        <v>1</v>
      </c>
    </row>
    <row r="203" spans="1:90" ht="17.45" customHeight="1">
      <c r="A203" s="58">
        <v>199</v>
      </c>
      <c r="B203" s="59" t="str">
        <f>'B Div'!A203 &amp; " " &amp; 'B Div'!B203</f>
        <v xml:space="preserve"> </v>
      </c>
      <c r="C203" s="59">
        <f>'B Div'!E203</f>
        <v>0</v>
      </c>
      <c r="D203" s="60"/>
      <c r="E203" s="60"/>
      <c r="F203" s="60"/>
      <c r="G203" s="60"/>
      <c r="H203" s="60"/>
      <c r="I203" s="60"/>
      <c r="J203" s="60"/>
      <c r="K203" s="60"/>
      <c r="L203" s="60"/>
      <c r="M203" s="74" t="str">
        <f t="shared" si="45"/>
        <v>-</v>
      </c>
      <c r="N203" s="60"/>
      <c r="O203" s="60"/>
      <c r="P203" s="60"/>
      <c r="Q203" s="60"/>
      <c r="R203" s="60"/>
      <c r="S203" s="60"/>
      <c r="T203" s="60"/>
      <c r="U203" s="60"/>
      <c r="V203" s="60"/>
      <c r="W203" s="74" t="str">
        <f t="shared" si="46"/>
        <v>-</v>
      </c>
      <c r="X203" s="74" t="str">
        <f t="shared" si="47"/>
        <v>-</v>
      </c>
      <c r="Y203" s="74" t="str">
        <f t="shared" si="48"/>
        <v>-</v>
      </c>
      <c r="AA203" s="60"/>
      <c r="AB203" s="60"/>
      <c r="AC203" s="60"/>
      <c r="AD203" s="60"/>
      <c r="AE203" s="60"/>
      <c r="AF203" s="60"/>
      <c r="AG203" s="60"/>
      <c r="AH203" s="60"/>
      <c r="AI203" s="60"/>
      <c r="AJ203" s="74" t="str">
        <f t="shared" si="49"/>
        <v>-</v>
      </c>
      <c r="AK203" s="60"/>
      <c r="AL203" s="60"/>
      <c r="AM203" s="60"/>
      <c r="AN203" s="60"/>
      <c r="AO203" s="60"/>
      <c r="AP203" s="60"/>
      <c r="AQ203" s="60"/>
      <c r="AR203" s="60"/>
      <c r="AS203" s="60"/>
      <c r="AT203" s="74" t="str">
        <f t="shared" si="50"/>
        <v>-</v>
      </c>
      <c r="AU203" s="74" t="str">
        <f t="shared" si="51"/>
        <v>-</v>
      </c>
      <c r="AV203" s="74" t="str">
        <f t="shared" si="52"/>
        <v>-</v>
      </c>
      <c r="AX203" s="59" t="str">
        <f>IF(AND(D203&gt;0,AA203&gt;0),MIN(D203,AA203),"-")</f>
        <v>-</v>
      </c>
      <c r="AY203" s="59" t="str">
        <f>IF(AND(E203&gt;0,AB203&gt;0),MIN(E203,AB203),"-")</f>
        <v>-</v>
      </c>
      <c r="AZ203" s="59" t="str">
        <f>IF(AND(F203&gt;0,AC203&gt;0),MIN(F203,AC203),"-")</f>
        <v>-</v>
      </c>
      <c r="BA203" s="59" t="str">
        <f>IF(AND(G203&gt;0,AD203&gt;0),MIN(G203,AD203),"-")</f>
        <v>-</v>
      </c>
      <c r="BB203" s="59" t="str">
        <f>IF(AND(H203&gt;0,AE203&gt;0),MIN(H203,AE203),"-")</f>
        <v>-</v>
      </c>
      <c r="BC203" s="59" t="str">
        <f>IF(AND(I203&gt;0,AF203&gt;0),MIN(I203,AF203),"-")</f>
        <v>-</v>
      </c>
      <c r="BD203" s="59" t="str">
        <f>IF(AND(J203&gt;0,AG203&gt;0),MIN(J203,AG203),"-")</f>
        <v>-</v>
      </c>
      <c r="BE203" s="59" t="str">
        <f>IF(AND(K203&gt;0,AH203&gt;0),MIN(K203,AH203),"-")</f>
        <v>-</v>
      </c>
      <c r="BF203" s="59" t="str">
        <f>IF(AND(L203&gt;0,AI203&gt;0),MIN(L203,AI203),"-")</f>
        <v>-</v>
      </c>
      <c r="BG203" s="59" t="str">
        <f t="shared" si="53"/>
        <v>-</v>
      </c>
      <c r="BH203" s="59" t="str">
        <f>IF(AND(N203&gt;0,AK203&gt;0),MIN(N203,AK203),"-")</f>
        <v>-</v>
      </c>
      <c r="BI203" s="59" t="str">
        <f>IF(AND(O203&gt;0,AL203&gt;0),MIN(O203,AL203),"-")</f>
        <v>-</v>
      </c>
      <c r="BJ203" s="59" t="str">
        <f>IF(AND(P203&gt;0,AM203&gt;0),MIN(P203,AM203),"-")</f>
        <v>-</v>
      </c>
      <c r="BK203" s="59" t="str">
        <f>IF(AND(Q203&gt;0,AN203&gt;0),MIN(Q203,AN203),"-")</f>
        <v>-</v>
      </c>
      <c r="BL203" s="59" t="str">
        <f>IF(AND(R203&gt;0,AO203&gt;0),MIN(R203,AO203),"-")</f>
        <v>-</v>
      </c>
      <c r="BM203" s="59" t="str">
        <f>IF(AND(S203&gt;0,AP203&gt;0),MIN(S203,AP203),"-")</f>
        <v>-</v>
      </c>
      <c r="BN203" s="59" t="str">
        <f>IF(AND(T203&gt;0,AQ203&gt;0),MIN(T203,AQ203),"-")</f>
        <v>-</v>
      </c>
      <c r="BO203" s="59" t="str">
        <f>IF(AND(U203&gt;0,AR203&gt;0),MIN(U203,AR203),"-")</f>
        <v>-</v>
      </c>
      <c r="BP203" s="59" t="str">
        <f>IF(AND(V203&gt;0,AS203&gt;0),MIN(V203,AS203),"-")</f>
        <v>-</v>
      </c>
      <c r="BQ203" s="59" t="str">
        <f t="shared" si="54"/>
        <v>-</v>
      </c>
      <c r="BR203" s="59" t="str">
        <f t="shared" si="55"/>
        <v>-</v>
      </c>
      <c r="BS203" s="59" t="str">
        <f t="shared" si="56"/>
        <v>-</v>
      </c>
      <c r="BT203" s="98" t="str">
        <f>IF(ISNUMBER(BS203),BS203-(C203*Rules!$P$9/100),"-")</f>
        <v>-</v>
      </c>
      <c r="BU203" s="59" t="e">
        <f>RANK($BT203,$BT$5:$BT$106,1)+COUNTIF(BT$5:BT203,BT203)-1</f>
        <v>#VALUE!</v>
      </c>
      <c r="BV203" s="59" t="e">
        <f t="shared" si="57"/>
        <v>#VALUE!</v>
      </c>
      <c r="BW203" s="59" t="str">
        <f t="shared" si="58"/>
        <v xml:space="preserve"> </v>
      </c>
      <c r="BX203" s="59">
        <f t="shared" si="58"/>
        <v>0</v>
      </c>
      <c r="BY203" s="59" t="str">
        <f t="shared" si="59"/>
        <v>-</v>
      </c>
      <c r="CD203" s="79"/>
      <c r="CE203" s="80"/>
      <c r="CF203" s="104"/>
      <c r="CL203" s="77">
        <v>1</v>
      </c>
    </row>
    <row r="204" spans="1:90" ht="17.45" customHeight="1">
      <c r="A204" s="58">
        <v>200</v>
      </c>
      <c r="B204" s="59" t="str">
        <f>'B Div'!A204 &amp; " " &amp; 'B Div'!B204</f>
        <v xml:space="preserve"> </v>
      </c>
      <c r="C204" s="59">
        <f>'B Div'!E204</f>
        <v>0</v>
      </c>
      <c r="D204" s="60"/>
      <c r="E204" s="60"/>
      <c r="F204" s="60"/>
      <c r="G204" s="60"/>
      <c r="H204" s="60"/>
      <c r="I204" s="60"/>
      <c r="J204" s="60"/>
      <c r="K204" s="60"/>
      <c r="L204" s="60"/>
      <c r="M204" s="74" t="str">
        <f t="shared" si="45"/>
        <v>-</v>
      </c>
      <c r="N204" s="60"/>
      <c r="O204" s="60"/>
      <c r="P204" s="60"/>
      <c r="Q204" s="60"/>
      <c r="R204" s="60"/>
      <c r="S204" s="60"/>
      <c r="T204" s="60"/>
      <c r="U204" s="60"/>
      <c r="V204" s="60"/>
      <c r="W204" s="74" t="str">
        <f t="shared" si="46"/>
        <v>-</v>
      </c>
      <c r="X204" s="74" t="str">
        <f t="shared" si="47"/>
        <v>-</v>
      </c>
      <c r="Y204" s="74" t="str">
        <f t="shared" si="48"/>
        <v>-</v>
      </c>
      <c r="AA204" s="60"/>
      <c r="AB204" s="60"/>
      <c r="AC204" s="60"/>
      <c r="AD204" s="60"/>
      <c r="AE204" s="60"/>
      <c r="AF204" s="60"/>
      <c r="AG204" s="60"/>
      <c r="AH204" s="60"/>
      <c r="AI204" s="60"/>
      <c r="AJ204" s="74" t="str">
        <f t="shared" si="49"/>
        <v>-</v>
      </c>
      <c r="AK204" s="60"/>
      <c r="AL204" s="60"/>
      <c r="AM204" s="60"/>
      <c r="AN204" s="60"/>
      <c r="AO204" s="60"/>
      <c r="AP204" s="60"/>
      <c r="AQ204" s="60"/>
      <c r="AR204" s="60"/>
      <c r="AS204" s="60"/>
      <c r="AT204" s="74" t="str">
        <f t="shared" si="50"/>
        <v>-</v>
      </c>
      <c r="AU204" s="74" t="str">
        <f t="shared" si="51"/>
        <v>-</v>
      </c>
      <c r="AV204" s="74" t="str">
        <f t="shared" si="52"/>
        <v>-</v>
      </c>
      <c r="AX204" s="59" t="str">
        <f>IF(AND(D204&gt;0,AA204&gt;0),MIN(D204,AA204),"-")</f>
        <v>-</v>
      </c>
      <c r="AY204" s="59" t="str">
        <f>IF(AND(E204&gt;0,AB204&gt;0),MIN(E204,AB204),"-")</f>
        <v>-</v>
      </c>
      <c r="AZ204" s="59" t="str">
        <f>IF(AND(F204&gt;0,AC204&gt;0),MIN(F204,AC204),"-")</f>
        <v>-</v>
      </c>
      <c r="BA204" s="59" t="str">
        <f>IF(AND(G204&gt;0,AD204&gt;0),MIN(G204,AD204),"-")</f>
        <v>-</v>
      </c>
      <c r="BB204" s="59" t="str">
        <f>IF(AND(H204&gt;0,AE204&gt;0),MIN(H204,AE204),"-")</f>
        <v>-</v>
      </c>
      <c r="BC204" s="59" t="str">
        <f>IF(AND(I204&gt;0,AF204&gt;0),MIN(I204,AF204),"-")</f>
        <v>-</v>
      </c>
      <c r="BD204" s="59" t="str">
        <f>IF(AND(J204&gt;0,AG204&gt;0),MIN(J204,AG204),"-")</f>
        <v>-</v>
      </c>
      <c r="BE204" s="59" t="str">
        <f>IF(AND(K204&gt;0,AH204&gt;0),MIN(K204,AH204),"-")</f>
        <v>-</v>
      </c>
      <c r="BF204" s="59" t="str">
        <f>IF(AND(L204&gt;0,AI204&gt;0),MIN(L204,AI204),"-")</f>
        <v>-</v>
      </c>
      <c r="BG204" s="59" t="str">
        <f t="shared" si="53"/>
        <v>-</v>
      </c>
      <c r="BH204" s="59" t="str">
        <f>IF(AND(N204&gt;0,AK204&gt;0),MIN(N204,AK204),"-")</f>
        <v>-</v>
      </c>
      <c r="BI204" s="59" t="str">
        <f>IF(AND(O204&gt;0,AL204&gt;0),MIN(O204,AL204),"-")</f>
        <v>-</v>
      </c>
      <c r="BJ204" s="59" t="str">
        <f>IF(AND(P204&gt;0,AM204&gt;0),MIN(P204,AM204),"-")</f>
        <v>-</v>
      </c>
      <c r="BK204" s="59" t="str">
        <f>IF(AND(Q204&gt;0,AN204&gt;0),MIN(Q204,AN204),"-")</f>
        <v>-</v>
      </c>
      <c r="BL204" s="59" t="str">
        <f>IF(AND(R204&gt;0,AO204&gt;0),MIN(R204,AO204),"-")</f>
        <v>-</v>
      </c>
      <c r="BM204" s="59" t="str">
        <f>IF(AND(S204&gt;0,AP204&gt;0),MIN(S204,AP204),"-")</f>
        <v>-</v>
      </c>
      <c r="BN204" s="59" t="str">
        <f>IF(AND(T204&gt;0,AQ204&gt;0),MIN(T204,AQ204),"-")</f>
        <v>-</v>
      </c>
      <c r="BO204" s="59" t="str">
        <f>IF(AND(U204&gt;0,AR204&gt;0),MIN(U204,AR204),"-")</f>
        <v>-</v>
      </c>
      <c r="BP204" s="59" t="str">
        <f>IF(AND(V204&gt;0,AS204&gt;0),MIN(V204,AS204),"-")</f>
        <v>-</v>
      </c>
      <c r="BQ204" s="59" t="str">
        <f t="shared" si="54"/>
        <v>-</v>
      </c>
      <c r="BR204" s="59" t="str">
        <f t="shared" si="55"/>
        <v>-</v>
      </c>
      <c r="BS204" s="59" t="str">
        <f t="shared" si="56"/>
        <v>-</v>
      </c>
      <c r="BT204" s="98" t="str">
        <f>IF(ISNUMBER(BS204),BS204-(C204*Rules!$P$9/100),"-")</f>
        <v>-</v>
      </c>
      <c r="BU204" s="59" t="e">
        <f>RANK($BT204,$BT$5:$BT$106,1)+COUNTIF(BT$5:BT204,BT204)-1</f>
        <v>#VALUE!</v>
      </c>
      <c r="BV204" s="59" t="e">
        <f t="shared" si="57"/>
        <v>#VALUE!</v>
      </c>
      <c r="BW204" s="59" t="str">
        <f t="shared" si="58"/>
        <v xml:space="preserve"> </v>
      </c>
      <c r="BX204" s="59">
        <f t="shared" si="58"/>
        <v>0</v>
      </c>
      <c r="BY204" s="59" t="str">
        <f t="shared" si="59"/>
        <v>-</v>
      </c>
      <c r="CD204" s="79"/>
      <c r="CE204" s="80"/>
      <c r="CF204" s="104"/>
      <c r="CL204" s="77">
        <v>1</v>
      </c>
    </row>
    <row r="205" spans="1:90" ht="17.45" customHeight="1">
      <c r="A205" s="58">
        <v>201</v>
      </c>
      <c r="B205" s="59" t="str">
        <f>'B Div'!A205 &amp; " " &amp; 'B Div'!B205</f>
        <v xml:space="preserve"> </v>
      </c>
      <c r="C205" s="59">
        <f>'B Div'!E205</f>
        <v>0</v>
      </c>
      <c r="D205" s="60"/>
      <c r="E205" s="60"/>
      <c r="F205" s="60"/>
      <c r="G205" s="60"/>
      <c r="H205" s="60"/>
      <c r="I205" s="60"/>
      <c r="J205" s="60"/>
      <c r="K205" s="60"/>
      <c r="L205" s="60"/>
      <c r="M205" s="74" t="str">
        <f t="shared" si="45"/>
        <v>-</v>
      </c>
      <c r="N205" s="60"/>
      <c r="O205" s="60"/>
      <c r="P205" s="60"/>
      <c r="Q205" s="60"/>
      <c r="R205" s="60"/>
      <c r="S205" s="60"/>
      <c r="T205" s="60"/>
      <c r="U205" s="60"/>
      <c r="V205" s="60"/>
      <c r="W205" s="74" t="str">
        <f t="shared" si="46"/>
        <v>-</v>
      </c>
      <c r="X205" s="74" t="str">
        <f t="shared" si="47"/>
        <v>-</v>
      </c>
      <c r="Y205" s="74" t="str">
        <f t="shared" si="48"/>
        <v>-</v>
      </c>
      <c r="AA205" s="60"/>
      <c r="AB205" s="60"/>
      <c r="AC205" s="60"/>
      <c r="AD205" s="60"/>
      <c r="AE205" s="60"/>
      <c r="AF205" s="60"/>
      <c r="AG205" s="60"/>
      <c r="AH205" s="60"/>
      <c r="AI205" s="60"/>
      <c r="AJ205" s="74" t="str">
        <f t="shared" si="49"/>
        <v>-</v>
      </c>
      <c r="AK205" s="60"/>
      <c r="AL205" s="60"/>
      <c r="AM205" s="60"/>
      <c r="AN205" s="60"/>
      <c r="AO205" s="60"/>
      <c r="AP205" s="60"/>
      <c r="AQ205" s="60"/>
      <c r="AR205" s="60"/>
      <c r="AS205" s="60"/>
      <c r="AT205" s="74" t="str">
        <f t="shared" si="50"/>
        <v>-</v>
      </c>
      <c r="AU205" s="74" t="str">
        <f t="shared" si="51"/>
        <v>-</v>
      </c>
      <c r="AV205" s="74" t="str">
        <f t="shared" si="52"/>
        <v>-</v>
      </c>
      <c r="AX205" s="59" t="str">
        <f>IF(AND(D205&gt;0,AA205&gt;0),MIN(D205,AA205),"-")</f>
        <v>-</v>
      </c>
      <c r="AY205" s="59" t="str">
        <f>IF(AND(E205&gt;0,AB205&gt;0),MIN(E205,AB205),"-")</f>
        <v>-</v>
      </c>
      <c r="AZ205" s="59" t="str">
        <f>IF(AND(F205&gt;0,AC205&gt;0),MIN(F205,AC205),"-")</f>
        <v>-</v>
      </c>
      <c r="BA205" s="59" t="str">
        <f>IF(AND(G205&gt;0,AD205&gt;0),MIN(G205,AD205),"-")</f>
        <v>-</v>
      </c>
      <c r="BB205" s="59" t="str">
        <f>IF(AND(H205&gt;0,AE205&gt;0),MIN(H205,AE205),"-")</f>
        <v>-</v>
      </c>
      <c r="BC205" s="59" t="str">
        <f>IF(AND(I205&gt;0,AF205&gt;0),MIN(I205,AF205),"-")</f>
        <v>-</v>
      </c>
      <c r="BD205" s="59" t="str">
        <f>IF(AND(J205&gt;0,AG205&gt;0),MIN(J205,AG205),"-")</f>
        <v>-</v>
      </c>
      <c r="BE205" s="59" t="str">
        <f>IF(AND(K205&gt;0,AH205&gt;0),MIN(K205,AH205),"-")</f>
        <v>-</v>
      </c>
      <c r="BF205" s="59" t="str">
        <f>IF(AND(L205&gt;0,AI205&gt;0),MIN(L205,AI205),"-")</f>
        <v>-</v>
      </c>
      <c r="BG205" s="59" t="str">
        <f t="shared" si="53"/>
        <v>-</v>
      </c>
      <c r="BH205" s="59" t="str">
        <f>IF(AND(N205&gt;0,AK205&gt;0),MIN(N205,AK205),"-")</f>
        <v>-</v>
      </c>
      <c r="BI205" s="59" t="str">
        <f>IF(AND(O205&gt;0,AL205&gt;0),MIN(O205,AL205),"-")</f>
        <v>-</v>
      </c>
      <c r="BJ205" s="59" t="str">
        <f>IF(AND(P205&gt;0,AM205&gt;0),MIN(P205,AM205),"-")</f>
        <v>-</v>
      </c>
      <c r="BK205" s="59" t="str">
        <f>IF(AND(Q205&gt;0,AN205&gt;0),MIN(Q205,AN205),"-")</f>
        <v>-</v>
      </c>
      <c r="BL205" s="59" t="str">
        <f>IF(AND(R205&gt;0,AO205&gt;0),MIN(R205,AO205),"-")</f>
        <v>-</v>
      </c>
      <c r="BM205" s="59" t="str">
        <f>IF(AND(S205&gt;0,AP205&gt;0),MIN(S205,AP205),"-")</f>
        <v>-</v>
      </c>
      <c r="BN205" s="59" t="str">
        <f>IF(AND(T205&gt;0,AQ205&gt;0),MIN(T205,AQ205),"-")</f>
        <v>-</v>
      </c>
      <c r="BO205" s="59" t="str">
        <f>IF(AND(U205&gt;0,AR205&gt;0),MIN(U205,AR205),"-")</f>
        <v>-</v>
      </c>
      <c r="BP205" s="59" t="str">
        <f>IF(AND(V205&gt;0,AS205&gt;0),MIN(V205,AS205),"-")</f>
        <v>-</v>
      </c>
      <c r="BQ205" s="59" t="str">
        <f t="shared" si="54"/>
        <v>-</v>
      </c>
      <c r="BR205" s="59" t="str">
        <f t="shared" si="55"/>
        <v>-</v>
      </c>
      <c r="BS205" s="59" t="str">
        <f t="shared" si="56"/>
        <v>-</v>
      </c>
      <c r="BT205" s="98" t="str">
        <f>IF(ISNUMBER(BS205),BS205-(C205*Rules!$P$9/100),"-")</f>
        <v>-</v>
      </c>
      <c r="BU205" s="59" t="e">
        <f>RANK($BT205,$BT$5:$BT$106,1)+COUNTIF(BT$5:BT205,BT205)-1</f>
        <v>#VALUE!</v>
      </c>
      <c r="BV205" s="59" t="e">
        <f t="shared" si="57"/>
        <v>#VALUE!</v>
      </c>
      <c r="BW205" s="59" t="str">
        <f t="shared" si="58"/>
        <v xml:space="preserve"> </v>
      </c>
      <c r="BX205" s="59">
        <f t="shared" si="58"/>
        <v>0</v>
      </c>
      <c r="BY205" s="59" t="str">
        <f t="shared" si="59"/>
        <v>-</v>
      </c>
      <c r="CD205" s="79"/>
      <c r="CE205" s="80"/>
      <c r="CF205" s="104"/>
      <c r="CL205" s="77">
        <v>1</v>
      </c>
    </row>
    <row r="206" spans="1:90" ht="17.45" customHeight="1">
      <c r="A206" s="58">
        <v>202</v>
      </c>
      <c r="B206" s="59" t="str">
        <f>'B Div'!A206 &amp; " " &amp; 'B Div'!B206</f>
        <v xml:space="preserve"> </v>
      </c>
      <c r="C206" s="59">
        <f>'B Div'!E206</f>
        <v>0</v>
      </c>
      <c r="D206" s="60"/>
      <c r="E206" s="60"/>
      <c r="F206" s="60"/>
      <c r="G206" s="60"/>
      <c r="H206" s="60"/>
      <c r="I206" s="60"/>
      <c r="J206" s="60"/>
      <c r="K206" s="60"/>
      <c r="L206" s="60"/>
      <c r="M206" s="74" t="str">
        <f t="shared" si="45"/>
        <v>-</v>
      </c>
      <c r="N206" s="60"/>
      <c r="O206" s="60"/>
      <c r="P206" s="60"/>
      <c r="Q206" s="60"/>
      <c r="R206" s="60"/>
      <c r="S206" s="60"/>
      <c r="T206" s="60"/>
      <c r="U206" s="60"/>
      <c r="V206" s="60"/>
      <c r="W206" s="74" t="str">
        <f t="shared" si="46"/>
        <v>-</v>
      </c>
      <c r="X206" s="74" t="str">
        <f t="shared" si="47"/>
        <v>-</v>
      </c>
      <c r="Y206" s="74" t="str">
        <f t="shared" si="48"/>
        <v>-</v>
      </c>
      <c r="AA206" s="60"/>
      <c r="AB206" s="60"/>
      <c r="AC206" s="60"/>
      <c r="AD206" s="60"/>
      <c r="AE206" s="60"/>
      <c r="AF206" s="60"/>
      <c r="AG206" s="60"/>
      <c r="AH206" s="60"/>
      <c r="AI206" s="60"/>
      <c r="AJ206" s="74" t="str">
        <f t="shared" si="49"/>
        <v>-</v>
      </c>
      <c r="AK206" s="60"/>
      <c r="AL206" s="60"/>
      <c r="AM206" s="60"/>
      <c r="AN206" s="60"/>
      <c r="AO206" s="60"/>
      <c r="AP206" s="60"/>
      <c r="AQ206" s="60"/>
      <c r="AR206" s="60"/>
      <c r="AS206" s="60"/>
      <c r="AT206" s="74" t="str">
        <f t="shared" si="50"/>
        <v>-</v>
      </c>
      <c r="AU206" s="74" t="str">
        <f t="shared" si="51"/>
        <v>-</v>
      </c>
      <c r="AV206" s="74" t="str">
        <f t="shared" si="52"/>
        <v>-</v>
      </c>
      <c r="AX206" s="59" t="str">
        <f>IF(AND(D206&gt;0,AA206&gt;0),MIN(D206,AA206),"-")</f>
        <v>-</v>
      </c>
      <c r="AY206" s="59" t="str">
        <f>IF(AND(E206&gt;0,AB206&gt;0),MIN(E206,AB206),"-")</f>
        <v>-</v>
      </c>
      <c r="AZ206" s="59" t="str">
        <f>IF(AND(F206&gt;0,AC206&gt;0),MIN(F206,AC206),"-")</f>
        <v>-</v>
      </c>
      <c r="BA206" s="59" t="str">
        <f>IF(AND(G206&gt;0,AD206&gt;0),MIN(G206,AD206),"-")</f>
        <v>-</v>
      </c>
      <c r="BB206" s="59" t="str">
        <f>IF(AND(H206&gt;0,AE206&gt;0),MIN(H206,AE206),"-")</f>
        <v>-</v>
      </c>
      <c r="BC206" s="59" t="str">
        <f>IF(AND(I206&gt;0,AF206&gt;0),MIN(I206,AF206),"-")</f>
        <v>-</v>
      </c>
      <c r="BD206" s="59" t="str">
        <f>IF(AND(J206&gt;0,AG206&gt;0),MIN(J206,AG206),"-")</f>
        <v>-</v>
      </c>
      <c r="BE206" s="59" t="str">
        <f>IF(AND(K206&gt;0,AH206&gt;0),MIN(K206,AH206),"-")</f>
        <v>-</v>
      </c>
      <c r="BF206" s="59" t="str">
        <f>IF(AND(L206&gt;0,AI206&gt;0),MIN(L206,AI206),"-")</f>
        <v>-</v>
      </c>
      <c r="BG206" s="59" t="str">
        <f t="shared" si="53"/>
        <v>-</v>
      </c>
      <c r="BH206" s="59" t="str">
        <f>IF(AND(N206&gt;0,AK206&gt;0),MIN(N206,AK206),"-")</f>
        <v>-</v>
      </c>
      <c r="BI206" s="59" t="str">
        <f>IF(AND(O206&gt;0,AL206&gt;0),MIN(O206,AL206),"-")</f>
        <v>-</v>
      </c>
      <c r="BJ206" s="59" t="str">
        <f>IF(AND(P206&gt;0,AM206&gt;0),MIN(P206,AM206),"-")</f>
        <v>-</v>
      </c>
      <c r="BK206" s="59" t="str">
        <f>IF(AND(Q206&gt;0,AN206&gt;0),MIN(Q206,AN206),"-")</f>
        <v>-</v>
      </c>
      <c r="BL206" s="59" t="str">
        <f>IF(AND(R206&gt;0,AO206&gt;0),MIN(R206,AO206),"-")</f>
        <v>-</v>
      </c>
      <c r="BM206" s="59" t="str">
        <f>IF(AND(S206&gt;0,AP206&gt;0),MIN(S206,AP206),"-")</f>
        <v>-</v>
      </c>
      <c r="BN206" s="59" t="str">
        <f>IF(AND(T206&gt;0,AQ206&gt;0),MIN(T206,AQ206),"-")</f>
        <v>-</v>
      </c>
      <c r="BO206" s="59" t="str">
        <f>IF(AND(U206&gt;0,AR206&gt;0),MIN(U206,AR206),"-")</f>
        <v>-</v>
      </c>
      <c r="BP206" s="59" t="str">
        <f>IF(AND(V206&gt;0,AS206&gt;0),MIN(V206,AS206),"-")</f>
        <v>-</v>
      </c>
      <c r="BQ206" s="59" t="str">
        <f t="shared" si="54"/>
        <v>-</v>
      </c>
      <c r="BR206" s="59" t="str">
        <f t="shared" si="55"/>
        <v>-</v>
      </c>
      <c r="BS206" s="59" t="str">
        <f t="shared" si="56"/>
        <v>-</v>
      </c>
      <c r="BT206" s="98" t="str">
        <f>IF(ISNUMBER(BS206),BS206-(C206*Rules!$P$9/100),"-")</f>
        <v>-</v>
      </c>
      <c r="BU206" s="59" t="e">
        <f>RANK($BT206,$BT$5:$BT$106,1)+COUNTIF(BT$5:BT206,BT206)-1</f>
        <v>#VALUE!</v>
      </c>
      <c r="BV206" s="59" t="e">
        <f t="shared" si="57"/>
        <v>#VALUE!</v>
      </c>
      <c r="BW206" s="59" t="str">
        <f t="shared" si="58"/>
        <v xml:space="preserve"> </v>
      </c>
      <c r="BX206" s="59">
        <f t="shared" si="58"/>
        <v>0</v>
      </c>
      <c r="BY206" s="59" t="str">
        <f t="shared" si="59"/>
        <v>-</v>
      </c>
      <c r="CD206" s="79"/>
      <c r="CE206" s="80"/>
      <c r="CF206" s="104"/>
      <c r="CL206" s="77">
        <v>1</v>
      </c>
    </row>
    <row r="207" spans="1:90" ht="17.45" customHeight="1">
      <c r="A207" s="58">
        <v>203</v>
      </c>
      <c r="B207" s="59" t="str">
        <f>'B Div'!A207 &amp; " " &amp; 'B Div'!B207</f>
        <v xml:space="preserve"> </v>
      </c>
      <c r="C207" s="59">
        <f>'B Div'!E207</f>
        <v>0</v>
      </c>
      <c r="D207" s="60"/>
      <c r="E207" s="60"/>
      <c r="F207" s="60"/>
      <c r="G207" s="60"/>
      <c r="H207" s="60"/>
      <c r="I207" s="60"/>
      <c r="J207" s="60"/>
      <c r="K207" s="60"/>
      <c r="L207" s="60"/>
      <c r="M207" s="74" t="str">
        <f t="shared" si="45"/>
        <v>-</v>
      </c>
      <c r="N207" s="60"/>
      <c r="O207" s="60"/>
      <c r="P207" s="60"/>
      <c r="Q207" s="60"/>
      <c r="R207" s="60"/>
      <c r="S207" s="60"/>
      <c r="T207" s="60"/>
      <c r="U207" s="60"/>
      <c r="V207" s="60"/>
      <c r="W207" s="74" t="str">
        <f t="shared" si="46"/>
        <v>-</v>
      </c>
      <c r="X207" s="74" t="str">
        <f t="shared" si="47"/>
        <v>-</v>
      </c>
      <c r="Y207" s="74" t="str">
        <f t="shared" si="48"/>
        <v>-</v>
      </c>
      <c r="AA207" s="60"/>
      <c r="AB207" s="60"/>
      <c r="AC207" s="60"/>
      <c r="AD207" s="60"/>
      <c r="AE207" s="60"/>
      <c r="AF207" s="60"/>
      <c r="AG207" s="60"/>
      <c r="AH207" s="60"/>
      <c r="AI207" s="60"/>
      <c r="AJ207" s="74" t="str">
        <f t="shared" si="49"/>
        <v>-</v>
      </c>
      <c r="AK207" s="60"/>
      <c r="AL207" s="60"/>
      <c r="AM207" s="60"/>
      <c r="AN207" s="60"/>
      <c r="AO207" s="60"/>
      <c r="AP207" s="60"/>
      <c r="AQ207" s="60"/>
      <c r="AR207" s="60"/>
      <c r="AS207" s="60"/>
      <c r="AT207" s="74" t="str">
        <f t="shared" si="50"/>
        <v>-</v>
      </c>
      <c r="AU207" s="74" t="str">
        <f t="shared" si="51"/>
        <v>-</v>
      </c>
      <c r="AV207" s="74" t="str">
        <f t="shared" si="52"/>
        <v>-</v>
      </c>
      <c r="AX207" s="59" t="str">
        <f>IF(AND(D207&gt;0,AA207&gt;0),MIN(D207,AA207),"-")</f>
        <v>-</v>
      </c>
      <c r="AY207" s="59" t="str">
        <f>IF(AND(E207&gt;0,AB207&gt;0),MIN(E207,AB207),"-")</f>
        <v>-</v>
      </c>
      <c r="AZ207" s="59" t="str">
        <f>IF(AND(F207&gt;0,AC207&gt;0),MIN(F207,AC207),"-")</f>
        <v>-</v>
      </c>
      <c r="BA207" s="59" t="str">
        <f>IF(AND(G207&gt;0,AD207&gt;0),MIN(G207,AD207),"-")</f>
        <v>-</v>
      </c>
      <c r="BB207" s="59" t="str">
        <f>IF(AND(H207&gt;0,AE207&gt;0),MIN(H207,AE207),"-")</f>
        <v>-</v>
      </c>
      <c r="BC207" s="59" t="str">
        <f>IF(AND(I207&gt;0,AF207&gt;0),MIN(I207,AF207),"-")</f>
        <v>-</v>
      </c>
      <c r="BD207" s="59" t="str">
        <f>IF(AND(J207&gt;0,AG207&gt;0),MIN(J207,AG207),"-")</f>
        <v>-</v>
      </c>
      <c r="BE207" s="59" t="str">
        <f>IF(AND(K207&gt;0,AH207&gt;0),MIN(K207,AH207),"-")</f>
        <v>-</v>
      </c>
      <c r="BF207" s="59" t="str">
        <f>IF(AND(L207&gt;0,AI207&gt;0),MIN(L207,AI207),"-")</f>
        <v>-</v>
      </c>
      <c r="BG207" s="59" t="str">
        <f t="shared" si="53"/>
        <v>-</v>
      </c>
      <c r="BH207" s="59" t="str">
        <f>IF(AND(N207&gt;0,AK207&gt;0),MIN(N207,AK207),"-")</f>
        <v>-</v>
      </c>
      <c r="BI207" s="59" t="str">
        <f>IF(AND(O207&gt;0,AL207&gt;0),MIN(O207,AL207),"-")</f>
        <v>-</v>
      </c>
      <c r="BJ207" s="59" t="str">
        <f>IF(AND(P207&gt;0,AM207&gt;0),MIN(P207,AM207),"-")</f>
        <v>-</v>
      </c>
      <c r="BK207" s="59" t="str">
        <f>IF(AND(Q207&gt;0,AN207&gt;0),MIN(Q207,AN207),"-")</f>
        <v>-</v>
      </c>
      <c r="BL207" s="59" t="str">
        <f>IF(AND(R207&gt;0,AO207&gt;0),MIN(R207,AO207),"-")</f>
        <v>-</v>
      </c>
      <c r="BM207" s="59" t="str">
        <f>IF(AND(S207&gt;0,AP207&gt;0),MIN(S207,AP207),"-")</f>
        <v>-</v>
      </c>
      <c r="BN207" s="59" t="str">
        <f>IF(AND(T207&gt;0,AQ207&gt;0),MIN(T207,AQ207),"-")</f>
        <v>-</v>
      </c>
      <c r="BO207" s="59" t="str">
        <f>IF(AND(U207&gt;0,AR207&gt;0),MIN(U207,AR207),"-")</f>
        <v>-</v>
      </c>
      <c r="BP207" s="59" t="str">
        <f>IF(AND(V207&gt;0,AS207&gt;0),MIN(V207,AS207),"-")</f>
        <v>-</v>
      </c>
      <c r="BQ207" s="59" t="str">
        <f t="shared" si="54"/>
        <v>-</v>
      </c>
      <c r="BR207" s="59" t="str">
        <f t="shared" si="55"/>
        <v>-</v>
      </c>
      <c r="BS207" s="59" t="str">
        <f t="shared" si="56"/>
        <v>-</v>
      </c>
      <c r="BT207" s="98" t="str">
        <f>IF(ISNUMBER(BS207),BS207-(C207*Rules!$P$9/100),"-")</f>
        <v>-</v>
      </c>
      <c r="BU207" s="59" t="e">
        <f>RANK($BT207,$BT$5:$BT$106,1)+COUNTIF(BT$5:BT207,BT207)-1</f>
        <v>#VALUE!</v>
      </c>
      <c r="BV207" s="59" t="e">
        <f t="shared" si="57"/>
        <v>#VALUE!</v>
      </c>
      <c r="BW207" s="59" t="str">
        <f t="shared" si="58"/>
        <v xml:space="preserve"> </v>
      </c>
      <c r="BX207" s="59">
        <f t="shared" si="58"/>
        <v>0</v>
      </c>
      <c r="BY207" s="59" t="str">
        <f t="shared" si="59"/>
        <v>-</v>
      </c>
      <c r="CD207" s="79"/>
      <c r="CE207" s="80"/>
      <c r="CF207" s="104"/>
      <c r="CL207" s="77">
        <v>1</v>
      </c>
    </row>
    <row r="208" spans="1:90" ht="17.45" customHeight="1">
      <c r="A208" s="58">
        <v>204</v>
      </c>
      <c r="B208" s="59" t="str">
        <f>'B Div'!A208 &amp; " " &amp; 'B Div'!B208</f>
        <v xml:space="preserve"> </v>
      </c>
      <c r="C208" s="59">
        <f>'B Div'!E208</f>
        <v>0</v>
      </c>
      <c r="D208" s="60"/>
      <c r="E208" s="60"/>
      <c r="F208" s="60"/>
      <c r="G208" s="60"/>
      <c r="H208" s="60"/>
      <c r="I208" s="60"/>
      <c r="J208" s="60"/>
      <c r="K208" s="60"/>
      <c r="L208" s="60"/>
      <c r="M208" s="74" t="str">
        <f t="shared" si="45"/>
        <v>-</v>
      </c>
      <c r="N208" s="60"/>
      <c r="O208" s="60"/>
      <c r="P208" s="60"/>
      <c r="Q208" s="60"/>
      <c r="R208" s="60"/>
      <c r="S208" s="60"/>
      <c r="T208" s="60"/>
      <c r="U208" s="60"/>
      <c r="V208" s="60"/>
      <c r="W208" s="74" t="str">
        <f t="shared" si="46"/>
        <v>-</v>
      </c>
      <c r="X208" s="74" t="str">
        <f t="shared" si="47"/>
        <v>-</v>
      </c>
      <c r="Y208" s="74" t="str">
        <f t="shared" si="48"/>
        <v>-</v>
      </c>
      <c r="AA208" s="60"/>
      <c r="AB208" s="60"/>
      <c r="AC208" s="60"/>
      <c r="AD208" s="60"/>
      <c r="AE208" s="60"/>
      <c r="AF208" s="60"/>
      <c r="AG208" s="60"/>
      <c r="AH208" s="60"/>
      <c r="AI208" s="60"/>
      <c r="AJ208" s="74" t="str">
        <f t="shared" si="49"/>
        <v>-</v>
      </c>
      <c r="AK208" s="60"/>
      <c r="AL208" s="60"/>
      <c r="AM208" s="60"/>
      <c r="AN208" s="60"/>
      <c r="AO208" s="60"/>
      <c r="AP208" s="60"/>
      <c r="AQ208" s="60"/>
      <c r="AR208" s="60"/>
      <c r="AS208" s="60"/>
      <c r="AT208" s="74" t="str">
        <f t="shared" si="50"/>
        <v>-</v>
      </c>
      <c r="AU208" s="74" t="str">
        <f t="shared" si="51"/>
        <v>-</v>
      </c>
      <c r="AV208" s="74" t="str">
        <f t="shared" si="52"/>
        <v>-</v>
      </c>
      <c r="AX208" s="59" t="str">
        <f>IF(AND(D208&gt;0,AA208&gt;0),MIN(D208,AA208),"-")</f>
        <v>-</v>
      </c>
      <c r="AY208" s="59" t="str">
        <f>IF(AND(E208&gt;0,AB208&gt;0),MIN(E208,AB208),"-")</f>
        <v>-</v>
      </c>
      <c r="AZ208" s="59" t="str">
        <f>IF(AND(F208&gt;0,AC208&gt;0),MIN(F208,AC208),"-")</f>
        <v>-</v>
      </c>
      <c r="BA208" s="59" t="str">
        <f>IF(AND(G208&gt;0,AD208&gt;0),MIN(G208,AD208),"-")</f>
        <v>-</v>
      </c>
      <c r="BB208" s="59" t="str">
        <f>IF(AND(H208&gt;0,AE208&gt;0),MIN(H208,AE208),"-")</f>
        <v>-</v>
      </c>
      <c r="BC208" s="59" t="str">
        <f>IF(AND(I208&gt;0,AF208&gt;0),MIN(I208,AF208),"-")</f>
        <v>-</v>
      </c>
      <c r="BD208" s="59" t="str">
        <f>IF(AND(J208&gt;0,AG208&gt;0),MIN(J208,AG208),"-")</f>
        <v>-</v>
      </c>
      <c r="BE208" s="59" t="str">
        <f>IF(AND(K208&gt;0,AH208&gt;0),MIN(K208,AH208),"-")</f>
        <v>-</v>
      </c>
      <c r="BF208" s="59" t="str">
        <f>IF(AND(L208&gt;0,AI208&gt;0),MIN(L208,AI208),"-")</f>
        <v>-</v>
      </c>
      <c r="BG208" s="59" t="str">
        <f t="shared" si="53"/>
        <v>-</v>
      </c>
      <c r="BH208" s="59" t="str">
        <f>IF(AND(N208&gt;0,AK208&gt;0),MIN(N208,AK208),"-")</f>
        <v>-</v>
      </c>
      <c r="BI208" s="59" t="str">
        <f>IF(AND(O208&gt;0,AL208&gt;0),MIN(O208,AL208),"-")</f>
        <v>-</v>
      </c>
      <c r="BJ208" s="59" t="str">
        <f>IF(AND(P208&gt;0,AM208&gt;0),MIN(P208,AM208),"-")</f>
        <v>-</v>
      </c>
      <c r="BK208" s="59" t="str">
        <f>IF(AND(Q208&gt;0,AN208&gt;0),MIN(Q208,AN208),"-")</f>
        <v>-</v>
      </c>
      <c r="BL208" s="59" t="str">
        <f>IF(AND(R208&gt;0,AO208&gt;0),MIN(R208,AO208),"-")</f>
        <v>-</v>
      </c>
      <c r="BM208" s="59" t="str">
        <f>IF(AND(S208&gt;0,AP208&gt;0),MIN(S208,AP208),"-")</f>
        <v>-</v>
      </c>
      <c r="BN208" s="59" t="str">
        <f>IF(AND(T208&gt;0,AQ208&gt;0),MIN(T208,AQ208),"-")</f>
        <v>-</v>
      </c>
      <c r="BO208" s="59" t="str">
        <f>IF(AND(U208&gt;0,AR208&gt;0),MIN(U208,AR208),"-")</f>
        <v>-</v>
      </c>
      <c r="BP208" s="59" t="str">
        <f>IF(AND(V208&gt;0,AS208&gt;0),MIN(V208,AS208),"-")</f>
        <v>-</v>
      </c>
      <c r="BQ208" s="59" t="str">
        <f t="shared" si="54"/>
        <v>-</v>
      </c>
      <c r="BR208" s="59" t="str">
        <f t="shared" si="55"/>
        <v>-</v>
      </c>
      <c r="BS208" s="59" t="str">
        <f t="shared" si="56"/>
        <v>-</v>
      </c>
      <c r="BT208" s="98" t="str">
        <f>IF(ISNUMBER(BS208),BS208-(C208*Rules!$P$9/100),"-")</f>
        <v>-</v>
      </c>
      <c r="BU208" s="59" t="e">
        <f>RANK($BT208,$BT$5:$BT$106,1)+COUNTIF(BT$5:BT208,BT208)-1</f>
        <v>#VALUE!</v>
      </c>
      <c r="BV208" s="59" t="e">
        <f t="shared" si="57"/>
        <v>#VALUE!</v>
      </c>
      <c r="BW208" s="59" t="str">
        <f t="shared" si="58"/>
        <v xml:space="preserve"> </v>
      </c>
      <c r="BX208" s="59">
        <f t="shared" si="58"/>
        <v>0</v>
      </c>
      <c r="BY208" s="59" t="str">
        <f t="shared" si="59"/>
        <v>-</v>
      </c>
      <c r="CD208" s="79"/>
      <c r="CE208" s="80"/>
      <c r="CF208" s="104"/>
      <c r="CL208" s="77">
        <v>1</v>
      </c>
    </row>
    <row r="209" spans="1:90" ht="17.45" customHeight="1">
      <c r="A209" s="58">
        <v>205</v>
      </c>
      <c r="B209" s="59" t="str">
        <f>'B Div'!A209 &amp; " " &amp; 'B Div'!B209</f>
        <v xml:space="preserve"> </v>
      </c>
      <c r="C209" s="59">
        <f>'B Div'!E209</f>
        <v>0</v>
      </c>
      <c r="D209" s="60"/>
      <c r="E209" s="60"/>
      <c r="F209" s="60"/>
      <c r="G209" s="60"/>
      <c r="H209" s="60"/>
      <c r="I209" s="60"/>
      <c r="J209" s="60"/>
      <c r="K209" s="60"/>
      <c r="L209" s="60"/>
      <c r="M209" s="74" t="str">
        <f t="shared" si="45"/>
        <v>-</v>
      </c>
      <c r="N209" s="60"/>
      <c r="O209" s="60"/>
      <c r="P209" s="60"/>
      <c r="Q209" s="60"/>
      <c r="R209" s="60"/>
      <c r="S209" s="60"/>
      <c r="T209" s="60"/>
      <c r="U209" s="60"/>
      <c r="V209" s="60"/>
      <c r="W209" s="74" t="str">
        <f t="shared" si="46"/>
        <v>-</v>
      </c>
      <c r="X209" s="74" t="str">
        <f t="shared" si="47"/>
        <v>-</v>
      </c>
      <c r="Y209" s="74" t="str">
        <f t="shared" si="48"/>
        <v>-</v>
      </c>
      <c r="AA209" s="60"/>
      <c r="AB209" s="60"/>
      <c r="AC209" s="60"/>
      <c r="AD209" s="60"/>
      <c r="AE209" s="60"/>
      <c r="AF209" s="60"/>
      <c r="AG209" s="60"/>
      <c r="AH209" s="60"/>
      <c r="AI209" s="60"/>
      <c r="AJ209" s="74" t="str">
        <f t="shared" si="49"/>
        <v>-</v>
      </c>
      <c r="AK209" s="60"/>
      <c r="AL209" s="60"/>
      <c r="AM209" s="60"/>
      <c r="AN209" s="60"/>
      <c r="AO209" s="60"/>
      <c r="AP209" s="60"/>
      <c r="AQ209" s="60"/>
      <c r="AR209" s="60"/>
      <c r="AS209" s="60"/>
      <c r="AT209" s="74" t="str">
        <f t="shared" si="50"/>
        <v>-</v>
      </c>
      <c r="AU209" s="74" t="str">
        <f t="shared" si="51"/>
        <v>-</v>
      </c>
      <c r="AV209" s="74" t="str">
        <f t="shared" si="52"/>
        <v>-</v>
      </c>
      <c r="AX209" s="59" t="str">
        <f>IF(AND(D209&gt;0,AA209&gt;0),MIN(D209,AA209),"-")</f>
        <v>-</v>
      </c>
      <c r="AY209" s="59" t="str">
        <f>IF(AND(E209&gt;0,AB209&gt;0),MIN(E209,AB209),"-")</f>
        <v>-</v>
      </c>
      <c r="AZ209" s="59" t="str">
        <f>IF(AND(F209&gt;0,AC209&gt;0),MIN(F209,AC209),"-")</f>
        <v>-</v>
      </c>
      <c r="BA209" s="59" t="str">
        <f>IF(AND(G209&gt;0,AD209&gt;0),MIN(G209,AD209),"-")</f>
        <v>-</v>
      </c>
      <c r="BB209" s="59" t="str">
        <f>IF(AND(H209&gt;0,AE209&gt;0),MIN(H209,AE209),"-")</f>
        <v>-</v>
      </c>
      <c r="BC209" s="59" t="str">
        <f>IF(AND(I209&gt;0,AF209&gt;0),MIN(I209,AF209),"-")</f>
        <v>-</v>
      </c>
      <c r="BD209" s="59" t="str">
        <f>IF(AND(J209&gt;0,AG209&gt;0),MIN(J209,AG209),"-")</f>
        <v>-</v>
      </c>
      <c r="BE209" s="59" t="str">
        <f>IF(AND(K209&gt;0,AH209&gt;0),MIN(K209,AH209),"-")</f>
        <v>-</v>
      </c>
      <c r="BF209" s="59" t="str">
        <f>IF(AND(L209&gt;0,AI209&gt;0),MIN(L209,AI209),"-")</f>
        <v>-</v>
      </c>
      <c r="BG209" s="59" t="str">
        <f t="shared" si="53"/>
        <v>-</v>
      </c>
      <c r="BH209" s="59" t="str">
        <f>IF(AND(N209&gt;0,AK209&gt;0),MIN(N209,AK209),"-")</f>
        <v>-</v>
      </c>
      <c r="BI209" s="59" t="str">
        <f>IF(AND(O209&gt;0,AL209&gt;0),MIN(O209,AL209),"-")</f>
        <v>-</v>
      </c>
      <c r="BJ209" s="59" t="str">
        <f>IF(AND(P209&gt;0,AM209&gt;0),MIN(P209,AM209),"-")</f>
        <v>-</v>
      </c>
      <c r="BK209" s="59" t="str">
        <f>IF(AND(Q209&gt;0,AN209&gt;0),MIN(Q209,AN209),"-")</f>
        <v>-</v>
      </c>
      <c r="BL209" s="59" t="str">
        <f>IF(AND(R209&gt;0,AO209&gt;0),MIN(R209,AO209),"-")</f>
        <v>-</v>
      </c>
      <c r="BM209" s="59" t="str">
        <f>IF(AND(S209&gt;0,AP209&gt;0),MIN(S209,AP209),"-")</f>
        <v>-</v>
      </c>
      <c r="BN209" s="59" t="str">
        <f>IF(AND(T209&gt;0,AQ209&gt;0),MIN(T209,AQ209),"-")</f>
        <v>-</v>
      </c>
      <c r="BO209" s="59" t="str">
        <f>IF(AND(U209&gt;0,AR209&gt;0),MIN(U209,AR209),"-")</f>
        <v>-</v>
      </c>
      <c r="BP209" s="59" t="str">
        <f>IF(AND(V209&gt;0,AS209&gt;0),MIN(V209,AS209),"-")</f>
        <v>-</v>
      </c>
      <c r="BQ209" s="59" t="str">
        <f t="shared" si="54"/>
        <v>-</v>
      </c>
      <c r="BR209" s="59" t="str">
        <f t="shared" si="55"/>
        <v>-</v>
      </c>
      <c r="BS209" s="59" t="str">
        <f t="shared" si="56"/>
        <v>-</v>
      </c>
      <c r="BT209" s="98" t="str">
        <f>IF(ISNUMBER(BS209),BS209-(C209*Rules!$P$9/100),"-")</f>
        <v>-</v>
      </c>
      <c r="BU209" s="59" t="e">
        <f>RANK($BT209,$BT$5:$BT$106,1)+COUNTIF(BT$5:BT209,BT209)-1</f>
        <v>#VALUE!</v>
      </c>
      <c r="BV209" s="59" t="e">
        <f t="shared" si="57"/>
        <v>#VALUE!</v>
      </c>
      <c r="BW209" s="59" t="str">
        <f t="shared" si="58"/>
        <v xml:space="preserve"> </v>
      </c>
      <c r="BX209" s="59">
        <f t="shared" si="58"/>
        <v>0</v>
      </c>
      <c r="BY209" s="59" t="str">
        <f t="shared" si="59"/>
        <v>-</v>
      </c>
      <c r="CD209" s="79"/>
      <c r="CE209" s="80"/>
      <c r="CF209" s="104"/>
      <c r="CL209" s="77">
        <v>1</v>
      </c>
    </row>
    <row r="210" spans="1:90" ht="17.45" customHeight="1">
      <c r="A210" s="58">
        <v>206</v>
      </c>
      <c r="B210" s="59" t="str">
        <f>'B Div'!A210 &amp; " " &amp; 'B Div'!B210</f>
        <v xml:space="preserve"> </v>
      </c>
      <c r="C210" s="59">
        <f>'B Div'!E210</f>
        <v>0</v>
      </c>
      <c r="D210" s="60"/>
      <c r="E210" s="60"/>
      <c r="F210" s="60"/>
      <c r="G210" s="60"/>
      <c r="H210" s="60"/>
      <c r="I210" s="60"/>
      <c r="J210" s="60"/>
      <c r="K210" s="60"/>
      <c r="L210" s="60"/>
      <c r="M210" s="74" t="str">
        <f t="shared" si="45"/>
        <v>-</v>
      </c>
      <c r="N210" s="60"/>
      <c r="O210" s="60"/>
      <c r="P210" s="60"/>
      <c r="Q210" s="60"/>
      <c r="R210" s="60"/>
      <c r="S210" s="60"/>
      <c r="T210" s="60"/>
      <c r="U210" s="60"/>
      <c r="V210" s="60"/>
      <c r="W210" s="74" t="str">
        <f t="shared" si="46"/>
        <v>-</v>
      </c>
      <c r="X210" s="74" t="str">
        <f t="shared" si="47"/>
        <v>-</v>
      </c>
      <c r="Y210" s="74" t="str">
        <f t="shared" si="48"/>
        <v>-</v>
      </c>
      <c r="AA210" s="60"/>
      <c r="AB210" s="60"/>
      <c r="AC210" s="60"/>
      <c r="AD210" s="60"/>
      <c r="AE210" s="60"/>
      <c r="AF210" s="60"/>
      <c r="AG210" s="60"/>
      <c r="AH210" s="60"/>
      <c r="AI210" s="60"/>
      <c r="AJ210" s="74" t="str">
        <f t="shared" si="49"/>
        <v>-</v>
      </c>
      <c r="AK210" s="60"/>
      <c r="AL210" s="60"/>
      <c r="AM210" s="60"/>
      <c r="AN210" s="60"/>
      <c r="AO210" s="60"/>
      <c r="AP210" s="60"/>
      <c r="AQ210" s="60"/>
      <c r="AR210" s="60"/>
      <c r="AS210" s="60"/>
      <c r="AT210" s="74" t="str">
        <f t="shared" si="50"/>
        <v>-</v>
      </c>
      <c r="AU210" s="74" t="str">
        <f t="shared" si="51"/>
        <v>-</v>
      </c>
      <c r="AV210" s="74" t="str">
        <f t="shared" si="52"/>
        <v>-</v>
      </c>
      <c r="AX210" s="59" t="str">
        <f>IF(AND(D210&gt;0,AA210&gt;0),MIN(D210,AA210),"-")</f>
        <v>-</v>
      </c>
      <c r="AY210" s="59" t="str">
        <f>IF(AND(E210&gt;0,AB210&gt;0),MIN(E210,AB210),"-")</f>
        <v>-</v>
      </c>
      <c r="AZ210" s="59" t="str">
        <f>IF(AND(F210&gt;0,AC210&gt;0),MIN(F210,AC210),"-")</f>
        <v>-</v>
      </c>
      <c r="BA210" s="59" t="str">
        <f>IF(AND(G210&gt;0,AD210&gt;0),MIN(G210,AD210),"-")</f>
        <v>-</v>
      </c>
      <c r="BB210" s="59" t="str">
        <f>IF(AND(H210&gt;0,AE210&gt;0),MIN(H210,AE210),"-")</f>
        <v>-</v>
      </c>
      <c r="BC210" s="59" t="str">
        <f>IF(AND(I210&gt;0,AF210&gt;0),MIN(I210,AF210),"-")</f>
        <v>-</v>
      </c>
      <c r="BD210" s="59" t="str">
        <f>IF(AND(J210&gt;0,AG210&gt;0),MIN(J210,AG210),"-")</f>
        <v>-</v>
      </c>
      <c r="BE210" s="59" t="str">
        <f>IF(AND(K210&gt;0,AH210&gt;0),MIN(K210,AH210),"-")</f>
        <v>-</v>
      </c>
      <c r="BF210" s="59" t="str">
        <f>IF(AND(L210&gt;0,AI210&gt;0),MIN(L210,AI210),"-")</f>
        <v>-</v>
      </c>
      <c r="BG210" s="59" t="str">
        <f t="shared" si="53"/>
        <v>-</v>
      </c>
      <c r="BH210" s="59" t="str">
        <f>IF(AND(N210&gt;0,AK210&gt;0),MIN(N210,AK210),"-")</f>
        <v>-</v>
      </c>
      <c r="BI210" s="59" t="str">
        <f>IF(AND(O210&gt;0,AL210&gt;0),MIN(O210,AL210),"-")</f>
        <v>-</v>
      </c>
      <c r="BJ210" s="59" t="str">
        <f>IF(AND(P210&gt;0,AM210&gt;0),MIN(P210,AM210),"-")</f>
        <v>-</v>
      </c>
      <c r="BK210" s="59" t="str">
        <f>IF(AND(Q210&gt;0,AN210&gt;0),MIN(Q210,AN210),"-")</f>
        <v>-</v>
      </c>
      <c r="BL210" s="59" t="str">
        <f>IF(AND(R210&gt;0,AO210&gt;0),MIN(R210,AO210),"-")</f>
        <v>-</v>
      </c>
      <c r="BM210" s="59" t="str">
        <f>IF(AND(S210&gt;0,AP210&gt;0),MIN(S210,AP210),"-")</f>
        <v>-</v>
      </c>
      <c r="BN210" s="59" t="str">
        <f>IF(AND(T210&gt;0,AQ210&gt;0),MIN(T210,AQ210),"-")</f>
        <v>-</v>
      </c>
      <c r="BO210" s="59" t="str">
        <f>IF(AND(U210&gt;0,AR210&gt;0),MIN(U210,AR210),"-")</f>
        <v>-</v>
      </c>
      <c r="BP210" s="59" t="str">
        <f>IF(AND(V210&gt;0,AS210&gt;0),MIN(V210,AS210),"-")</f>
        <v>-</v>
      </c>
      <c r="BQ210" s="59" t="str">
        <f t="shared" si="54"/>
        <v>-</v>
      </c>
      <c r="BR210" s="59" t="str">
        <f t="shared" si="55"/>
        <v>-</v>
      </c>
      <c r="BS210" s="59" t="str">
        <f t="shared" si="56"/>
        <v>-</v>
      </c>
      <c r="BT210" s="98" t="str">
        <f>IF(ISNUMBER(BS210),BS210-(C210*Rules!$P$9/100),"-")</f>
        <v>-</v>
      </c>
      <c r="BU210" s="59" t="e">
        <f>RANK($BT210,$BT$5:$BT$106,1)+COUNTIF(BT$5:BT210,BT210)-1</f>
        <v>#VALUE!</v>
      </c>
      <c r="BV210" s="59" t="e">
        <f t="shared" si="57"/>
        <v>#VALUE!</v>
      </c>
      <c r="BW210" s="59" t="str">
        <f t="shared" si="58"/>
        <v xml:space="preserve"> </v>
      </c>
      <c r="BX210" s="59">
        <f t="shared" si="58"/>
        <v>0</v>
      </c>
      <c r="BY210" s="59" t="str">
        <f t="shared" si="59"/>
        <v>-</v>
      </c>
      <c r="CD210" s="79"/>
      <c r="CE210" s="80"/>
      <c r="CF210" s="104"/>
      <c r="CL210" s="77">
        <v>1</v>
      </c>
    </row>
    <row r="211" spans="1:90" ht="17.45" customHeight="1">
      <c r="A211" s="58">
        <v>207</v>
      </c>
      <c r="B211" s="59" t="str">
        <f>'B Div'!A211 &amp; " " &amp; 'B Div'!B211</f>
        <v xml:space="preserve"> </v>
      </c>
      <c r="C211" s="59">
        <f>'B Div'!E211</f>
        <v>0</v>
      </c>
      <c r="D211" s="60"/>
      <c r="E211" s="60"/>
      <c r="F211" s="60"/>
      <c r="G211" s="60"/>
      <c r="H211" s="60"/>
      <c r="I211" s="60"/>
      <c r="J211" s="60"/>
      <c r="K211" s="60"/>
      <c r="L211" s="60"/>
      <c r="M211" s="74" t="str">
        <f t="shared" si="45"/>
        <v>-</v>
      </c>
      <c r="N211" s="60"/>
      <c r="O211" s="60"/>
      <c r="P211" s="60"/>
      <c r="Q211" s="60"/>
      <c r="R211" s="60"/>
      <c r="S211" s="60"/>
      <c r="T211" s="60"/>
      <c r="U211" s="60"/>
      <c r="V211" s="60"/>
      <c r="W211" s="74" t="str">
        <f t="shared" si="46"/>
        <v>-</v>
      </c>
      <c r="X211" s="74" t="str">
        <f t="shared" si="47"/>
        <v>-</v>
      </c>
      <c r="Y211" s="74" t="str">
        <f t="shared" si="48"/>
        <v>-</v>
      </c>
      <c r="AA211" s="60"/>
      <c r="AB211" s="60"/>
      <c r="AC211" s="60"/>
      <c r="AD211" s="60"/>
      <c r="AE211" s="60"/>
      <c r="AF211" s="60"/>
      <c r="AG211" s="60"/>
      <c r="AH211" s="60"/>
      <c r="AI211" s="60"/>
      <c r="AJ211" s="74" t="str">
        <f t="shared" si="49"/>
        <v>-</v>
      </c>
      <c r="AK211" s="60"/>
      <c r="AL211" s="60"/>
      <c r="AM211" s="60"/>
      <c r="AN211" s="60"/>
      <c r="AO211" s="60"/>
      <c r="AP211" s="60"/>
      <c r="AQ211" s="60"/>
      <c r="AR211" s="60"/>
      <c r="AS211" s="60"/>
      <c r="AT211" s="74" t="str">
        <f t="shared" si="50"/>
        <v>-</v>
      </c>
      <c r="AU211" s="74" t="str">
        <f t="shared" si="51"/>
        <v>-</v>
      </c>
      <c r="AV211" s="74" t="str">
        <f t="shared" si="52"/>
        <v>-</v>
      </c>
      <c r="AX211" s="59" t="str">
        <f>IF(AND(D211&gt;0,AA211&gt;0),MIN(D211,AA211),"-")</f>
        <v>-</v>
      </c>
      <c r="AY211" s="59" t="str">
        <f>IF(AND(E211&gt;0,AB211&gt;0),MIN(E211,AB211),"-")</f>
        <v>-</v>
      </c>
      <c r="AZ211" s="59" t="str">
        <f>IF(AND(F211&gt;0,AC211&gt;0),MIN(F211,AC211),"-")</f>
        <v>-</v>
      </c>
      <c r="BA211" s="59" t="str">
        <f>IF(AND(G211&gt;0,AD211&gt;0),MIN(G211,AD211),"-")</f>
        <v>-</v>
      </c>
      <c r="BB211" s="59" t="str">
        <f>IF(AND(H211&gt;0,AE211&gt;0),MIN(H211,AE211),"-")</f>
        <v>-</v>
      </c>
      <c r="BC211" s="59" t="str">
        <f>IF(AND(I211&gt;0,AF211&gt;0),MIN(I211,AF211),"-")</f>
        <v>-</v>
      </c>
      <c r="BD211" s="59" t="str">
        <f>IF(AND(J211&gt;0,AG211&gt;0),MIN(J211,AG211),"-")</f>
        <v>-</v>
      </c>
      <c r="BE211" s="59" t="str">
        <f>IF(AND(K211&gt;0,AH211&gt;0),MIN(K211,AH211),"-")</f>
        <v>-</v>
      </c>
      <c r="BF211" s="59" t="str">
        <f>IF(AND(L211&gt;0,AI211&gt;0),MIN(L211,AI211),"-")</f>
        <v>-</v>
      </c>
      <c r="BG211" s="59" t="str">
        <f t="shared" si="53"/>
        <v>-</v>
      </c>
      <c r="BH211" s="59" t="str">
        <f>IF(AND(N211&gt;0,AK211&gt;0),MIN(N211,AK211),"-")</f>
        <v>-</v>
      </c>
      <c r="BI211" s="59" t="str">
        <f>IF(AND(O211&gt;0,AL211&gt;0),MIN(O211,AL211),"-")</f>
        <v>-</v>
      </c>
      <c r="BJ211" s="59" t="str">
        <f>IF(AND(P211&gt;0,AM211&gt;0),MIN(P211,AM211),"-")</f>
        <v>-</v>
      </c>
      <c r="BK211" s="59" t="str">
        <f>IF(AND(Q211&gt;0,AN211&gt;0),MIN(Q211,AN211),"-")</f>
        <v>-</v>
      </c>
      <c r="BL211" s="59" t="str">
        <f>IF(AND(R211&gt;0,AO211&gt;0),MIN(R211,AO211),"-")</f>
        <v>-</v>
      </c>
      <c r="BM211" s="59" t="str">
        <f>IF(AND(S211&gt;0,AP211&gt;0),MIN(S211,AP211),"-")</f>
        <v>-</v>
      </c>
      <c r="BN211" s="59" t="str">
        <f>IF(AND(T211&gt;0,AQ211&gt;0),MIN(T211,AQ211),"-")</f>
        <v>-</v>
      </c>
      <c r="BO211" s="59" t="str">
        <f>IF(AND(U211&gt;0,AR211&gt;0),MIN(U211,AR211),"-")</f>
        <v>-</v>
      </c>
      <c r="BP211" s="59" t="str">
        <f>IF(AND(V211&gt;0,AS211&gt;0),MIN(V211,AS211),"-")</f>
        <v>-</v>
      </c>
      <c r="BQ211" s="59" t="str">
        <f t="shared" si="54"/>
        <v>-</v>
      </c>
      <c r="BR211" s="59" t="str">
        <f t="shared" si="55"/>
        <v>-</v>
      </c>
      <c r="BS211" s="59" t="str">
        <f t="shared" si="56"/>
        <v>-</v>
      </c>
      <c r="BT211" s="98" t="str">
        <f>IF(ISNUMBER(BS211),BS211-(C211*Rules!$P$9/100),"-")</f>
        <v>-</v>
      </c>
      <c r="BU211" s="59" t="e">
        <f>RANK($BT211,$BT$5:$BT$106,1)+COUNTIF(BT$5:BT211,BT211)-1</f>
        <v>#VALUE!</v>
      </c>
      <c r="BV211" s="59" t="e">
        <f t="shared" si="57"/>
        <v>#VALUE!</v>
      </c>
      <c r="BW211" s="59" t="str">
        <f t="shared" si="58"/>
        <v xml:space="preserve"> </v>
      </c>
      <c r="BX211" s="59">
        <f t="shared" si="58"/>
        <v>0</v>
      </c>
      <c r="BY211" s="59" t="str">
        <f t="shared" si="59"/>
        <v>-</v>
      </c>
      <c r="CD211" s="79"/>
      <c r="CE211" s="80"/>
      <c r="CF211" s="104"/>
      <c r="CL211" s="77">
        <v>1</v>
      </c>
    </row>
    <row r="212" spans="1:90" ht="17.45" customHeight="1">
      <c r="A212" s="58">
        <v>208</v>
      </c>
      <c r="B212" s="59" t="str">
        <f>'B Div'!A212 &amp; " " &amp; 'B Div'!B212</f>
        <v xml:space="preserve"> </v>
      </c>
      <c r="C212" s="59">
        <f>'B Div'!E212</f>
        <v>0</v>
      </c>
      <c r="D212" s="60"/>
      <c r="E212" s="60"/>
      <c r="F212" s="60"/>
      <c r="G212" s="60"/>
      <c r="H212" s="60"/>
      <c r="I212" s="60"/>
      <c r="J212" s="60"/>
      <c r="K212" s="60"/>
      <c r="L212" s="60"/>
      <c r="M212" s="74" t="str">
        <f t="shared" si="45"/>
        <v>-</v>
      </c>
      <c r="N212" s="60"/>
      <c r="O212" s="60"/>
      <c r="P212" s="60"/>
      <c r="Q212" s="60"/>
      <c r="R212" s="60"/>
      <c r="S212" s="60"/>
      <c r="T212" s="60"/>
      <c r="U212" s="60"/>
      <c r="V212" s="60"/>
      <c r="W212" s="74" t="str">
        <f t="shared" si="46"/>
        <v>-</v>
      </c>
      <c r="X212" s="74" t="str">
        <f t="shared" si="47"/>
        <v>-</v>
      </c>
      <c r="Y212" s="74" t="str">
        <f t="shared" si="48"/>
        <v>-</v>
      </c>
      <c r="AA212" s="60"/>
      <c r="AB212" s="60"/>
      <c r="AC212" s="60"/>
      <c r="AD212" s="60"/>
      <c r="AE212" s="60"/>
      <c r="AF212" s="60"/>
      <c r="AG212" s="60"/>
      <c r="AH212" s="60"/>
      <c r="AI212" s="60"/>
      <c r="AJ212" s="74" t="str">
        <f t="shared" si="49"/>
        <v>-</v>
      </c>
      <c r="AK212" s="60"/>
      <c r="AL212" s="60"/>
      <c r="AM212" s="60"/>
      <c r="AN212" s="60"/>
      <c r="AO212" s="60"/>
      <c r="AP212" s="60"/>
      <c r="AQ212" s="60"/>
      <c r="AR212" s="60"/>
      <c r="AS212" s="60"/>
      <c r="AT212" s="74" t="str">
        <f t="shared" si="50"/>
        <v>-</v>
      </c>
      <c r="AU212" s="74" t="str">
        <f t="shared" si="51"/>
        <v>-</v>
      </c>
      <c r="AV212" s="74" t="str">
        <f t="shared" si="52"/>
        <v>-</v>
      </c>
      <c r="AX212" s="59" t="str">
        <f>IF(AND(D212&gt;0,AA212&gt;0),MIN(D212,AA212),"-")</f>
        <v>-</v>
      </c>
      <c r="AY212" s="59" t="str">
        <f>IF(AND(E212&gt;0,AB212&gt;0),MIN(E212,AB212),"-")</f>
        <v>-</v>
      </c>
      <c r="AZ212" s="59" t="str">
        <f>IF(AND(F212&gt;0,AC212&gt;0),MIN(F212,AC212),"-")</f>
        <v>-</v>
      </c>
      <c r="BA212" s="59" t="str">
        <f>IF(AND(G212&gt;0,AD212&gt;0),MIN(G212,AD212),"-")</f>
        <v>-</v>
      </c>
      <c r="BB212" s="59" t="str">
        <f>IF(AND(H212&gt;0,AE212&gt;0),MIN(H212,AE212),"-")</f>
        <v>-</v>
      </c>
      <c r="BC212" s="59" t="str">
        <f>IF(AND(I212&gt;0,AF212&gt;0),MIN(I212,AF212),"-")</f>
        <v>-</v>
      </c>
      <c r="BD212" s="59" t="str">
        <f>IF(AND(J212&gt;0,AG212&gt;0),MIN(J212,AG212),"-")</f>
        <v>-</v>
      </c>
      <c r="BE212" s="59" t="str">
        <f>IF(AND(K212&gt;0,AH212&gt;0),MIN(K212,AH212),"-")</f>
        <v>-</v>
      </c>
      <c r="BF212" s="59" t="str">
        <f>IF(AND(L212&gt;0,AI212&gt;0),MIN(L212,AI212),"-")</f>
        <v>-</v>
      </c>
      <c r="BG212" s="59" t="str">
        <f t="shared" si="53"/>
        <v>-</v>
      </c>
      <c r="BH212" s="59" t="str">
        <f>IF(AND(N212&gt;0,AK212&gt;0),MIN(N212,AK212),"-")</f>
        <v>-</v>
      </c>
      <c r="BI212" s="59" t="str">
        <f>IF(AND(O212&gt;0,AL212&gt;0),MIN(O212,AL212),"-")</f>
        <v>-</v>
      </c>
      <c r="BJ212" s="59" t="str">
        <f>IF(AND(P212&gt;0,AM212&gt;0),MIN(P212,AM212),"-")</f>
        <v>-</v>
      </c>
      <c r="BK212" s="59" t="str">
        <f>IF(AND(Q212&gt;0,AN212&gt;0),MIN(Q212,AN212),"-")</f>
        <v>-</v>
      </c>
      <c r="BL212" s="59" t="str">
        <f>IF(AND(R212&gt;0,AO212&gt;0),MIN(R212,AO212),"-")</f>
        <v>-</v>
      </c>
      <c r="BM212" s="59" t="str">
        <f>IF(AND(S212&gt;0,AP212&gt;0),MIN(S212,AP212),"-")</f>
        <v>-</v>
      </c>
      <c r="BN212" s="59" t="str">
        <f>IF(AND(T212&gt;0,AQ212&gt;0),MIN(T212,AQ212),"-")</f>
        <v>-</v>
      </c>
      <c r="BO212" s="59" t="str">
        <f>IF(AND(U212&gt;0,AR212&gt;0),MIN(U212,AR212),"-")</f>
        <v>-</v>
      </c>
      <c r="BP212" s="59" t="str">
        <f>IF(AND(V212&gt;0,AS212&gt;0),MIN(V212,AS212),"-")</f>
        <v>-</v>
      </c>
      <c r="BQ212" s="59" t="str">
        <f t="shared" si="54"/>
        <v>-</v>
      </c>
      <c r="BR212" s="59" t="str">
        <f t="shared" si="55"/>
        <v>-</v>
      </c>
      <c r="BS212" s="59" t="str">
        <f t="shared" si="56"/>
        <v>-</v>
      </c>
      <c r="BT212" s="98" t="str">
        <f>IF(ISNUMBER(BS212),BS212-(C212*Rules!$P$9/100),"-")</f>
        <v>-</v>
      </c>
      <c r="BU212" s="59" t="e">
        <f>RANK($BT212,$BT$5:$BT$106,1)+COUNTIF(BT$5:BT212,BT212)-1</f>
        <v>#VALUE!</v>
      </c>
      <c r="BV212" s="59" t="e">
        <f t="shared" si="57"/>
        <v>#VALUE!</v>
      </c>
      <c r="BW212" s="59" t="str">
        <f t="shared" si="58"/>
        <v xml:space="preserve"> </v>
      </c>
      <c r="BX212" s="59">
        <f t="shared" si="58"/>
        <v>0</v>
      </c>
      <c r="BY212" s="59" t="str">
        <f t="shared" si="59"/>
        <v>-</v>
      </c>
      <c r="CD212" s="79"/>
      <c r="CE212" s="80"/>
      <c r="CF212" s="104"/>
      <c r="CL212" s="77">
        <v>1</v>
      </c>
    </row>
    <row r="213" spans="1:90" ht="17.45" customHeight="1">
      <c r="A213" s="58">
        <v>209</v>
      </c>
      <c r="B213" s="59" t="str">
        <f>'B Div'!A213 &amp; " " &amp; 'B Div'!B213</f>
        <v xml:space="preserve"> </v>
      </c>
      <c r="C213" s="59">
        <f>'B Div'!E213</f>
        <v>0</v>
      </c>
      <c r="D213" s="60"/>
      <c r="E213" s="60"/>
      <c r="F213" s="60"/>
      <c r="G213" s="60"/>
      <c r="H213" s="60"/>
      <c r="I213" s="60"/>
      <c r="J213" s="60"/>
      <c r="K213" s="60"/>
      <c r="L213" s="60"/>
      <c r="M213" s="74" t="str">
        <f t="shared" si="45"/>
        <v>-</v>
      </c>
      <c r="N213" s="60"/>
      <c r="O213" s="60"/>
      <c r="P213" s="60"/>
      <c r="Q213" s="60"/>
      <c r="R213" s="60"/>
      <c r="S213" s="60"/>
      <c r="T213" s="60"/>
      <c r="U213" s="60"/>
      <c r="V213" s="60"/>
      <c r="W213" s="74" t="str">
        <f t="shared" si="46"/>
        <v>-</v>
      </c>
      <c r="X213" s="74" t="str">
        <f t="shared" si="47"/>
        <v>-</v>
      </c>
      <c r="Y213" s="74" t="str">
        <f t="shared" si="48"/>
        <v>-</v>
      </c>
      <c r="AA213" s="60"/>
      <c r="AB213" s="60"/>
      <c r="AC213" s="60"/>
      <c r="AD213" s="60"/>
      <c r="AE213" s="60"/>
      <c r="AF213" s="60"/>
      <c r="AG213" s="60"/>
      <c r="AH213" s="60"/>
      <c r="AI213" s="60"/>
      <c r="AJ213" s="74" t="str">
        <f t="shared" si="49"/>
        <v>-</v>
      </c>
      <c r="AK213" s="60"/>
      <c r="AL213" s="60"/>
      <c r="AM213" s="60"/>
      <c r="AN213" s="60"/>
      <c r="AO213" s="60"/>
      <c r="AP213" s="60"/>
      <c r="AQ213" s="60"/>
      <c r="AR213" s="60"/>
      <c r="AS213" s="60"/>
      <c r="AT213" s="74" t="str">
        <f t="shared" si="50"/>
        <v>-</v>
      </c>
      <c r="AU213" s="74" t="str">
        <f t="shared" si="51"/>
        <v>-</v>
      </c>
      <c r="AV213" s="74" t="str">
        <f t="shared" si="52"/>
        <v>-</v>
      </c>
      <c r="AX213" s="59" t="str">
        <f>IF(AND(D213&gt;0,AA213&gt;0),MIN(D213,AA213),"-")</f>
        <v>-</v>
      </c>
      <c r="AY213" s="59" t="str">
        <f>IF(AND(E213&gt;0,AB213&gt;0),MIN(E213,AB213),"-")</f>
        <v>-</v>
      </c>
      <c r="AZ213" s="59" t="str">
        <f>IF(AND(F213&gt;0,AC213&gt;0),MIN(F213,AC213),"-")</f>
        <v>-</v>
      </c>
      <c r="BA213" s="59" t="str">
        <f>IF(AND(G213&gt;0,AD213&gt;0),MIN(G213,AD213),"-")</f>
        <v>-</v>
      </c>
      <c r="BB213" s="59" t="str">
        <f>IF(AND(H213&gt;0,AE213&gt;0),MIN(H213,AE213),"-")</f>
        <v>-</v>
      </c>
      <c r="BC213" s="59" t="str">
        <f>IF(AND(I213&gt;0,AF213&gt;0),MIN(I213,AF213),"-")</f>
        <v>-</v>
      </c>
      <c r="BD213" s="59" t="str">
        <f>IF(AND(J213&gt;0,AG213&gt;0),MIN(J213,AG213),"-")</f>
        <v>-</v>
      </c>
      <c r="BE213" s="59" t="str">
        <f>IF(AND(K213&gt;0,AH213&gt;0),MIN(K213,AH213),"-")</f>
        <v>-</v>
      </c>
      <c r="BF213" s="59" t="str">
        <f>IF(AND(L213&gt;0,AI213&gt;0),MIN(L213,AI213),"-")</f>
        <v>-</v>
      </c>
      <c r="BG213" s="59" t="str">
        <f t="shared" si="53"/>
        <v>-</v>
      </c>
      <c r="BH213" s="59" t="str">
        <f>IF(AND(N213&gt;0,AK213&gt;0),MIN(N213,AK213),"-")</f>
        <v>-</v>
      </c>
      <c r="BI213" s="59" t="str">
        <f>IF(AND(O213&gt;0,AL213&gt;0),MIN(O213,AL213),"-")</f>
        <v>-</v>
      </c>
      <c r="BJ213" s="59" t="str">
        <f>IF(AND(P213&gt;0,AM213&gt;0),MIN(P213,AM213),"-")</f>
        <v>-</v>
      </c>
      <c r="BK213" s="59" t="str">
        <f>IF(AND(Q213&gt;0,AN213&gt;0),MIN(Q213,AN213),"-")</f>
        <v>-</v>
      </c>
      <c r="BL213" s="59" t="str">
        <f>IF(AND(R213&gt;0,AO213&gt;0),MIN(R213,AO213),"-")</f>
        <v>-</v>
      </c>
      <c r="BM213" s="59" t="str">
        <f>IF(AND(S213&gt;0,AP213&gt;0),MIN(S213,AP213),"-")</f>
        <v>-</v>
      </c>
      <c r="BN213" s="59" t="str">
        <f>IF(AND(T213&gt;0,AQ213&gt;0),MIN(T213,AQ213),"-")</f>
        <v>-</v>
      </c>
      <c r="BO213" s="59" t="str">
        <f>IF(AND(U213&gt;0,AR213&gt;0),MIN(U213,AR213),"-")</f>
        <v>-</v>
      </c>
      <c r="BP213" s="59" t="str">
        <f>IF(AND(V213&gt;0,AS213&gt;0),MIN(V213,AS213),"-")</f>
        <v>-</v>
      </c>
      <c r="BQ213" s="59" t="str">
        <f t="shared" si="54"/>
        <v>-</v>
      </c>
      <c r="BR213" s="59" t="str">
        <f t="shared" si="55"/>
        <v>-</v>
      </c>
      <c r="BS213" s="59" t="str">
        <f t="shared" si="56"/>
        <v>-</v>
      </c>
      <c r="BT213" s="98" t="str">
        <f>IF(ISNUMBER(BS213),BS213-(C213*Rules!$P$9/100),"-")</f>
        <v>-</v>
      </c>
      <c r="BU213" s="59" t="e">
        <f>RANK($BT213,$BT$5:$BT$106,1)+COUNTIF(BT$5:BT213,BT213)-1</f>
        <v>#VALUE!</v>
      </c>
      <c r="BV213" s="59" t="e">
        <f t="shared" si="57"/>
        <v>#VALUE!</v>
      </c>
      <c r="BW213" s="59" t="str">
        <f t="shared" si="58"/>
        <v xml:space="preserve"> </v>
      </c>
      <c r="BX213" s="59">
        <f t="shared" si="58"/>
        <v>0</v>
      </c>
      <c r="BY213" s="59" t="str">
        <f t="shared" si="59"/>
        <v>-</v>
      </c>
      <c r="CD213" s="79"/>
      <c r="CE213" s="80"/>
      <c r="CF213" s="104"/>
      <c r="CL213" s="77">
        <v>1</v>
      </c>
    </row>
    <row r="214" spans="1:90" ht="17.45" customHeight="1">
      <c r="A214" s="58">
        <v>210</v>
      </c>
      <c r="B214" s="59" t="str">
        <f>'B Div'!A214 &amp; " " &amp; 'B Div'!B214</f>
        <v xml:space="preserve"> </v>
      </c>
      <c r="C214" s="59">
        <f>'B Div'!E214</f>
        <v>0</v>
      </c>
      <c r="D214" s="60"/>
      <c r="E214" s="60"/>
      <c r="F214" s="60"/>
      <c r="G214" s="60"/>
      <c r="H214" s="60"/>
      <c r="I214" s="60"/>
      <c r="J214" s="60"/>
      <c r="K214" s="60"/>
      <c r="L214" s="60"/>
      <c r="M214" s="74" t="str">
        <f t="shared" si="45"/>
        <v>-</v>
      </c>
      <c r="N214" s="60"/>
      <c r="O214" s="60"/>
      <c r="P214" s="60"/>
      <c r="Q214" s="60"/>
      <c r="R214" s="60"/>
      <c r="S214" s="60"/>
      <c r="T214" s="60"/>
      <c r="U214" s="60"/>
      <c r="V214" s="60"/>
      <c r="W214" s="74" t="str">
        <f t="shared" si="46"/>
        <v>-</v>
      </c>
      <c r="X214" s="74" t="str">
        <f t="shared" si="47"/>
        <v>-</v>
      </c>
      <c r="Y214" s="74" t="str">
        <f t="shared" si="48"/>
        <v>-</v>
      </c>
      <c r="AA214" s="60"/>
      <c r="AB214" s="60"/>
      <c r="AC214" s="60"/>
      <c r="AD214" s="60"/>
      <c r="AE214" s="60"/>
      <c r="AF214" s="60"/>
      <c r="AG214" s="60"/>
      <c r="AH214" s="60"/>
      <c r="AI214" s="60"/>
      <c r="AJ214" s="74" t="str">
        <f t="shared" si="49"/>
        <v>-</v>
      </c>
      <c r="AK214" s="60"/>
      <c r="AL214" s="60"/>
      <c r="AM214" s="60"/>
      <c r="AN214" s="60"/>
      <c r="AO214" s="60"/>
      <c r="AP214" s="60"/>
      <c r="AQ214" s="60"/>
      <c r="AR214" s="60"/>
      <c r="AS214" s="60"/>
      <c r="AT214" s="74" t="str">
        <f t="shared" si="50"/>
        <v>-</v>
      </c>
      <c r="AU214" s="74" t="str">
        <f t="shared" si="51"/>
        <v>-</v>
      </c>
      <c r="AV214" s="74" t="str">
        <f t="shared" si="52"/>
        <v>-</v>
      </c>
      <c r="AX214" s="59" t="str">
        <f>IF(AND(D214&gt;0,AA214&gt;0),MIN(D214,AA214),"-")</f>
        <v>-</v>
      </c>
      <c r="AY214" s="59" t="str">
        <f>IF(AND(E214&gt;0,AB214&gt;0),MIN(E214,AB214),"-")</f>
        <v>-</v>
      </c>
      <c r="AZ214" s="59" t="str">
        <f>IF(AND(F214&gt;0,AC214&gt;0),MIN(F214,AC214),"-")</f>
        <v>-</v>
      </c>
      <c r="BA214" s="59" t="str">
        <f>IF(AND(G214&gt;0,AD214&gt;0),MIN(G214,AD214),"-")</f>
        <v>-</v>
      </c>
      <c r="BB214" s="59" t="str">
        <f>IF(AND(H214&gt;0,AE214&gt;0),MIN(H214,AE214),"-")</f>
        <v>-</v>
      </c>
      <c r="BC214" s="59" t="str">
        <f>IF(AND(I214&gt;0,AF214&gt;0),MIN(I214,AF214),"-")</f>
        <v>-</v>
      </c>
      <c r="BD214" s="59" t="str">
        <f>IF(AND(J214&gt;0,AG214&gt;0),MIN(J214,AG214),"-")</f>
        <v>-</v>
      </c>
      <c r="BE214" s="59" t="str">
        <f>IF(AND(K214&gt;0,AH214&gt;0),MIN(K214,AH214),"-")</f>
        <v>-</v>
      </c>
      <c r="BF214" s="59" t="str">
        <f>IF(AND(L214&gt;0,AI214&gt;0),MIN(L214,AI214),"-")</f>
        <v>-</v>
      </c>
      <c r="BG214" s="59" t="str">
        <f t="shared" si="53"/>
        <v>-</v>
      </c>
      <c r="BH214" s="59" t="str">
        <f>IF(AND(N214&gt;0,AK214&gt;0),MIN(N214,AK214),"-")</f>
        <v>-</v>
      </c>
      <c r="BI214" s="59" t="str">
        <f>IF(AND(O214&gt;0,AL214&gt;0),MIN(O214,AL214),"-")</f>
        <v>-</v>
      </c>
      <c r="BJ214" s="59" t="str">
        <f>IF(AND(P214&gt;0,AM214&gt;0),MIN(P214,AM214),"-")</f>
        <v>-</v>
      </c>
      <c r="BK214" s="59" t="str">
        <f>IF(AND(Q214&gt;0,AN214&gt;0),MIN(Q214,AN214),"-")</f>
        <v>-</v>
      </c>
      <c r="BL214" s="59" t="str">
        <f>IF(AND(R214&gt;0,AO214&gt;0),MIN(R214,AO214),"-")</f>
        <v>-</v>
      </c>
      <c r="BM214" s="59" t="str">
        <f>IF(AND(S214&gt;0,AP214&gt;0),MIN(S214,AP214),"-")</f>
        <v>-</v>
      </c>
      <c r="BN214" s="59" t="str">
        <f>IF(AND(T214&gt;0,AQ214&gt;0),MIN(T214,AQ214),"-")</f>
        <v>-</v>
      </c>
      <c r="BO214" s="59" t="str">
        <f>IF(AND(U214&gt;0,AR214&gt;0),MIN(U214,AR214),"-")</f>
        <v>-</v>
      </c>
      <c r="BP214" s="59" t="str">
        <f>IF(AND(V214&gt;0,AS214&gt;0),MIN(V214,AS214),"-")</f>
        <v>-</v>
      </c>
      <c r="BQ214" s="59" t="str">
        <f t="shared" si="54"/>
        <v>-</v>
      </c>
      <c r="BR214" s="59" t="str">
        <f t="shared" si="55"/>
        <v>-</v>
      </c>
      <c r="BS214" s="59" t="str">
        <f t="shared" si="56"/>
        <v>-</v>
      </c>
      <c r="BT214" s="98" t="str">
        <f>IF(ISNUMBER(BS214),BS214-(C214*Rules!$P$9/100),"-")</f>
        <v>-</v>
      </c>
      <c r="BU214" s="59" t="e">
        <f>RANK($BT214,$BT$5:$BT$106,1)+COUNTIF(BT$5:BT214,BT214)-1</f>
        <v>#VALUE!</v>
      </c>
      <c r="BV214" s="59" t="e">
        <f t="shared" si="57"/>
        <v>#VALUE!</v>
      </c>
      <c r="BW214" s="59" t="str">
        <f t="shared" si="58"/>
        <v xml:space="preserve"> </v>
      </c>
      <c r="BX214" s="59">
        <f t="shared" si="58"/>
        <v>0</v>
      </c>
      <c r="BY214" s="59" t="str">
        <f t="shared" si="59"/>
        <v>-</v>
      </c>
      <c r="CD214" s="79"/>
      <c r="CE214" s="80"/>
      <c r="CF214" s="104"/>
      <c r="CL214" s="77">
        <v>1</v>
      </c>
    </row>
    <row r="215" spans="1:90" ht="17.45" customHeight="1">
      <c r="A215" s="58">
        <v>211</v>
      </c>
      <c r="B215" s="59" t="str">
        <f>'B Div'!A215 &amp; " " &amp; 'B Div'!B215</f>
        <v xml:space="preserve"> </v>
      </c>
      <c r="C215" s="59">
        <f>'B Div'!E215</f>
        <v>0</v>
      </c>
      <c r="D215" s="60"/>
      <c r="E215" s="60"/>
      <c r="F215" s="60"/>
      <c r="G215" s="60"/>
      <c r="H215" s="60"/>
      <c r="I215" s="60"/>
      <c r="J215" s="60"/>
      <c r="K215" s="60"/>
      <c r="L215" s="60"/>
      <c r="M215" s="74" t="str">
        <f t="shared" si="45"/>
        <v>-</v>
      </c>
      <c r="N215" s="60"/>
      <c r="O215" s="60"/>
      <c r="P215" s="60"/>
      <c r="Q215" s="60"/>
      <c r="R215" s="60"/>
      <c r="S215" s="60"/>
      <c r="T215" s="60"/>
      <c r="U215" s="60"/>
      <c r="V215" s="60"/>
      <c r="W215" s="74" t="str">
        <f t="shared" si="46"/>
        <v>-</v>
      </c>
      <c r="X215" s="74" t="str">
        <f t="shared" si="47"/>
        <v>-</v>
      </c>
      <c r="Y215" s="74" t="str">
        <f t="shared" si="48"/>
        <v>-</v>
      </c>
      <c r="AA215" s="60"/>
      <c r="AB215" s="60"/>
      <c r="AC215" s="60"/>
      <c r="AD215" s="60"/>
      <c r="AE215" s="60"/>
      <c r="AF215" s="60"/>
      <c r="AG215" s="60"/>
      <c r="AH215" s="60"/>
      <c r="AI215" s="60"/>
      <c r="AJ215" s="74" t="str">
        <f t="shared" si="49"/>
        <v>-</v>
      </c>
      <c r="AK215" s="60"/>
      <c r="AL215" s="60"/>
      <c r="AM215" s="60"/>
      <c r="AN215" s="60"/>
      <c r="AO215" s="60"/>
      <c r="AP215" s="60"/>
      <c r="AQ215" s="60"/>
      <c r="AR215" s="60"/>
      <c r="AS215" s="60"/>
      <c r="AT215" s="74" t="str">
        <f t="shared" si="50"/>
        <v>-</v>
      </c>
      <c r="AU215" s="74" t="str">
        <f t="shared" si="51"/>
        <v>-</v>
      </c>
      <c r="AV215" s="74" t="str">
        <f t="shared" si="52"/>
        <v>-</v>
      </c>
      <c r="AX215" s="59" t="str">
        <f>IF(AND(D215&gt;0,AA215&gt;0),MIN(D215,AA215),"-")</f>
        <v>-</v>
      </c>
      <c r="AY215" s="59" t="str">
        <f>IF(AND(E215&gt;0,AB215&gt;0),MIN(E215,AB215),"-")</f>
        <v>-</v>
      </c>
      <c r="AZ215" s="59" t="str">
        <f>IF(AND(F215&gt;0,AC215&gt;0),MIN(F215,AC215),"-")</f>
        <v>-</v>
      </c>
      <c r="BA215" s="59" t="str">
        <f>IF(AND(G215&gt;0,AD215&gt;0),MIN(G215,AD215),"-")</f>
        <v>-</v>
      </c>
      <c r="BB215" s="59" t="str">
        <f>IF(AND(H215&gt;0,AE215&gt;0),MIN(H215,AE215),"-")</f>
        <v>-</v>
      </c>
      <c r="BC215" s="59" t="str">
        <f>IF(AND(I215&gt;0,AF215&gt;0),MIN(I215,AF215),"-")</f>
        <v>-</v>
      </c>
      <c r="BD215" s="59" t="str">
        <f>IF(AND(J215&gt;0,AG215&gt;0),MIN(J215,AG215),"-")</f>
        <v>-</v>
      </c>
      <c r="BE215" s="59" t="str">
        <f>IF(AND(K215&gt;0,AH215&gt;0),MIN(K215,AH215),"-")</f>
        <v>-</v>
      </c>
      <c r="BF215" s="59" t="str">
        <f>IF(AND(L215&gt;0,AI215&gt;0),MIN(L215,AI215),"-")</f>
        <v>-</v>
      </c>
      <c r="BG215" s="59" t="str">
        <f t="shared" si="53"/>
        <v>-</v>
      </c>
      <c r="BH215" s="59" t="str">
        <f>IF(AND(N215&gt;0,AK215&gt;0),MIN(N215,AK215),"-")</f>
        <v>-</v>
      </c>
      <c r="BI215" s="59" t="str">
        <f>IF(AND(O215&gt;0,AL215&gt;0),MIN(O215,AL215),"-")</f>
        <v>-</v>
      </c>
      <c r="BJ215" s="59" t="str">
        <f>IF(AND(P215&gt;0,AM215&gt;0),MIN(P215,AM215),"-")</f>
        <v>-</v>
      </c>
      <c r="BK215" s="59" t="str">
        <f>IF(AND(Q215&gt;0,AN215&gt;0),MIN(Q215,AN215),"-")</f>
        <v>-</v>
      </c>
      <c r="BL215" s="59" t="str">
        <f>IF(AND(R215&gt;0,AO215&gt;0),MIN(R215,AO215),"-")</f>
        <v>-</v>
      </c>
      <c r="BM215" s="59" t="str">
        <f>IF(AND(S215&gt;0,AP215&gt;0),MIN(S215,AP215),"-")</f>
        <v>-</v>
      </c>
      <c r="BN215" s="59" t="str">
        <f>IF(AND(T215&gt;0,AQ215&gt;0),MIN(T215,AQ215),"-")</f>
        <v>-</v>
      </c>
      <c r="BO215" s="59" t="str">
        <f>IF(AND(U215&gt;0,AR215&gt;0),MIN(U215,AR215),"-")</f>
        <v>-</v>
      </c>
      <c r="BP215" s="59" t="str">
        <f>IF(AND(V215&gt;0,AS215&gt;0),MIN(V215,AS215),"-")</f>
        <v>-</v>
      </c>
      <c r="BQ215" s="59" t="str">
        <f t="shared" si="54"/>
        <v>-</v>
      </c>
      <c r="BR215" s="59" t="str">
        <f t="shared" si="55"/>
        <v>-</v>
      </c>
      <c r="BS215" s="59" t="str">
        <f t="shared" si="56"/>
        <v>-</v>
      </c>
      <c r="BT215" s="98" t="str">
        <f>IF(ISNUMBER(BS215),BS215-(C215*Rules!$P$9/100),"-")</f>
        <v>-</v>
      </c>
      <c r="BU215" s="59" t="e">
        <f>RANK($BT215,$BT$5:$BT$106,1)+COUNTIF(BT$5:BT215,BT215)-1</f>
        <v>#VALUE!</v>
      </c>
      <c r="BV215" s="59" t="e">
        <f t="shared" si="57"/>
        <v>#VALUE!</v>
      </c>
      <c r="BW215" s="59" t="str">
        <f t="shared" si="58"/>
        <v xml:space="preserve"> </v>
      </c>
      <c r="BX215" s="59">
        <f t="shared" si="58"/>
        <v>0</v>
      </c>
      <c r="BY215" s="59" t="str">
        <f t="shared" si="59"/>
        <v>-</v>
      </c>
      <c r="CD215" s="79"/>
      <c r="CE215" s="80"/>
      <c r="CF215" s="104"/>
      <c r="CL215" s="77">
        <v>1</v>
      </c>
    </row>
  </sheetData>
  <protectedRanges>
    <protectedRange sqref="D10:L215" name="Range1"/>
    <protectedRange sqref="N10:V215" name="Range2"/>
    <protectedRange sqref="AA10:AI215" name="Range3"/>
    <protectedRange sqref="AK10:AS215" name="Range4"/>
    <protectedRange sqref="D5:L9" name="Range1_1"/>
    <protectedRange sqref="N5:V9" name="Range2_1"/>
    <protectedRange sqref="AA5:AI9" name="Range3_1"/>
    <protectedRange sqref="AK5:AS9" name="Range4_1"/>
  </protectedRanges>
  <mergeCells count="4">
    <mergeCell ref="D3:W3"/>
    <mergeCell ref="AA3:AT3"/>
    <mergeCell ref="CD3:CF3"/>
    <mergeCell ref="CD2:CF2"/>
  </mergeCells>
  <conditionalFormatting sqref="CC3 CC4:CF104">
    <cfRule type="expression" dxfId="38" priority="2" stopIfTrue="1">
      <formula>ISNA(CC3)</formula>
    </cfRule>
  </conditionalFormatting>
  <conditionalFormatting sqref="CD5:CD104">
    <cfRule type="expression" dxfId="37" priority="1">
      <formula>CD4=CD5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D215"/>
  <sheetViews>
    <sheetView zoomScale="85" zoomScaleNormal="85" workbookViewId="0">
      <pane xSplit="3" ySplit="4" topLeftCell="D5" activePane="bottomRight" state="frozen"/>
      <selection pane="bottomRight" activeCell="AK5" sqref="AK5:AS15"/>
      <selection pane="bottomLeft" activeCell="A5" sqref="A5"/>
      <selection pane="topRight" activeCell="D3" sqref="D3"/>
    </sheetView>
  </sheetViews>
  <sheetFormatPr defaultColWidth="8.85546875" defaultRowHeight="17.45" customHeight="1"/>
  <cols>
    <col min="1" max="1" width="3.42578125" style="55" customWidth="1"/>
    <col min="2" max="2" width="19.42578125" style="56" bestFit="1" customWidth="1"/>
    <col min="3" max="3" width="3.85546875" style="56" bestFit="1" customWidth="1"/>
    <col min="4" max="12" width="2.28515625" style="56" bestFit="1" customWidth="1"/>
    <col min="13" max="13" width="5" style="56" bestFit="1" customWidth="1"/>
    <col min="14" max="19" width="3.140625" style="56" bestFit="1" customWidth="1"/>
    <col min="20" max="20" width="3.28515625" style="56" bestFit="1" customWidth="1"/>
    <col min="21" max="21" width="3.140625" style="56" bestFit="1" customWidth="1"/>
    <col min="22" max="22" width="3.28515625" style="56" bestFit="1" customWidth="1"/>
    <col min="23" max="23" width="3.5703125" style="56" bestFit="1" customWidth="1"/>
    <col min="24" max="24" width="7.85546875" style="157" bestFit="1" customWidth="1"/>
    <col min="25" max="25" width="4.85546875" style="158" bestFit="1" customWidth="1"/>
    <col min="26" max="26" width="3.7109375" style="76" customWidth="1"/>
    <col min="27" max="30" width="2.28515625" style="56" bestFit="1" customWidth="1"/>
    <col min="31" max="31" width="3.28515625" style="56" bestFit="1" customWidth="1"/>
    <col min="32" max="35" width="2.28515625" style="56" bestFit="1" customWidth="1"/>
    <col min="36" max="36" width="5" style="56" bestFit="1" customWidth="1"/>
    <col min="37" max="37" width="3.28515625" style="56" bestFit="1" customWidth="1"/>
    <col min="38" max="44" width="3.140625" style="56" bestFit="1" customWidth="1"/>
    <col min="45" max="45" width="3.28515625" style="56" bestFit="1" customWidth="1"/>
    <col min="46" max="46" width="3.5703125" style="56" bestFit="1" customWidth="1"/>
    <col min="47" max="47" width="7.85546875" style="56" bestFit="1" customWidth="1"/>
    <col min="48" max="48" width="6" style="56" bestFit="1" customWidth="1"/>
    <col min="49" max="49" width="3.7109375" style="76" customWidth="1"/>
    <col min="50" max="69" width="3.7109375" style="56" customWidth="1"/>
    <col min="70" max="70" width="4.85546875" style="56" bestFit="1" customWidth="1"/>
    <col min="71" max="71" width="6.28515625" style="56" bestFit="1" customWidth="1"/>
    <col min="72" max="72" width="6.85546875" style="56" bestFit="1" customWidth="1"/>
    <col min="73" max="79" width="3.7109375" style="56" hidden="1" customWidth="1"/>
    <col min="80" max="80" width="3.7109375" style="5" customWidth="1"/>
    <col min="81" max="81" width="3.7109375" style="5" hidden="1" customWidth="1"/>
    <col min="82" max="82" width="3.7109375" style="5" customWidth="1"/>
    <col min="83" max="83" width="21.7109375" style="24" bestFit="1" customWidth="1"/>
    <col min="84" max="84" width="6.85546875" style="105" bestFit="1" customWidth="1"/>
    <col min="85" max="108" width="8.85546875" style="76"/>
    <col min="109" max="16384" width="8.85546875" style="56"/>
  </cols>
  <sheetData>
    <row r="1" spans="1:90" s="76" customFormat="1" ht="17.45" customHeight="1">
      <c r="A1" s="75"/>
      <c r="X1" s="75"/>
      <c r="AU1" s="75"/>
      <c r="CB1" s="12"/>
      <c r="CC1" s="32"/>
      <c r="CD1" s="32"/>
      <c r="CE1" s="33"/>
      <c r="CF1" s="100"/>
    </row>
    <row r="2" spans="1:90" s="76" customFormat="1" ht="27" customHeight="1">
      <c r="A2" s="75"/>
      <c r="X2" s="75"/>
      <c r="AU2" s="75"/>
      <c r="CB2" s="12"/>
      <c r="CC2" s="12"/>
      <c r="CD2" s="169" t="s">
        <v>60</v>
      </c>
      <c r="CE2" s="170"/>
      <c r="CF2" s="170"/>
    </row>
    <row r="3" spans="1:90" ht="17.45" customHeight="1">
      <c r="A3" s="75"/>
      <c r="B3" s="76"/>
      <c r="C3" s="76"/>
      <c r="D3" s="165" t="s">
        <v>61</v>
      </c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47"/>
      <c r="Y3" s="147"/>
      <c r="AA3" s="165" t="s">
        <v>62</v>
      </c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5"/>
      <c r="AP3" s="165"/>
      <c r="AQ3" s="165"/>
      <c r="AR3" s="165"/>
      <c r="AS3" s="165"/>
      <c r="AT3" s="165"/>
      <c r="AU3" s="147"/>
      <c r="AV3" s="147"/>
      <c r="AX3" s="61" t="s">
        <v>63</v>
      </c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61"/>
      <c r="BU3" s="61"/>
      <c r="BV3" s="61"/>
      <c r="BW3" s="61"/>
      <c r="BX3" s="61"/>
      <c r="BY3" s="61"/>
      <c r="CB3" s="12"/>
      <c r="CC3" s="32"/>
      <c r="CD3" s="171" t="s">
        <v>79</v>
      </c>
      <c r="CE3" s="167"/>
      <c r="CF3" s="172"/>
    </row>
    <row r="4" spans="1:90" ht="17.45" customHeight="1">
      <c r="A4" s="57" t="s">
        <v>65</v>
      </c>
      <c r="B4" s="57" t="s">
        <v>66</v>
      </c>
      <c r="C4" s="57" t="s">
        <v>67</v>
      </c>
      <c r="D4" s="57">
        <v>1</v>
      </c>
      <c r="E4" s="57">
        <v>2</v>
      </c>
      <c r="F4" s="57">
        <v>3</v>
      </c>
      <c r="G4" s="57">
        <v>4</v>
      </c>
      <c r="H4" s="57">
        <v>5</v>
      </c>
      <c r="I4" s="57">
        <v>6</v>
      </c>
      <c r="J4" s="57">
        <v>7</v>
      </c>
      <c r="K4" s="57">
        <v>8</v>
      </c>
      <c r="L4" s="57">
        <v>9</v>
      </c>
      <c r="M4" s="57" t="s">
        <v>68</v>
      </c>
      <c r="N4" s="57">
        <v>10</v>
      </c>
      <c r="O4" s="57">
        <v>11</v>
      </c>
      <c r="P4" s="57">
        <v>12</v>
      </c>
      <c r="Q4" s="57">
        <v>13</v>
      </c>
      <c r="R4" s="57">
        <v>14</v>
      </c>
      <c r="S4" s="57">
        <v>15</v>
      </c>
      <c r="T4" s="57">
        <v>16</v>
      </c>
      <c r="U4" s="57">
        <v>17</v>
      </c>
      <c r="V4" s="57">
        <v>18</v>
      </c>
      <c r="W4" s="57" t="s">
        <v>69</v>
      </c>
      <c r="X4" s="57" t="s">
        <v>70</v>
      </c>
      <c r="Y4" s="57" t="s">
        <v>71</v>
      </c>
      <c r="AA4" s="57">
        <v>1</v>
      </c>
      <c r="AB4" s="57">
        <v>2</v>
      </c>
      <c r="AC4" s="57">
        <v>3</v>
      </c>
      <c r="AD4" s="57">
        <v>4</v>
      </c>
      <c r="AE4" s="57">
        <v>5</v>
      </c>
      <c r="AF4" s="57">
        <v>6</v>
      </c>
      <c r="AG4" s="57">
        <v>7</v>
      </c>
      <c r="AH4" s="57">
        <v>8</v>
      </c>
      <c r="AI4" s="57">
        <v>9</v>
      </c>
      <c r="AJ4" s="57" t="s">
        <v>68</v>
      </c>
      <c r="AK4" s="57">
        <v>10</v>
      </c>
      <c r="AL4" s="57">
        <v>11</v>
      </c>
      <c r="AM4" s="57">
        <v>12</v>
      </c>
      <c r="AN4" s="57">
        <v>13</v>
      </c>
      <c r="AO4" s="57">
        <v>14</v>
      </c>
      <c r="AP4" s="57">
        <v>15</v>
      </c>
      <c r="AQ4" s="57">
        <v>16</v>
      </c>
      <c r="AR4" s="57">
        <v>17</v>
      </c>
      <c r="AS4" s="57">
        <v>18</v>
      </c>
      <c r="AT4" s="57" t="s">
        <v>69</v>
      </c>
      <c r="AU4" s="57" t="s">
        <v>70</v>
      </c>
      <c r="AV4" s="57" t="s">
        <v>71</v>
      </c>
      <c r="AX4" s="57">
        <v>1</v>
      </c>
      <c r="AY4" s="57">
        <v>2</v>
      </c>
      <c r="AZ4" s="57">
        <v>3</v>
      </c>
      <c r="BA4" s="57">
        <v>4</v>
      </c>
      <c r="BB4" s="57">
        <v>5</v>
      </c>
      <c r="BC4" s="57">
        <v>6</v>
      </c>
      <c r="BD4" s="57">
        <v>7</v>
      </c>
      <c r="BE4" s="57">
        <v>8</v>
      </c>
      <c r="BF4" s="57">
        <v>9</v>
      </c>
      <c r="BG4" s="57" t="s">
        <v>68</v>
      </c>
      <c r="BH4" s="57">
        <v>10</v>
      </c>
      <c r="BI4" s="57">
        <v>11</v>
      </c>
      <c r="BJ4" s="57">
        <v>12</v>
      </c>
      <c r="BK4" s="57">
        <v>13</v>
      </c>
      <c r="BL4" s="57">
        <v>14</v>
      </c>
      <c r="BM4" s="57">
        <v>15</v>
      </c>
      <c r="BN4" s="57">
        <v>16</v>
      </c>
      <c r="BO4" s="57">
        <v>17</v>
      </c>
      <c r="BP4" s="57">
        <v>18</v>
      </c>
      <c r="BQ4" s="57" t="s">
        <v>69</v>
      </c>
      <c r="BR4" s="57" t="s">
        <v>68</v>
      </c>
      <c r="BS4" s="57" t="s">
        <v>72</v>
      </c>
      <c r="BT4" s="57" t="s">
        <v>73</v>
      </c>
      <c r="BU4" s="57" t="s">
        <v>74</v>
      </c>
      <c r="BV4" s="57" t="s">
        <v>75</v>
      </c>
      <c r="BW4" s="57" t="s">
        <v>76</v>
      </c>
      <c r="BX4" s="57" t="s">
        <v>67</v>
      </c>
      <c r="BY4" s="57" t="s">
        <v>73</v>
      </c>
      <c r="CB4" s="19"/>
      <c r="CC4" s="20"/>
      <c r="CD4" s="16" t="s">
        <v>77</v>
      </c>
      <c r="CE4" s="16" t="s">
        <v>66</v>
      </c>
      <c r="CF4" s="102" t="s">
        <v>73</v>
      </c>
    </row>
    <row r="5" spans="1:90" ht="17.45" customHeight="1">
      <c r="A5" s="58">
        <v>1</v>
      </c>
      <c r="B5" s="59" t="str">
        <f>'C Div'!A5 &amp; " " &amp; 'C Div'!B5</f>
        <v>SHAY BROEDELET</v>
      </c>
      <c r="C5" s="59">
        <f>'C Div'!E5</f>
        <v>28</v>
      </c>
      <c r="D5" s="60">
        <v>6</v>
      </c>
      <c r="E5" s="60">
        <v>3</v>
      </c>
      <c r="F5" s="60">
        <v>7</v>
      </c>
      <c r="G5" s="60">
        <v>6</v>
      </c>
      <c r="H5" s="60">
        <v>6</v>
      </c>
      <c r="I5" s="60">
        <v>4</v>
      </c>
      <c r="J5" s="60">
        <v>7</v>
      </c>
      <c r="K5" s="60">
        <v>7</v>
      </c>
      <c r="L5" s="60">
        <v>4</v>
      </c>
      <c r="M5" s="74">
        <f>IF(COUNTIF(D5:L5,"&lt;&gt;"&amp;"")=9,SUM(D5:L5),"-")</f>
        <v>50</v>
      </c>
      <c r="N5" s="60">
        <v>7</v>
      </c>
      <c r="O5" s="60">
        <v>4</v>
      </c>
      <c r="P5" s="60">
        <v>6</v>
      </c>
      <c r="Q5" s="60">
        <v>6</v>
      </c>
      <c r="R5" s="60">
        <v>3</v>
      </c>
      <c r="S5" s="60">
        <v>7</v>
      </c>
      <c r="T5" s="60">
        <v>5</v>
      </c>
      <c r="U5" s="60">
        <v>9</v>
      </c>
      <c r="V5" s="60">
        <v>10</v>
      </c>
      <c r="W5" s="74">
        <f>IF(COUNTIF(N5:V5,"&lt;&gt;"&amp;"")=9,SUM(N5:V5),"-")</f>
        <v>57</v>
      </c>
      <c r="X5" s="155">
        <f>IF(AND(ISNUMBER(M5),ISNUMBER(W5)),M5+W5,"-")</f>
        <v>107</v>
      </c>
      <c r="Y5" s="156">
        <f>IF(ISNUMBER(X5),X5-C5,"-")</f>
        <v>79</v>
      </c>
      <c r="AA5" s="60">
        <v>6</v>
      </c>
      <c r="AB5" s="60">
        <v>4</v>
      </c>
      <c r="AC5" s="60">
        <v>5</v>
      </c>
      <c r="AD5" s="60">
        <v>7</v>
      </c>
      <c r="AE5" s="60">
        <v>6</v>
      </c>
      <c r="AF5" s="60">
        <v>4</v>
      </c>
      <c r="AG5" s="60">
        <v>7</v>
      </c>
      <c r="AH5" s="60">
        <v>5</v>
      </c>
      <c r="AI5" s="60">
        <v>6</v>
      </c>
      <c r="AJ5" s="74">
        <f>IF(COUNTIF(AA5:AI5,"&lt;&gt;"&amp;"")=9,SUM(AA5:AI5),"-")</f>
        <v>50</v>
      </c>
      <c r="AK5" s="60">
        <v>8</v>
      </c>
      <c r="AL5" s="60">
        <v>5</v>
      </c>
      <c r="AM5" s="60">
        <v>3</v>
      </c>
      <c r="AN5" s="60">
        <v>7</v>
      </c>
      <c r="AO5" s="60">
        <v>4</v>
      </c>
      <c r="AP5" s="60">
        <v>6</v>
      </c>
      <c r="AQ5" s="60">
        <v>5</v>
      </c>
      <c r="AR5" s="60">
        <v>7</v>
      </c>
      <c r="AS5" s="60">
        <v>8</v>
      </c>
      <c r="AT5" s="74">
        <f>IF(COUNTIF(AK5:AS5,"&lt;&gt;"&amp;"")=9,SUM(AK5:AS5),"-")</f>
        <v>53</v>
      </c>
      <c r="AU5" s="155">
        <f>IF(AND(ISNUMBER(AJ5),ISNUMBER(AT5)),AJ5+AT5,"-")</f>
        <v>103</v>
      </c>
      <c r="AV5" s="156">
        <f>IF(ISNUMBER(AU5),AU5-C5,"-")</f>
        <v>75</v>
      </c>
      <c r="AX5" s="59">
        <f>IF(AND(D5&gt;0,AA5&gt;0),MIN(D5,AA5),"-")</f>
        <v>6</v>
      </c>
      <c r="AY5" s="59">
        <f>IF(AND(E5&gt;0,AB5&gt;0),MIN(E5,AB5),"-")</f>
        <v>3</v>
      </c>
      <c r="AZ5" s="59">
        <f>IF(AND(F5&gt;0,AC5&gt;0),MIN(F5,AC5),"-")</f>
        <v>5</v>
      </c>
      <c r="BA5" s="59">
        <f>IF(AND(G5&gt;0,AD5&gt;0),MIN(G5,AD5),"-")</f>
        <v>6</v>
      </c>
      <c r="BB5" s="59">
        <f>IF(AND(H5&gt;0,AE5&gt;0),MIN(H5,AE5),"-")</f>
        <v>6</v>
      </c>
      <c r="BC5" s="59">
        <f>IF(AND(I5&gt;0,AF5&gt;0),MIN(I5,AF5),"-")</f>
        <v>4</v>
      </c>
      <c r="BD5" s="59">
        <f>IF(AND(J5&gt;0,AG5&gt;0),MIN(J5,AG5),"-")</f>
        <v>7</v>
      </c>
      <c r="BE5" s="59">
        <f>IF(AND(K5&gt;0,AH5&gt;0),MIN(K5,AH5),"-")</f>
        <v>5</v>
      </c>
      <c r="BF5" s="59">
        <f>IF(AND(L5&gt;0,AI5&gt;0),MIN(L5,AI5),"-")</f>
        <v>4</v>
      </c>
      <c r="BG5" s="59">
        <f>IF(COUNTIF(AX5:BF5,"&lt;&gt;-")=9,SUM(AX5:BF5),"-")</f>
        <v>46</v>
      </c>
      <c r="BH5" s="59">
        <f>IF(AND(N5&gt;0,AK5&gt;0),MIN(N5,AK5),"-")</f>
        <v>7</v>
      </c>
      <c r="BI5" s="59">
        <f>IF(AND(O5&gt;0,AL5&gt;0),MIN(O5,AL5),"-")</f>
        <v>4</v>
      </c>
      <c r="BJ5" s="59">
        <f>IF(AND(P5&gt;0,AM5&gt;0),MIN(P5,AM5),"-")</f>
        <v>3</v>
      </c>
      <c r="BK5" s="59">
        <f>IF(AND(Q5&gt;0,AN5&gt;0),MIN(Q5,AN5),"-")</f>
        <v>6</v>
      </c>
      <c r="BL5" s="59">
        <f>IF(AND(R5&gt;0,AO5&gt;0),MIN(R5,AO5),"-")</f>
        <v>3</v>
      </c>
      <c r="BM5" s="59">
        <f>IF(AND(S5&gt;0,AP5&gt;0),MIN(S5,AP5),"-")</f>
        <v>6</v>
      </c>
      <c r="BN5" s="59">
        <f>IF(AND(T5&gt;0,AQ5&gt;0),MIN(T5,AQ5),"-")</f>
        <v>5</v>
      </c>
      <c r="BO5" s="59">
        <f>IF(AND(U5&gt;0,AR5&gt;0),MIN(U5,AR5),"-")</f>
        <v>7</v>
      </c>
      <c r="BP5" s="59">
        <f>IF(AND(V5&gt;0,AS5&gt;0),MIN(V5,AS5),"-")</f>
        <v>8</v>
      </c>
      <c r="BQ5" s="59">
        <f>IF(COUNTIF(BH5:BP5,"&lt;&gt;-")=9,SUM(BH5:BP5),"-")</f>
        <v>49</v>
      </c>
      <c r="BR5" s="59">
        <f>BG5</f>
        <v>46</v>
      </c>
      <c r="BS5" s="59">
        <f>IF(COUNTIF(BQ5:BR5,"&lt;&gt;-")=2,SUM(BQ5:BR5),"-")</f>
        <v>95</v>
      </c>
      <c r="BT5" s="98">
        <f>IF(ISNUMBER(BS5),BS5-(C5*Rules!$P$9/100),"-")</f>
        <v>88</v>
      </c>
      <c r="BU5" s="59">
        <f>RANK($BT5,$BT$5:$BT$106,1)+COUNTIF(BT$5:BT5,BT5)-1</f>
        <v>10</v>
      </c>
      <c r="BV5" s="59">
        <f>RANK(BT5,$BT$5:$BT$215,1)</f>
        <v>10</v>
      </c>
      <c r="BW5" s="59" t="str">
        <f>B5</f>
        <v>SHAY BROEDELET</v>
      </c>
      <c r="BX5" s="59">
        <f>C5</f>
        <v>28</v>
      </c>
      <c r="BY5" s="59">
        <f>BT5</f>
        <v>88</v>
      </c>
      <c r="CC5" s="4">
        <v>1</v>
      </c>
      <c r="CD5" s="2">
        <f>VLOOKUP(CC5,$BV$5:BY$215,1,FALSE)</f>
        <v>1</v>
      </c>
      <c r="CE5" s="6" t="str">
        <f>VLOOKUP(CC5,$BV$5:BY$215,2,FALSE)</f>
        <v>MELISSA PALMER</v>
      </c>
      <c r="CF5" s="103">
        <f>VLOOKUP(CC5,$BV$5:BY$215,4,FALSE)</f>
        <v>78</v>
      </c>
      <c r="CL5" s="77">
        <v>1</v>
      </c>
    </row>
    <row r="6" spans="1:90" ht="17.45" customHeight="1">
      <c r="A6" s="58">
        <v>2</v>
      </c>
      <c r="B6" s="59" t="str">
        <f>'C Div'!A6 &amp; " " &amp; 'C Div'!B6</f>
        <v>PREM GOVENDER</v>
      </c>
      <c r="C6" s="59">
        <f>'C Div'!E6</f>
        <v>26</v>
      </c>
      <c r="D6" s="60">
        <v>6</v>
      </c>
      <c r="E6" s="60">
        <v>3</v>
      </c>
      <c r="F6" s="60">
        <v>6</v>
      </c>
      <c r="G6" s="60">
        <v>4</v>
      </c>
      <c r="H6" s="60">
        <v>7</v>
      </c>
      <c r="I6" s="60">
        <v>4</v>
      </c>
      <c r="J6" s="60">
        <v>5</v>
      </c>
      <c r="K6" s="60">
        <v>6</v>
      </c>
      <c r="L6" s="60">
        <v>5</v>
      </c>
      <c r="M6" s="74">
        <f t="shared" ref="M6:M21" si="0">IF(COUNTIF(D6:L6,"&lt;&gt;"&amp;"")=9,SUM(D6:L6),"-")</f>
        <v>46</v>
      </c>
      <c r="N6" s="60">
        <v>8</v>
      </c>
      <c r="O6" s="60">
        <v>5</v>
      </c>
      <c r="P6" s="60">
        <v>4</v>
      </c>
      <c r="Q6" s="60">
        <v>7</v>
      </c>
      <c r="R6" s="60">
        <v>3</v>
      </c>
      <c r="S6" s="60">
        <v>6</v>
      </c>
      <c r="T6" s="60">
        <v>6</v>
      </c>
      <c r="U6" s="60">
        <v>6</v>
      </c>
      <c r="V6" s="60">
        <v>8</v>
      </c>
      <c r="W6" s="74">
        <f t="shared" ref="W6:W69" si="1">IF(COUNTIF(N6:V6,"&lt;&gt;"&amp;"")=9,SUM(N6:V6),"-")</f>
        <v>53</v>
      </c>
      <c r="X6" s="155">
        <f t="shared" ref="X6:X69" si="2">IF(AND(ISNUMBER(M6),ISNUMBER(W6)),M6+W6,"-")</f>
        <v>99</v>
      </c>
      <c r="Y6" s="156">
        <f t="shared" ref="Y6:Y69" si="3">IF(ISNUMBER(X6),X6-C6,"-")</f>
        <v>73</v>
      </c>
      <c r="AA6" s="60">
        <v>6</v>
      </c>
      <c r="AB6" s="60">
        <v>4</v>
      </c>
      <c r="AC6" s="60">
        <v>5</v>
      </c>
      <c r="AD6" s="60">
        <v>6</v>
      </c>
      <c r="AE6" s="60">
        <v>11</v>
      </c>
      <c r="AF6" s="60">
        <v>5</v>
      </c>
      <c r="AG6" s="60">
        <v>6</v>
      </c>
      <c r="AH6" s="60">
        <v>5</v>
      </c>
      <c r="AI6" s="60">
        <v>6</v>
      </c>
      <c r="AJ6" s="74">
        <f t="shared" ref="AJ6:AJ69" si="4">IF(COUNTIF(AA6:AI6,"&lt;&gt;"&amp;"")=9,SUM(AA6:AI6),"-")</f>
        <v>54</v>
      </c>
      <c r="AK6" s="60">
        <v>9</v>
      </c>
      <c r="AL6" s="60">
        <v>7</v>
      </c>
      <c r="AM6" s="60">
        <v>3</v>
      </c>
      <c r="AN6" s="60">
        <v>6</v>
      </c>
      <c r="AO6" s="60">
        <v>4</v>
      </c>
      <c r="AP6" s="60">
        <v>7</v>
      </c>
      <c r="AQ6" s="60">
        <v>5</v>
      </c>
      <c r="AR6" s="60">
        <v>7</v>
      </c>
      <c r="AS6" s="60">
        <v>7</v>
      </c>
      <c r="AT6" s="74">
        <f t="shared" ref="AT6:AT69" si="5">IF(COUNTIF(AK6:AS6,"&lt;&gt;"&amp;"")=9,SUM(AK6:AS6),"-")</f>
        <v>55</v>
      </c>
      <c r="AU6" s="155">
        <f t="shared" ref="AU6:AU69" si="6">IF(AND(ISNUMBER(AJ6),ISNUMBER(AT6)),AJ6+AT6,"-")</f>
        <v>109</v>
      </c>
      <c r="AV6" s="156">
        <f t="shared" ref="AV6:AV69" si="7">IF(ISNUMBER(AU6),AU6-C6,"-")</f>
        <v>83</v>
      </c>
      <c r="AX6" s="59">
        <f>IF(AND(D6&gt;0,AA6&gt;0),MIN(D6,AA6),"-")</f>
        <v>6</v>
      </c>
      <c r="AY6" s="59">
        <f>IF(AND(E6&gt;0,AB6&gt;0),MIN(E6,AB6),"-")</f>
        <v>3</v>
      </c>
      <c r="AZ6" s="59">
        <f>IF(AND(F6&gt;0,AC6&gt;0),MIN(F6,AC6),"-")</f>
        <v>5</v>
      </c>
      <c r="BA6" s="59">
        <f>IF(AND(G6&gt;0,AD6&gt;0),MIN(G6,AD6),"-")</f>
        <v>4</v>
      </c>
      <c r="BB6" s="59">
        <f>IF(AND(H6&gt;0,AE6&gt;0),MIN(H6,AE6),"-")</f>
        <v>7</v>
      </c>
      <c r="BC6" s="59">
        <f>IF(AND(I6&gt;0,AF6&gt;0),MIN(I6,AF6),"-")</f>
        <v>4</v>
      </c>
      <c r="BD6" s="59">
        <f>IF(AND(J6&gt;0,AG6&gt;0),MIN(J6,AG6),"-")</f>
        <v>5</v>
      </c>
      <c r="BE6" s="59">
        <f>IF(AND(K6&gt;0,AH6&gt;0),MIN(K6,AH6),"-")</f>
        <v>5</v>
      </c>
      <c r="BF6" s="59">
        <f>IF(AND(L6&gt;0,AI6&gt;0),MIN(L6,AI6),"-")</f>
        <v>5</v>
      </c>
      <c r="BG6" s="59">
        <f t="shared" ref="BG6:BG69" si="8">IF(COUNTIF(AX6:BF6,"&lt;&gt;-")=9,SUM(AX6:BF6),"-")</f>
        <v>44</v>
      </c>
      <c r="BH6" s="59">
        <f>IF(AND(N6&gt;0,AK6&gt;0),MIN(N6,AK6),"-")</f>
        <v>8</v>
      </c>
      <c r="BI6" s="59">
        <f>IF(AND(O6&gt;0,AL6&gt;0),MIN(O6,AL6),"-")</f>
        <v>5</v>
      </c>
      <c r="BJ6" s="59">
        <f>IF(AND(P6&gt;0,AM6&gt;0),MIN(P6,AM6),"-")</f>
        <v>3</v>
      </c>
      <c r="BK6" s="59">
        <f>IF(AND(Q6&gt;0,AN6&gt;0),MIN(Q6,AN6),"-")</f>
        <v>6</v>
      </c>
      <c r="BL6" s="59">
        <f>IF(AND(R6&gt;0,AO6&gt;0),MIN(R6,AO6),"-")</f>
        <v>3</v>
      </c>
      <c r="BM6" s="59">
        <f>IF(AND(S6&gt;0,AP6&gt;0),MIN(S6,AP6),"-")</f>
        <v>6</v>
      </c>
      <c r="BN6" s="59">
        <f>IF(AND(T6&gt;0,AQ6&gt;0),MIN(T6,AQ6),"-")</f>
        <v>5</v>
      </c>
      <c r="BO6" s="59">
        <f>IF(AND(U6&gt;0,AR6&gt;0),MIN(U6,AR6),"-")</f>
        <v>6</v>
      </c>
      <c r="BP6" s="59">
        <f>IF(AND(V6&gt;0,AS6&gt;0),MIN(V6,AS6),"-")</f>
        <v>7</v>
      </c>
      <c r="BQ6" s="59">
        <f t="shared" ref="BQ6:BQ69" si="9">IF(COUNTIF(BH6:BP6,"&lt;&gt;-")=9,SUM(BH6:BP6),"-")</f>
        <v>49</v>
      </c>
      <c r="BR6" s="59">
        <f t="shared" ref="BR6:BR69" si="10">BG6</f>
        <v>44</v>
      </c>
      <c r="BS6" s="59">
        <f t="shared" ref="BS6:BS69" si="11">IF(COUNTIF(BQ6:BR6,"&lt;&gt;-")=2,SUM(BQ6:BR6),"-")</f>
        <v>93</v>
      </c>
      <c r="BT6" s="98">
        <f>IF(ISNUMBER(BS6),BS6-(C6*Rules!$P$9/100),"-")</f>
        <v>86.5</v>
      </c>
      <c r="BU6" s="59">
        <f>RANK($BT6,$BT$5:$BT$106,1)+COUNTIF(BT$5:BT6,BT6)-1</f>
        <v>8</v>
      </c>
      <c r="BV6" s="59">
        <f t="shared" ref="BV6:BV69" si="12">RANK(BT6,$BT$5:$BT$215,1)</f>
        <v>8</v>
      </c>
      <c r="BW6" s="59" t="str">
        <f t="shared" ref="BW6:BX69" si="13">B6</f>
        <v>PREM GOVENDER</v>
      </c>
      <c r="BX6" s="59">
        <f t="shared" si="13"/>
        <v>26</v>
      </c>
      <c r="BY6" s="59">
        <f t="shared" ref="BY6:BY69" si="14">BT6</f>
        <v>86.5</v>
      </c>
      <c r="CC6" s="4">
        <v>2</v>
      </c>
      <c r="CD6" s="2">
        <f>VLOOKUP(CC6,$BV$5:BY$215,1,FALSE)</f>
        <v>2</v>
      </c>
      <c r="CE6" s="6" t="str">
        <f>VLOOKUP(CC6,$BV$5:BY$215,2,FALSE)</f>
        <v>GAIL SPEIRS</v>
      </c>
      <c r="CF6" s="103">
        <f>VLOOKUP(CC6,$BV$5:BY$215,4,FALSE)</f>
        <v>80</v>
      </c>
      <c r="CL6" s="77">
        <v>1</v>
      </c>
    </row>
    <row r="7" spans="1:90" ht="17.45" customHeight="1">
      <c r="A7" s="58">
        <v>3</v>
      </c>
      <c r="B7" s="59" t="str">
        <f>'C Div'!A7 &amp; " " &amp; 'C Div'!B7</f>
        <v>RENE LADELL</v>
      </c>
      <c r="C7" s="59">
        <f>'C Div'!E7</f>
        <v>36</v>
      </c>
      <c r="D7" s="60">
        <v>7</v>
      </c>
      <c r="E7" s="60">
        <v>3</v>
      </c>
      <c r="F7" s="60">
        <v>7</v>
      </c>
      <c r="G7" s="60">
        <v>7</v>
      </c>
      <c r="H7" s="60">
        <v>9</v>
      </c>
      <c r="I7" s="60">
        <v>5</v>
      </c>
      <c r="J7" s="60">
        <v>7</v>
      </c>
      <c r="K7" s="60">
        <v>6</v>
      </c>
      <c r="L7" s="60">
        <v>5</v>
      </c>
      <c r="M7" s="74">
        <f t="shared" si="0"/>
        <v>56</v>
      </c>
      <c r="N7" s="60">
        <v>9</v>
      </c>
      <c r="O7" s="60">
        <v>7</v>
      </c>
      <c r="P7" s="60">
        <v>3</v>
      </c>
      <c r="Q7" s="60">
        <v>8</v>
      </c>
      <c r="R7" s="60">
        <v>4</v>
      </c>
      <c r="S7" s="60">
        <v>7</v>
      </c>
      <c r="T7" s="60">
        <v>6</v>
      </c>
      <c r="U7" s="60">
        <v>8</v>
      </c>
      <c r="V7" s="60">
        <v>7</v>
      </c>
      <c r="W7" s="74">
        <f t="shared" si="1"/>
        <v>59</v>
      </c>
      <c r="X7" s="155">
        <f t="shared" si="2"/>
        <v>115</v>
      </c>
      <c r="Y7" s="156">
        <f t="shared" si="3"/>
        <v>79</v>
      </c>
      <c r="AA7" s="60">
        <v>6</v>
      </c>
      <c r="AB7" s="60">
        <v>4</v>
      </c>
      <c r="AC7" s="60">
        <v>7</v>
      </c>
      <c r="AD7" s="60">
        <v>6</v>
      </c>
      <c r="AE7" s="60">
        <v>7</v>
      </c>
      <c r="AF7" s="60">
        <v>3</v>
      </c>
      <c r="AG7" s="60">
        <v>6</v>
      </c>
      <c r="AH7" s="60">
        <v>7</v>
      </c>
      <c r="AI7" s="60">
        <v>7</v>
      </c>
      <c r="AJ7" s="74">
        <f t="shared" si="4"/>
        <v>53</v>
      </c>
      <c r="AK7" s="60">
        <v>10</v>
      </c>
      <c r="AL7" s="60">
        <v>6</v>
      </c>
      <c r="AM7" s="60">
        <v>4</v>
      </c>
      <c r="AN7" s="60">
        <v>8</v>
      </c>
      <c r="AO7" s="60">
        <v>5</v>
      </c>
      <c r="AP7" s="60">
        <v>8</v>
      </c>
      <c r="AQ7" s="60">
        <v>6</v>
      </c>
      <c r="AR7" s="60">
        <v>7</v>
      </c>
      <c r="AS7" s="60">
        <v>8</v>
      </c>
      <c r="AT7" s="74">
        <f t="shared" si="5"/>
        <v>62</v>
      </c>
      <c r="AU7" s="155">
        <f t="shared" si="6"/>
        <v>115</v>
      </c>
      <c r="AV7" s="156">
        <f t="shared" si="7"/>
        <v>79</v>
      </c>
      <c r="AX7" s="59">
        <f>IF(AND(D7&gt;0,AA7&gt;0),MIN(D7,AA7),"-")</f>
        <v>6</v>
      </c>
      <c r="AY7" s="59">
        <f>IF(AND(E7&gt;0,AB7&gt;0),MIN(E7,AB7),"-")</f>
        <v>3</v>
      </c>
      <c r="AZ7" s="59">
        <f>IF(AND(F7&gt;0,AC7&gt;0),MIN(F7,AC7),"-")</f>
        <v>7</v>
      </c>
      <c r="BA7" s="59">
        <f>IF(AND(G7&gt;0,AD7&gt;0),MIN(G7,AD7),"-")</f>
        <v>6</v>
      </c>
      <c r="BB7" s="59">
        <f>IF(AND(H7&gt;0,AE7&gt;0),MIN(H7,AE7),"-")</f>
        <v>7</v>
      </c>
      <c r="BC7" s="59">
        <f>IF(AND(I7&gt;0,AF7&gt;0),MIN(I7,AF7),"-")</f>
        <v>3</v>
      </c>
      <c r="BD7" s="59">
        <f>IF(AND(J7&gt;0,AG7&gt;0),MIN(J7,AG7),"-")</f>
        <v>6</v>
      </c>
      <c r="BE7" s="59">
        <f>IF(AND(K7&gt;0,AH7&gt;0),MIN(K7,AH7),"-")</f>
        <v>6</v>
      </c>
      <c r="BF7" s="59">
        <f>IF(AND(L7&gt;0,AI7&gt;0),MIN(L7,AI7),"-")</f>
        <v>5</v>
      </c>
      <c r="BG7" s="59">
        <f t="shared" si="8"/>
        <v>49</v>
      </c>
      <c r="BH7" s="59">
        <f>IF(AND(N7&gt;0,AK7&gt;0),MIN(N7,AK7),"-")</f>
        <v>9</v>
      </c>
      <c r="BI7" s="59">
        <f>IF(AND(O7&gt;0,AL7&gt;0),MIN(O7,AL7),"-")</f>
        <v>6</v>
      </c>
      <c r="BJ7" s="59">
        <f>IF(AND(P7&gt;0,AM7&gt;0),MIN(P7,AM7),"-")</f>
        <v>3</v>
      </c>
      <c r="BK7" s="59">
        <f>IF(AND(Q7&gt;0,AN7&gt;0),MIN(Q7,AN7),"-")</f>
        <v>8</v>
      </c>
      <c r="BL7" s="59">
        <f>IF(AND(R7&gt;0,AO7&gt;0),MIN(R7,AO7),"-")</f>
        <v>4</v>
      </c>
      <c r="BM7" s="59">
        <f>IF(AND(S7&gt;0,AP7&gt;0),MIN(S7,AP7),"-")</f>
        <v>7</v>
      </c>
      <c r="BN7" s="59">
        <f>IF(AND(T7&gt;0,AQ7&gt;0),MIN(T7,AQ7),"-")</f>
        <v>6</v>
      </c>
      <c r="BO7" s="59">
        <f>IF(AND(U7&gt;0,AR7&gt;0),MIN(U7,AR7),"-")</f>
        <v>7</v>
      </c>
      <c r="BP7" s="59">
        <f>IF(AND(V7&gt;0,AS7&gt;0),MIN(V7,AS7),"-")</f>
        <v>7</v>
      </c>
      <c r="BQ7" s="59">
        <f t="shared" si="9"/>
        <v>57</v>
      </c>
      <c r="BR7" s="59">
        <f t="shared" si="10"/>
        <v>49</v>
      </c>
      <c r="BS7" s="59">
        <f t="shared" si="11"/>
        <v>106</v>
      </c>
      <c r="BT7" s="98">
        <f>IF(ISNUMBER(BS7),BS7-(C7*Rules!$P$9/100),"-")</f>
        <v>97</v>
      </c>
      <c r="BU7" s="59">
        <f>RANK($BT7,$BT$5:$BT$106,1)+COUNTIF(BT$5:BT7,BT7)-1</f>
        <v>11</v>
      </c>
      <c r="BV7" s="59">
        <f t="shared" si="12"/>
        <v>11</v>
      </c>
      <c r="BW7" s="59" t="str">
        <f t="shared" si="13"/>
        <v>RENE LADELL</v>
      </c>
      <c r="BX7" s="59">
        <f t="shared" si="13"/>
        <v>36</v>
      </c>
      <c r="BY7" s="59">
        <f t="shared" si="14"/>
        <v>97</v>
      </c>
      <c r="CC7" s="4">
        <v>3</v>
      </c>
      <c r="CD7" s="2">
        <f>VLOOKUP(CC7,$BV$5:BY$215,1,FALSE)</f>
        <v>3</v>
      </c>
      <c r="CE7" s="6" t="str">
        <f>VLOOKUP(CC7,$BV$5:BY$215,2,FALSE)</f>
        <v>JUDY VAN DER VEEN</v>
      </c>
      <c r="CF7" s="103">
        <f>VLOOKUP(CC7,$BV$5:BY$215,4,FALSE)</f>
        <v>80.5</v>
      </c>
      <c r="CL7" s="77">
        <v>1</v>
      </c>
    </row>
    <row r="8" spans="1:90" ht="17.45" customHeight="1">
      <c r="A8" s="58">
        <v>4</v>
      </c>
      <c r="B8" s="59" t="str">
        <f>'C Div'!A8 &amp; " " &amp; 'C Div'!B8</f>
        <v>ANGELA MASEFIELD</v>
      </c>
      <c r="C8" s="59">
        <f>'C Div'!E8</f>
        <v>22</v>
      </c>
      <c r="D8" s="60">
        <v>5</v>
      </c>
      <c r="E8" s="60">
        <v>5</v>
      </c>
      <c r="F8" s="60">
        <v>8</v>
      </c>
      <c r="G8" s="60">
        <v>5</v>
      </c>
      <c r="H8" s="60">
        <v>7</v>
      </c>
      <c r="I8" s="60">
        <v>3</v>
      </c>
      <c r="J8" s="60">
        <v>5</v>
      </c>
      <c r="K8" s="60">
        <v>5</v>
      </c>
      <c r="L8" s="60">
        <v>4</v>
      </c>
      <c r="M8" s="74">
        <f t="shared" si="0"/>
        <v>47</v>
      </c>
      <c r="N8" s="60">
        <v>8</v>
      </c>
      <c r="O8" s="60">
        <v>6</v>
      </c>
      <c r="P8" s="60">
        <v>4</v>
      </c>
      <c r="Q8" s="60">
        <v>6</v>
      </c>
      <c r="R8" s="60">
        <v>5</v>
      </c>
      <c r="S8" s="60">
        <v>6</v>
      </c>
      <c r="T8" s="60">
        <v>5</v>
      </c>
      <c r="U8" s="60">
        <v>5</v>
      </c>
      <c r="V8" s="60">
        <v>9</v>
      </c>
      <c r="W8" s="74">
        <f t="shared" si="1"/>
        <v>54</v>
      </c>
      <c r="X8" s="155">
        <f t="shared" si="2"/>
        <v>101</v>
      </c>
      <c r="Y8" s="156">
        <f t="shared" si="3"/>
        <v>79</v>
      </c>
      <c r="AA8" s="60">
        <v>5</v>
      </c>
      <c r="AB8" s="60">
        <v>4</v>
      </c>
      <c r="AC8" s="60">
        <v>8</v>
      </c>
      <c r="AD8" s="60">
        <v>6</v>
      </c>
      <c r="AE8" s="60">
        <v>6</v>
      </c>
      <c r="AF8" s="60">
        <v>5</v>
      </c>
      <c r="AG8" s="60">
        <v>8</v>
      </c>
      <c r="AH8" s="60">
        <v>7</v>
      </c>
      <c r="AI8" s="60">
        <v>6</v>
      </c>
      <c r="AJ8" s="74">
        <f t="shared" si="4"/>
        <v>55</v>
      </c>
      <c r="AK8" s="60">
        <v>6</v>
      </c>
      <c r="AL8" s="60">
        <v>6</v>
      </c>
      <c r="AM8" s="60">
        <v>3</v>
      </c>
      <c r="AN8" s="60">
        <v>7</v>
      </c>
      <c r="AO8" s="60">
        <v>4</v>
      </c>
      <c r="AP8" s="60">
        <v>7</v>
      </c>
      <c r="AQ8" s="60">
        <v>5</v>
      </c>
      <c r="AR8" s="60">
        <v>5</v>
      </c>
      <c r="AS8" s="60">
        <v>7</v>
      </c>
      <c r="AT8" s="74">
        <f t="shared" si="5"/>
        <v>50</v>
      </c>
      <c r="AU8" s="155">
        <f t="shared" si="6"/>
        <v>105</v>
      </c>
      <c r="AV8" s="156">
        <f t="shared" si="7"/>
        <v>83</v>
      </c>
      <c r="AX8" s="59">
        <f>IF(AND(D8&gt;0,AA8&gt;0),MIN(D8,AA8),"-")</f>
        <v>5</v>
      </c>
      <c r="AY8" s="59">
        <f>IF(AND(E8&gt;0,AB8&gt;0),MIN(E8,AB8),"-")</f>
        <v>4</v>
      </c>
      <c r="AZ8" s="59">
        <f>IF(AND(F8&gt;0,AC8&gt;0),MIN(F8,AC8),"-")</f>
        <v>8</v>
      </c>
      <c r="BA8" s="59">
        <f>IF(AND(G8&gt;0,AD8&gt;0),MIN(G8,AD8),"-")</f>
        <v>5</v>
      </c>
      <c r="BB8" s="59">
        <f>IF(AND(H8&gt;0,AE8&gt;0),MIN(H8,AE8),"-")</f>
        <v>6</v>
      </c>
      <c r="BC8" s="59">
        <f>IF(AND(I8&gt;0,AF8&gt;0),MIN(I8,AF8),"-")</f>
        <v>3</v>
      </c>
      <c r="BD8" s="59">
        <f>IF(AND(J8&gt;0,AG8&gt;0),MIN(J8,AG8),"-")</f>
        <v>5</v>
      </c>
      <c r="BE8" s="59">
        <f>IF(AND(K8&gt;0,AH8&gt;0),MIN(K8,AH8),"-")</f>
        <v>5</v>
      </c>
      <c r="BF8" s="59">
        <f>IF(AND(L8&gt;0,AI8&gt;0),MIN(L8,AI8),"-")</f>
        <v>4</v>
      </c>
      <c r="BG8" s="59">
        <f t="shared" si="8"/>
        <v>45</v>
      </c>
      <c r="BH8" s="59">
        <f>IF(AND(N8&gt;0,AK8&gt;0),MIN(N8,AK8),"-")</f>
        <v>6</v>
      </c>
      <c r="BI8" s="59">
        <f>IF(AND(O8&gt;0,AL8&gt;0),MIN(O8,AL8),"-")</f>
        <v>6</v>
      </c>
      <c r="BJ8" s="59">
        <f>IF(AND(P8&gt;0,AM8&gt;0),MIN(P8,AM8),"-")</f>
        <v>3</v>
      </c>
      <c r="BK8" s="59">
        <f>IF(AND(Q8&gt;0,AN8&gt;0),MIN(Q8,AN8),"-")</f>
        <v>6</v>
      </c>
      <c r="BL8" s="59">
        <f>IF(AND(R8&gt;0,AO8&gt;0),MIN(R8,AO8),"-")</f>
        <v>4</v>
      </c>
      <c r="BM8" s="59">
        <f>IF(AND(S8&gt;0,AP8&gt;0),MIN(S8,AP8),"-")</f>
        <v>6</v>
      </c>
      <c r="BN8" s="59">
        <f>IF(AND(T8&gt;0,AQ8&gt;0),MIN(T8,AQ8),"-")</f>
        <v>5</v>
      </c>
      <c r="BO8" s="59">
        <f>IF(AND(U8&gt;0,AR8&gt;0),MIN(U8,AR8),"-")</f>
        <v>5</v>
      </c>
      <c r="BP8" s="59">
        <f>IF(AND(V8&gt;0,AS8&gt;0),MIN(V8,AS8),"-")</f>
        <v>7</v>
      </c>
      <c r="BQ8" s="59">
        <f t="shared" si="9"/>
        <v>48</v>
      </c>
      <c r="BR8" s="59">
        <f t="shared" si="10"/>
        <v>45</v>
      </c>
      <c r="BS8" s="59">
        <f t="shared" si="11"/>
        <v>93</v>
      </c>
      <c r="BT8" s="98">
        <f>IF(ISNUMBER(BS8),BS8-(C8*Rules!$P$9/100),"-")</f>
        <v>87.5</v>
      </c>
      <c r="BU8" s="59">
        <f>RANK($BT8,$BT$5:$BT$106,1)+COUNTIF(BT$5:BT8,BT8)-1</f>
        <v>9</v>
      </c>
      <c r="BV8" s="59">
        <f t="shared" si="12"/>
        <v>9</v>
      </c>
      <c r="BW8" s="59" t="str">
        <f t="shared" si="13"/>
        <v>ANGELA MASEFIELD</v>
      </c>
      <c r="BX8" s="59">
        <f t="shared" si="13"/>
        <v>22</v>
      </c>
      <c r="BY8" s="59">
        <f t="shared" si="14"/>
        <v>87.5</v>
      </c>
      <c r="CC8" s="4">
        <v>4</v>
      </c>
      <c r="CD8" s="2">
        <f>VLOOKUP(CC8,$BV$5:BY$215,1,FALSE)</f>
        <v>4</v>
      </c>
      <c r="CE8" s="6" t="str">
        <f>VLOOKUP(CC8,$BV$5:BY$215,2,FALSE)</f>
        <v>JANIS NEL</v>
      </c>
      <c r="CF8" s="103">
        <f>VLOOKUP(CC8,$BV$5:BY$215,4,FALSE)</f>
        <v>81</v>
      </c>
      <c r="CL8" s="77">
        <v>1</v>
      </c>
    </row>
    <row r="9" spans="1:90" ht="17.45" customHeight="1">
      <c r="A9" s="58">
        <v>5</v>
      </c>
      <c r="B9" s="59" t="str">
        <f>'C Div'!A9 &amp; " " &amp; 'C Div'!B9</f>
        <v>FIFI NARAN</v>
      </c>
      <c r="C9" s="59">
        <f>'C Div'!E9</f>
        <v>25</v>
      </c>
      <c r="D9" s="60">
        <v>5</v>
      </c>
      <c r="E9" s="60">
        <v>3</v>
      </c>
      <c r="F9" s="60">
        <v>5</v>
      </c>
      <c r="G9" s="60">
        <v>6</v>
      </c>
      <c r="H9" s="60">
        <v>8</v>
      </c>
      <c r="I9" s="60">
        <v>5</v>
      </c>
      <c r="J9" s="60">
        <v>7</v>
      </c>
      <c r="K9" s="60">
        <v>6</v>
      </c>
      <c r="L9" s="60">
        <v>3</v>
      </c>
      <c r="M9" s="74">
        <f t="shared" si="0"/>
        <v>48</v>
      </c>
      <c r="N9" s="60">
        <v>6</v>
      </c>
      <c r="O9" s="60">
        <v>7</v>
      </c>
      <c r="P9" s="60">
        <v>6</v>
      </c>
      <c r="Q9" s="60">
        <v>7</v>
      </c>
      <c r="R9" s="60">
        <v>4</v>
      </c>
      <c r="S9" s="60">
        <v>6</v>
      </c>
      <c r="T9" s="60">
        <v>5</v>
      </c>
      <c r="U9" s="60">
        <v>6</v>
      </c>
      <c r="V9" s="60">
        <v>7</v>
      </c>
      <c r="W9" s="74">
        <f t="shared" si="1"/>
        <v>54</v>
      </c>
      <c r="X9" s="155">
        <f t="shared" si="2"/>
        <v>102</v>
      </c>
      <c r="Y9" s="156">
        <f t="shared" si="3"/>
        <v>77</v>
      </c>
      <c r="AA9" s="60">
        <v>6</v>
      </c>
      <c r="AB9" s="60">
        <v>3</v>
      </c>
      <c r="AC9" s="60">
        <v>7</v>
      </c>
      <c r="AD9" s="60">
        <v>5</v>
      </c>
      <c r="AE9" s="60">
        <v>8</v>
      </c>
      <c r="AF9" s="60">
        <v>4</v>
      </c>
      <c r="AG9" s="60">
        <v>4</v>
      </c>
      <c r="AH9" s="60">
        <v>5</v>
      </c>
      <c r="AI9" s="60">
        <v>4</v>
      </c>
      <c r="AJ9" s="74">
        <f t="shared" si="4"/>
        <v>46</v>
      </c>
      <c r="AK9" s="60">
        <v>6</v>
      </c>
      <c r="AL9" s="60">
        <v>5</v>
      </c>
      <c r="AM9" s="60">
        <v>5</v>
      </c>
      <c r="AN9" s="60">
        <v>6</v>
      </c>
      <c r="AO9" s="60">
        <v>7</v>
      </c>
      <c r="AP9" s="60">
        <v>7</v>
      </c>
      <c r="AQ9" s="60">
        <v>4</v>
      </c>
      <c r="AR9" s="60">
        <v>9</v>
      </c>
      <c r="AS9" s="60">
        <v>8</v>
      </c>
      <c r="AT9" s="74">
        <f t="shared" si="5"/>
        <v>57</v>
      </c>
      <c r="AU9" s="155">
        <f t="shared" si="6"/>
        <v>103</v>
      </c>
      <c r="AV9" s="156">
        <f t="shared" si="7"/>
        <v>78</v>
      </c>
      <c r="AX9" s="59">
        <f>IF(AND(D9&gt;0,AA9&gt;0),MIN(D9,AA9),"-")</f>
        <v>5</v>
      </c>
      <c r="AY9" s="59">
        <f>IF(AND(E9&gt;0,AB9&gt;0),MIN(E9,AB9),"-")</f>
        <v>3</v>
      </c>
      <c r="AZ9" s="59">
        <f>IF(AND(F9&gt;0,AC9&gt;0),MIN(F9,AC9),"-")</f>
        <v>5</v>
      </c>
      <c r="BA9" s="59">
        <f>IF(AND(G9&gt;0,AD9&gt;0),MIN(G9,AD9),"-")</f>
        <v>5</v>
      </c>
      <c r="BB9" s="59">
        <f>IF(AND(H9&gt;0,AE9&gt;0),MIN(H9,AE9),"-")</f>
        <v>8</v>
      </c>
      <c r="BC9" s="59">
        <f>IF(AND(I9&gt;0,AF9&gt;0),MIN(I9,AF9),"-")</f>
        <v>4</v>
      </c>
      <c r="BD9" s="59">
        <f>IF(AND(J9&gt;0,AG9&gt;0),MIN(J9,AG9),"-")</f>
        <v>4</v>
      </c>
      <c r="BE9" s="59">
        <f>IF(AND(K9&gt;0,AH9&gt;0),MIN(K9,AH9),"-")</f>
        <v>5</v>
      </c>
      <c r="BF9" s="59">
        <f>IF(AND(L9&gt;0,AI9&gt;0),MIN(L9,AI9),"-")</f>
        <v>3</v>
      </c>
      <c r="BG9" s="59">
        <f t="shared" si="8"/>
        <v>42</v>
      </c>
      <c r="BH9" s="59">
        <f>IF(AND(N9&gt;0,AK9&gt;0),MIN(N9,AK9),"-")</f>
        <v>6</v>
      </c>
      <c r="BI9" s="59">
        <f>IF(AND(O9&gt;0,AL9&gt;0),MIN(O9,AL9),"-")</f>
        <v>5</v>
      </c>
      <c r="BJ9" s="59">
        <f>IF(AND(P9&gt;0,AM9&gt;0),MIN(P9,AM9),"-")</f>
        <v>5</v>
      </c>
      <c r="BK9" s="59">
        <f>IF(AND(Q9&gt;0,AN9&gt;0),MIN(Q9,AN9),"-")</f>
        <v>6</v>
      </c>
      <c r="BL9" s="59">
        <f>IF(AND(R9&gt;0,AO9&gt;0),MIN(R9,AO9),"-")</f>
        <v>4</v>
      </c>
      <c r="BM9" s="59">
        <f>IF(AND(S9&gt;0,AP9&gt;0),MIN(S9,AP9),"-")</f>
        <v>6</v>
      </c>
      <c r="BN9" s="59">
        <f>IF(AND(T9&gt;0,AQ9&gt;0),MIN(T9,AQ9),"-")</f>
        <v>4</v>
      </c>
      <c r="BO9" s="59">
        <f>IF(AND(U9&gt;0,AR9&gt;0),MIN(U9,AR9),"-")</f>
        <v>6</v>
      </c>
      <c r="BP9" s="59">
        <f>IF(AND(V9&gt;0,AS9&gt;0),MIN(V9,AS9),"-")</f>
        <v>7</v>
      </c>
      <c r="BQ9" s="59">
        <f t="shared" si="9"/>
        <v>49</v>
      </c>
      <c r="BR9" s="59">
        <f t="shared" si="10"/>
        <v>42</v>
      </c>
      <c r="BS9" s="59">
        <f t="shared" si="11"/>
        <v>91</v>
      </c>
      <c r="BT9" s="98">
        <f>IF(ISNUMBER(BS9),BS9-(C9*Rules!$P$9/100),"-")</f>
        <v>84.75</v>
      </c>
      <c r="BU9" s="59">
        <f>RANK($BT9,$BT$5:$BT$106,1)+COUNTIF(BT$5:BT9,BT9)-1</f>
        <v>6</v>
      </c>
      <c r="BV9" s="59">
        <f t="shared" si="12"/>
        <v>6</v>
      </c>
      <c r="BW9" s="59" t="str">
        <f t="shared" si="13"/>
        <v>FIFI NARAN</v>
      </c>
      <c r="BX9" s="59">
        <f t="shared" si="13"/>
        <v>25</v>
      </c>
      <c r="BY9" s="59">
        <f t="shared" si="14"/>
        <v>84.75</v>
      </c>
      <c r="CC9" s="4">
        <v>5</v>
      </c>
      <c r="CD9" s="2">
        <f>VLOOKUP(CC9,$BV$5:BY$215,1,FALSE)</f>
        <v>5</v>
      </c>
      <c r="CE9" s="6" t="str">
        <f>VLOOKUP(CC9,$BV$5:BY$215,2,FALSE)</f>
        <v>KAREN STOTT</v>
      </c>
      <c r="CF9" s="103">
        <f>VLOOKUP(CC9,$BV$5:BY$215,4,FALSE)</f>
        <v>82</v>
      </c>
      <c r="CL9" s="77">
        <v>1</v>
      </c>
    </row>
    <row r="10" spans="1:90" ht="17.45" customHeight="1">
      <c r="A10" s="58">
        <v>6</v>
      </c>
      <c r="B10" s="59" t="str">
        <f>'C Div'!A10 &amp; " " &amp; 'C Div'!B10</f>
        <v>JANIS NEL</v>
      </c>
      <c r="C10" s="59">
        <f>'C Div'!E10</f>
        <v>20</v>
      </c>
      <c r="D10" s="60">
        <v>5</v>
      </c>
      <c r="E10" s="60">
        <v>2</v>
      </c>
      <c r="F10" s="60">
        <v>6</v>
      </c>
      <c r="G10" s="60">
        <v>5</v>
      </c>
      <c r="H10" s="60">
        <v>7</v>
      </c>
      <c r="I10" s="60">
        <v>3</v>
      </c>
      <c r="J10" s="60">
        <v>6</v>
      </c>
      <c r="K10" s="60">
        <v>5</v>
      </c>
      <c r="L10" s="60">
        <v>5</v>
      </c>
      <c r="M10" s="74">
        <f t="shared" si="0"/>
        <v>44</v>
      </c>
      <c r="N10" s="60">
        <v>5</v>
      </c>
      <c r="O10" s="60">
        <v>4</v>
      </c>
      <c r="P10" s="60">
        <v>3</v>
      </c>
      <c r="Q10" s="60">
        <v>6</v>
      </c>
      <c r="R10" s="60">
        <v>4</v>
      </c>
      <c r="S10" s="60">
        <v>6</v>
      </c>
      <c r="T10" s="60">
        <v>4</v>
      </c>
      <c r="U10" s="60">
        <v>5</v>
      </c>
      <c r="V10" s="60">
        <v>6</v>
      </c>
      <c r="W10" s="74">
        <f t="shared" si="1"/>
        <v>43</v>
      </c>
      <c r="X10" s="155">
        <f t="shared" si="2"/>
        <v>87</v>
      </c>
      <c r="Y10" s="156">
        <f t="shared" si="3"/>
        <v>67</v>
      </c>
      <c r="AA10" s="60">
        <v>5</v>
      </c>
      <c r="AB10" s="60">
        <v>3</v>
      </c>
      <c r="AC10" s="60">
        <v>5</v>
      </c>
      <c r="AD10" s="60">
        <v>6</v>
      </c>
      <c r="AE10" s="60">
        <v>8</v>
      </c>
      <c r="AF10" s="60">
        <v>3</v>
      </c>
      <c r="AG10" s="60">
        <v>6</v>
      </c>
      <c r="AH10" s="60">
        <v>6</v>
      </c>
      <c r="AI10" s="60">
        <v>5</v>
      </c>
      <c r="AJ10" s="74">
        <f t="shared" si="4"/>
        <v>47</v>
      </c>
      <c r="AK10" s="60">
        <v>6</v>
      </c>
      <c r="AL10" s="60">
        <v>4</v>
      </c>
      <c r="AM10" s="60">
        <v>3</v>
      </c>
      <c r="AN10" s="60">
        <v>7</v>
      </c>
      <c r="AO10" s="60">
        <v>4</v>
      </c>
      <c r="AP10" s="60">
        <v>8</v>
      </c>
      <c r="AQ10" s="60">
        <v>4</v>
      </c>
      <c r="AR10" s="60">
        <v>6</v>
      </c>
      <c r="AS10" s="60">
        <v>6</v>
      </c>
      <c r="AT10" s="74">
        <f t="shared" si="5"/>
        <v>48</v>
      </c>
      <c r="AU10" s="155">
        <f t="shared" si="6"/>
        <v>95</v>
      </c>
      <c r="AV10" s="156">
        <f t="shared" si="7"/>
        <v>75</v>
      </c>
      <c r="AX10" s="59">
        <f>IF(AND(D10&gt;0,AA10&gt;0),MIN(D10,AA10),"-")</f>
        <v>5</v>
      </c>
      <c r="AY10" s="59">
        <f>IF(AND(E10&gt;0,AB10&gt;0),MIN(E10,AB10),"-")</f>
        <v>2</v>
      </c>
      <c r="AZ10" s="59">
        <f>IF(AND(F10&gt;0,AC10&gt;0),MIN(F10,AC10),"-")</f>
        <v>5</v>
      </c>
      <c r="BA10" s="59">
        <f>IF(AND(G10&gt;0,AD10&gt;0),MIN(G10,AD10),"-")</f>
        <v>5</v>
      </c>
      <c r="BB10" s="59">
        <f>IF(AND(H10&gt;0,AE10&gt;0),MIN(H10,AE10),"-")</f>
        <v>7</v>
      </c>
      <c r="BC10" s="59">
        <f>IF(AND(I10&gt;0,AF10&gt;0),MIN(I10,AF10),"-")</f>
        <v>3</v>
      </c>
      <c r="BD10" s="59">
        <f>IF(AND(J10&gt;0,AG10&gt;0),MIN(J10,AG10),"-")</f>
        <v>6</v>
      </c>
      <c r="BE10" s="59">
        <f>IF(AND(K10&gt;0,AH10&gt;0),MIN(K10,AH10),"-")</f>
        <v>5</v>
      </c>
      <c r="BF10" s="59">
        <f>IF(AND(L10&gt;0,AI10&gt;0),MIN(L10,AI10),"-")</f>
        <v>5</v>
      </c>
      <c r="BG10" s="59">
        <f t="shared" si="8"/>
        <v>43</v>
      </c>
      <c r="BH10" s="59">
        <f>IF(AND(N10&gt;0,AK10&gt;0),MIN(N10,AK10),"-")</f>
        <v>5</v>
      </c>
      <c r="BI10" s="59">
        <f>IF(AND(O10&gt;0,AL10&gt;0),MIN(O10,AL10),"-")</f>
        <v>4</v>
      </c>
      <c r="BJ10" s="59">
        <f>IF(AND(P10&gt;0,AM10&gt;0),MIN(P10,AM10),"-")</f>
        <v>3</v>
      </c>
      <c r="BK10" s="59">
        <f>IF(AND(Q10&gt;0,AN10&gt;0),MIN(Q10,AN10),"-")</f>
        <v>6</v>
      </c>
      <c r="BL10" s="59">
        <f>IF(AND(R10&gt;0,AO10&gt;0),MIN(R10,AO10),"-")</f>
        <v>4</v>
      </c>
      <c r="BM10" s="59">
        <f>IF(AND(S10&gt;0,AP10&gt;0),MIN(S10,AP10),"-")</f>
        <v>6</v>
      </c>
      <c r="BN10" s="59">
        <f>IF(AND(T10&gt;0,AQ10&gt;0),MIN(T10,AQ10),"-")</f>
        <v>4</v>
      </c>
      <c r="BO10" s="59">
        <f>IF(AND(U10&gt;0,AR10&gt;0),MIN(U10,AR10),"-")</f>
        <v>5</v>
      </c>
      <c r="BP10" s="59">
        <f>IF(AND(V10&gt;0,AS10&gt;0),MIN(V10,AS10),"-")</f>
        <v>6</v>
      </c>
      <c r="BQ10" s="59">
        <f t="shared" si="9"/>
        <v>43</v>
      </c>
      <c r="BR10" s="59">
        <f t="shared" si="10"/>
        <v>43</v>
      </c>
      <c r="BS10" s="59">
        <f t="shared" si="11"/>
        <v>86</v>
      </c>
      <c r="BT10" s="98">
        <f>IF(ISNUMBER(BS10),BS10-(C10*Rules!$P$9/100),"-")</f>
        <v>81</v>
      </c>
      <c r="BU10" s="59">
        <f>RANK($BT10,$BT$5:$BT$106,1)+COUNTIF(BT$5:BT10,BT10)-1</f>
        <v>4</v>
      </c>
      <c r="BV10" s="59">
        <f t="shared" si="12"/>
        <v>4</v>
      </c>
      <c r="BW10" s="59" t="str">
        <f t="shared" si="13"/>
        <v>JANIS NEL</v>
      </c>
      <c r="BX10" s="59">
        <f t="shared" si="13"/>
        <v>20</v>
      </c>
      <c r="BY10" s="59">
        <f t="shared" si="14"/>
        <v>81</v>
      </c>
      <c r="CC10" s="4">
        <v>6</v>
      </c>
      <c r="CD10" s="2">
        <f>VLOOKUP(CC10,$BV$5:BY$215,1,FALSE)</f>
        <v>6</v>
      </c>
      <c r="CE10" s="6" t="str">
        <f>VLOOKUP(CC10,$BV$5:BY$215,2,FALSE)</f>
        <v>FIFI NARAN</v>
      </c>
      <c r="CF10" s="103">
        <f>VLOOKUP(CC10,$BV$5:BY$215,4,FALSE)</f>
        <v>84.75</v>
      </c>
      <c r="CL10" s="77">
        <v>1</v>
      </c>
    </row>
    <row r="11" spans="1:90" ht="17.45" customHeight="1">
      <c r="A11" s="58">
        <v>7</v>
      </c>
      <c r="B11" s="59" t="str">
        <f>'C Div'!A11 &amp; " " &amp; 'C Div'!B11</f>
        <v>MELISSA PALMER</v>
      </c>
      <c r="C11" s="59">
        <f>'C Div'!E11</f>
        <v>20</v>
      </c>
      <c r="D11" s="60">
        <v>6</v>
      </c>
      <c r="E11" s="60">
        <v>3</v>
      </c>
      <c r="F11" s="60">
        <v>6</v>
      </c>
      <c r="G11" s="60">
        <v>4</v>
      </c>
      <c r="H11" s="60">
        <v>7</v>
      </c>
      <c r="I11" s="60">
        <v>3</v>
      </c>
      <c r="J11" s="60">
        <v>5</v>
      </c>
      <c r="K11" s="60">
        <v>5</v>
      </c>
      <c r="L11" s="60">
        <v>5</v>
      </c>
      <c r="M11" s="74">
        <f t="shared" si="0"/>
        <v>44</v>
      </c>
      <c r="N11" s="60">
        <v>7</v>
      </c>
      <c r="O11" s="60">
        <v>4</v>
      </c>
      <c r="P11" s="60">
        <v>4</v>
      </c>
      <c r="Q11" s="60">
        <v>7</v>
      </c>
      <c r="R11" s="60">
        <v>6</v>
      </c>
      <c r="S11" s="60">
        <v>6</v>
      </c>
      <c r="T11" s="60">
        <v>3</v>
      </c>
      <c r="U11" s="60">
        <v>5</v>
      </c>
      <c r="V11" s="60">
        <v>4</v>
      </c>
      <c r="W11" s="74">
        <f t="shared" si="1"/>
        <v>46</v>
      </c>
      <c r="X11" s="155">
        <f t="shared" si="2"/>
        <v>90</v>
      </c>
      <c r="Y11" s="156">
        <f t="shared" si="3"/>
        <v>70</v>
      </c>
      <c r="AA11" s="60">
        <v>5</v>
      </c>
      <c r="AB11" s="60">
        <v>5</v>
      </c>
      <c r="AC11" s="60">
        <v>4</v>
      </c>
      <c r="AD11" s="60">
        <v>6</v>
      </c>
      <c r="AE11" s="60">
        <v>10</v>
      </c>
      <c r="AF11" s="60">
        <v>5</v>
      </c>
      <c r="AG11" s="60">
        <v>6</v>
      </c>
      <c r="AH11" s="60">
        <v>5</v>
      </c>
      <c r="AI11" s="60">
        <v>5</v>
      </c>
      <c r="AJ11" s="74">
        <f t="shared" si="4"/>
        <v>51</v>
      </c>
      <c r="AK11" s="60">
        <v>10</v>
      </c>
      <c r="AL11" s="60">
        <v>5</v>
      </c>
      <c r="AM11" s="60">
        <v>4</v>
      </c>
      <c r="AN11" s="60">
        <v>6</v>
      </c>
      <c r="AO11" s="60">
        <v>4</v>
      </c>
      <c r="AP11" s="60">
        <v>5</v>
      </c>
      <c r="AQ11" s="60">
        <v>4</v>
      </c>
      <c r="AR11" s="60">
        <v>6</v>
      </c>
      <c r="AS11" s="60">
        <v>5.0999999999999996</v>
      </c>
      <c r="AT11" s="74">
        <f t="shared" si="5"/>
        <v>49.1</v>
      </c>
      <c r="AU11" s="155">
        <f t="shared" si="6"/>
        <v>100.1</v>
      </c>
      <c r="AV11" s="156">
        <f t="shared" si="7"/>
        <v>80.099999999999994</v>
      </c>
      <c r="AX11" s="59">
        <f>IF(AND(D11&gt;0,AA11&gt;0),MIN(D11,AA11),"-")</f>
        <v>5</v>
      </c>
      <c r="AY11" s="59">
        <f>IF(AND(E11&gt;0,AB11&gt;0),MIN(E11,AB11),"-")</f>
        <v>3</v>
      </c>
      <c r="AZ11" s="59">
        <f>IF(AND(F11&gt;0,AC11&gt;0),MIN(F11,AC11),"-")</f>
        <v>4</v>
      </c>
      <c r="BA11" s="59">
        <f>IF(AND(G11&gt;0,AD11&gt;0),MIN(G11,AD11),"-")</f>
        <v>4</v>
      </c>
      <c r="BB11" s="59">
        <f>IF(AND(H11&gt;0,AE11&gt;0),MIN(H11,AE11),"-")</f>
        <v>7</v>
      </c>
      <c r="BC11" s="59">
        <f>IF(AND(I11&gt;0,AF11&gt;0),MIN(I11,AF11),"-")</f>
        <v>3</v>
      </c>
      <c r="BD11" s="59">
        <f>IF(AND(J11&gt;0,AG11&gt;0),MIN(J11,AG11),"-")</f>
        <v>5</v>
      </c>
      <c r="BE11" s="59">
        <f>IF(AND(K11&gt;0,AH11&gt;0),MIN(K11,AH11),"-")</f>
        <v>5</v>
      </c>
      <c r="BF11" s="59">
        <f>IF(AND(L11&gt;0,AI11&gt;0),MIN(L11,AI11),"-")</f>
        <v>5</v>
      </c>
      <c r="BG11" s="59">
        <f t="shared" si="8"/>
        <v>41</v>
      </c>
      <c r="BH11" s="59">
        <f>IF(AND(N11&gt;0,AK11&gt;0),MIN(N11,AK11),"-")</f>
        <v>7</v>
      </c>
      <c r="BI11" s="59">
        <f>IF(AND(O11&gt;0,AL11&gt;0),MIN(O11,AL11),"-")</f>
        <v>4</v>
      </c>
      <c r="BJ11" s="59">
        <f>IF(AND(P11&gt;0,AM11&gt;0),MIN(P11,AM11),"-")</f>
        <v>4</v>
      </c>
      <c r="BK11" s="59">
        <f>IF(AND(Q11&gt;0,AN11&gt;0),MIN(Q11,AN11),"-")</f>
        <v>6</v>
      </c>
      <c r="BL11" s="59">
        <f>IF(AND(R11&gt;0,AO11&gt;0),MIN(R11,AO11),"-")</f>
        <v>4</v>
      </c>
      <c r="BM11" s="59">
        <f>IF(AND(S11&gt;0,AP11&gt;0),MIN(S11,AP11),"-")</f>
        <v>5</v>
      </c>
      <c r="BN11" s="59">
        <f>IF(AND(T11&gt;0,AQ11&gt;0),MIN(T11,AQ11),"-")</f>
        <v>3</v>
      </c>
      <c r="BO11" s="59">
        <f>IF(AND(U11&gt;0,AR11&gt;0),MIN(U11,AR11),"-")</f>
        <v>5</v>
      </c>
      <c r="BP11" s="59">
        <f>IF(AND(V11&gt;0,AS11&gt;0),MIN(V11,AS11),"-")</f>
        <v>4</v>
      </c>
      <c r="BQ11" s="59">
        <f t="shared" si="9"/>
        <v>42</v>
      </c>
      <c r="BR11" s="59">
        <f t="shared" si="10"/>
        <v>41</v>
      </c>
      <c r="BS11" s="59">
        <f t="shared" si="11"/>
        <v>83</v>
      </c>
      <c r="BT11" s="98">
        <f>IF(ISNUMBER(BS11),BS11-(C11*Rules!$P$9/100),"-")</f>
        <v>78</v>
      </c>
      <c r="BU11" s="59">
        <f>RANK($BT11,$BT$5:$BT$106,1)+COUNTIF(BT$5:BT11,BT11)-1</f>
        <v>1</v>
      </c>
      <c r="BV11" s="59">
        <f t="shared" si="12"/>
        <v>1</v>
      </c>
      <c r="BW11" s="59" t="str">
        <f t="shared" si="13"/>
        <v>MELISSA PALMER</v>
      </c>
      <c r="BX11" s="59">
        <f t="shared" si="13"/>
        <v>20</v>
      </c>
      <c r="BY11" s="59">
        <f t="shared" si="14"/>
        <v>78</v>
      </c>
      <c r="CC11" s="4">
        <v>7</v>
      </c>
      <c r="CD11" s="2">
        <f>VLOOKUP(CC11,$BV$5:BY$215,1,FALSE)</f>
        <v>7</v>
      </c>
      <c r="CE11" s="6" t="str">
        <f>VLOOKUP(CC11,$BV$5:BY$215,2,FALSE)</f>
        <v>MELISSA SAVIO</v>
      </c>
      <c r="CF11" s="103">
        <f>VLOOKUP(CC11,$BV$5:BY$215,4,FALSE)</f>
        <v>85.25</v>
      </c>
      <c r="CL11" s="77">
        <v>1</v>
      </c>
    </row>
    <row r="12" spans="1:90" ht="17.45" customHeight="1">
      <c r="A12" s="58">
        <v>8</v>
      </c>
      <c r="B12" s="59" t="str">
        <f>'C Div'!A12 &amp; " " &amp; 'C Div'!B12</f>
        <v>MELISSA SAVIO</v>
      </c>
      <c r="C12" s="59">
        <f>'C Div'!E12</f>
        <v>27</v>
      </c>
      <c r="D12" s="60">
        <v>6</v>
      </c>
      <c r="E12" s="60">
        <v>3</v>
      </c>
      <c r="F12" s="60">
        <v>6</v>
      </c>
      <c r="G12" s="60">
        <v>5</v>
      </c>
      <c r="H12" s="60">
        <v>6</v>
      </c>
      <c r="I12" s="60">
        <v>6</v>
      </c>
      <c r="J12" s="60">
        <v>5</v>
      </c>
      <c r="K12" s="60">
        <v>5</v>
      </c>
      <c r="L12" s="60">
        <v>5</v>
      </c>
      <c r="M12" s="74">
        <f t="shared" si="0"/>
        <v>47</v>
      </c>
      <c r="N12" s="60">
        <v>7</v>
      </c>
      <c r="O12" s="60">
        <v>5</v>
      </c>
      <c r="P12" s="60">
        <v>4</v>
      </c>
      <c r="Q12" s="60">
        <v>7</v>
      </c>
      <c r="R12" s="60">
        <v>3</v>
      </c>
      <c r="S12" s="60">
        <v>7</v>
      </c>
      <c r="T12" s="60">
        <v>3</v>
      </c>
      <c r="U12" s="60">
        <v>6</v>
      </c>
      <c r="V12" s="60">
        <v>6</v>
      </c>
      <c r="W12" s="74">
        <f t="shared" si="1"/>
        <v>48</v>
      </c>
      <c r="X12" s="155">
        <f t="shared" si="2"/>
        <v>95</v>
      </c>
      <c r="Y12" s="156">
        <f t="shared" si="3"/>
        <v>68</v>
      </c>
      <c r="AA12" s="60">
        <v>5</v>
      </c>
      <c r="AB12" s="60">
        <v>3</v>
      </c>
      <c r="AC12" s="60">
        <v>6</v>
      </c>
      <c r="AD12" s="60">
        <v>6</v>
      </c>
      <c r="AE12" s="60">
        <v>6</v>
      </c>
      <c r="AF12" s="60">
        <v>4</v>
      </c>
      <c r="AG12" s="60">
        <v>7</v>
      </c>
      <c r="AH12" s="60">
        <v>5</v>
      </c>
      <c r="AI12" s="60">
        <v>5</v>
      </c>
      <c r="AJ12" s="74">
        <f t="shared" si="4"/>
        <v>47</v>
      </c>
      <c r="AK12" s="60">
        <v>7</v>
      </c>
      <c r="AL12" s="60">
        <v>6</v>
      </c>
      <c r="AM12" s="60">
        <v>4</v>
      </c>
      <c r="AN12" s="60">
        <v>7</v>
      </c>
      <c r="AO12" s="60">
        <v>4</v>
      </c>
      <c r="AP12" s="60">
        <v>7</v>
      </c>
      <c r="AQ12" s="60">
        <v>4</v>
      </c>
      <c r="AR12" s="60">
        <v>6</v>
      </c>
      <c r="AS12" s="60">
        <v>11</v>
      </c>
      <c r="AT12" s="74">
        <f t="shared" si="5"/>
        <v>56</v>
      </c>
      <c r="AU12" s="155">
        <f t="shared" si="6"/>
        <v>103</v>
      </c>
      <c r="AV12" s="156">
        <f t="shared" si="7"/>
        <v>76</v>
      </c>
      <c r="AX12" s="59">
        <f>IF(AND(D12&gt;0,AA12&gt;0),MIN(D12,AA12),"-")</f>
        <v>5</v>
      </c>
      <c r="AY12" s="59">
        <f>IF(AND(E12&gt;0,AB12&gt;0),MIN(E12,AB12),"-")</f>
        <v>3</v>
      </c>
      <c r="AZ12" s="59">
        <f>IF(AND(F12&gt;0,AC12&gt;0),MIN(F12,AC12),"-")</f>
        <v>6</v>
      </c>
      <c r="BA12" s="59">
        <f>IF(AND(G12&gt;0,AD12&gt;0),MIN(G12,AD12),"-")</f>
        <v>5</v>
      </c>
      <c r="BB12" s="59">
        <f>IF(AND(H12&gt;0,AE12&gt;0),MIN(H12,AE12),"-")</f>
        <v>6</v>
      </c>
      <c r="BC12" s="59">
        <f>IF(AND(I12&gt;0,AF12&gt;0),MIN(I12,AF12),"-")</f>
        <v>4</v>
      </c>
      <c r="BD12" s="59">
        <f>IF(AND(J12&gt;0,AG12&gt;0),MIN(J12,AG12),"-")</f>
        <v>5</v>
      </c>
      <c r="BE12" s="59">
        <f>IF(AND(K12&gt;0,AH12&gt;0),MIN(K12,AH12),"-")</f>
        <v>5</v>
      </c>
      <c r="BF12" s="59">
        <f>IF(AND(L12&gt;0,AI12&gt;0),MIN(L12,AI12),"-")</f>
        <v>5</v>
      </c>
      <c r="BG12" s="59">
        <f t="shared" si="8"/>
        <v>44</v>
      </c>
      <c r="BH12" s="59">
        <f>IF(AND(N12&gt;0,AK12&gt;0),MIN(N12,AK12),"-")</f>
        <v>7</v>
      </c>
      <c r="BI12" s="59">
        <f>IF(AND(O12&gt;0,AL12&gt;0),MIN(O12,AL12),"-")</f>
        <v>5</v>
      </c>
      <c r="BJ12" s="59">
        <f>IF(AND(P12&gt;0,AM12&gt;0),MIN(P12,AM12),"-")</f>
        <v>4</v>
      </c>
      <c r="BK12" s="59">
        <f>IF(AND(Q12&gt;0,AN12&gt;0),MIN(Q12,AN12),"-")</f>
        <v>7</v>
      </c>
      <c r="BL12" s="59">
        <f>IF(AND(R12&gt;0,AO12&gt;0),MIN(R12,AO12),"-")</f>
        <v>3</v>
      </c>
      <c r="BM12" s="59">
        <f>IF(AND(S12&gt;0,AP12&gt;0),MIN(S12,AP12),"-")</f>
        <v>7</v>
      </c>
      <c r="BN12" s="59">
        <f>IF(AND(T12&gt;0,AQ12&gt;0),MIN(T12,AQ12),"-")</f>
        <v>3</v>
      </c>
      <c r="BO12" s="59">
        <f>IF(AND(U12&gt;0,AR12&gt;0),MIN(U12,AR12),"-")</f>
        <v>6</v>
      </c>
      <c r="BP12" s="59">
        <f>IF(AND(V12&gt;0,AS12&gt;0),MIN(V12,AS12),"-")</f>
        <v>6</v>
      </c>
      <c r="BQ12" s="59">
        <f t="shared" si="9"/>
        <v>48</v>
      </c>
      <c r="BR12" s="59">
        <f t="shared" si="10"/>
        <v>44</v>
      </c>
      <c r="BS12" s="59">
        <f t="shared" si="11"/>
        <v>92</v>
      </c>
      <c r="BT12" s="98">
        <f>IF(ISNUMBER(BS12),BS12-(C12*Rules!$P$9/100),"-")</f>
        <v>85.25</v>
      </c>
      <c r="BU12" s="59">
        <f>RANK($BT12,$BT$5:$BT$106,1)+COUNTIF(BT$5:BT12,BT12)-1</f>
        <v>7</v>
      </c>
      <c r="BV12" s="59">
        <f t="shared" si="12"/>
        <v>7</v>
      </c>
      <c r="BW12" s="59" t="str">
        <f t="shared" si="13"/>
        <v>MELISSA SAVIO</v>
      </c>
      <c r="BX12" s="59">
        <f t="shared" si="13"/>
        <v>27</v>
      </c>
      <c r="BY12" s="59">
        <f t="shared" si="14"/>
        <v>85.25</v>
      </c>
      <c r="CC12" s="4">
        <v>8</v>
      </c>
      <c r="CD12" s="2">
        <f>VLOOKUP(CC12,$BV$5:BY$215,1,FALSE)</f>
        <v>8</v>
      </c>
      <c r="CE12" s="6" t="str">
        <f>VLOOKUP(CC12,$BV$5:BY$215,2,FALSE)</f>
        <v>PREM GOVENDER</v>
      </c>
      <c r="CF12" s="103">
        <f>VLOOKUP(CC12,$BV$5:BY$215,4,FALSE)</f>
        <v>86.5</v>
      </c>
      <c r="CL12" s="77">
        <v>1</v>
      </c>
    </row>
    <row r="13" spans="1:90" ht="17.45" customHeight="1">
      <c r="A13" s="58">
        <v>9</v>
      </c>
      <c r="B13" s="59" t="str">
        <f>'C Div'!A13 &amp; " " &amp; 'C Div'!B13</f>
        <v>GAIL SPEIRS</v>
      </c>
      <c r="C13" s="59">
        <f>'C Div'!E13</f>
        <v>20</v>
      </c>
      <c r="D13" s="60">
        <v>5</v>
      </c>
      <c r="E13" s="60">
        <v>4</v>
      </c>
      <c r="F13" s="60">
        <v>5</v>
      </c>
      <c r="G13" s="60">
        <v>5</v>
      </c>
      <c r="H13" s="60">
        <v>6</v>
      </c>
      <c r="I13" s="60">
        <v>4</v>
      </c>
      <c r="J13" s="60">
        <v>7</v>
      </c>
      <c r="K13" s="60">
        <v>6</v>
      </c>
      <c r="L13" s="60">
        <v>5</v>
      </c>
      <c r="M13" s="74">
        <f t="shared" si="0"/>
        <v>47</v>
      </c>
      <c r="N13" s="60">
        <v>6</v>
      </c>
      <c r="O13" s="60">
        <v>4</v>
      </c>
      <c r="P13" s="60">
        <v>7</v>
      </c>
      <c r="Q13" s="60">
        <v>6</v>
      </c>
      <c r="R13" s="60">
        <v>4</v>
      </c>
      <c r="S13" s="60">
        <v>5</v>
      </c>
      <c r="T13" s="60">
        <v>10</v>
      </c>
      <c r="U13" s="60">
        <v>7</v>
      </c>
      <c r="V13" s="60">
        <v>7</v>
      </c>
      <c r="W13" s="74">
        <f t="shared" si="1"/>
        <v>56</v>
      </c>
      <c r="X13" s="155">
        <f t="shared" si="2"/>
        <v>103</v>
      </c>
      <c r="Y13" s="156">
        <f t="shared" si="3"/>
        <v>83</v>
      </c>
      <c r="AA13" s="60">
        <v>5</v>
      </c>
      <c r="AB13" s="60">
        <v>5</v>
      </c>
      <c r="AC13" s="60">
        <v>5</v>
      </c>
      <c r="AD13" s="60">
        <v>5</v>
      </c>
      <c r="AE13" s="60">
        <v>6</v>
      </c>
      <c r="AF13" s="60">
        <v>5</v>
      </c>
      <c r="AG13" s="60">
        <v>4</v>
      </c>
      <c r="AH13" s="60">
        <v>5</v>
      </c>
      <c r="AI13" s="60">
        <v>6</v>
      </c>
      <c r="AJ13" s="74">
        <f t="shared" si="4"/>
        <v>46</v>
      </c>
      <c r="AK13" s="60">
        <v>8</v>
      </c>
      <c r="AL13" s="60">
        <v>5</v>
      </c>
      <c r="AM13" s="60">
        <v>3</v>
      </c>
      <c r="AN13" s="60">
        <v>5</v>
      </c>
      <c r="AO13" s="60">
        <v>4</v>
      </c>
      <c r="AP13" s="60">
        <v>6</v>
      </c>
      <c r="AQ13" s="60">
        <v>5</v>
      </c>
      <c r="AR13" s="60">
        <v>5</v>
      </c>
      <c r="AS13" s="60">
        <v>5</v>
      </c>
      <c r="AT13" s="74">
        <f t="shared" si="5"/>
        <v>46</v>
      </c>
      <c r="AU13" s="155">
        <f t="shared" si="6"/>
        <v>92</v>
      </c>
      <c r="AV13" s="156">
        <f t="shared" si="7"/>
        <v>72</v>
      </c>
      <c r="AX13" s="59">
        <f>IF(AND(D13&gt;0,AA13&gt;0),MIN(D13,AA13),"-")</f>
        <v>5</v>
      </c>
      <c r="AY13" s="59">
        <f>IF(AND(E13&gt;0,AB13&gt;0),MIN(E13,AB13),"-")</f>
        <v>4</v>
      </c>
      <c r="AZ13" s="59">
        <f>IF(AND(F13&gt;0,AC13&gt;0),MIN(F13,AC13),"-")</f>
        <v>5</v>
      </c>
      <c r="BA13" s="59">
        <f>IF(AND(G13&gt;0,AD13&gt;0),MIN(G13,AD13),"-")</f>
        <v>5</v>
      </c>
      <c r="BB13" s="59">
        <f>IF(AND(H13&gt;0,AE13&gt;0),MIN(H13,AE13),"-")</f>
        <v>6</v>
      </c>
      <c r="BC13" s="59">
        <f>IF(AND(I13&gt;0,AF13&gt;0),MIN(I13,AF13),"-")</f>
        <v>4</v>
      </c>
      <c r="BD13" s="59">
        <f>IF(AND(J13&gt;0,AG13&gt;0),MIN(J13,AG13),"-")</f>
        <v>4</v>
      </c>
      <c r="BE13" s="59">
        <f>IF(AND(K13&gt;0,AH13&gt;0),MIN(K13,AH13),"-")</f>
        <v>5</v>
      </c>
      <c r="BF13" s="59">
        <f>IF(AND(L13&gt;0,AI13&gt;0),MIN(L13,AI13),"-")</f>
        <v>5</v>
      </c>
      <c r="BG13" s="59">
        <f t="shared" si="8"/>
        <v>43</v>
      </c>
      <c r="BH13" s="59">
        <f>IF(AND(N13&gt;0,AK13&gt;0),MIN(N13,AK13),"-")</f>
        <v>6</v>
      </c>
      <c r="BI13" s="59">
        <f>IF(AND(O13&gt;0,AL13&gt;0),MIN(O13,AL13),"-")</f>
        <v>4</v>
      </c>
      <c r="BJ13" s="59">
        <f>IF(AND(P13&gt;0,AM13&gt;0),MIN(P13,AM13),"-")</f>
        <v>3</v>
      </c>
      <c r="BK13" s="59">
        <f>IF(AND(Q13&gt;0,AN13&gt;0),MIN(Q13,AN13),"-")</f>
        <v>5</v>
      </c>
      <c r="BL13" s="59">
        <f>IF(AND(R13&gt;0,AO13&gt;0),MIN(R13,AO13),"-")</f>
        <v>4</v>
      </c>
      <c r="BM13" s="59">
        <f>IF(AND(S13&gt;0,AP13&gt;0),MIN(S13,AP13),"-")</f>
        <v>5</v>
      </c>
      <c r="BN13" s="59">
        <f>IF(AND(T13&gt;0,AQ13&gt;0),MIN(T13,AQ13),"-")</f>
        <v>5</v>
      </c>
      <c r="BO13" s="59">
        <f>IF(AND(U13&gt;0,AR13&gt;0),MIN(U13,AR13),"-")</f>
        <v>5</v>
      </c>
      <c r="BP13" s="59">
        <f>IF(AND(V13&gt;0,AS13&gt;0),MIN(V13,AS13),"-")</f>
        <v>5</v>
      </c>
      <c r="BQ13" s="59">
        <f t="shared" si="9"/>
        <v>42</v>
      </c>
      <c r="BR13" s="59">
        <f t="shared" si="10"/>
        <v>43</v>
      </c>
      <c r="BS13" s="59">
        <f t="shared" si="11"/>
        <v>85</v>
      </c>
      <c r="BT13" s="98">
        <f>IF(ISNUMBER(BS13),BS13-(C13*Rules!$P$9/100),"-")</f>
        <v>80</v>
      </c>
      <c r="BU13" s="59">
        <f>RANK($BT13,$BT$5:$BT$106,1)+COUNTIF(BT$5:BT13,BT13)-1</f>
        <v>2</v>
      </c>
      <c r="BV13" s="59">
        <f t="shared" si="12"/>
        <v>2</v>
      </c>
      <c r="BW13" s="59" t="str">
        <f t="shared" si="13"/>
        <v>GAIL SPEIRS</v>
      </c>
      <c r="BX13" s="59">
        <f t="shared" si="13"/>
        <v>20</v>
      </c>
      <c r="BY13" s="59">
        <f t="shared" si="14"/>
        <v>80</v>
      </c>
      <c r="CC13" s="4">
        <v>9</v>
      </c>
      <c r="CD13" s="2">
        <f>VLOOKUP(CC13,$BV$5:BY$215,1,FALSE)</f>
        <v>9</v>
      </c>
      <c r="CE13" s="6" t="str">
        <f>VLOOKUP(CC13,$BV$5:BY$215,2,FALSE)</f>
        <v>ANGELA MASEFIELD</v>
      </c>
      <c r="CF13" s="103">
        <f>VLOOKUP(CC13,$BV$5:BY$215,4,FALSE)</f>
        <v>87.5</v>
      </c>
      <c r="CL13" s="77">
        <v>1</v>
      </c>
    </row>
    <row r="14" spans="1:90" ht="17.45" customHeight="1">
      <c r="A14" s="58">
        <v>10</v>
      </c>
      <c r="B14" s="59" t="str">
        <f>'C Div'!A14 &amp; " " &amp; 'C Div'!B14</f>
        <v>KAREN STOTT</v>
      </c>
      <c r="C14" s="59">
        <f>'C Div'!E14</f>
        <v>20</v>
      </c>
      <c r="D14" s="60">
        <v>5</v>
      </c>
      <c r="E14" s="60">
        <v>3</v>
      </c>
      <c r="F14" s="60">
        <v>6</v>
      </c>
      <c r="G14" s="60">
        <v>5</v>
      </c>
      <c r="H14" s="60">
        <v>6</v>
      </c>
      <c r="I14" s="60">
        <v>3</v>
      </c>
      <c r="J14" s="60">
        <v>5</v>
      </c>
      <c r="K14" s="60">
        <v>5</v>
      </c>
      <c r="L14" s="60">
        <v>5</v>
      </c>
      <c r="M14" s="74">
        <f t="shared" si="0"/>
        <v>43</v>
      </c>
      <c r="N14" s="60">
        <v>6</v>
      </c>
      <c r="O14" s="60">
        <v>5</v>
      </c>
      <c r="P14" s="60">
        <v>5</v>
      </c>
      <c r="Q14" s="60">
        <v>6</v>
      </c>
      <c r="R14" s="60">
        <v>3</v>
      </c>
      <c r="S14" s="60">
        <v>6</v>
      </c>
      <c r="T14" s="60">
        <v>5</v>
      </c>
      <c r="U14" s="60">
        <v>6</v>
      </c>
      <c r="V14" s="60">
        <v>8</v>
      </c>
      <c r="W14" s="74">
        <f t="shared" si="1"/>
        <v>50</v>
      </c>
      <c r="X14" s="155">
        <f t="shared" si="2"/>
        <v>93</v>
      </c>
      <c r="Y14" s="156">
        <f t="shared" si="3"/>
        <v>73</v>
      </c>
      <c r="AA14" s="60">
        <v>7</v>
      </c>
      <c r="AB14" s="60">
        <v>4</v>
      </c>
      <c r="AC14" s="60">
        <v>5</v>
      </c>
      <c r="AD14" s="60">
        <v>5</v>
      </c>
      <c r="AE14" s="60">
        <v>6</v>
      </c>
      <c r="AF14" s="60">
        <v>3</v>
      </c>
      <c r="AG14" s="60">
        <v>6</v>
      </c>
      <c r="AH14" s="60">
        <v>5</v>
      </c>
      <c r="AI14" s="60">
        <v>5</v>
      </c>
      <c r="AJ14" s="74">
        <f t="shared" si="4"/>
        <v>46</v>
      </c>
      <c r="AK14" s="60">
        <v>5</v>
      </c>
      <c r="AL14" s="60">
        <v>5</v>
      </c>
      <c r="AM14" s="60">
        <v>4</v>
      </c>
      <c r="AN14" s="60">
        <v>6</v>
      </c>
      <c r="AO14" s="60">
        <v>4</v>
      </c>
      <c r="AP14" s="60">
        <v>8</v>
      </c>
      <c r="AQ14" s="60">
        <v>5</v>
      </c>
      <c r="AR14" s="60">
        <v>6</v>
      </c>
      <c r="AS14" s="60">
        <v>5</v>
      </c>
      <c r="AT14" s="74">
        <f t="shared" si="5"/>
        <v>48</v>
      </c>
      <c r="AU14" s="155">
        <f t="shared" si="6"/>
        <v>94</v>
      </c>
      <c r="AV14" s="156">
        <f t="shared" si="7"/>
        <v>74</v>
      </c>
      <c r="AX14" s="59">
        <f>IF(AND(D14&gt;0,AA14&gt;0),MIN(D14,AA14),"-")</f>
        <v>5</v>
      </c>
      <c r="AY14" s="59">
        <f>IF(AND(E14&gt;0,AB14&gt;0),MIN(E14,AB14),"-")</f>
        <v>3</v>
      </c>
      <c r="AZ14" s="59">
        <f>IF(AND(F14&gt;0,AC14&gt;0),MIN(F14,AC14),"-")</f>
        <v>5</v>
      </c>
      <c r="BA14" s="59">
        <f>IF(AND(G14&gt;0,AD14&gt;0),MIN(G14,AD14),"-")</f>
        <v>5</v>
      </c>
      <c r="BB14" s="59">
        <f>IF(AND(H14&gt;0,AE14&gt;0),MIN(H14,AE14),"-")</f>
        <v>6</v>
      </c>
      <c r="BC14" s="59">
        <f>IF(AND(I14&gt;0,AF14&gt;0),MIN(I14,AF14),"-")</f>
        <v>3</v>
      </c>
      <c r="BD14" s="59">
        <f>IF(AND(J14&gt;0,AG14&gt;0),MIN(J14,AG14),"-")</f>
        <v>5</v>
      </c>
      <c r="BE14" s="59">
        <f>IF(AND(K14&gt;0,AH14&gt;0),MIN(K14,AH14),"-")</f>
        <v>5</v>
      </c>
      <c r="BF14" s="59">
        <f>IF(AND(L14&gt;0,AI14&gt;0),MIN(L14,AI14),"-")</f>
        <v>5</v>
      </c>
      <c r="BG14" s="59">
        <f t="shared" si="8"/>
        <v>42</v>
      </c>
      <c r="BH14" s="59">
        <f>IF(AND(N14&gt;0,AK14&gt;0),MIN(N14,AK14),"-")</f>
        <v>5</v>
      </c>
      <c r="BI14" s="59">
        <f>IF(AND(O14&gt;0,AL14&gt;0),MIN(O14,AL14),"-")</f>
        <v>5</v>
      </c>
      <c r="BJ14" s="59">
        <f>IF(AND(P14&gt;0,AM14&gt;0),MIN(P14,AM14),"-")</f>
        <v>4</v>
      </c>
      <c r="BK14" s="59">
        <f>IF(AND(Q14&gt;0,AN14&gt;0),MIN(Q14,AN14),"-")</f>
        <v>6</v>
      </c>
      <c r="BL14" s="59">
        <f>IF(AND(R14&gt;0,AO14&gt;0),MIN(R14,AO14),"-")</f>
        <v>3</v>
      </c>
      <c r="BM14" s="59">
        <f>IF(AND(S14&gt;0,AP14&gt;0),MIN(S14,AP14),"-")</f>
        <v>6</v>
      </c>
      <c r="BN14" s="59">
        <f>IF(AND(T14&gt;0,AQ14&gt;0),MIN(T14,AQ14),"-")</f>
        <v>5</v>
      </c>
      <c r="BO14" s="59">
        <f>IF(AND(U14&gt;0,AR14&gt;0),MIN(U14,AR14),"-")</f>
        <v>6</v>
      </c>
      <c r="BP14" s="59">
        <f>IF(AND(V14&gt;0,AS14&gt;0),MIN(V14,AS14),"-")</f>
        <v>5</v>
      </c>
      <c r="BQ14" s="59">
        <f t="shared" si="9"/>
        <v>45</v>
      </c>
      <c r="BR14" s="59">
        <f t="shared" si="10"/>
        <v>42</v>
      </c>
      <c r="BS14" s="59">
        <f t="shared" si="11"/>
        <v>87</v>
      </c>
      <c r="BT14" s="98">
        <f>IF(ISNUMBER(BS14),BS14-(C14*Rules!$P$9/100),"-")</f>
        <v>82</v>
      </c>
      <c r="BU14" s="59">
        <f>RANK($BT14,$BT$5:$BT$106,1)+COUNTIF(BT$5:BT14,BT14)-1</f>
        <v>5</v>
      </c>
      <c r="BV14" s="59">
        <f t="shared" si="12"/>
        <v>5</v>
      </c>
      <c r="BW14" s="59" t="str">
        <f t="shared" si="13"/>
        <v>KAREN STOTT</v>
      </c>
      <c r="BX14" s="59">
        <f t="shared" si="13"/>
        <v>20</v>
      </c>
      <c r="BY14" s="59">
        <f t="shared" si="14"/>
        <v>82</v>
      </c>
      <c r="CC14" s="4">
        <v>10</v>
      </c>
      <c r="CD14" s="2">
        <f>VLOOKUP(CC14,$BV$5:BY$215,1,FALSE)</f>
        <v>10</v>
      </c>
      <c r="CE14" s="6" t="str">
        <f>VLOOKUP(CC14,$BV$5:BY$215,2,FALSE)</f>
        <v>SHAY BROEDELET</v>
      </c>
      <c r="CF14" s="103">
        <f>VLOOKUP(CC14,$BV$5:BY$215,4,FALSE)</f>
        <v>88</v>
      </c>
      <c r="CL14" s="77">
        <v>1</v>
      </c>
    </row>
    <row r="15" spans="1:90" ht="17.45" customHeight="1">
      <c r="A15" s="58">
        <v>11</v>
      </c>
      <c r="B15" s="59" t="str">
        <f>'C Div'!A15 &amp; " " &amp; 'C Div'!B15</f>
        <v>JUDY VAN DER VEEN</v>
      </c>
      <c r="C15" s="59">
        <f>'C Div'!E15</f>
        <v>22</v>
      </c>
      <c r="D15" s="60">
        <v>5</v>
      </c>
      <c r="E15" s="60">
        <v>4</v>
      </c>
      <c r="F15" s="60">
        <v>5</v>
      </c>
      <c r="G15" s="60">
        <v>7</v>
      </c>
      <c r="H15" s="60">
        <v>5</v>
      </c>
      <c r="I15" s="60">
        <v>4</v>
      </c>
      <c r="J15" s="60">
        <v>6</v>
      </c>
      <c r="K15" s="60">
        <v>5</v>
      </c>
      <c r="L15" s="60">
        <v>4</v>
      </c>
      <c r="M15" s="74">
        <f t="shared" si="0"/>
        <v>45</v>
      </c>
      <c r="N15" s="60">
        <v>7</v>
      </c>
      <c r="O15" s="60">
        <v>5</v>
      </c>
      <c r="P15" s="60">
        <v>4</v>
      </c>
      <c r="Q15" s="60">
        <v>6</v>
      </c>
      <c r="R15" s="60">
        <v>5</v>
      </c>
      <c r="S15" s="60">
        <v>6</v>
      </c>
      <c r="T15" s="60">
        <v>6</v>
      </c>
      <c r="U15" s="60">
        <v>6</v>
      </c>
      <c r="V15" s="60">
        <v>5</v>
      </c>
      <c r="W15" s="74">
        <f t="shared" si="1"/>
        <v>50</v>
      </c>
      <c r="X15" s="155">
        <f t="shared" si="2"/>
        <v>95</v>
      </c>
      <c r="Y15" s="156">
        <f t="shared" si="3"/>
        <v>73</v>
      </c>
      <c r="AA15" s="60">
        <v>5</v>
      </c>
      <c r="AB15" s="60">
        <v>3</v>
      </c>
      <c r="AC15" s="60">
        <v>7</v>
      </c>
      <c r="AD15" s="60">
        <v>5</v>
      </c>
      <c r="AE15" s="60">
        <v>6</v>
      </c>
      <c r="AF15" s="60">
        <v>3</v>
      </c>
      <c r="AG15" s="60">
        <v>7</v>
      </c>
      <c r="AH15" s="60">
        <v>6</v>
      </c>
      <c r="AI15" s="60">
        <v>5</v>
      </c>
      <c r="AJ15" s="74">
        <f t="shared" si="4"/>
        <v>47</v>
      </c>
      <c r="AK15" s="60">
        <v>7</v>
      </c>
      <c r="AL15" s="60">
        <v>5</v>
      </c>
      <c r="AM15" s="60">
        <v>5</v>
      </c>
      <c r="AN15" s="60">
        <v>5</v>
      </c>
      <c r="AO15" s="60">
        <v>3</v>
      </c>
      <c r="AP15" s="60">
        <v>5</v>
      </c>
      <c r="AQ15" s="60">
        <v>5</v>
      </c>
      <c r="AR15" s="60">
        <v>7</v>
      </c>
      <c r="AS15" s="60">
        <v>6</v>
      </c>
      <c r="AT15" s="74">
        <f t="shared" si="5"/>
        <v>48</v>
      </c>
      <c r="AU15" s="155">
        <f t="shared" si="6"/>
        <v>95</v>
      </c>
      <c r="AV15" s="156">
        <f t="shared" si="7"/>
        <v>73</v>
      </c>
      <c r="AX15" s="59">
        <f>IF(AND(D15&gt;0,AA15&gt;0),MIN(D15,AA15),"-")</f>
        <v>5</v>
      </c>
      <c r="AY15" s="59">
        <f>IF(AND(E15&gt;0,AB15&gt;0),MIN(E15,AB15),"-")</f>
        <v>3</v>
      </c>
      <c r="AZ15" s="59">
        <f>IF(AND(F15&gt;0,AC15&gt;0),MIN(F15,AC15),"-")</f>
        <v>5</v>
      </c>
      <c r="BA15" s="59">
        <f>IF(AND(G15&gt;0,AD15&gt;0),MIN(G15,AD15),"-")</f>
        <v>5</v>
      </c>
      <c r="BB15" s="59">
        <f>IF(AND(H15&gt;0,AE15&gt;0),MIN(H15,AE15),"-")</f>
        <v>5</v>
      </c>
      <c r="BC15" s="59">
        <f>IF(AND(I15&gt;0,AF15&gt;0),MIN(I15,AF15),"-")</f>
        <v>3</v>
      </c>
      <c r="BD15" s="59">
        <f>IF(AND(J15&gt;0,AG15&gt;0),MIN(J15,AG15),"-")</f>
        <v>6</v>
      </c>
      <c r="BE15" s="59">
        <f>IF(AND(K15&gt;0,AH15&gt;0),MIN(K15,AH15),"-")</f>
        <v>5</v>
      </c>
      <c r="BF15" s="59">
        <f>IF(AND(L15&gt;0,AI15&gt;0),MIN(L15,AI15),"-")</f>
        <v>4</v>
      </c>
      <c r="BG15" s="59">
        <f t="shared" si="8"/>
        <v>41</v>
      </c>
      <c r="BH15" s="59">
        <f>IF(AND(N15&gt;0,AK15&gt;0),MIN(N15,AK15),"-")</f>
        <v>7</v>
      </c>
      <c r="BI15" s="59">
        <f>IF(AND(O15&gt;0,AL15&gt;0),MIN(O15,AL15),"-")</f>
        <v>5</v>
      </c>
      <c r="BJ15" s="59">
        <f>IF(AND(P15&gt;0,AM15&gt;0),MIN(P15,AM15),"-")</f>
        <v>4</v>
      </c>
      <c r="BK15" s="59">
        <f>IF(AND(Q15&gt;0,AN15&gt;0),MIN(Q15,AN15),"-")</f>
        <v>5</v>
      </c>
      <c r="BL15" s="59">
        <f>IF(AND(R15&gt;0,AO15&gt;0),MIN(R15,AO15),"-")</f>
        <v>3</v>
      </c>
      <c r="BM15" s="59">
        <f>IF(AND(S15&gt;0,AP15&gt;0),MIN(S15,AP15),"-")</f>
        <v>5</v>
      </c>
      <c r="BN15" s="59">
        <f>IF(AND(T15&gt;0,AQ15&gt;0),MIN(T15,AQ15),"-")</f>
        <v>5</v>
      </c>
      <c r="BO15" s="59">
        <f>IF(AND(U15&gt;0,AR15&gt;0),MIN(U15,AR15),"-")</f>
        <v>6</v>
      </c>
      <c r="BP15" s="59">
        <f>IF(AND(V15&gt;0,AS15&gt;0),MIN(V15,AS15),"-")</f>
        <v>5</v>
      </c>
      <c r="BQ15" s="59">
        <f t="shared" si="9"/>
        <v>45</v>
      </c>
      <c r="BR15" s="59">
        <f t="shared" si="10"/>
        <v>41</v>
      </c>
      <c r="BS15" s="59">
        <f t="shared" si="11"/>
        <v>86</v>
      </c>
      <c r="BT15" s="98">
        <f>IF(ISNUMBER(BS15),BS15-(C15*Rules!$P$9/100),"-")</f>
        <v>80.5</v>
      </c>
      <c r="BU15" s="59">
        <f>RANK($BT15,$BT$5:$BT$106,1)+COUNTIF(BT$5:BT15,BT15)-1</f>
        <v>3</v>
      </c>
      <c r="BV15" s="59">
        <f t="shared" si="12"/>
        <v>3</v>
      </c>
      <c r="BW15" s="59" t="str">
        <f t="shared" si="13"/>
        <v>JUDY VAN DER VEEN</v>
      </c>
      <c r="BX15" s="59">
        <f t="shared" si="13"/>
        <v>22</v>
      </c>
      <c r="BY15" s="59">
        <f t="shared" si="14"/>
        <v>80.5</v>
      </c>
      <c r="CC15" s="4">
        <v>11</v>
      </c>
      <c r="CD15" s="2">
        <f>VLOOKUP(CC15,$BV$5:BY$215,1,FALSE)</f>
        <v>11</v>
      </c>
      <c r="CE15" s="6" t="str">
        <f>VLOOKUP(CC15,$BV$5:BY$215,2,FALSE)</f>
        <v>RENE LADELL</v>
      </c>
      <c r="CF15" s="103">
        <f>VLOOKUP(CC15,$BV$5:BY$215,4,FALSE)</f>
        <v>97</v>
      </c>
      <c r="CL15" s="77">
        <v>1</v>
      </c>
    </row>
    <row r="16" spans="1:90" ht="17.45" customHeight="1">
      <c r="A16" s="58">
        <v>12</v>
      </c>
      <c r="B16" s="59" t="str">
        <f>'C Div'!A16 &amp; " " &amp; 'C Div'!B16</f>
        <v xml:space="preserve"> </v>
      </c>
      <c r="C16" s="59" t="str">
        <f>'C Div'!E16</f>
        <v>-</v>
      </c>
      <c r="D16" s="60"/>
      <c r="E16" s="60"/>
      <c r="F16" s="60"/>
      <c r="G16" s="60"/>
      <c r="H16" s="60"/>
      <c r="I16" s="60"/>
      <c r="J16" s="60"/>
      <c r="K16" s="60"/>
      <c r="L16" s="60"/>
      <c r="M16" s="74" t="str">
        <f t="shared" si="0"/>
        <v>-</v>
      </c>
      <c r="N16" s="159"/>
      <c r="O16" s="159"/>
      <c r="P16" s="159"/>
      <c r="Q16" s="159"/>
      <c r="R16" s="159"/>
      <c r="S16" s="159"/>
      <c r="T16" s="159"/>
      <c r="U16" s="159"/>
      <c r="V16" s="159"/>
      <c r="W16" s="74" t="str">
        <f t="shared" si="1"/>
        <v>-</v>
      </c>
      <c r="X16" s="155" t="str">
        <f t="shared" si="2"/>
        <v>-</v>
      </c>
      <c r="Y16" s="156" t="str">
        <f t="shared" si="3"/>
        <v>-</v>
      </c>
      <c r="AA16" s="60"/>
      <c r="AB16" s="60"/>
      <c r="AC16" s="60"/>
      <c r="AD16" s="60"/>
      <c r="AE16" s="60"/>
      <c r="AF16" s="60"/>
      <c r="AG16" s="60"/>
      <c r="AH16" s="60"/>
      <c r="AI16" s="60"/>
      <c r="AJ16" s="74" t="str">
        <f t="shared" si="4"/>
        <v>-</v>
      </c>
      <c r="AK16" s="60"/>
      <c r="AL16" s="60"/>
      <c r="AM16" s="60"/>
      <c r="AN16" s="60"/>
      <c r="AO16" s="60"/>
      <c r="AP16" s="60"/>
      <c r="AQ16" s="60"/>
      <c r="AR16" s="60"/>
      <c r="AS16" s="60"/>
      <c r="AT16" s="74" t="str">
        <f t="shared" si="5"/>
        <v>-</v>
      </c>
      <c r="AU16" s="155" t="str">
        <f t="shared" si="6"/>
        <v>-</v>
      </c>
      <c r="AV16" s="156" t="str">
        <f t="shared" si="7"/>
        <v>-</v>
      </c>
      <c r="AX16" s="59" t="str">
        <f>IF(AND(D16&gt;0,AA16&gt;0),MIN(D16,AA16),"-")</f>
        <v>-</v>
      </c>
      <c r="AY16" s="59" t="str">
        <f>IF(AND(E16&gt;0,AB16&gt;0),MIN(E16,AB16),"-")</f>
        <v>-</v>
      </c>
      <c r="AZ16" s="59" t="str">
        <f>IF(AND(F16&gt;0,AC16&gt;0),MIN(F16,AC16),"-")</f>
        <v>-</v>
      </c>
      <c r="BA16" s="59" t="str">
        <f>IF(AND(G16&gt;0,AD16&gt;0),MIN(G16,AD16),"-")</f>
        <v>-</v>
      </c>
      <c r="BB16" s="59" t="str">
        <f>IF(AND(H16&gt;0,AE16&gt;0),MIN(H16,AE16),"-")</f>
        <v>-</v>
      </c>
      <c r="BC16" s="59" t="str">
        <f>IF(AND(I16&gt;0,AF16&gt;0),MIN(I16,AF16),"-")</f>
        <v>-</v>
      </c>
      <c r="BD16" s="59" t="str">
        <f>IF(AND(J16&gt;0,AG16&gt;0),MIN(J16,AG16),"-")</f>
        <v>-</v>
      </c>
      <c r="BE16" s="59" t="str">
        <f>IF(AND(K16&gt;0,AH16&gt;0),MIN(K16,AH16),"-")</f>
        <v>-</v>
      </c>
      <c r="BF16" s="59" t="str">
        <f>IF(AND(L16&gt;0,AI16&gt;0),MIN(L16,AI16),"-")</f>
        <v>-</v>
      </c>
      <c r="BG16" s="59" t="str">
        <f t="shared" si="8"/>
        <v>-</v>
      </c>
      <c r="BH16" s="59" t="str">
        <f>IF(AND(N16&gt;0,AK16&gt;0),MIN(N16,AK16),"-")</f>
        <v>-</v>
      </c>
      <c r="BI16" s="59" t="str">
        <f>IF(AND(O16&gt;0,AL16&gt;0),MIN(O16,AL16),"-")</f>
        <v>-</v>
      </c>
      <c r="BJ16" s="59" t="str">
        <f>IF(AND(P16&gt;0,AM16&gt;0),MIN(P16,AM16),"-")</f>
        <v>-</v>
      </c>
      <c r="BK16" s="59" t="str">
        <f>IF(AND(Q16&gt;0,AN16&gt;0),MIN(Q16,AN16),"-")</f>
        <v>-</v>
      </c>
      <c r="BL16" s="59" t="str">
        <f>IF(AND(R16&gt;0,AO16&gt;0),MIN(R16,AO16),"-")</f>
        <v>-</v>
      </c>
      <c r="BM16" s="59" t="str">
        <f>IF(AND(S16&gt;0,AP16&gt;0),MIN(S16,AP16),"-")</f>
        <v>-</v>
      </c>
      <c r="BN16" s="59" t="str">
        <f>IF(AND(T16&gt;0,AQ16&gt;0),MIN(T16,AQ16),"-")</f>
        <v>-</v>
      </c>
      <c r="BO16" s="59" t="str">
        <f>IF(AND(U16&gt;0,AR16&gt;0),MIN(U16,AR16),"-")</f>
        <v>-</v>
      </c>
      <c r="BP16" s="59" t="str">
        <f>IF(AND(V16&gt;0,AS16&gt;0),MIN(V16,AS16),"-")</f>
        <v>-</v>
      </c>
      <c r="BQ16" s="59" t="str">
        <f t="shared" si="9"/>
        <v>-</v>
      </c>
      <c r="BR16" s="59" t="str">
        <f t="shared" si="10"/>
        <v>-</v>
      </c>
      <c r="BS16" s="59" t="str">
        <f t="shared" si="11"/>
        <v>-</v>
      </c>
      <c r="BT16" s="98" t="str">
        <f>IF(ISNUMBER(BS16),BS16-(C16*Rules!$P$9/100),"-")</f>
        <v>-</v>
      </c>
      <c r="BU16" s="59" t="e">
        <f>RANK($BT16,$BT$5:$BT$106,1)+COUNTIF(BT$5:BT16,BT16)-1</f>
        <v>#VALUE!</v>
      </c>
      <c r="BV16" s="59" t="e">
        <f t="shared" si="12"/>
        <v>#VALUE!</v>
      </c>
      <c r="BW16" s="59" t="str">
        <f t="shared" si="13"/>
        <v xml:space="preserve"> </v>
      </c>
      <c r="BX16" s="59" t="str">
        <f t="shared" si="13"/>
        <v>-</v>
      </c>
      <c r="BY16" s="59" t="str">
        <f t="shared" si="14"/>
        <v>-</v>
      </c>
      <c r="CC16" s="4">
        <v>12</v>
      </c>
      <c r="CD16" s="2" t="e">
        <f>VLOOKUP(CC16,$BV$5:BY$215,1,FALSE)</f>
        <v>#N/A</v>
      </c>
      <c r="CE16" s="6" t="e">
        <f>VLOOKUP(CC16,$BV$5:BY$215,2,FALSE)</f>
        <v>#N/A</v>
      </c>
      <c r="CF16" s="103" t="e">
        <f>VLOOKUP(CC16,$BV$5:BY$215,4,FALSE)</f>
        <v>#N/A</v>
      </c>
      <c r="CL16" s="77">
        <v>1</v>
      </c>
    </row>
    <row r="17" spans="1:90" ht="17.45" customHeight="1">
      <c r="A17" s="58">
        <v>13</v>
      </c>
      <c r="B17" s="59" t="str">
        <f>'C Div'!A17 &amp; " " &amp; 'C Div'!B17</f>
        <v xml:space="preserve"> </v>
      </c>
      <c r="C17" s="59" t="str">
        <f>'C Div'!E17</f>
        <v>-</v>
      </c>
      <c r="D17" s="60"/>
      <c r="E17" s="60"/>
      <c r="F17" s="60"/>
      <c r="G17" s="60"/>
      <c r="H17" s="60"/>
      <c r="I17" s="60"/>
      <c r="J17" s="60"/>
      <c r="K17" s="60"/>
      <c r="L17" s="60"/>
      <c r="M17" s="74" t="str">
        <f t="shared" si="0"/>
        <v>-</v>
      </c>
      <c r="N17" s="60"/>
      <c r="O17" s="60"/>
      <c r="P17" s="60"/>
      <c r="Q17" s="60"/>
      <c r="R17" s="60"/>
      <c r="S17" s="60"/>
      <c r="T17" s="60"/>
      <c r="U17" s="60"/>
      <c r="V17" s="60"/>
      <c r="W17" s="74" t="str">
        <f t="shared" si="1"/>
        <v>-</v>
      </c>
      <c r="X17" s="155" t="str">
        <f t="shared" si="2"/>
        <v>-</v>
      </c>
      <c r="Y17" s="156" t="str">
        <f t="shared" si="3"/>
        <v>-</v>
      </c>
      <c r="AA17" s="60"/>
      <c r="AB17" s="60"/>
      <c r="AC17" s="60"/>
      <c r="AD17" s="60"/>
      <c r="AE17" s="60"/>
      <c r="AF17" s="60"/>
      <c r="AG17" s="60"/>
      <c r="AH17" s="60"/>
      <c r="AI17" s="60"/>
      <c r="AJ17" s="74" t="str">
        <f t="shared" si="4"/>
        <v>-</v>
      </c>
      <c r="AK17" s="60"/>
      <c r="AL17" s="60"/>
      <c r="AM17" s="60"/>
      <c r="AN17" s="60"/>
      <c r="AO17" s="60"/>
      <c r="AP17" s="60"/>
      <c r="AQ17" s="60"/>
      <c r="AR17" s="60"/>
      <c r="AS17" s="60"/>
      <c r="AT17" s="74" t="str">
        <f t="shared" si="5"/>
        <v>-</v>
      </c>
      <c r="AU17" s="155" t="str">
        <f t="shared" si="6"/>
        <v>-</v>
      </c>
      <c r="AV17" s="156" t="str">
        <f t="shared" si="7"/>
        <v>-</v>
      </c>
      <c r="AX17" s="59" t="str">
        <f>IF(AND(D17&gt;0,AA17&gt;0),MIN(D17,AA17),"-")</f>
        <v>-</v>
      </c>
      <c r="AY17" s="59" t="str">
        <f>IF(AND(E17&gt;0,AB17&gt;0),MIN(E17,AB17),"-")</f>
        <v>-</v>
      </c>
      <c r="AZ17" s="59" t="str">
        <f>IF(AND(F17&gt;0,AC17&gt;0),MIN(F17,AC17),"-")</f>
        <v>-</v>
      </c>
      <c r="BA17" s="59" t="str">
        <f>IF(AND(G17&gt;0,AD17&gt;0),MIN(G17,AD17),"-")</f>
        <v>-</v>
      </c>
      <c r="BB17" s="59" t="str">
        <f>IF(AND(H17&gt;0,AE17&gt;0),MIN(H17,AE17),"-")</f>
        <v>-</v>
      </c>
      <c r="BC17" s="59" t="str">
        <f>IF(AND(I17&gt;0,AF17&gt;0),MIN(I17,AF17),"-")</f>
        <v>-</v>
      </c>
      <c r="BD17" s="59" t="str">
        <f>IF(AND(J17&gt;0,AG17&gt;0),MIN(J17,AG17),"-")</f>
        <v>-</v>
      </c>
      <c r="BE17" s="59" t="str">
        <f>IF(AND(K17&gt;0,AH17&gt;0),MIN(K17,AH17),"-")</f>
        <v>-</v>
      </c>
      <c r="BF17" s="59" t="str">
        <f>IF(AND(L17&gt;0,AI17&gt;0),MIN(L17,AI17),"-")</f>
        <v>-</v>
      </c>
      <c r="BG17" s="59" t="str">
        <f t="shared" si="8"/>
        <v>-</v>
      </c>
      <c r="BH17" s="59" t="str">
        <f>IF(AND(N17&gt;0,AK17&gt;0),MIN(N17,AK17),"-")</f>
        <v>-</v>
      </c>
      <c r="BI17" s="59" t="str">
        <f>IF(AND(O17&gt;0,AL17&gt;0),MIN(O17,AL17),"-")</f>
        <v>-</v>
      </c>
      <c r="BJ17" s="59" t="str">
        <f>IF(AND(P17&gt;0,AM17&gt;0),MIN(P17,AM17),"-")</f>
        <v>-</v>
      </c>
      <c r="BK17" s="59" t="str">
        <f>IF(AND(Q17&gt;0,AN17&gt;0),MIN(Q17,AN17),"-")</f>
        <v>-</v>
      </c>
      <c r="BL17" s="59" t="str">
        <f>IF(AND(R17&gt;0,AO17&gt;0),MIN(R17,AO17),"-")</f>
        <v>-</v>
      </c>
      <c r="BM17" s="59" t="str">
        <f>IF(AND(S17&gt;0,AP17&gt;0),MIN(S17,AP17),"-")</f>
        <v>-</v>
      </c>
      <c r="BN17" s="59" t="str">
        <f>IF(AND(T17&gt;0,AQ17&gt;0),MIN(T17,AQ17),"-")</f>
        <v>-</v>
      </c>
      <c r="BO17" s="59" t="str">
        <f>IF(AND(U17&gt;0,AR17&gt;0),MIN(U17,AR17),"-")</f>
        <v>-</v>
      </c>
      <c r="BP17" s="59" t="str">
        <f>IF(AND(V17&gt;0,AS17&gt;0),MIN(V17,AS17),"-")</f>
        <v>-</v>
      </c>
      <c r="BQ17" s="59" t="str">
        <f t="shared" si="9"/>
        <v>-</v>
      </c>
      <c r="BR17" s="59" t="str">
        <f t="shared" si="10"/>
        <v>-</v>
      </c>
      <c r="BS17" s="59" t="str">
        <f t="shared" si="11"/>
        <v>-</v>
      </c>
      <c r="BT17" s="98" t="str">
        <f>IF(ISNUMBER(BS17),BS17-(C17*Rules!$P$9/100),"-")</f>
        <v>-</v>
      </c>
      <c r="BU17" s="59" t="e">
        <f>RANK($BT17,$BT$5:$BT$106,1)+COUNTIF(BT$5:BT17,BT17)-1</f>
        <v>#VALUE!</v>
      </c>
      <c r="BV17" s="59" t="e">
        <f t="shared" si="12"/>
        <v>#VALUE!</v>
      </c>
      <c r="BW17" s="59" t="str">
        <f t="shared" si="13"/>
        <v xml:space="preserve"> </v>
      </c>
      <c r="BX17" s="59" t="str">
        <f t="shared" si="13"/>
        <v>-</v>
      </c>
      <c r="BY17" s="59" t="str">
        <f t="shared" si="14"/>
        <v>-</v>
      </c>
      <c r="CC17" s="4">
        <v>13</v>
      </c>
      <c r="CD17" s="2" t="e">
        <f>VLOOKUP(CC17,$BV$5:BY$215,1,FALSE)</f>
        <v>#N/A</v>
      </c>
      <c r="CE17" s="6" t="e">
        <f>VLOOKUP(CC17,$BV$5:BY$215,2,FALSE)</f>
        <v>#N/A</v>
      </c>
      <c r="CF17" s="103" t="e">
        <f>VLOOKUP(CC17,$BV$5:BY$215,4,FALSE)</f>
        <v>#N/A</v>
      </c>
      <c r="CL17" s="77">
        <v>1</v>
      </c>
    </row>
    <row r="18" spans="1:90" ht="17.45" customHeight="1">
      <c r="A18" s="58">
        <v>14</v>
      </c>
      <c r="B18" s="59" t="str">
        <f>'C Div'!A18 &amp; " " &amp; 'C Div'!B18</f>
        <v xml:space="preserve"> </v>
      </c>
      <c r="C18" s="59" t="str">
        <f>'C Div'!E18</f>
        <v>-</v>
      </c>
      <c r="D18" s="60"/>
      <c r="E18" s="60"/>
      <c r="F18" s="60"/>
      <c r="G18" s="60"/>
      <c r="H18" s="60"/>
      <c r="I18" s="60"/>
      <c r="J18" s="60"/>
      <c r="K18" s="60"/>
      <c r="L18" s="60"/>
      <c r="M18" s="74" t="str">
        <f t="shared" si="0"/>
        <v>-</v>
      </c>
      <c r="N18" s="60"/>
      <c r="O18" s="60"/>
      <c r="P18" s="60"/>
      <c r="Q18" s="60"/>
      <c r="R18" s="60"/>
      <c r="S18" s="60"/>
      <c r="T18" s="60"/>
      <c r="U18" s="60"/>
      <c r="V18" s="60"/>
      <c r="W18" s="74" t="str">
        <f t="shared" si="1"/>
        <v>-</v>
      </c>
      <c r="X18" s="155" t="str">
        <f t="shared" si="2"/>
        <v>-</v>
      </c>
      <c r="Y18" s="156" t="str">
        <f t="shared" si="3"/>
        <v>-</v>
      </c>
      <c r="AA18" s="60"/>
      <c r="AB18" s="60"/>
      <c r="AC18" s="60"/>
      <c r="AD18" s="60"/>
      <c r="AE18" s="60"/>
      <c r="AF18" s="60"/>
      <c r="AG18" s="60"/>
      <c r="AH18" s="60"/>
      <c r="AI18" s="60"/>
      <c r="AJ18" s="74" t="str">
        <f t="shared" si="4"/>
        <v>-</v>
      </c>
      <c r="AK18" s="60"/>
      <c r="AL18" s="60"/>
      <c r="AM18" s="60"/>
      <c r="AN18" s="60"/>
      <c r="AO18" s="60"/>
      <c r="AP18" s="60"/>
      <c r="AQ18" s="60"/>
      <c r="AR18" s="60"/>
      <c r="AS18" s="60"/>
      <c r="AT18" s="74" t="str">
        <f t="shared" si="5"/>
        <v>-</v>
      </c>
      <c r="AU18" s="155" t="str">
        <f t="shared" si="6"/>
        <v>-</v>
      </c>
      <c r="AV18" s="156" t="str">
        <f t="shared" si="7"/>
        <v>-</v>
      </c>
      <c r="AX18" s="59" t="str">
        <f>IF(AND(D18&gt;0,AA18&gt;0),MIN(D18,AA18),"-")</f>
        <v>-</v>
      </c>
      <c r="AY18" s="59" t="str">
        <f>IF(AND(E18&gt;0,AB18&gt;0),MIN(E18,AB18),"-")</f>
        <v>-</v>
      </c>
      <c r="AZ18" s="59" t="str">
        <f>IF(AND(F18&gt;0,AC18&gt;0),MIN(F18,AC18),"-")</f>
        <v>-</v>
      </c>
      <c r="BA18" s="59" t="str">
        <f>IF(AND(G18&gt;0,AD18&gt;0),MIN(G18,AD18),"-")</f>
        <v>-</v>
      </c>
      <c r="BB18" s="59" t="str">
        <f>IF(AND(H18&gt;0,AE18&gt;0),MIN(H18,AE18),"-")</f>
        <v>-</v>
      </c>
      <c r="BC18" s="59" t="str">
        <f>IF(AND(I18&gt;0,AF18&gt;0),MIN(I18,AF18),"-")</f>
        <v>-</v>
      </c>
      <c r="BD18" s="59" t="str">
        <f>IF(AND(J18&gt;0,AG18&gt;0),MIN(J18,AG18),"-")</f>
        <v>-</v>
      </c>
      <c r="BE18" s="59" t="str">
        <f>IF(AND(K18&gt;0,AH18&gt;0),MIN(K18,AH18),"-")</f>
        <v>-</v>
      </c>
      <c r="BF18" s="59" t="str">
        <f>IF(AND(L18&gt;0,AI18&gt;0),MIN(L18,AI18),"-")</f>
        <v>-</v>
      </c>
      <c r="BG18" s="59" t="str">
        <f t="shared" si="8"/>
        <v>-</v>
      </c>
      <c r="BH18" s="59" t="str">
        <f>IF(AND(N18&gt;0,AK18&gt;0),MIN(N18,AK18),"-")</f>
        <v>-</v>
      </c>
      <c r="BI18" s="59" t="str">
        <f>IF(AND(O18&gt;0,AL18&gt;0),MIN(O18,AL18),"-")</f>
        <v>-</v>
      </c>
      <c r="BJ18" s="59" t="str">
        <f>IF(AND(P18&gt;0,AM18&gt;0),MIN(P18,AM18),"-")</f>
        <v>-</v>
      </c>
      <c r="BK18" s="59" t="str">
        <f>IF(AND(Q18&gt;0,AN18&gt;0),MIN(Q18,AN18),"-")</f>
        <v>-</v>
      </c>
      <c r="BL18" s="59" t="str">
        <f>IF(AND(R18&gt;0,AO18&gt;0),MIN(R18,AO18),"-")</f>
        <v>-</v>
      </c>
      <c r="BM18" s="59" t="str">
        <f>IF(AND(S18&gt;0,AP18&gt;0),MIN(S18,AP18),"-")</f>
        <v>-</v>
      </c>
      <c r="BN18" s="59" t="str">
        <f>IF(AND(T18&gt;0,AQ18&gt;0),MIN(T18,AQ18),"-")</f>
        <v>-</v>
      </c>
      <c r="BO18" s="59" t="str">
        <f>IF(AND(U18&gt;0,AR18&gt;0),MIN(U18,AR18),"-")</f>
        <v>-</v>
      </c>
      <c r="BP18" s="59" t="str">
        <f>IF(AND(V18&gt;0,AS18&gt;0),MIN(V18,AS18),"-")</f>
        <v>-</v>
      </c>
      <c r="BQ18" s="59" t="str">
        <f t="shared" si="9"/>
        <v>-</v>
      </c>
      <c r="BR18" s="59" t="str">
        <f t="shared" si="10"/>
        <v>-</v>
      </c>
      <c r="BS18" s="59" t="str">
        <f t="shared" si="11"/>
        <v>-</v>
      </c>
      <c r="BT18" s="98" t="str">
        <f>IF(ISNUMBER(BS18),BS18-(C18*Rules!$P$9/100),"-")</f>
        <v>-</v>
      </c>
      <c r="BU18" s="59" t="e">
        <f>RANK($BT18,$BT$5:$BT$106,1)+COUNTIF(BT$5:BT18,BT18)-1</f>
        <v>#VALUE!</v>
      </c>
      <c r="BV18" s="59" t="e">
        <f t="shared" si="12"/>
        <v>#VALUE!</v>
      </c>
      <c r="BW18" s="59" t="str">
        <f t="shared" si="13"/>
        <v xml:space="preserve"> </v>
      </c>
      <c r="BX18" s="59" t="str">
        <f t="shared" si="13"/>
        <v>-</v>
      </c>
      <c r="BY18" s="59" t="str">
        <f t="shared" si="14"/>
        <v>-</v>
      </c>
      <c r="CC18" s="4">
        <v>14</v>
      </c>
      <c r="CD18" s="2" t="e">
        <f>VLOOKUP(CC18,$BV$5:BY$215,1,FALSE)</f>
        <v>#N/A</v>
      </c>
      <c r="CE18" s="6" t="e">
        <f>VLOOKUP(CC18,$BV$5:BY$215,2,FALSE)</f>
        <v>#N/A</v>
      </c>
      <c r="CF18" s="103" t="e">
        <f>VLOOKUP(CC18,$BV$5:BY$215,4,FALSE)</f>
        <v>#N/A</v>
      </c>
      <c r="CL18" s="77">
        <v>1</v>
      </c>
    </row>
    <row r="19" spans="1:90" ht="17.45" customHeight="1">
      <c r="A19" s="58">
        <v>15</v>
      </c>
      <c r="B19" s="59" t="str">
        <f>'C Div'!A19 &amp; " " &amp; 'C Div'!B19</f>
        <v xml:space="preserve"> </v>
      </c>
      <c r="C19" s="59" t="str">
        <f>'C Div'!E19</f>
        <v>-</v>
      </c>
      <c r="D19" s="60"/>
      <c r="E19" s="60"/>
      <c r="F19" s="60"/>
      <c r="G19" s="60"/>
      <c r="H19" s="60"/>
      <c r="I19" s="60"/>
      <c r="J19" s="60"/>
      <c r="K19" s="60"/>
      <c r="L19" s="60"/>
      <c r="M19" s="74" t="str">
        <f t="shared" si="0"/>
        <v>-</v>
      </c>
      <c r="N19" s="60"/>
      <c r="O19" s="60"/>
      <c r="P19" s="60"/>
      <c r="Q19" s="60"/>
      <c r="R19" s="60"/>
      <c r="S19" s="60"/>
      <c r="T19" s="60"/>
      <c r="U19" s="60"/>
      <c r="V19" s="60"/>
      <c r="W19" s="74" t="str">
        <f t="shared" si="1"/>
        <v>-</v>
      </c>
      <c r="X19" s="155" t="str">
        <f t="shared" si="2"/>
        <v>-</v>
      </c>
      <c r="Y19" s="156" t="str">
        <f t="shared" si="3"/>
        <v>-</v>
      </c>
      <c r="AA19" s="60"/>
      <c r="AB19" s="60"/>
      <c r="AC19" s="60"/>
      <c r="AD19" s="60"/>
      <c r="AE19" s="60"/>
      <c r="AF19" s="60"/>
      <c r="AG19" s="60"/>
      <c r="AH19" s="60"/>
      <c r="AI19" s="60"/>
      <c r="AJ19" s="74" t="str">
        <f t="shared" si="4"/>
        <v>-</v>
      </c>
      <c r="AK19" s="60"/>
      <c r="AL19" s="60"/>
      <c r="AM19" s="60"/>
      <c r="AN19" s="60"/>
      <c r="AO19" s="60"/>
      <c r="AP19" s="60"/>
      <c r="AQ19" s="60"/>
      <c r="AR19" s="60"/>
      <c r="AS19" s="60"/>
      <c r="AT19" s="74" t="str">
        <f t="shared" si="5"/>
        <v>-</v>
      </c>
      <c r="AU19" s="155" t="str">
        <f t="shared" si="6"/>
        <v>-</v>
      </c>
      <c r="AV19" s="156" t="str">
        <f t="shared" si="7"/>
        <v>-</v>
      </c>
      <c r="AX19" s="59" t="str">
        <f>IF(AND(D19&gt;0,AA19&gt;0),MIN(D19,AA19),"-")</f>
        <v>-</v>
      </c>
      <c r="AY19" s="59" t="str">
        <f>IF(AND(E19&gt;0,AB19&gt;0),MIN(E19,AB19),"-")</f>
        <v>-</v>
      </c>
      <c r="AZ19" s="59" t="str">
        <f>IF(AND(F19&gt;0,AC19&gt;0),MIN(F19,AC19),"-")</f>
        <v>-</v>
      </c>
      <c r="BA19" s="59" t="str">
        <f>IF(AND(G19&gt;0,AD19&gt;0),MIN(G19,AD19),"-")</f>
        <v>-</v>
      </c>
      <c r="BB19" s="59" t="str">
        <f>IF(AND(H19&gt;0,AE19&gt;0),MIN(H19,AE19),"-")</f>
        <v>-</v>
      </c>
      <c r="BC19" s="59" t="str">
        <f>IF(AND(I19&gt;0,AF19&gt;0),MIN(I19,AF19),"-")</f>
        <v>-</v>
      </c>
      <c r="BD19" s="59" t="str">
        <f>IF(AND(J19&gt;0,AG19&gt;0),MIN(J19,AG19),"-")</f>
        <v>-</v>
      </c>
      <c r="BE19" s="59" t="str">
        <f>IF(AND(K19&gt;0,AH19&gt;0),MIN(K19,AH19),"-")</f>
        <v>-</v>
      </c>
      <c r="BF19" s="59" t="str">
        <f>IF(AND(L19&gt;0,AI19&gt;0),MIN(L19,AI19),"-")</f>
        <v>-</v>
      </c>
      <c r="BG19" s="59" t="str">
        <f t="shared" si="8"/>
        <v>-</v>
      </c>
      <c r="BH19" s="59" t="str">
        <f>IF(AND(N19&gt;0,AK19&gt;0),MIN(N19,AK19),"-")</f>
        <v>-</v>
      </c>
      <c r="BI19" s="59" t="str">
        <f>IF(AND(O19&gt;0,AL19&gt;0),MIN(O19,AL19),"-")</f>
        <v>-</v>
      </c>
      <c r="BJ19" s="59" t="str">
        <f>IF(AND(P19&gt;0,AM19&gt;0),MIN(P19,AM19),"-")</f>
        <v>-</v>
      </c>
      <c r="BK19" s="59" t="str">
        <f>IF(AND(Q19&gt;0,AN19&gt;0),MIN(Q19,AN19),"-")</f>
        <v>-</v>
      </c>
      <c r="BL19" s="59" t="str">
        <f>IF(AND(R19&gt;0,AO19&gt;0),MIN(R19,AO19),"-")</f>
        <v>-</v>
      </c>
      <c r="BM19" s="59" t="str">
        <f>IF(AND(S19&gt;0,AP19&gt;0),MIN(S19,AP19),"-")</f>
        <v>-</v>
      </c>
      <c r="BN19" s="59" t="str">
        <f>IF(AND(T19&gt;0,AQ19&gt;0),MIN(T19,AQ19),"-")</f>
        <v>-</v>
      </c>
      <c r="BO19" s="59" t="str">
        <f>IF(AND(U19&gt;0,AR19&gt;0),MIN(U19,AR19),"-")</f>
        <v>-</v>
      </c>
      <c r="BP19" s="59" t="str">
        <f>IF(AND(V19&gt;0,AS19&gt;0),MIN(V19,AS19),"-")</f>
        <v>-</v>
      </c>
      <c r="BQ19" s="59" t="str">
        <f t="shared" si="9"/>
        <v>-</v>
      </c>
      <c r="BR19" s="59" t="str">
        <f t="shared" si="10"/>
        <v>-</v>
      </c>
      <c r="BS19" s="59" t="str">
        <f t="shared" si="11"/>
        <v>-</v>
      </c>
      <c r="BT19" s="98" t="str">
        <f>IF(ISNUMBER(BS19),BS19-(C19*Rules!$P$9/100),"-")</f>
        <v>-</v>
      </c>
      <c r="BU19" s="59" t="e">
        <f>RANK($BT19,$BT$5:$BT$106,1)+COUNTIF(BT$5:BT19,BT19)-1</f>
        <v>#VALUE!</v>
      </c>
      <c r="BV19" s="59" t="e">
        <f t="shared" si="12"/>
        <v>#VALUE!</v>
      </c>
      <c r="BW19" s="59" t="str">
        <f t="shared" si="13"/>
        <v xml:space="preserve"> </v>
      </c>
      <c r="BX19" s="59" t="str">
        <f t="shared" si="13"/>
        <v>-</v>
      </c>
      <c r="BY19" s="59" t="str">
        <f t="shared" si="14"/>
        <v>-</v>
      </c>
      <c r="CC19" s="4">
        <v>15</v>
      </c>
      <c r="CD19" s="2" t="e">
        <f>VLOOKUP(CC19,$BV$5:BY$215,1,FALSE)</f>
        <v>#N/A</v>
      </c>
      <c r="CE19" s="6" t="e">
        <f>VLOOKUP(CC19,$BV$5:BY$215,2,FALSE)</f>
        <v>#N/A</v>
      </c>
      <c r="CF19" s="103" t="e">
        <f>VLOOKUP(CC19,$BV$5:BY$215,4,FALSE)</f>
        <v>#N/A</v>
      </c>
      <c r="CL19" s="77">
        <v>1</v>
      </c>
    </row>
    <row r="20" spans="1:90" ht="17.45" customHeight="1">
      <c r="A20" s="58">
        <v>16</v>
      </c>
      <c r="B20" s="59" t="str">
        <f>'C Div'!A20 &amp; " " &amp; 'C Div'!B20</f>
        <v xml:space="preserve"> </v>
      </c>
      <c r="C20" s="59" t="str">
        <f>'C Div'!E20</f>
        <v>-</v>
      </c>
      <c r="D20" s="60"/>
      <c r="E20" s="60"/>
      <c r="F20" s="60"/>
      <c r="G20" s="60"/>
      <c r="H20" s="60"/>
      <c r="I20" s="60"/>
      <c r="J20" s="60"/>
      <c r="K20" s="60"/>
      <c r="L20" s="60"/>
      <c r="M20" s="74" t="str">
        <f t="shared" si="0"/>
        <v>-</v>
      </c>
      <c r="N20" s="60"/>
      <c r="O20" s="60"/>
      <c r="P20" s="60"/>
      <c r="Q20" s="60"/>
      <c r="R20" s="60"/>
      <c r="S20" s="60"/>
      <c r="T20" s="60"/>
      <c r="U20" s="60"/>
      <c r="V20" s="60"/>
      <c r="W20" s="74" t="str">
        <f t="shared" si="1"/>
        <v>-</v>
      </c>
      <c r="X20" s="155" t="str">
        <f t="shared" si="2"/>
        <v>-</v>
      </c>
      <c r="Y20" s="156" t="str">
        <f t="shared" si="3"/>
        <v>-</v>
      </c>
      <c r="AA20" s="60"/>
      <c r="AB20" s="60"/>
      <c r="AC20" s="60"/>
      <c r="AD20" s="60"/>
      <c r="AE20" s="60"/>
      <c r="AF20" s="60"/>
      <c r="AG20" s="60"/>
      <c r="AH20" s="60"/>
      <c r="AI20" s="60"/>
      <c r="AJ20" s="74" t="str">
        <f t="shared" si="4"/>
        <v>-</v>
      </c>
      <c r="AK20" s="60"/>
      <c r="AL20" s="60"/>
      <c r="AM20" s="60"/>
      <c r="AN20" s="60"/>
      <c r="AO20" s="60"/>
      <c r="AP20" s="60"/>
      <c r="AQ20" s="60"/>
      <c r="AR20" s="60"/>
      <c r="AS20" s="60"/>
      <c r="AT20" s="74" t="str">
        <f t="shared" si="5"/>
        <v>-</v>
      </c>
      <c r="AU20" s="155" t="str">
        <f t="shared" si="6"/>
        <v>-</v>
      </c>
      <c r="AV20" s="156" t="str">
        <f t="shared" si="7"/>
        <v>-</v>
      </c>
      <c r="AX20" s="59" t="str">
        <f>IF(AND(D20&gt;0,AA20&gt;0),MIN(D20,AA20),"-")</f>
        <v>-</v>
      </c>
      <c r="AY20" s="59" t="str">
        <f>IF(AND(E20&gt;0,AB20&gt;0),MIN(E20,AB20),"-")</f>
        <v>-</v>
      </c>
      <c r="AZ20" s="59" t="str">
        <f>IF(AND(F20&gt;0,AC20&gt;0),MIN(F20,AC20),"-")</f>
        <v>-</v>
      </c>
      <c r="BA20" s="59" t="str">
        <f>IF(AND(G20&gt;0,AD20&gt;0),MIN(G20,AD20),"-")</f>
        <v>-</v>
      </c>
      <c r="BB20" s="59" t="str">
        <f>IF(AND(H20&gt;0,AE20&gt;0),MIN(H20,AE20),"-")</f>
        <v>-</v>
      </c>
      <c r="BC20" s="59" t="str">
        <f>IF(AND(I20&gt;0,AF20&gt;0),MIN(I20,AF20),"-")</f>
        <v>-</v>
      </c>
      <c r="BD20" s="59" t="str">
        <f>IF(AND(J20&gt;0,AG20&gt;0),MIN(J20,AG20),"-")</f>
        <v>-</v>
      </c>
      <c r="BE20" s="59" t="str">
        <f>IF(AND(K20&gt;0,AH20&gt;0),MIN(K20,AH20),"-")</f>
        <v>-</v>
      </c>
      <c r="BF20" s="59" t="str">
        <f>IF(AND(L20&gt;0,AI20&gt;0),MIN(L20,AI20),"-")</f>
        <v>-</v>
      </c>
      <c r="BG20" s="59" t="str">
        <f t="shared" si="8"/>
        <v>-</v>
      </c>
      <c r="BH20" s="59" t="str">
        <f>IF(AND(N20&gt;0,AK20&gt;0),MIN(N20,AK20),"-")</f>
        <v>-</v>
      </c>
      <c r="BI20" s="59" t="str">
        <f>IF(AND(O20&gt;0,AL20&gt;0),MIN(O20,AL20),"-")</f>
        <v>-</v>
      </c>
      <c r="BJ20" s="59" t="str">
        <f>IF(AND(P20&gt;0,AM20&gt;0),MIN(P20,AM20),"-")</f>
        <v>-</v>
      </c>
      <c r="BK20" s="59" t="str">
        <f>IF(AND(Q20&gt;0,AN20&gt;0),MIN(Q20,AN20),"-")</f>
        <v>-</v>
      </c>
      <c r="BL20" s="59" t="str">
        <f>IF(AND(R20&gt;0,AO20&gt;0),MIN(R20,AO20),"-")</f>
        <v>-</v>
      </c>
      <c r="BM20" s="59" t="str">
        <f>IF(AND(S20&gt;0,AP20&gt;0),MIN(S20,AP20),"-")</f>
        <v>-</v>
      </c>
      <c r="BN20" s="59" t="str">
        <f>IF(AND(T20&gt;0,AQ20&gt;0),MIN(T20,AQ20),"-")</f>
        <v>-</v>
      </c>
      <c r="BO20" s="59" t="str">
        <f>IF(AND(U20&gt;0,AR20&gt;0),MIN(U20,AR20),"-")</f>
        <v>-</v>
      </c>
      <c r="BP20" s="59" t="str">
        <f>IF(AND(V20&gt;0,AS20&gt;0),MIN(V20,AS20),"-")</f>
        <v>-</v>
      </c>
      <c r="BQ20" s="59" t="str">
        <f t="shared" si="9"/>
        <v>-</v>
      </c>
      <c r="BR20" s="59" t="str">
        <f t="shared" si="10"/>
        <v>-</v>
      </c>
      <c r="BS20" s="59" t="str">
        <f t="shared" si="11"/>
        <v>-</v>
      </c>
      <c r="BT20" s="98" t="str">
        <f>IF(ISNUMBER(BS20),BS20-(C20*Rules!$P$9/100),"-")</f>
        <v>-</v>
      </c>
      <c r="BU20" s="59" t="e">
        <f>RANK($BT20,$BT$5:$BT$106,1)+COUNTIF(BT$5:BT20,BT20)-1</f>
        <v>#VALUE!</v>
      </c>
      <c r="BV20" s="59" t="e">
        <f t="shared" si="12"/>
        <v>#VALUE!</v>
      </c>
      <c r="BW20" s="59" t="str">
        <f t="shared" si="13"/>
        <v xml:space="preserve"> </v>
      </c>
      <c r="BX20" s="59" t="str">
        <f t="shared" si="13"/>
        <v>-</v>
      </c>
      <c r="BY20" s="59" t="str">
        <f t="shared" si="14"/>
        <v>-</v>
      </c>
      <c r="CC20" s="4">
        <v>16</v>
      </c>
      <c r="CD20" s="2" t="e">
        <f>VLOOKUP(CC20,$BV$5:BY$215,1,FALSE)</f>
        <v>#N/A</v>
      </c>
      <c r="CE20" s="6" t="e">
        <f>VLOOKUP(CC20,$BV$5:BY$215,2,FALSE)</f>
        <v>#N/A</v>
      </c>
      <c r="CF20" s="103" t="e">
        <f>VLOOKUP(CC20,$BV$5:BY$215,4,FALSE)</f>
        <v>#N/A</v>
      </c>
      <c r="CL20" s="77">
        <v>1</v>
      </c>
    </row>
    <row r="21" spans="1:90" ht="17.45" customHeight="1">
      <c r="A21" s="58">
        <v>17</v>
      </c>
      <c r="B21" s="59" t="str">
        <f>'C Div'!A21 &amp; " " &amp; 'C Div'!B21</f>
        <v xml:space="preserve"> </v>
      </c>
      <c r="C21" s="59" t="str">
        <f>'C Div'!E21</f>
        <v>-</v>
      </c>
      <c r="D21" s="60"/>
      <c r="E21" s="60"/>
      <c r="F21" s="60"/>
      <c r="G21" s="60"/>
      <c r="H21" s="60"/>
      <c r="I21" s="60"/>
      <c r="J21" s="60"/>
      <c r="K21" s="60"/>
      <c r="L21" s="60"/>
      <c r="M21" s="74" t="str">
        <f t="shared" si="0"/>
        <v>-</v>
      </c>
      <c r="N21" s="60"/>
      <c r="O21" s="60"/>
      <c r="P21" s="60"/>
      <c r="Q21" s="60"/>
      <c r="R21" s="60"/>
      <c r="S21" s="60"/>
      <c r="T21" s="60"/>
      <c r="U21" s="60"/>
      <c r="V21" s="60"/>
      <c r="W21" s="74" t="str">
        <f t="shared" si="1"/>
        <v>-</v>
      </c>
      <c r="X21" s="155" t="str">
        <f t="shared" si="2"/>
        <v>-</v>
      </c>
      <c r="Y21" s="156" t="str">
        <f t="shared" si="3"/>
        <v>-</v>
      </c>
      <c r="AA21" s="60"/>
      <c r="AB21" s="60"/>
      <c r="AC21" s="60"/>
      <c r="AD21" s="60"/>
      <c r="AE21" s="60"/>
      <c r="AF21" s="60"/>
      <c r="AG21" s="60"/>
      <c r="AH21" s="60"/>
      <c r="AI21" s="60"/>
      <c r="AJ21" s="74" t="str">
        <f t="shared" si="4"/>
        <v>-</v>
      </c>
      <c r="AK21" s="60"/>
      <c r="AL21" s="60"/>
      <c r="AM21" s="60"/>
      <c r="AN21" s="60"/>
      <c r="AO21" s="60"/>
      <c r="AP21" s="60"/>
      <c r="AQ21" s="60"/>
      <c r="AR21" s="60"/>
      <c r="AS21" s="60"/>
      <c r="AT21" s="74" t="str">
        <f t="shared" si="5"/>
        <v>-</v>
      </c>
      <c r="AU21" s="155" t="str">
        <f t="shared" si="6"/>
        <v>-</v>
      </c>
      <c r="AV21" s="156" t="str">
        <f t="shared" si="7"/>
        <v>-</v>
      </c>
      <c r="AX21" s="59" t="str">
        <f>IF(AND(D21&gt;0,AA21&gt;0),MIN(D21,AA21),"-")</f>
        <v>-</v>
      </c>
      <c r="AY21" s="59" t="str">
        <f>IF(AND(E21&gt;0,AB21&gt;0),MIN(E21,AB21),"-")</f>
        <v>-</v>
      </c>
      <c r="AZ21" s="59" t="str">
        <f>IF(AND(F21&gt;0,AC21&gt;0),MIN(F21,AC21),"-")</f>
        <v>-</v>
      </c>
      <c r="BA21" s="59" t="str">
        <f>IF(AND(G21&gt;0,AD21&gt;0),MIN(G21,AD21),"-")</f>
        <v>-</v>
      </c>
      <c r="BB21" s="59" t="str">
        <f>IF(AND(H21&gt;0,AE21&gt;0),MIN(H21,AE21),"-")</f>
        <v>-</v>
      </c>
      <c r="BC21" s="59" t="str">
        <f>IF(AND(I21&gt;0,AF21&gt;0),MIN(I21,AF21),"-")</f>
        <v>-</v>
      </c>
      <c r="BD21" s="59" t="str">
        <f>IF(AND(J21&gt;0,AG21&gt;0),MIN(J21,AG21),"-")</f>
        <v>-</v>
      </c>
      <c r="BE21" s="59" t="str">
        <f>IF(AND(K21&gt;0,AH21&gt;0),MIN(K21,AH21),"-")</f>
        <v>-</v>
      </c>
      <c r="BF21" s="59" t="str">
        <f>IF(AND(L21&gt;0,AI21&gt;0),MIN(L21,AI21),"-")</f>
        <v>-</v>
      </c>
      <c r="BG21" s="59" t="str">
        <f t="shared" si="8"/>
        <v>-</v>
      </c>
      <c r="BH21" s="59" t="str">
        <f>IF(AND(N21&gt;0,AK21&gt;0),MIN(N21,AK21),"-")</f>
        <v>-</v>
      </c>
      <c r="BI21" s="59" t="str">
        <f>IF(AND(O21&gt;0,AL21&gt;0),MIN(O21,AL21),"-")</f>
        <v>-</v>
      </c>
      <c r="BJ21" s="59" t="str">
        <f>IF(AND(P21&gt;0,AM21&gt;0),MIN(P21,AM21),"-")</f>
        <v>-</v>
      </c>
      <c r="BK21" s="59" t="str">
        <f>IF(AND(Q21&gt;0,AN21&gt;0),MIN(Q21,AN21),"-")</f>
        <v>-</v>
      </c>
      <c r="BL21" s="59" t="str">
        <f>IF(AND(R21&gt;0,AO21&gt;0),MIN(R21,AO21),"-")</f>
        <v>-</v>
      </c>
      <c r="BM21" s="59" t="str">
        <f>IF(AND(S21&gt;0,AP21&gt;0),MIN(S21,AP21),"-")</f>
        <v>-</v>
      </c>
      <c r="BN21" s="59" t="str">
        <f>IF(AND(T21&gt;0,AQ21&gt;0),MIN(T21,AQ21),"-")</f>
        <v>-</v>
      </c>
      <c r="BO21" s="59" t="str">
        <f>IF(AND(U21&gt;0,AR21&gt;0),MIN(U21,AR21),"-")</f>
        <v>-</v>
      </c>
      <c r="BP21" s="59" t="str">
        <f>IF(AND(V21&gt;0,AS21&gt;0),MIN(V21,AS21),"-")</f>
        <v>-</v>
      </c>
      <c r="BQ21" s="59" t="str">
        <f t="shared" si="9"/>
        <v>-</v>
      </c>
      <c r="BR21" s="59" t="str">
        <f t="shared" si="10"/>
        <v>-</v>
      </c>
      <c r="BS21" s="59" t="str">
        <f t="shared" si="11"/>
        <v>-</v>
      </c>
      <c r="BT21" s="98" t="str">
        <f>IF(ISNUMBER(BS21),BS21-(C21*Rules!$P$9/100),"-")</f>
        <v>-</v>
      </c>
      <c r="BU21" s="59" t="e">
        <f>RANK($BT21,$BT$5:$BT$106,1)+COUNTIF(BT$5:BT21,BT21)-1</f>
        <v>#VALUE!</v>
      </c>
      <c r="BV21" s="59" t="e">
        <f t="shared" si="12"/>
        <v>#VALUE!</v>
      </c>
      <c r="BW21" s="59" t="str">
        <f t="shared" si="13"/>
        <v xml:space="preserve"> </v>
      </c>
      <c r="BX21" s="59" t="str">
        <f t="shared" si="13"/>
        <v>-</v>
      </c>
      <c r="BY21" s="59" t="str">
        <f t="shared" si="14"/>
        <v>-</v>
      </c>
      <c r="CC21" s="4">
        <v>17</v>
      </c>
      <c r="CD21" s="2" t="e">
        <f>VLOOKUP(CC21,$BV$5:BY$215,1,FALSE)</f>
        <v>#N/A</v>
      </c>
      <c r="CE21" s="6" t="e">
        <f>VLOOKUP(CC21,$BV$5:BY$215,2,FALSE)</f>
        <v>#N/A</v>
      </c>
      <c r="CF21" s="103" t="e">
        <f>VLOOKUP(CC21,$BV$5:BY$215,4,FALSE)</f>
        <v>#N/A</v>
      </c>
      <c r="CL21" s="77">
        <v>1</v>
      </c>
    </row>
    <row r="22" spans="1:90" ht="17.45" customHeight="1">
      <c r="A22" s="58">
        <v>18</v>
      </c>
      <c r="B22" s="59" t="str">
        <f>'C Div'!A22 &amp; " " &amp; 'C Div'!B22</f>
        <v xml:space="preserve"> </v>
      </c>
      <c r="C22" s="59" t="str">
        <f>'C Div'!E22</f>
        <v>-</v>
      </c>
      <c r="D22" s="60"/>
      <c r="E22" s="60"/>
      <c r="F22" s="60"/>
      <c r="G22" s="60"/>
      <c r="H22" s="60"/>
      <c r="I22" s="60"/>
      <c r="J22" s="60"/>
      <c r="K22" s="60"/>
      <c r="L22" s="60"/>
      <c r="M22" s="74" t="str">
        <f t="shared" ref="M6:M69" si="15">IF(COUNTIF(D22:L22,"&lt;&gt;"&amp;"")=9,SUM(D22:L22),"-")</f>
        <v>-</v>
      </c>
      <c r="N22" s="60"/>
      <c r="O22" s="60"/>
      <c r="P22" s="60"/>
      <c r="Q22" s="60"/>
      <c r="R22" s="60"/>
      <c r="S22" s="60"/>
      <c r="T22" s="60"/>
      <c r="U22" s="60"/>
      <c r="V22" s="60"/>
      <c r="W22" s="74" t="str">
        <f t="shared" si="1"/>
        <v>-</v>
      </c>
      <c r="X22" s="155" t="str">
        <f t="shared" si="2"/>
        <v>-</v>
      </c>
      <c r="Y22" s="156" t="str">
        <f t="shared" si="3"/>
        <v>-</v>
      </c>
      <c r="AA22" s="60"/>
      <c r="AB22" s="60"/>
      <c r="AC22" s="60"/>
      <c r="AD22" s="60"/>
      <c r="AE22" s="60"/>
      <c r="AF22" s="60"/>
      <c r="AG22" s="60"/>
      <c r="AH22" s="60"/>
      <c r="AI22" s="60"/>
      <c r="AJ22" s="74" t="str">
        <f t="shared" si="4"/>
        <v>-</v>
      </c>
      <c r="AK22" s="60"/>
      <c r="AL22" s="60"/>
      <c r="AM22" s="60"/>
      <c r="AN22" s="60"/>
      <c r="AO22" s="60"/>
      <c r="AP22" s="60"/>
      <c r="AQ22" s="60"/>
      <c r="AR22" s="60"/>
      <c r="AS22" s="60"/>
      <c r="AT22" s="74" t="str">
        <f t="shared" si="5"/>
        <v>-</v>
      </c>
      <c r="AU22" s="155" t="str">
        <f t="shared" si="6"/>
        <v>-</v>
      </c>
      <c r="AV22" s="156" t="str">
        <f t="shared" si="7"/>
        <v>-</v>
      </c>
      <c r="AX22" s="59" t="str">
        <f>IF(AND(D22&gt;0,AA22&gt;0),MIN(D22,AA22),"-")</f>
        <v>-</v>
      </c>
      <c r="AY22" s="59" t="str">
        <f>IF(AND(E22&gt;0,AB22&gt;0),MIN(E22,AB22),"-")</f>
        <v>-</v>
      </c>
      <c r="AZ22" s="59" t="str">
        <f>IF(AND(F22&gt;0,AC22&gt;0),MIN(F22,AC22),"-")</f>
        <v>-</v>
      </c>
      <c r="BA22" s="59" t="str">
        <f>IF(AND(G22&gt;0,AD22&gt;0),MIN(G22,AD22),"-")</f>
        <v>-</v>
      </c>
      <c r="BB22" s="59" t="str">
        <f>IF(AND(H22&gt;0,AE22&gt;0),MIN(H22,AE22),"-")</f>
        <v>-</v>
      </c>
      <c r="BC22" s="59" t="str">
        <f>IF(AND(I22&gt;0,AF22&gt;0),MIN(I22,AF22),"-")</f>
        <v>-</v>
      </c>
      <c r="BD22" s="59" t="str">
        <f>IF(AND(J22&gt;0,AG22&gt;0),MIN(J22,AG22),"-")</f>
        <v>-</v>
      </c>
      <c r="BE22" s="59" t="str">
        <f>IF(AND(K22&gt;0,AH22&gt;0),MIN(K22,AH22),"-")</f>
        <v>-</v>
      </c>
      <c r="BF22" s="59" t="str">
        <f>IF(AND(L22&gt;0,AI22&gt;0),MIN(L22,AI22),"-")</f>
        <v>-</v>
      </c>
      <c r="BG22" s="59" t="str">
        <f t="shared" si="8"/>
        <v>-</v>
      </c>
      <c r="BH22" s="59" t="str">
        <f>IF(AND(N22&gt;0,AK22&gt;0),MIN(N22,AK22),"-")</f>
        <v>-</v>
      </c>
      <c r="BI22" s="59" t="str">
        <f>IF(AND(O22&gt;0,AL22&gt;0),MIN(O22,AL22),"-")</f>
        <v>-</v>
      </c>
      <c r="BJ22" s="59" t="str">
        <f>IF(AND(P22&gt;0,AM22&gt;0),MIN(P22,AM22),"-")</f>
        <v>-</v>
      </c>
      <c r="BK22" s="59" t="str">
        <f>IF(AND(Q22&gt;0,AN22&gt;0),MIN(Q22,AN22),"-")</f>
        <v>-</v>
      </c>
      <c r="BL22" s="59" t="str">
        <f>IF(AND(R22&gt;0,AO22&gt;0),MIN(R22,AO22),"-")</f>
        <v>-</v>
      </c>
      <c r="BM22" s="59" t="str">
        <f>IF(AND(S22&gt;0,AP22&gt;0),MIN(S22,AP22),"-")</f>
        <v>-</v>
      </c>
      <c r="BN22" s="59" t="str">
        <f>IF(AND(T22&gt;0,AQ22&gt;0),MIN(T22,AQ22),"-")</f>
        <v>-</v>
      </c>
      <c r="BO22" s="59" t="str">
        <f>IF(AND(U22&gt;0,AR22&gt;0),MIN(U22,AR22),"-")</f>
        <v>-</v>
      </c>
      <c r="BP22" s="59" t="str">
        <f>IF(AND(V22&gt;0,AS22&gt;0),MIN(V22,AS22),"-")</f>
        <v>-</v>
      </c>
      <c r="BQ22" s="59" t="str">
        <f t="shared" si="9"/>
        <v>-</v>
      </c>
      <c r="BR22" s="59" t="str">
        <f t="shared" si="10"/>
        <v>-</v>
      </c>
      <c r="BS22" s="59" t="str">
        <f t="shared" si="11"/>
        <v>-</v>
      </c>
      <c r="BT22" s="98" t="str">
        <f>IF(ISNUMBER(BS22),BS22-(C22*Rules!$P$9/100),"-")</f>
        <v>-</v>
      </c>
      <c r="BU22" s="59" t="e">
        <f>RANK($BT22,$BT$5:$BT$106,1)+COUNTIF(BT$5:BT22,BT22)-1</f>
        <v>#VALUE!</v>
      </c>
      <c r="BV22" s="59" t="e">
        <f t="shared" si="12"/>
        <v>#VALUE!</v>
      </c>
      <c r="BW22" s="59" t="str">
        <f t="shared" si="13"/>
        <v xml:space="preserve"> </v>
      </c>
      <c r="BX22" s="59" t="str">
        <f t="shared" si="13"/>
        <v>-</v>
      </c>
      <c r="BY22" s="59" t="str">
        <f t="shared" si="14"/>
        <v>-</v>
      </c>
      <c r="CC22" s="4">
        <v>18</v>
      </c>
      <c r="CD22" s="2" t="e">
        <f>VLOOKUP(CC22,$BV$5:BY$215,1,FALSE)</f>
        <v>#N/A</v>
      </c>
      <c r="CE22" s="6" t="e">
        <f>VLOOKUP(CC22,$BV$5:BY$215,2,FALSE)</f>
        <v>#N/A</v>
      </c>
      <c r="CF22" s="103" t="e">
        <f>VLOOKUP(CC22,$BV$5:BY$215,4,FALSE)</f>
        <v>#N/A</v>
      </c>
      <c r="CL22" s="77">
        <v>1</v>
      </c>
    </row>
    <row r="23" spans="1:90" ht="17.45" customHeight="1">
      <c r="A23" s="58">
        <v>19</v>
      </c>
      <c r="B23" s="59" t="str">
        <f>'C Div'!A23 &amp; " " &amp; 'C Div'!B23</f>
        <v xml:space="preserve"> </v>
      </c>
      <c r="C23" s="59" t="str">
        <f>'C Div'!E23</f>
        <v>-</v>
      </c>
      <c r="D23" s="60"/>
      <c r="E23" s="60"/>
      <c r="F23" s="60"/>
      <c r="G23" s="60"/>
      <c r="H23" s="60"/>
      <c r="I23" s="60"/>
      <c r="J23" s="60"/>
      <c r="K23" s="60"/>
      <c r="L23" s="60"/>
      <c r="M23" s="74" t="str">
        <f t="shared" si="15"/>
        <v>-</v>
      </c>
      <c r="N23" s="60"/>
      <c r="O23" s="60"/>
      <c r="P23" s="60"/>
      <c r="Q23" s="60"/>
      <c r="R23" s="60"/>
      <c r="S23" s="60"/>
      <c r="T23" s="60"/>
      <c r="U23" s="60"/>
      <c r="V23" s="60"/>
      <c r="W23" s="74" t="str">
        <f t="shared" si="1"/>
        <v>-</v>
      </c>
      <c r="X23" s="155" t="str">
        <f t="shared" si="2"/>
        <v>-</v>
      </c>
      <c r="Y23" s="156" t="str">
        <f t="shared" si="3"/>
        <v>-</v>
      </c>
      <c r="AA23" s="60"/>
      <c r="AB23" s="60"/>
      <c r="AC23" s="60"/>
      <c r="AD23" s="60"/>
      <c r="AE23" s="60"/>
      <c r="AF23" s="60"/>
      <c r="AG23" s="60"/>
      <c r="AH23" s="60"/>
      <c r="AI23" s="60"/>
      <c r="AJ23" s="74" t="str">
        <f t="shared" si="4"/>
        <v>-</v>
      </c>
      <c r="AK23" s="60"/>
      <c r="AL23" s="60"/>
      <c r="AM23" s="60"/>
      <c r="AN23" s="60"/>
      <c r="AO23" s="60"/>
      <c r="AP23" s="60"/>
      <c r="AQ23" s="60"/>
      <c r="AR23" s="60"/>
      <c r="AS23" s="60"/>
      <c r="AT23" s="74" t="str">
        <f t="shared" si="5"/>
        <v>-</v>
      </c>
      <c r="AU23" s="155" t="str">
        <f t="shared" si="6"/>
        <v>-</v>
      </c>
      <c r="AV23" s="156" t="str">
        <f t="shared" si="7"/>
        <v>-</v>
      </c>
      <c r="AX23" s="59" t="str">
        <f>IF(AND(D23&gt;0,AA23&gt;0),MIN(D23,AA23),"-")</f>
        <v>-</v>
      </c>
      <c r="AY23" s="59" t="str">
        <f>IF(AND(E23&gt;0,AB23&gt;0),MIN(E23,AB23),"-")</f>
        <v>-</v>
      </c>
      <c r="AZ23" s="59" t="str">
        <f>IF(AND(F23&gt;0,AC23&gt;0),MIN(F23,AC23),"-")</f>
        <v>-</v>
      </c>
      <c r="BA23" s="59" t="str">
        <f>IF(AND(G23&gt;0,AD23&gt;0),MIN(G23,AD23),"-")</f>
        <v>-</v>
      </c>
      <c r="BB23" s="59" t="str">
        <f>IF(AND(H23&gt;0,AE23&gt;0),MIN(H23,AE23),"-")</f>
        <v>-</v>
      </c>
      <c r="BC23" s="59" t="str">
        <f>IF(AND(I23&gt;0,AF23&gt;0),MIN(I23,AF23),"-")</f>
        <v>-</v>
      </c>
      <c r="BD23" s="59" t="str">
        <f>IF(AND(J23&gt;0,AG23&gt;0),MIN(J23,AG23),"-")</f>
        <v>-</v>
      </c>
      <c r="BE23" s="59" t="str">
        <f>IF(AND(K23&gt;0,AH23&gt;0),MIN(K23,AH23),"-")</f>
        <v>-</v>
      </c>
      <c r="BF23" s="59" t="str">
        <f>IF(AND(L23&gt;0,AI23&gt;0),MIN(L23,AI23),"-")</f>
        <v>-</v>
      </c>
      <c r="BG23" s="59" t="str">
        <f t="shared" si="8"/>
        <v>-</v>
      </c>
      <c r="BH23" s="59" t="str">
        <f>IF(AND(N23&gt;0,AK23&gt;0),MIN(N23,AK23),"-")</f>
        <v>-</v>
      </c>
      <c r="BI23" s="59" t="str">
        <f>IF(AND(O23&gt;0,AL23&gt;0),MIN(O23,AL23),"-")</f>
        <v>-</v>
      </c>
      <c r="BJ23" s="59" t="str">
        <f>IF(AND(P23&gt;0,AM23&gt;0),MIN(P23,AM23),"-")</f>
        <v>-</v>
      </c>
      <c r="BK23" s="59" t="str">
        <f>IF(AND(Q23&gt;0,AN23&gt;0),MIN(Q23,AN23),"-")</f>
        <v>-</v>
      </c>
      <c r="BL23" s="59" t="str">
        <f>IF(AND(R23&gt;0,AO23&gt;0),MIN(R23,AO23),"-")</f>
        <v>-</v>
      </c>
      <c r="BM23" s="59" t="str">
        <f>IF(AND(S23&gt;0,AP23&gt;0),MIN(S23,AP23),"-")</f>
        <v>-</v>
      </c>
      <c r="BN23" s="59" t="str">
        <f>IF(AND(T23&gt;0,AQ23&gt;0),MIN(T23,AQ23),"-")</f>
        <v>-</v>
      </c>
      <c r="BO23" s="59" t="str">
        <f>IF(AND(U23&gt;0,AR23&gt;0),MIN(U23,AR23),"-")</f>
        <v>-</v>
      </c>
      <c r="BP23" s="59" t="str">
        <f>IF(AND(V23&gt;0,AS23&gt;0),MIN(V23,AS23),"-")</f>
        <v>-</v>
      </c>
      <c r="BQ23" s="59" t="str">
        <f t="shared" si="9"/>
        <v>-</v>
      </c>
      <c r="BR23" s="59" t="str">
        <f t="shared" si="10"/>
        <v>-</v>
      </c>
      <c r="BS23" s="59" t="str">
        <f t="shared" si="11"/>
        <v>-</v>
      </c>
      <c r="BT23" s="98" t="str">
        <f>IF(ISNUMBER(BS23),BS23-(C23*Rules!$P$9/100),"-")</f>
        <v>-</v>
      </c>
      <c r="BU23" s="59" t="e">
        <f>RANK($BT23,$BT$5:$BT$106,1)+COUNTIF(BT$5:BT23,BT23)-1</f>
        <v>#VALUE!</v>
      </c>
      <c r="BV23" s="59" t="e">
        <f t="shared" si="12"/>
        <v>#VALUE!</v>
      </c>
      <c r="BW23" s="59" t="str">
        <f t="shared" si="13"/>
        <v xml:space="preserve"> </v>
      </c>
      <c r="BX23" s="59" t="str">
        <f t="shared" si="13"/>
        <v>-</v>
      </c>
      <c r="BY23" s="59" t="str">
        <f t="shared" si="14"/>
        <v>-</v>
      </c>
      <c r="CC23" s="4">
        <v>19</v>
      </c>
      <c r="CD23" s="2" t="e">
        <f>VLOOKUP(CC23,$BV$5:BY$215,1,FALSE)</f>
        <v>#N/A</v>
      </c>
      <c r="CE23" s="6" t="e">
        <f>VLOOKUP(CC23,$BV$5:BY$215,2,FALSE)</f>
        <v>#N/A</v>
      </c>
      <c r="CF23" s="103" t="e">
        <f>VLOOKUP(CC23,$BV$5:BY$215,4,FALSE)</f>
        <v>#N/A</v>
      </c>
      <c r="CL23" s="77">
        <v>1</v>
      </c>
    </row>
    <row r="24" spans="1:90" ht="17.45" customHeight="1">
      <c r="A24" s="58">
        <v>20</v>
      </c>
      <c r="B24" s="59" t="str">
        <f>'C Div'!A24 &amp; " " &amp; 'C Div'!B24</f>
        <v xml:space="preserve"> </v>
      </c>
      <c r="C24" s="59" t="str">
        <f>'C Div'!E24</f>
        <v>-</v>
      </c>
      <c r="D24" s="60"/>
      <c r="E24" s="60"/>
      <c r="F24" s="60"/>
      <c r="G24" s="60"/>
      <c r="H24" s="60"/>
      <c r="I24" s="60"/>
      <c r="J24" s="60"/>
      <c r="K24" s="60"/>
      <c r="L24" s="60"/>
      <c r="M24" s="74" t="str">
        <f t="shared" si="15"/>
        <v>-</v>
      </c>
      <c r="N24" s="60"/>
      <c r="O24" s="60"/>
      <c r="P24" s="60"/>
      <c r="Q24" s="60"/>
      <c r="R24" s="60"/>
      <c r="S24" s="60"/>
      <c r="T24" s="60"/>
      <c r="U24" s="60"/>
      <c r="V24" s="60"/>
      <c r="W24" s="74" t="str">
        <f t="shared" si="1"/>
        <v>-</v>
      </c>
      <c r="X24" s="155" t="str">
        <f t="shared" si="2"/>
        <v>-</v>
      </c>
      <c r="Y24" s="156" t="str">
        <f t="shared" si="3"/>
        <v>-</v>
      </c>
      <c r="AA24" s="60"/>
      <c r="AB24" s="60"/>
      <c r="AC24" s="60"/>
      <c r="AD24" s="60"/>
      <c r="AE24" s="60"/>
      <c r="AF24" s="60"/>
      <c r="AG24" s="60"/>
      <c r="AH24" s="60"/>
      <c r="AI24" s="60"/>
      <c r="AJ24" s="74" t="str">
        <f t="shared" si="4"/>
        <v>-</v>
      </c>
      <c r="AK24" s="60"/>
      <c r="AL24" s="60"/>
      <c r="AM24" s="60"/>
      <c r="AN24" s="60"/>
      <c r="AO24" s="60"/>
      <c r="AP24" s="60"/>
      <c r="AQ24" s="60"/>
      <c r="AR24" s="60"/>
      <c r="AS24" s="60"/>
      <c r="AT24" s="74" t="str">
        <f t="shared" si="5"/>
        <v>-</v>
      </c>
      <c r="AU24" s="155" t="str">
        <f t="shared" si="6"/>
        <v>-</v>
      </c>
      <c r="AV24" s="156" t="str">
        <f t="shared" si="7"/>
        <v>-</v>
      </c>
      <c r="AX24" s="59" t="str">
        <f>IF(AND(D24&gt;0,AA24&gt;0),MIN(D24,AA24),"-")</f>
        <v>-</v>
      </c>
      <c r="AY24" s="59" t="str">
        <f>IF(AND(E24&gt;0,AB24&gt;0),MIN(E24,AB24),"-")</f>
        <v>-</v>
      </c>
      <c r="AZ24" s="59" t="str">
        <f>IF(AND(F24&gt;0,AC24&gt;0),MIN(F24,AC24),"-")</f>
        <v>-</v>
      </c>
      <c r="BA24" s="59" t="str">
        <f>IF(AND(G24&gt;0,AD24&gt;0),MIN(G24,AD24),"-")</f>
        <v>-</v>
      </c>
      <c r="BB24" s="59" t="str">
        <f>IF(AND(H24&gt;0,AE24&gt;0),MIN(H24,AE24),"-")</f>
        <v>-</v>
      </c>
      <c r="BC24" s="59" t="str">
        <f>IF(AND(I24&gt;0,AF24&gt;0),MIN(I24,AF24),"-")</f>
        <v>-</v>
      </c>
      <c r="BD24" s="59" t="str">
        <f>IF(AND(J24&gt;0,AG24&gt;0),MIN(J24,AG24),"-")</f>
        <v>-</v>
      </c>
      <c r="BE24" s="59" t="str">
        <f>IF(AND(K24&gt;0,AH24&gt;0),MIN(K24,AH24),"-")</f>
        <v>-</v>
      </c>
      <c r="BF24" s="59" t="str">
        <f>IF(AND(L24&gt;0,AI24&gt;0),MIN(L24,AI24),"-")</f>
        <v>-</v>
      </c>
      <c r="BG24" s="59" t="str">
        <f t="shared" si="8"/>
        <v>-</v>
      </c>
      <c r="BH24" s="59" t="str">
        <f>IF(AND(N24&gt;0,AK24&gt;0),MIN(N24,AK24),"-")</f>
        <v>-</v>
      </c>
      <c r="BI24" s="59" t="str">
        <f>IF(AND(O24&gt;0,AL24&gt;0),MIN(O24,AL24),"-")</f>
        <v>-</v>
      </c>
      <c r="BJ24" s="59" t="str">
        <f>IF(AND(P24&gt;0,AM24&gt;0),MIN(P24,AM24),"-")</f>
        <v>-</v>
      </c>
      <c r="BK24" s="59" t="str">
        <f>IF(AND(Q24&gt;0,AN24&gt;0),MIN(Q24,AN24),"-")</f>
        <v>-</v>
      </c>
      <c r="BL24" s="59" t="str">
        <f>IF(AND(R24&gt;0,AO24&gt;0),MIN(R24,AO24),"-")</f>
        <v>-</v>
      </c>
      <c r="BM24" s="59" t="str">
        <f>IF(AND(S24&gt;0,AP24&gt;0),MIN(S24,AP24),"-")</f>
        <v>-</v>
      </c>
      <c r="BN24" s="59" t="str">
        <f>IF(AND(T24&gt;0,AQ24&gt;0),MIN(T24,AQ24),"-")</f>
        <v>-</v>
      </c>
      <c r="BO24" s="59" t="str">
        <f>IF(AND(U24&gt;0,AR24&gt;0),MIN(U24,AR24),"-")</f>
        <v>-</v>
      </c>
      <c r="BP24" s="59" t="str">
        <f>IF(AND(V24&gt;0,AS24&gt;0),MIN(V24,AS24),"-")</f>
        <v>-</v>
      </c>
      <c r="BQ24" s="59" t="str">
        <f t="shared" si="9"/>
        <v>-</v>
      </c>
      <c r="BR24" s="59" t="str">
        <f t="shared" si="10"/>
        <v>-</v>
      </c>
      <c r="BS24" s="59" t="str">
        <f t="shared" si="11"/>
        <v>-</v>
      </c>
      <c r="BT24" s="98" t="str">
        <f>IF(ISNUMBER(BS24),BS24-(C24*Rules!$P$9/100),"-")</f>
        <v>-</v>
      </c>
      <c r="BU24" s="59" t="e">
        <f>RANK($BT24,$BT$5:$BT$106,1)+COUNTIF(BT$5:BT24,BT24)-1</f>
        <v>#VALUE!</v>
      </c>
      <c r="BV24" s="59" t="e">
        <f t="shared" si="12"/>
        <v>#VALUE!</v>
      </c>
      <c r="BW24" s="59" t="str">
        <f t="shared" si="13"/>
        <v xml:space="preserve"> </v>
      </c>
      <c r="BX24" s="59" t="str">
        <f t="shared" si="13"/>
        <v>-</v>
      </c>
      <c r="BY24" s="59" t="str">
        <f t="shared" si="14"/>
        <v>-</v>
      </c>
      <c r="CC24" s="4">
        <v>20</v>
      </c>
      <c r="CD24" s="2" t="e">
        <f>VLOOKUP(CC24,$BV$5:BY$215,1,FALSE)</f>
        <v>#N/A</v>
      </c>
      <c r="CE24" s="6" t="e">
        <f>VLOOKUP(CC24,$BV$5:BY$215,2,FALSE)</f>
        <v>#N/A</v>
      </c>
      <c r="CF24" s="103" t="e">
        <f>VLOOKUP(CC24,$BV$5:BY$215,4,FALSE)</f>
        <v>#N/A</v>
      </c>
      <c r="CL24" s="77">
        <v>1</v>
      </c>
    </row>
    <row r="25" spans="1:90" ht="17.45" customHeight="1">
      <c r="A25" s="58">
        <v>21</v>
      </c>
      <c r="B25" s="59" t="str">
        <f>'C Div'!A25 &amp; " " &amp; 'C Div'!B25</f>
        <v xml:space="preserve"> </v>
      </c>
      <c r="C25" s="59" t="str">
        <f>'C Div'!E25</f>
        <v>-</v>
      </c>
      <c r="D25" s="60"/>
      <c r="E25" s="60"/>
      <c r="F25" s="60"/>
      <c r="G25" s="60"/>
      <c r="H25" s="60"/>
      <c r="I25" s="60"/>
      <c r="J25" s="60"/>
      <c r="K25" s="60"/>
      <c r="L25" s="60"/>
      <c r="M25" s="74" t="str">
        <f t="shared" si="15"/>
        <v>-</v>
      </c>
      <c r="N25" s="60"/>
      <c r="O25" s="60"/>
      <c r="P25" s="60"/>
      <c r="Q25" s="60"/>
      <c r="R25" s="60"/>
      <c r="S25" s="60"/>
      <c r="T25" s="60"/>
      <c r="U25" s="60"/>
      <c r="V25" s="60"/>
      <c r="W25" s="74" t="str">
        <f t="shared" si="1"/>
        <v>-</v>
      </c>
      <c r="X25" s="155" t="str">
        <f t="shared" si="2"/>
        <v>-</v>
      </c>
      <c r="Y25" s="156" t="str">
        <f t="shared" si="3"/>
        <v>-</v>
      </c>
      <c r="AA25" s="60"/>
      <c r="AB25" s="60"/>
      <c r="AC25" s="60"/>
      <c r="AD25" s="60"/>
      <c r="AE25" s="60"/>
      <c r="AF25" s="60"/>
      <c r="AG25" s="60"/>
      <c r="AH25" s="60"/>
      <c r="AI25" s="60"/>
      <c r="AJ25" s="74" t="str">
        <f t="shared" si="4"/>
        <v>-</v>
      </c>
      <c r="AK25" s="60"/>
      <c r="AL25" s="60"/>
      <c r="AM25" s="60"/>
      <c r="AN25" s="60"/>
      <c r="AO25" s="60"/>
      <c r="AP25" s="60"/>
      <c r="AQ25" s="60"/>
      <c r="AR25" s="60"/>
      <c r="AS25" s="60"/>
      <c r="AT25" s="74" t="str">
        <f t="shared" si="5"/>
        <v>-</v>
      </c>
      <c r="AU25" s="155" t="str">
        <f t="shared" si="6"/>
        <v>-</v>
      </c>
      <c r="AV25" s="156" t="str">
        <f t="shared" si="7"/>
        <v>-</v>
      </c>
      <c r="AX25" s="59" t="str">
        <f>IF(AND(D25&gt;0,AA25&gt;0),MIN(D25,AA25),"-")</f>
        <v>-</v>
      </c>
      <c r="AY25" s="59" t="str">
        <f>IF(AND(E25&gt;0,AB25&gt;0),MIN(E25,AB25),"-")</f>
        <v>-</v>
      </c>
      <c r="AZ25" s="59" t="str">
        <f>IF(AND(F25&gt;0,AC25&gt;0),MIN(F25,AC25),"-")</f>
        <v>-</v>
      </c>
      <c r="BA25" s="59" t="str">
        <f>IF(AND(G25&gt;0,AD25&gt;0),MIN(G25,AD25),"-")</f>
        <v>-</v>
      </c>
      <c r="BB25" s="59" t="str">
        <f>IF(AND(H25&gt;0,AE25&gt;0),MIN(H25,AE25),"-")</f>
        <v>-</v>
      </c>
      <c r="BC25" s="59" t="str">
        <f>IF(AND(I25&gt;0,AF25&gt;0),MIN(I25,AF25),"-")</f>
        <v>-</v>
      </c>
      <c r="BD25" s="59" t="str">
        <f>IF(AND(J25&gt;0,AG25&gt;0),MIN(J25,AG25),"-")</f>
        <v>-</v>
      </c>
      <c r="BE25" s="59" t="str">
        <f>IF(AND(K25&gt;0,AH25&gt;0),MIN(K25,AH25),"-")</f>
        <v>-</v>
      </c>
      <c r="BF25" s="59" t="str">
        <f>IF(AND(L25&gt;0,AI25&gt;0),MIN(L25,AI25),"-")</f>
        <v>-</v>
      </c>
      <c r="BG25" s="59" t="str">
        <f t="shared" si="8"/>
        <v>-</v>
      </c>
      <c r="BH25" s="59" t="str">
        <f>IF(AND(N25&gt;0,AK25&gt;0),MIN(N25,AK25),"-")</f>
        <v>-</v>
      </c>
      <c r="BI25" s="59" t="str">
        <f>IF(AND(O25&gt;0,AL25&gt;0),MIN(O25,AL25),"-")</f>
        <v>-</v>
      </c>
      <c r="BJ25" s="59" t="str">
        <f>IF(AND(P25&gt;0,AM25&gt;0),MIN(P25,AM25),"-")</f>
        <v>-</v>
      </c>
      <c r="BK25" s="59" t="str">
        <f>IF(AND(Q25&gt;0,AN25&gt;0),MIN(Q25,AN25),"-")</f>
        <v>-</v>
      </c>
      <c r="BL25" s="59" t="str">
        <f>IF(AND(R25&gt;0,AO25&gt;0),MIN(R25,AO25),"-")</f>
        <v>-</v>
      </c>
      <c r="BM25" s="59" t="str">
        <f>IF(AND(S25&gt;0,AP25&gt;0),MIN(S25,AP25),"-")</f>
        <v>-</v>
      </c>
      <c r="BN25" s="59" t="str">
        <f>IF(AND(T25&gt;0,AQ25&gt;0),MIN(T25,AQ25),"-")</f>
        <v>-</v>
      </c>
      <c r="BO25" s="59" t="str">
        <f>IF(AND(U25&gt;0,AR25&gt;0),MIN(U25,AR25),"-")</f>
        <v>-</v>
      </c>
      <c r="BP25" s="59" t="str">
        <f>IF(AND(V25&gt;0,AS25&gt;0),MIN(V25,AS25),"-")</f>
        <v>-</v>
      </c>
      <c r="BQ25" s="59" t="str">
        <f t="shared" si="9"/>
        <v>-</v>
      </c>
      <c r="BR25" s="59" t="str">
        <f t="shared" si="10"/>
        <v>-</v>
      </c>
      <c r="BS25" s="59" t="str">
        <f t="shared" si="11"/>
        <v>-</v>
      </c>
      <c r="BT25" s="98" t="str">
        <f>IF(ISNUMBER(BS25),BS25-(C25*Rules!$P$9/100),"-")</f>
        <v>-</v>
      </c>
      <c r="BU25" s="59" t="e">
        <f>RANK($BT25,$BT$5:$BT$106,1)+COUNTIF(BT$5:BT25,BT25)-1</f>
        <v>#VALUE!</v>
      </c>
      <c r="BV25" s="59" t="e">
        <f t="shared" si="12"/>
        <v>#VALUE!</v>
      </c>
      <c r="BW25" s="59" t="str">
        <f t="shared" si="13"/>
        <v xml:space="preserve"> </v>
      </c>
      <c r="BX25" s="59" t="str">
        <f t="shared" si="13"/>
        <v>-</v>
      </c>
      <c r="BY25" s="59" t="str">
        <f t="shared" si="14"/>
        <v>-</v>
      </c>
      <c r="CC25" s="4">
        <v>21</v>
      </c>
      <c r="CD25" s="2" t="e">
        <f>VLOOKUP(CC25,$BV$5:BY$215,1,FALSE)</f>
        <v>#N/A</v>
      </c>
      <c r="CE25" s="6" t="e">
        <f>VLOOKUP(CC25,$BV$5:BY$215,2,FALSE)</f>
        <v>#N/A</v>
      </c>
      <c r="CF25" s="103" t="e">
        <f>VLOOKUP(CC25,$BV$5:BY$215,4,FALSE)</f>
        <v>#N/A</v>
      </c>
      <c r="CL25" s="77">
        <v>1</v>
      </c>
    </row>
    <row r="26" spans="1:90" ht="17.45" customHeight="1">
      <c r="A26" s="58">
        <v>22</v>
      </c>
      <c r="B26" s="59" t="str">
        <f>'C Div'!A26 &amp; " " &amp; 'C Div'!B26</f>
        <v xml:space="preserve"> </v>
      </c>
      <c r="C26" s="59" t="str">
        <f>'C Div'!E26</f>
        <v>-</v>
      </c>
      <c r="D26" s="60"/>
      <c r="E26" s="60"/>
      <c r="F26" s="60"/>
      <c r="G26" s="60"/>
      <c r="H26" s="60"/>
      <c r="I26" s="60"/>
      <c r="J26" s="60"/>
      <c r="K26" s="60"/>
      <c r="L26" s="60"/>
      <c r="M26" s="74" t="str">
        <f t="shared" si="15"/>
        <v>-</v>
      </c>
      <c r="N26" s="60"/>
      <c r="O26" s="60"/>
      <c r="P26" s="60"/>
      <c r="Q26" s="60"/>
      <c r="R26" s="60"/>
      <c r="S26" s="60"/>
      <c r="T26" s="60"/>
      <c r="U26" s="60"/>
      <c r="V26" s="60"/>
      <c r="W26" s="74" t="str">
        <f t="shared" si="1"/>
        <v>-</v>
      </c>
      <c r="X26" s="155" t="str">
        <f t="shared" si="2"/>
        <v>-</v>
      </c>
      <c r="Y26" s="156" t="str">
        <f t="shared" si="3"/>
        <v>-</v>
      </c>
      <c r="AA26" s="60"/>
      <c r="AB26" s="60"/>
      <c r="AC26" s="60"/>
      <c r="AD26" s="60"/>
      <c r="AE26" s="60"/>
      <c r="AF26" s="60"/>
      <c r="AG26" s="60"/>
      <c r="AH26" s="60"/>
      <c r="AI26" s="60"/>
      <c r="AJ26" s="74" t="str">
        <f t="shared" si="4"/>
        <v>-</v>
      </c>
      <c r="AK26" s="60"/>
      <c r="AL26" s="60"/>
      <c r="AM26" s="60"/>
      <c r="AN26" s="60"/>
      <c r="AO26" s="60"/>
      <c r="AP26" s="60"/>
      <c r="AQ26" s="60"/>
      <c r="AR26" s="60"/>
      <c r="AS26" s="60"/>
      <c r="AT26" s="74" t="str">
        <f t="shared" si="5"/>
        <v>-</v>
      </c>
      <c r="AU26" s="155" t="str">
        <f t="shared" si="6"/>
        <v>-</v>
      </c>
      <c r="AV26" s="156" t="str">
        <f t="shared" si="7"/>
        <v>-</v>
      </c>
      <c r="AX26" s="59" t="str">
        <f>IF(AND(D26&gt;0,AA26&gt;0),MIN(D26,AA26),"-")</f>
        <v>-</v>
      </c>
      <c r="AY26" s="59" t="str">
        <f>IF(AND(E26&gt;0,AB26&gt;0),MIN(E26,AB26),"-")</f>
        <v>-</v>
      </c>
      <c r="AZ26" s="59" t="str">
        <f>IF(AND(F26&gt;0,AC26&gt;0),MIN(F26,AC26),"-")</f>
        <v>-</v>
      </c>
      <c r="BA26" s="59" t="str">
        <f>IF(AND(G26&gt;0,AD26&gt;0),MIN(G26,AD26),"-")</f>
        <v>-</v>
      </c>
      <c r="BB26" s="59" t="str">
        <f>IF(AND(H26&gt;0,AE26&gt;0),MIN(H26,AE26),"-")</f>
        <v>-</v>
      </c>
      <c r="BC26" s="59" t="str">
        <f>IF(AND(I26&gt;0,AF26&gt;0),MIN(I26,AF26),"-")</f>
        <v>-</v>
      </c>
      <c r="BD26" s="59" t="str">
        <f>IF(AND(J26&gt;0,AG26&gt;0),MIN(J26,AG26),"-")</f>
        <v>-</v>
      </c>
      <c r="BE26" s="59" t="str">
        <f>IF(AND(K26&gt;0,AH26&gt;0),MIN(K26,AH26),"-")</f>
        <v>-</v>
      </c>
      <c r="BF26" s="59" t="str">
        <f>IF(AND(L26&gt;0,AI26&gt;0),MIN(L26,AI26),"-")</f>
        <v>-</v>
      </c>
      <c r="BG26" s="59" t="str">
        <f t="shared" si="8"/>
        <v>-</v>
      </c>
      <c r="BH26" s="59" t="str">
        <f>IF(AND(N26&gt;0,AK26&gt;0),MIN(N26,AK26),"-")</f>
        <v>-</v>
      </c>
      <c r="BI26" s="59" t="str">
        <f>IF(AND(O26&gt;0,AL26&gt;0),MIN(O26,AL26),"-")</f>
        <v>-</v>
      </c>
      <c r="BJ26" s="59" t="str">
        <f>IF(AND(P26&gt;0,AM26&gt;0),MIN(P26,AM26),"-")</f>
        <v>-</v>
      </c>
      <c r="BK26" s="59" t="str">
        <f>IF(AND(Q26&gt;0,AN26&gt;0),MIN(Q26,AN26),"-")</f>
        <v>-</v>
      </c>
      <c r="BL26" s="59" t="str">
        <f>IF(AND(R26&gt;0,AO26&gt;0),MIN(R26,AO26),"-")</f>
        <v>-</v>
      </c>
      <c r="BM26" s="59" t="str">
        <f>IF(AND(S26&gt;0,AP26&gt;0),MIN(S26,AP26),"-")</f>
        <v>-</v>
      </c>
      <c r="BN26" s="59" t="str">
        <f>IF(AND(T26&gt;0,AQ26&gt;0),MIN(T26,AQ26),"-")</f>
        <v>-</v>
      </c>
      <c r="BO26" s="59" t="str">
        <f>IF(AND(U26&gt;0,AR26&gt;0),MIN(U26,AR26),"-")</f>
        <v>-</v>
      </c>
      <c r="BP26" s="59" t="str">
        <f>IF(AND(V26&gt;0,AS26&gt;0),MIN(V26,AS26),"-")</f>
        <v>-</v>
      </c>
      <c r="BQ26" s="59" t="str">
        <f t="shared" si="9"/>
        <v>-</v>
      </c>
      <c r="BR26" s="59" t="str">
        <f t="shared" si="10"/>
        <v>-</v>
      </c>
      <c r="BS26" s="59" t="str">
        <f t="shared" si="11"/>
        <v>-</v>
      </c>
      <c r="BT26" s="98" t="str">
        <f>IF(ISNUMBER(BS26),BS26-(C26*Rules!$P$9/100),"-")</f>
        <v>-</v>
      </c>
      <c r="BU26" s="59" t="e">
        <f>RANK($BT26,$BT$5:$BT$106,1)+COUNTIF(BT$5:BT26,BT26)-1</f>
        <v>#VALUE!</v>
      </c>
      <c r="BV26" s="59" t="e">
        <f t="shared" si="12"/>
        <v>#VALUE!</v>
      </c>
      <c r="BW26" s="59" t="str">
        <f t="shared" si="13"/>
        <v xml:space="preserve"> </v>
      </c>
      <c r="BX26" s="59" t="str">
        <f t="shared" si="13"/>
        <v>-</v>
      </c>
      <c r="BY26" s="59" t="str">
        <f t="shared" si="14"/>
        <v>-</v>
      </c>
      <c r="CC26" s="4">
        <v>22</v>
      </c>
      <c r="CD26" s="2" t="e">
        <f>VLOOKUP(CC26,$BV$5:BY$215,1,FALSE)</f>
        <v>#N/A</v>
      </c>
      <c r="CE26" s="6" t="e">
        <f>VLOOKUP(CC26,$BV$5:BY$215,2,FALSE)</f>
        <v>#N/A</v>
      </c>
      <c r="CF26" s="103" t="e">
        <f>VLOOKUP(CC26,$BV$5:BY$215,4,FALSE)</f>
        <v>#N/A</v>
      </c>
      <c r="CL26" s="77">
        <v>1</v>
      </c>
    </row>
    <row r="27" spans="1:90" ht="17.45" customHeight="1">
      <c r="A27" s="58">
        <v>23</v>
      </c>
      <c r="B27" s="59" t="str">
        <f>'C Div'!A27 &amp; " " &amp; 'C Div'!B27</f>
        <v xml:space="preserve"> </v>
      </c>
      <c r="C27" s="59" t="str">
        <f>'C Div'!E27</f>
        <v>-</v>
      </c>
      <c r="D27" s="60"/>
      <c r="E27" s="60"/>
      <c r="F27" s="60"/>
      <c r="G27" s="60"/>
      <c r="H27" s="60"/>
      <c r="I27" s="60"/>
      <c r="J27" s="60"/>
      <c r="K27" s="60"/>
      <c r="L27" s="60"/>
      <c r="M27" s="74" t="str">
        <f t="shared" si="15"/>
        <v>-</v>
      </c>
      <c r="N27" s="60"/>
      <c r="O27" s="60"/>
      <c r="P27" s="60"/>
      <c r="Q27" s="60"/>
      <c r="R27" s="60"/>
      <c r="S27" s="60"/>
      <c r="T27" s="60"/>
      <c r="U27" s="60"/>
      <c r="V27" s="60"/>
      <c r="W27" s="74" t="str">
        <f t="shared" si="1"/>
        <v>-</v>
      </c>
      <c r="X27" s="155" t="str">
        <f t="shared" si="2"/>
        <v>-</v>
      </c>
      <c r="Y27" s="156" t="str">
        <f t="shared" si="3"/>
        <v>-</v>
      </c>
      <c r="AA27" s="60"/>
      <c r="AB27" s="60"/>
      <c r="AC27" s="60"/>
      <c r="AD27" s="60"/>
      <c r="AE27" s="60"/>
      <c r="AF27" s="60"/>
      <c r="AG27" s="60"/>
      <c r="AH27" s="60"/>
      <c r="AI27" s="60"/>
      <c r="AJ27" s="74" t="str">
        <f t="shared" si="4"/>
        <v>-</v>
      </c>
      <c r="AK27" s="60"/>
      <c r="AL27" s="60"/>
      <c r="AM27" s="60"/>
      <c r="AN27" s="60"/>
      <c r="AO27" s="60"/>
      <c r="AP27" s="60"/>
      <c r="AQ27" s="60"/>
      <c r="AR27" s="60"/>
      <c r="AS27" s="60"/>
      <c r="AT27" s="74" t="str">
        <f t="shared" si="5"/>
        <v>-</v>
      </c>
      <c r="AU27" s="155" t="str">
        <f t="shared" si="6"/>
        <v>-</v>
      </c>
      <c r="AV27" s="156" t="str">
        <f t="shared" si="7"/>
        <v>-</v>
      </c>
      <c r="AX27" s="59" t="str">
        <f>IF(AND(D27&gt;0,AA27&gt;0),MIN(D27,AA27),"-")</f>
        <v>-</v>
      </c>
      <c r="AY27" s="59" t="str">
        <f>IF(AND(E27&gt;0,AB27&gt;0),MIN(E27,AB27),"-")</f>
        <v>-</v>
      </c>
      <c r="AZ27" s="59" t="str">
        <f>IF(AND(F27&gt;0,AC27&gt;0),MIN(F27,AC27),"-")</f>
        <v>-</v>
      </c>
      <c r="BA27" s="59" t="str">
        <f>IF(AND(G27&gt;0,AD27&gt;0),MIN(G27,AD27),"-")</f>
        <v>-</v>
      </c>
      <c r="BB27" s="59" t="str">
        <f>IF(AND(H27&gt;0,AE27&gt;0),MIN(H27,AE27),"-")</f>
        <v>-</v>
      </c>
      <c r="BC27" s="59" t="str">
        <f>IF(AND(I27&gt;0,AF27&gt;0),MIN(I27,AF27),"-")</f>
        <v>-</v>
      </c>
      <c r="BD27" s="59" t="str">
        <f>IF(AND(J27&gt;0,AG27&gt;0),MIN(J27,AG27),"-")</f>
        <v>-</v>
      </c>
      <c r="BE27" s="59" t="str">
        <f>IF(AND(K27&gt;0,AH27&gt;0),MIN(K27,AH27),"-")</f>
        <v>-</v>
      </c>
      <c r="BF27" s="59" t="str">
        <f>IF(AND(L27&gt;0,AI27&gt;0),MIN(L27,AI27),"-")</f>
        <v>-</v>
      </c>
      <c r="BG27" s="59" t="str">
        <f t="shared" si="8"/>
        <v>-</v>
      </c>
      <c r="BH27" s="59" t="str">
        <f>IF(AND(N27&gt;0,AK27&gt;0),MIN(N27,AK27),"-")</f>
        <v>-</v>
      </c>
      <c r="BI27" s="59" t="str">
        <f>IF(AND(O27&gt;0,AL27&gt;0),MIN(O27,AL27),"-")</f>
        <v>-</v>
      </c>
      <c r="BJ27" s="59" t="str">
        <f>IF(AND(P27&gt;0,AM27&gt;0),MIN(P27,AM27),"-")</f>
        <v>-</v>
      </c>
      <c r="BK27" s="59" t="str">
        <f>IF(AND(Q27&gt;0,AN27&gt;0),MIN(Q27,AN27),"-")</f>
        <v>-</v>
      </c>
      <c r="BL27" s="59" t="str">
        <f>IF(AND(R27&gt;0,AO27&gt;0),MIN(R27,AO27),"-")</f>
        <v>-</v>
      </c>
      <c r="BM27" s="59" t="str">
        <f>IF(AND(S27&gt;0,AP27&gt;0),MIN(S27,AP27),"-")</f>
        <v>-</v>
      </c>
      <c r="BN27" s="59" t="str">
        <f>IF(AND(T27&gt;0,AQ27&gt;0),MIN(T27,AQ27),"-")</f>
        <v>-</v>
      </c>
      <c r="BO27" s="59" t="str">
        <f>IF(AND(U27&gt;0,AR27&gt;0),MIN(U27,AR27),"-")</f>
        <v>-</v>
      </c>
      <c r="BP27" s="59" t="str">
        <f>IF(AND(V27&gt;0,AS27&gt;0),MIN(V27,AS27),"-")</f>
        <v>-</v>
      </c>
      <c r="BQ27" s="59" t="str">
        <f t="shared" si="9"/>
        <v>-</v>
      </c>
      <c r="BR27" s="59" t="str">
        <f t="shared" si="10"/>
        <v>-</v>
      </c>
      <c r="BS27" s="59" t="str">
        <f t="shared" si="11"/>
        <v>-</v>
      </c>
      <c r="BT27" s="98" t="str">
        <f>IF(ISNUMBER(BS27),BS27-(C27*Rules!$P$9/100),"-")</f>
        <v>-</v>
      </c>
      <c r="BU27" s="59" t="e">
        <f>RANK($BT27,$BT$5:$BT$106,1)+COUNTIF(BT$5:BT27,BT27)-1</f>
        <v>#VALUE!</v>
      </c>
      <c r="BV27" s="59" t="e">
        <f t="shared" si="12"/>
        <v>#VALUE!</v>
      </c>
      <c r="BW27" s="59" t="str">
        <f t="shared" si="13"/>
        <v xml:space="preserve"> </v>
      </c>
      <c r="BX27" s="59" t="str">
        <f t="shared" si="13"/>
        <v>-</v>
      </c>
      <c r="BY27" s="59" t="str">
        <f t="shared" si="14"/>
        <v>-</v>
      </c>
      <c r="CC27" s="4">
        <v>23</v>
      </c>
      <c r="CD27" s="2" t="e">
        <f>VLOOKUP(CC27,$BV$5:BY$215,1,FALSE)</f>
        <v>#N/A</v>
      </c>
      <c r="CE27" s="6" t="e">
        <f>VLOOKUP(CC27,$BV$5:BY$215,2,FALSE)</f>
        <v>#N/A</v>
      </c>
      <c r="CF27" s="103" t="e">
        <f>VLOOKUP(CC27,$BV$5:BY$215,4,FALSE)</f>
        <v>#N/A</v>
      </c>
      <c r="CL27" s="77">
        <v>1</v>
      </c>
    </row>
    <row r="28" spans="1:90" ht="17.45" customHeight="1">
      <c r="A28" s="58">
        <v>24</v>
      </c>
      <c r="B28" s="59" t="str">
        <f>'C Div'!A28 &amp; " " &amp; 'C Div'!B28</f>
        <v xml:space="preserve"> </v>
      </c>
      <c r="C28" s="59" t="str">
        <f>'C Div'!E28</f>
        <v>-</v>
      </c>
      <c r="D28" s="60"/>
      <c r="E28" s="60"/>
      <c r="F28" s="60"/>
      <c r="G28" s="60"/>
      <c r="H28" s="60"/>
      <c r="I28" s="60"/>
      <c r="J28" s="60"/>
      <c r="K28" s="60"/>
      <c r="L28" s="60"/>
      <c r="M28" s="74" t="str">
        <f t="shared" si="15"/>
        <v>-</v>
      </c>
      <c r="N28" s="60"/>
      <c r="O28" s="60"/>
      <c r="P28" s="60"/>
      <c r="Q28" s="60"/>
      <c r="R28" s="60"/>
      <c r="S28" s="60"/>
      <c r="T28" s="60"/>
      <c r="U28" s="60"/>
      <c r="V28" s="60"/>
      <c r="W28" s="74" t="str">
        <f t="shared" si="1"/>
        <v>-</v>
      </c>
      <c r="X28" s="155" t="str">
        <f t="shared" si="2"/>
        <v>-</v>
      </c>
      <c r="Y28" s="156" t="str">
        <f t="shared" si="3"/>
        <v>-</v>
      </c>
      <c r="AA28" s="60"/>
      <c r="AB28" s="60"/>
      <c r="AC28" s="60"/>
      <c r="AD28" s="60"/>
      <c r="AE28" s="60"/>
      <c r="AF28" s="60"/>
      <c r="AG28" s="60"/>
      <c r="AH28" s="60"/>
      <c r="AI28" s="60"/>
      <c r="AJ28" s="74" t="str">
        <f t="shared" si="4"/>
        <v>-</v>
      </c>
      <c r="AK28" s="60"/>
      <c r="AL28" s="60"/>
      <c r="AM28" s="60"/>
      <c r="AN28" s="60"/>
      <c r="AO28" s="60"/>
      <c r="AP28" s="60"/>
      <c r="AQ28" s="60"/>
      <c r="AR28" s="60"/>
      <c r="AS28" s="60"/>
      <c r="AT28" s="74" t="str">
        <f t="shared" si="5"/>
        <v>-</v>
      </c>
      <c r="AU28" s="155" t="str">
        <f t="shared" si="6"/>
        <v>-</v>
      </c>
      <c r="AV28" s="156" t="str">
        <f t="shared" si="7"/>
        <v>-</v>
      </c>
      <c r="AX28" s="59" t="str">
        <f>IF(AND(D28&gt;0,AA28&gt;0),MIN(D28,AA28),"-")</f>
        <v>-</v>
      </c>
      <c r="AY28" s="59" t="str">
        <f>IF(AND(E28&gt;0,AB28&gt;0),MIN(E28,AB28),"-")</f>
        <v>-</v>
      </c>
      <c r="AZ28" s="59" t="str">
        <f>IF(AND(F28&gt;0,AC28&gt;0),MIN(F28,AC28),"-")</f>
        <v>-</v>
      </c>
      <c r="BA28" s="59" t="str">
        <f>IF(AND(G28&gt;0,AD28&gt;0),MIN(G28,AD28),"-")</f>
        <v>-</v>
      </c>
      <c r="BB28" s="59" t="str">
        <f>IF(AND(H28&gt;0,AE28&gt;0),MIN(H28,AE28),"-")</f>
        <v>-</v>
      </c>
      <c r="BC28" s="59" t="str">
        <f>IF(AND(I28&gt;0,AF28&gt;0),MIN(I28,AF28),"-")</f>
        <v>-</v>
      </c>
      <c r="BD28" s="59" t="str">
        <f>IF(AND(J28&gt;0,AG28&gt;0),MIN(J28,AG28),"-")</f>
        <v>-</v>
      </c>
      <c r="BE28" s="59" t="str">
        <f>IF(AND(K28&gt;0,AH28&gt;0),MIN(K28,AH28),"-")</f>
        <v>-</v>
      </c>
      <c r="BF28" s="59" t="str">
        <f>IF(AND(L28&gt;0,AI28&gt;0),MIN(L28,AI28),"-")</f>
        <v>-</v>
      </c>
      <c r="BG28" s="59" t="str">
        <f t="shared" si="8"/>
        <v>-</v>
      </c>
      <c r="BH28" s="59" t="str">
        <f>IF(AND(N28&gt;0,AK28&gt;0),MIN(N28,AK28),"-")</f>
        <v>-</v>
      </c>
      <c r="BI28" s="59" t="str">
        <f>IF(AND(O28&gt;0,AL28&gt;0),MIN(O28,AL28),"-")</f>
        <v>-</v>
      </c>
      <c r="BJ28" s="59" t="str">
        <f>IF(AND(P28&gt;0,AM28&gt;0),MIN(P28,AM28),"-")</f>
        <v>-</v>
      </c>
      <c r="BK28" s="59" t="str">
        <f>IF(AND(Q28&gt;0,AN28&gt;0),MIN(Q28,AN28),"-")</f>
        <v>-</v>
      </c>
      <c r="BL28" s="59" t="str">
        <f>IF(AND(R28&gt;0,AO28&gt;0),MIN(R28,AO28),"-")</f>
        <v>-</v>
      </c>
      <c r="BM28" s="59" t="str">
        <f>IF(AND(S28&gt;0,AP28&gt;0),MIN(S28,AP28),"-")</f>
        <v>-</v>
      </c>
      <c r="BN28" s="59" t="str">
        <f>IF(AND(T28&gt;0,AQ28&gt;0),MIN(T28,AQ28),"-")</f>
        <v>-</v>
      </c>
      <c r="BO28" s="59" t="str">
        <f>IF(AND(U28&gt;0,AR28&gt;0),MIN(U28,AR28),"-")</f>
        <v>-</v>
      </c>
      <c r="BP28" s="59" t="str">
        <f>IF(AND(V28&gt;0,AS28&gt;0),MIN(V28,AS28),"-")</f>
        <v>-</v>
      </c>
      <c r="BQ28" s="59" t="str">
        <f t="shared" si="9"/>
        <v>-</v>
      </c>
      <c r="BR28" s="59" t="str">
        <f t="shared" si="10"/>
        <v>-</v>
      </c>
      <c r="BS28" s="59" t="str">
        <f t="shared" si="11"/>
        <v>-</v>
      </c>
      <c r="BT28" s="98" t="str">
        <f>IF(ISNUMBER(BS28),BS28-(C28*Rules!$P$9/100),"-")</f>
        <v>-</v>
      </c>
      <c r="BU28" s="59" t="e">
        <f>RANK($BT28,$BT$5:$BT$106,1)+COUNTIF(BT$5:BT28,BT28)-1</f>
        <v>#VALUE!</v>
      </c>
      <c r="BV28" s="59" t="e">
        <f t="shared" si="12"/>
        <v>#VALUE!</v>
      </c>
      <c r="BW28" s="59" t="str">
        <f t="shared" si="13"/>
        <v xml:space="preserve"> </v>
      </c>
      <c r="BX28" s="59" t="str">
        <f t="shared" si="13"/>
        <v>-</v>
      </c>
      <c r="BY28" s="59" t="str">
        <f t="shared" si="14"/>
        <v>-</v>
      </c>
      <c r="CC28" s="4">
        <v>24</v>
      </c>
      <c r="CD28" s="2" t="e">
        <f>VLOOKUP(CC28,$BV$5:BY$215,1,FALSE)</f>
        <v>#N/A</v>
      </c>
      <c r="CE28" s="6" t="e">
        <f>VLOOKUP(CC28,$BV$5:BY$215,2,FALSE)</f>
        <v>#N/A</v>
      </c>
      <c r="CF28" s="103" t="e">
        <f>VLOOKUP(CC28,$BV$5:BY$215,4,FALSE)</f>
        <v>#N/A</v>
      </c>
      <c r="CL28" s="77">
        <v>1</v>
      </c>
    </row>
    <row r="29" spans="1:90" ht="17.45" customHeight="1">
      <c r="A29" s="58">
        <v>25</v>
      </c>
      <c r="B29" s="59" t="str">
        <f>'C Div'!A29 &amp; " " &amp; 'C Div'!B29</f>
        <v xml:space="preserve"> </v>
      </c>
      <c r="C29" s="59" t="str">
        <f>'C Div'!E29</f>
        <v>-</v>
      </c>
      <c r="D29" s="60"/>
      <c r="E29" s="60"/>
      <c r="F29" s="60"/>
      <c r="G29" s="60"/>
      <c r="H29" s="60"/>
      <c r="I29" s="60"/>
      <c r="J29" s="60"/>
      <c r="K29" s="60"/>
      <c r="L29" s="60"/>
      <c r="M29" s="74" t="str">
        <f t="shared" si="15"/>
        <v>-</v>
      </c>
      <c r="N29" s="60"/>
      <c r="O29" s="60"/>
      <c r="P29" s="60"/>
      <c r="Q29" s="60"/>
      <c r="R29" s="60"/>
      <c r="S29" s="60"/>
      <c r="T29" s="60"/>
      <c r="U29" s="60"/>
      <c r="V29" s="60"/>
      <c r="W29" s="74" t="str">
        <f t="shared" si="1"/>
        <v>-</v>
      </c>
      <c r="X29" s="155" t="str">
        <f t="shared" si="2"/>
        <v>-</v>
      </c>
      <c r="Y29" s="156" t="str">
        <f t="shared" si="3"/>
        <v>-</v>
      </c>
      <c r="AA29" s="60"/>
      <c r="AB29" s="60"/>
      <c r="AC29" s="60"/>
      <c r="AD29" s="60"/>
      <c r="AE29" s="60"/>
      <c r="AF29" s="60"/>
      <c r="AG29" s="60"/>
      <c r="AH29" s="60"/>
      <c r="AI29" s="60"/>
      <c r="AJ29" s="74" t="str">
        <f t="shared" si="4"/>
        <v>-</v>
      </c>
      <c r="AK29" s="60"/>
      <c r="AL29" s="60"/>
      <c r="AM29" s="60"/>
      <c r="AN29" s="60"/>
      <c r="AO29" s="60"/>
      <c r="AP29" s="60"/>
      <c r="AQ29" s="60"/>
      <c r="AR29" s="60"/>
      <c r="AS29" s="60"/>
      <c r="AT29" s="74" t="str">
        <f t="shared" si="5"/>
        <v>-</v>
      </c>
      <c r="AU29" s="155" t="str">
        <f t="shared" si="6"/>
        <v>-</v>
      </c>
      <c r="AV29" s="156" t="str">
        <f t="shared" si="7"/>
        <v>-</v>
      </c>
      <c r="AX29" s="59" t="str">
        <f>IF(AND(D29&gt;0,AA29&gt;0),MIN(D29,AA29),"-")</f>
        <v>-</v>
      </c>
      <c r="AY29" s="59" t="str">
        <f>IF(AND(E29&gt;0,AB29&gt;0),MIN(E29,AB29),"-")</f>
        <v>-</v>
      </c>
      <c r="AZ29" s="59" t="str">
        <f>IF(AND(F29&gt;0,AC29&gt;0),MIN(F29,AC29),"-")</f>
        <v>-</v>
      </c>
      <c r="BA29" s="59" t="str">
        <f>IF(AND(G29&gt;0,AD29&gt;0),MIN(G29,AD29),"-")</f>
        <v>-</v>
      </c>
      <c r="BB29" s="59" t="str">
        <f>IF(AND(H29&gt;0,AE29&gt;0),MIN(H29,AE29),"-")</f>
        <v>-</v>
      </c>
      <c r="BC29" s="59" t="str">
        <f>IF(AND(I29&gt;0,AF29&gt;0),MIN(I29,AF29),"-")</f>
        <v>-</v>
      </c>
      <c r="BD29" s="59" t="str">
        <f>IF(AND(J29&gt;0,AG29&gt;0),MIN(J29,AG29),"-")</f>
        <v>-</v>
      </c>
      <c r="BE29" s="59" t="str">
        <f>IF(AND(K29&gt;0,AH29&gt;0),MIN(K29,AH29),"-")</f>
        <v>-</v>
      </c>
      <c r="BF29" s="59" t="str">
        <f>IF(AND(L29&gt;0,AI29&gt;0),MIN(L29,AI29),"-")</f>
        <v>-</v>
      </c>
      <c r="BG29" s="59" t="str">
        <f t="shared" si="8"/>
        <v>-</v>
      </c>
      <c r="BH29" s="59" t="str">
        <f>IF(AND(N29&gt;0,AK29&gt;0),MIN(N29,AK29),"-")</f>
        <v>-</v>
      </c>
      <c r="BI29" s="59" t="str">
        <f>IF(AND(O29&gt;0,AL29&gt;0),MIN(O29,AL29),"-")</f>
        <v>-</v>
      </c>
      <c r="BJ29" s="59" t="str">
        <f>IF(AND(P29&gt;0,AM29&gt;0),MIN(P29,AM29),"-")</f>
        <v>-</v>
      </c>
      <c r="BK29" s="59" t="str">
        <f>IF(AND(Q29&gt;0,AN29&gt;0),MIN(Q29,AN29),"-")</f>
        <v>-</v>
      </c>
      <c r="BL29" s="59" t="str">
        <f>IF(AND(R29&gt;0,AO29&gt;0),MIN(R29,AO29),"-")</f>
        <v>-</v>
      </c>
      <c r="BM29" s="59" t="str">
        <f>IF(AND(S29&gt;0,AP29&gt;0),MIN(S29,AP29),"-")</f>
        <v>-</v>
      </c>
      <c r="BN29" s="59" t="str">
        <f>IF(AND(T29&gt;0,AQ29&gt;0),MIN(T29,AQ29),"-")</f>
        <v>-</v>
      </c>
      <c r="BO29" s="59" t="str">
        <f>IF(AND(U29&gt;0,AR29&gt;0),MIN(U29,AR29),"-")</f>
        <v>-</v>
      </c>
      <c r="BP29" s="59" t="str">
        <f>IF(AND(V29&gt;0,AS29&gt;0),MIN(V29,AS29),"-")</f>
        <v>-</v>
      </c>
      <c r="BQ29" s="59" t="str">
        <f t="shared" si="9"/>
        <v>-</v>
      </c>
      <c r="BR29" s="59" t="str">
        <f t="shared" si="10"/>
        <v>-</v>
      </c>
      <c r="BS29" s="59" t="str">
        <f t="shared" si="11"/>
        <v>-</v>
      </c>
      <c r="BT29" s="98" t="str">
        <f>IF(ISNUMBER(BS29),BS29-(C29*Rules!$P$9/100),"-")</f>
        <v>-</v>
      </c>
      <c r="BU29" s="59" t="e">
        <f>RANK($BT29,$BT$5:$BT$106,1)+COUNTIF(BT$5:BT29,BT29)-1</f>
        <v>#VALUE!</v>
      </c>
      <c r="BV29" s="59" t="e">
        <f t="shared" si="12"/>
        <v>#VALUE!</v>
      </c>
      <c r="BW29" s="59" t="str">
        <f t="shared" si="13"/>
        <v xml:space="preserve"> </v>
      </c>
      <c r="BX29" s="59" t="str">
        <f t="shared" si="13"/>
        <v>-</v>
      </c>
      <c r="BY29" s="59" t="str">
        <f t="shared" si="14"/>
        <v>-</v>
      </c>
      <c r="CC29" s="4">
        <v>25</v>
      </c>
      <c r="CD29" s="2" t="e">
        <f>VLOOKUP(CC29,$BV$5:BY$215,1,FALSE)</f>
        <v>#N/A</v>
      </c>
      <c r="CE29" s="6" t="e">
        <f>VLOOKUP(CC29,$BV$5:BY$215,2,FALSE)</f>
        <v>#N/A</v>
      </c>
      <c r="CF29" s="103" t="e">
        <f>VLOOKUP(CC29,$BV$5:BY$215,4,FALSE)</f>
        <v>#N/A</v>
      </c>
      <c r="CL29" s="77">
        <v>1</v>
      </c>
    </row>
    <row r="30" spans="1:90" ht="17.45" customHeight="1">
      <c r="A30" s="58">
        <v>26</v>
      </c>
      <c r="B30" s="59" t="str">
        <f>'C Div'!A30 &amp; " " &amp; 'C Div'!B30</f>
        <v xml:space="preserve"> </v>
      </c>
      <c r="C30" s="59" t="str">
        <f>'C Div'!E30</f>
        <v>-</v>
      </c>
      <c r="D30" s="60"/>
      <c r="E30" s="60"/>
      <c r="F30" s="60"/>
      <c r="G30" s="60"/>
      <c r="H30" s="60"/>
      <c r="I30" s="60"/>
      <c r="J30" s="60"/>
      <c r="K30" s="60"/>
      <c r="L30" s="60"/>
      <c r="M30" s="74" t="str">
        <f t="shared" si="15"/>
        <v>-</v>
      </c>
      <c r="N30" s="60"/>
      <c r="O30" s="60"/>
      <c r="P30" s="60"/>
      <c r="Q30" s="60"/>
      <c r="R30" s="60"/>
      <c r="S30" s="60"/>
      <c r="T30" s="60"/>
      <c r="U30" s="60"/>
      <c r="V30" s="60"/>
      <c r="W30" s="74" t="str">
        <f t="shared" si="1"/>
        <v>-</v>
      </c>
      <c r="X30" s="155" t="str">
        <f t="shared" si="2"/>
        <v>-</v>
      </c>
      <c r="Y30" s="156" t="str">
        <f t="shared" si="3"/>
        <v>-</v>
      </c>
      <c r="AA30" s="60"/>
      <c r="AB30" s="60"/>
      <c r="AC30" s="60"/>
      <c r="AD30" s="60"/>
      <c r="AE30" s="60"/>
      <c r="AF30" s="60"/>
      <c r="AG30" s="60"/>
      <c r="AH30" s="60"/>
      <c r="AI30" s="60"/>
      <c r="AJ30" s="74" t="str">
        <f t="shared" si="4"/>
        <v>-</v>
      </c>
      <c r="AK30" s="60"/>
      <c r="AL30" s="60"/>
      <c r="AM30" s="60"/>
      <c r="AN30" s="60"/>
      <c r="AO30" s="60"/>
      <c r="AP30" s="60"/>
      <c r="AQ30" s="60"/>
      <c r="AR30" s="60"/>
      <c r="AS30" s="60"/>
      <c r="AT30" s="74" t="str">
        <f t="shared" si="5"/>
        <v>-</v>
      </c>
      <c r="AU30" s="155" t="str">
        <f t="shared" si="6"/>
        <v>-</v>
      </c>
      <c r="AV30" s="156" t="str">
        <f t="shared" si="7"/>
        <v>-</v>
      </c>
      <c r="AX30" s="59" t="str">
        <f>IF(AND(D30&gt;0,AA30&gt;0),MIN(D30,AA30),"-")</f>
        <v>-</v>
      </c>
      <c r="AY30" s="59" t="str">
        <f>IF(AND(E30&gt;0,AB30&gt;0),MIN(E30,AB30),"-")</f>
        <v>-</v>
      </c>
      <c r="AZ30" s="59" t="str">
        <f>IF(AND(F30&gt;0,AC30&gt;0),MIN(F30,AC30),"-")</f>
        <v>-</v>
      </c>
      <c r="BA30" s="59" t="str">
        <f>IF(AND(G30&gt;0,AD30&gt;0),MIN(G30,AD30),"-")</f>
        <v>-</v>
      </c>
      <c r="BB30" s="59" t="str">
        <f>IF(AND(H30&gt;0,AE30&gt;0),MIN(H30,AE30),"-")</f>
        <v>-</v>
      </c>
      <c r="BC30" s="59" t="str">
        <f>IF(AND(I30&gt;0,AF30&gt;0),MIN(I30,AF30),"-")</f>
        <v>-</v>
      </c>
      <c r="BD30" s="59" t="str">
        <f>IF(AND(J30&gt;0,AG30&gt;0),MIN(J30,AG30),"-")</f>
        <v>-</v>
      </c>
      <c r="BE30" s="59" t="str">
        <f>IF(AND(K30&gt;0,AH30&gt;0),MIN(K30,AH30),"-")</f>
        <v>-</v>
      </c>
      <c r="BF30" s="59" t="str">
        <f>IF(AND(L30&gt;0,AI30&gt;0),MIN(L30,AI30),"-")</f>
        <v>-</v>
      </c>
      <c r="BG30" s="59" t="str">
        <f t="shared" si="8"/>
        <v>-</v>
      </c>
      <c r="BH30" s="59" t="str">
        <f>IF(AND(N30&gt;0,AK30&gt;0),MIN(N30,AK30),"-")</f>
        <v>-</v>
      </c>
      <c r="BI30" s="59" t="str">
        <f>IF(AND(O30&gt;0,AL30&gt;0),MIN(O30,AL30),"-")</f>
        <v>-</v>
      </c>
      <c r="BJ30" s="59" t="str">
        <f>IF(AND(P30&gt;0,AM30&gt;0),MIN(P30,AM30),"-")</f>
        <v>-</v>
      </c>
      <c r="BK30" s="59" t="str">
        <f>IF(AND(Q30&gt;0,AN30&gt;0),MIN(Q30,AN30),"-")</f>
        <v>-</v>
      </c>
      <c r="BL30" s="59" t="str">
        <f>IF(AND(R30&gt;0,AO30&gt;0),MIN(R30,AO30),"-")</f>
        <v>-</v>
      </c>
      <c r="BM30" s="59" t="str">
        <f>IF(AND(S30&gt;0,AP30&gt;0),MIN(S30,AP30),"-")</f>
        <v>-</v>
      </c>
      <c r="BN30" s="59" t="str">
        <f>IF(AND(T30&gt;0,AQ30&gt;0),MIN(T30,AQ30),"-")</f>
        <v>-</v>
      </c>
      <c r="BO30" s="59" t="str">
        <f>IF(AND(U30&gt;0,AR30&gt;0),MIN(U30,AR30),"-")</f>
        <v>-</v>
      </c>
      <c r="BP30" s="59" t="str">
        <f>IF(AND(V30&gt;0,AS30&gt;0),MIN(V30,AS30),"-")</f>
        <v>-</v>
      </c>
      <c r="BQ30" s="59" t="str">
        <f t="shared" si="9"/>
        <v>-</v>
      </c>
      <c r="BR30" s="59" t="str">
        <f t="shared" si="10"/>
        <v>-</v>
      </c>
      <c r="BS30" s="59" t="str">
        <f t="shared" si="11"/>
        <v>-</v>
      </c>
      <c r="BT30" s="98" t="str">
        <f>IF(ISNUMBER(BS30),BS30-(C30*Rules!$P$9/100),"-")</f>
        <v>-</v>
      </c>
      <c r="BU30" s="59" t="e">
        <f>RANK($BT30,$BT$5:$BT$106,1)+COUNTIF(BT$5:BT30,BT30)-1</f>
        <v>#VALUE!</v>
      </c>
      <c r="BV30" s="59" t="e">
        <f t="shared" si="12"/>
        <v>#VALUE!</v>
      </c>
      <c r="BW30" s="59" t="str">
        <f t="shared" si="13"/>
        <v xml:space="preserve"> </v>
      </c>
      <c r="BX30" s="59" t="str">
        <f t="shared" si="13"/>
        <v>-</v>
      </c>
      <c r="BY30" s="59" t="str">
        <f t="shared" si="14"/>
        <v>-</v>
      </c>
      <c r="CC30" s="4">
        <v>26</v>
      </c>
      <c r="CD30" s="2" t="e">
        <f>VLOOKUP(CC30,$BV$5:BY$215,1,FALSE)</f>
        <v>#N/A</v>
      </c>
      <c r="CE30" s="6" t="e">
        <f>VLOOKUP(CC30,$BV$5:BY$215,2,FALSE)</f>
        <v>#N/A</v>
      </c>
      <c r="CF30" s="103" t="e">
        <f>VLOOKUP(CC30,$BV$5:BY$215,4,FALSE)</f>
        <v>#N/A</v>
      </c>
      <c r="CL30" s="77">
        <v>1</v>
      </c>
    </row>
    <row r="31" spans="1:90" ht="17.45" customHeight="1">
      <c r="A31" s="58">
        <v>27</v>
      </c>
      <c r="B31" s="59" t="str">
        <f>'C Div'!A31 &amp; " " &amp; 'C Div'!B31</f>
        <v xml:space="preserve"> </v>
      </c>
      <c r="C31" s="59" t="str">
        <f>'C Div'!E31</f>
        <v>-</v>
      </c>
      <c r="D31" s="60"/>
      <c r="E31" s="60"/>
      <c r="F31" s="60"/>
      <c r="G31" s="60"/>
      <c r="H31" s="60"/>
      <c r="I31" s="60"/>
      <c r="J31" s="60"/>
      <c r="K31" s="60"/>
      <c r="L31" s="60"/>
      <c r="M31" s="74" t="str">
        <f t="shared" si="15"/>
        <v>-</v>
      </c>
      <c r="N31" s="60"/>
      <c r="O31" s="60"/>
      <c r="P31" s="60"/>
      <c r="Q31" s="60"/>
      <c r="R31" s="60"/>
      <c r="S31" s="60"/>
      <c r="T31" s="60"/>
      <c r="U31" s="60"/>
      <c r="V31" s="60"/>
      <c r="W31" s="74" t="str">
        <f t="shared" si="1"/>
        <v>-</v>
      </c>
      <c r="X31" s="155" t="str">
        <f t="shared" si="2"/>
        <v>-</v>
      </c>
      <c r="Y31" s="156" t="str">
        <f t="shared" si="3"/>
        <v>-</v>
      </c>
      <c r="AA31" s="60"/>
      <c r="AB31" s="60"/>
      <c r="AC31" s="60"/>
      <c r="AD31" s="60"/>
      <c r="AE31" s="60"/>
      <c r="AF31" s="60"/>
      <c r="AG31" s="60"/>
      <c r="AH31" s="60"/>
      <c r="AI31" s="60"/>
      <c r="AJ31" s="74" t="str">
        <f t="shared" si="4"/>
        <v>-</v>
      </c>
      <c r="AK31" s="60"/>
      <c r="AL31" s="60"/>
      <c r="AM31" s="60"/>
      <c r="AN31" s="60"/>
      <c r="AO31" s="60"/>
      <c r="AP31" s="60"/>
      <c r="AQ31" s="60"/>
      <c r="AR31" s="60"/>
      <c r="AS31" s="60"/>
      <c r="AT31" s="74" t="str">
        <f t="shared" si="5"/>
        <v>-</v>
      </c>
      <c r="AU31" s="155" t="str">
        <f t="shared" si="6"/>
        <v>-</v>
      </c>
      <c r="AV31" s="156" t="str">
        <f t="shared" si="7"/>
        <v>-</v>
      </c>
      <c r="AX31" s="59" t="str">
        <f>IF(AND(D31&gt;0,AA31&gt;0),MIN(D31,AA31),"-")</f>
        <v>-</v>
      </c>
      <c r="AY31" s="59" t="str">
        <f>IF(AND(E31&gt;0,AB31&gt;0),MIN(E31,AB31),"-")</f>
        <v>-</v>
      </c>
      <c r="AZ31" s="59" t="str">
        <f>IF(AND(F31&gt;0,AC31&gt;0),MIN(F31,AC31),"-")</f>
        <v>-</v>
      </c>
      <c r="BA31" s="59" t="str">
        <f>IF(AND(G31&gt;0,AD31&gt;0),MIN(G31,AD31),"-")</f>
        <v>-</v>
      </c>
      <c r="BB31" s="59" t="str">
        <f>IF(AND(H31&gt;0,AE31&gt;0),MIN(H31,AE31),"-")</f>
        <v>-</v>
      </c>
      <c r="BC31" s="59" t="str">
        <f>IF(AND(I31&gt;0,AF31&gt;0),MIN(I31,AF31),"-")</f>
        <v>-</v>
      </c>
      <c r="BD31" s="59" t="str">
        <f>IF(AND(J31&gt;0,AG31&gt;0),MIN(J31,AG31),"-")</f>
        <v>-</v>
      </c>
      <c r="BE31" s="59" t="str">
        <f>IF(AND(K31&gt;0,AH31&gt;0),MIN(K31,AH31),"-")</f>
        <v>-</v>
      </c>
      <c r="BF31" s="59" t="str">
        <f>IF(AND(L31&gt;0,AI31&gt;0),MIN(L31,AI31),"-")</f>
        <v>-</v>
      </c>
      <c r="BG31" s="59" t="str">
        <f t="shared" si="8"/>
        <v>-</v>
      </c>
      <c r="BH31" s="59" t="str">
        <f>IF(AND(N31&gt;0,AK31&gt;0),MIN(N31,AK31),"-")</f>
        <v>-</v>
      </c>
      <c r="BI31" s="59" t="str">
        <f>IF(AND(O31&gt;0,AL31&gt;0),MIN(O31,AL31),"-")</f>
        <v>-</v>
      </c>
      <c r="BJ31" s="59" t="str">
        <f>IF(AND(P31&gt;0,AM31&gt;0),MIN(P31,AM31),"-")</f>
        <v>-</v>
      </c>
      <c r="BK31" s="59" t="str">
        <f>IF(AND(Q31&gt;0,AN31&gt;0),MIN(Q31,AN31),"-")</f>
        <v>-</v>
      </c>
      <c r="BL31" s="59" t="str">
        <f>IF(AND(R31&gt;0,AO31&gt;0),MIN(R31,AO31),"-")</f>
        <v>-</v>
      </c>
      <c r="BM31" s="59" t="str">
        <f>IF(AND(S31&gt;0,AP31&gt;0),MIN(S31,AP31),"-")</f>
        <v>-</v>
      </c>
      <c r="BN31" s="59" t="str">
        <f>IF(AND(T31&gt;0,AQ31&gt;0),MIN(T31,AQ31),"-")</f>
        <v>-</v>
      </c>
      <c r="BO31" s="59" t="str">
        <f>IF(AND(U31&gt;0,AR31&gt;0),MIN(U31,AR31),"-")</f>
        <v>-</v>
      </c>
      <c r="BP31" s="59" t="str">
        <f>IF(AND(V31&gt;0,AS31&gt;0),MIN(V31,AS31),"-")</f>
        <v>-</v>
      </c>
      <c r="BQ31" s="59" t="str">
        <f t="shared" si="9"/>
        <v>-</v>
      </c>
      <c r="BR31" s="59" t="str">
        <f t="shared" si="10"/>
        <v>-</v>
      </c>
      <c r="BS31" s="59" t="str">
        <f t="shared" si="11"/>
        <v>-</v>
      </c>
      <c r="BT31" s="98" t="str">
        <f>IF(ISNUMBER(BS31),BS31-(C31*Rules!$P$9/100),"-")</f>
        <v>-</v>
      </c>
      <c r="BU31" s="59" t="e">
        <f>RANK($BT31,$BT$5:$BT$106,1)+COUNTIF(BT$5:BT31,BT31)-1</f>
        <v>#VALUE!</v>
      </c>
      <c r="BV31" s="59" t="e">
        <f t="shared" si="12"/>
        <v>#VALUE!</v>
      </c>
      <c r="BW31" s="59" t="str">
        <f t="shared" si="13"/>
        <v xml:space="preserve"> </v>
      </c>
      <c r="BX31" s="59" t="str">
        <f t="shared" si="13"/>
        <v>-</v>
      </c>
      <c r="BY31" s="59" t="str">
        <f t="shared" si="14"/>
        <v>-</v>
      </c>
      <c r="CC31" s="4">
        <v>27</v>
      </c>
      <c r="CD31" s="2" t="e">
        <f>VLOOKUP(CC31,$BV$5:BY$215,1,FALSE)</f>
        <v>#N/A</v>
      </c>
      <c r="CE31" s="6" t="e">
        <f>VLOOKUP(CC31,$BV$5:BY$215,2,FALSE)</f>
        <v>#N/A</v>
      </c>
      <c r="CF31" s="103" t="e">
        <f>VLOOKUP(CC31,$BV$5:BY$215,4,FALSE)</f>
        <v>#N/A</v>
      </c>
      <c r="CL31" s="77">
        <v>1</v>
      </c>
    </row>
    <row r="32" spans="1:90" ht="17.45" customHeight="1">
      <c r="A32" s="58">
        <v>28</v>
      </c>
      <c r="B32" s="59" t="str">
        <f>'C Div'!A32 &amp; " " &amp; 'C Div'!B32</f>
        <v xml:space="preserve"> </v>
      </c>
      <c r="C32" s="59" t="str">
        <f>'C Div'!E32</f>
        <v>-</v>
      </c>
      <c r="D32" s="60"/>
      <c r="E32" s="60"/>
      <c r="F32" s="60"/>
      <c r="G32" s="60"/>
      <c r="H32" s="60"/>
      <c r="I32" s="60"/>
      <c r="J32" s="60"/>
      <c r="K32" s="60"/>
      <c r="L32" s="60"/>
      <c r="M32" s="74" t="str">
        <f t="shared" si="15"/>
        <v>-</v>
      </c>
      <c r="N32" s="60"/>
      <c r="O32" s="60"/>
      <c r="P32" s="60"/>
      <c r="Q32" s="60"/>
      <c r="R32" s="60"/>
      <c r="S32" s="60"/>
      <c r="T32" s="60"/>
      <c r="U32" s="60"/>
      <c r="V32" s="60"/>
      <c r="W32" s="74" t="str">
        <f t="shared" si="1"/>
        <v>-</v>
      </c>
      <c r="X32" s="155" t="str">
        <f t="shared" si="2"/>
        <v>-</v>
      </c>
      <c r="Y32" s="156" t="str">
        <f t="shared" si="3"/>
        <v>-</v>
      </c>
      <c r="AA32" s="60"/>
      <c r="AB32" s="60"/>
      <c r="AC32" s="60"/>
      <c r="AD32" s="60"/>
      <c r="AE32" s="60"/>
      <c r="AF32" s="60"/>
      <c r="AG32" s="60"/>
      <c r="AH32" s="60"/>
      <c r="AI32" s="60"/>
      <c r="AJ32" s="74" t="str">
        <f t="shared" si="4"/>
        <v>-</v>
      </c>
      <c r="AK32" s="60"/>
      <c r="AL32" s="60"/>
      <c r="AM32" s="60"/>
      <c r="AN32" s="60"/>
      <c r="AO32" s="60"/>
      <c r="AP32" s="60"/>
      <c r="AQ32" s="60"/>
      <c r="AR32" s="60"/>
      <c r="AS32" s="60"/>
      <c r="AT32" s="74" t="str">
        <f t="shared" si="5"/>
        <v>-</v>
      </c>
      <c r="AU32" s="155" t="str">
        <f t="shared" si="6"/>
        <v>-</v>
      </c>
      <c r="AV32" s="156" t="str">
        <f t="shared" si="7"/>
        <v>-</v>
      </c>
      <c r="AX32" s="59" t="str">
        <f>IF(AND(D32&gt;0,AA32&gt;0),MIN(D32,AA32),"-")</f>
        <v>-</v>
      </c>
      <c r="AY32" s="59" t="str">
        <f>IF(AND(E32&gt;0,AB32&gt;0),MIN(E32,AB32),"-")</f>
        <v>-</v>
      </c>
      <c r="AZ32" s="59" t="str">
        <f>IF(AND(F32&gt;0,AC32&gt;0),MIN(F32,AC32),"-")</f>
        <v>-</v>
      </c>
      <c r="BA32" s="59" t="str">
        <f>IF(AND(G32&gt;0,AD32&gt;0),MIN(G32,AD32),"-")</f>
        <v>-</v>
      </c>
      <c r="BB32" s="59" t="str">
        <f>IF(AND(H32&gt;0,AE32&gt;0),MIN(H32,AE32),"-")</f>
        <v>-</v>
      </c>
      <c r="BC32" s="59" t="str">
        <f>IF(AND(I32&gt;0,AF32&gt;0),MIN(I32,AF32),"-")</f>
        <v>-</v>
      </c>
      <c r="BD32" s="59" t="str">
        <f>IF(AND(J32&gt;0,AG32&gt;0),MIN(J32,AG32),"-")</f>
        <v>-</v>
      </c>
      <c r="BE32" s="59" t="str">
        <f>IF(AND(K32&gt;0,AH32&gt;0),MIN(K32,AH32),"-")</f>
        <v>-</v>
      </c>
      <c r="BF32" s="59" t="str">
        <f>IF(AND(L32&gt;0,AI32&gt;0),MIN(L32,AI32),"-")</f>
        <v>-</v>
      </c>
      <c r="BG32" s="59" t="str">
        <f t="shared" si="8"/>
        <v>-</v>
      </c>
      <c r="BH32" s="59" t="str">
        <f>IF(AND(N32&gt;0,AK32&gt;0),MIN(N32,AK32),"-")</f>
        <v>-</v>
      </c>
      <c r="BI32" s="59" t="str">
        <f>IF(AND(O32&gt;0,AL32&gt;0),MIN(O32,AL32),"-")</f>
        <v>-</v>
      </c>
      <c r="BJ32" s="59" t="str">
        <f>IF(AND(P32&gt;0,AM32&gt;0),MIN(P32,AM32),"-")</f>
        <v>-</v>
      </c>
      <c r="BK32" s="59" t="str">
        <f>IF(AND(Q32&gt;0,AN32&gt;0),MIN(Q32,AN32),"-")</f>
        <v>-</v>
      </c>
      <c r="BL32" s="59" t="str">
        <f>IF(AND(R32&gt;0,AO32&gt;0),MIN(R32,AO32),"-")</f>
        <v>-</v>
      </c>
      <c r="BM32" s="59" t="str">
        <f>IF(AND(S32&gt;0,AP32&gt;0),MIN(S32,AP32),"-")</f>
        <v>-</v>
      </c>
      <c r="BN32" s="59" t="str">
        <f>IF(AND(T32&gt;0,AQ32&gt;0),MIN(T32,AQ32),"-")</f>
        <v>-</v>
      </c>
      <c r="BO32" s="59" t="str">
        <f>IF(AND(U32&gt;0,AR32&gt;0),MIN(U32,AR32),"-")</f>
        <v>-</v>
      </c>
      <c r="BP32" s="59" t="str">
        <f>IF(AND(V32&gt;0,AS32&gt;0),MIN(V32,AS32),"-")</f>
        <v>-</v>
      </c>
      <c r="BQ32" s="59" t="str">
        <f t="shared" si="9"/>
        <v>-</v>
      </c>
      <c r="BR32" s="59" t="str">
        <f t="shared" si="10"/>
        <v>-</v>
      </c>
      <c r="BS32" s="59" t="str">
        <f t="shared" si="11"/>
        <v>-</v>
      </c>
      <c r="BT32" s="98" t="str">
        <f>IF(ISNUMBER(BS32),BS32-(C32*Rules!$P$9/100),"-")</f>
        <v>-</v>
      </c>
      <c r="BU32" s="59" t="e">
        <f>RANK($BT32,$BT$5:$BT$106,1)+COUNTIF(BT$5:BT32,BT32)-1</f>
        <v>#VALUE!</v>
      </c>
      <c r="BV32" s="59" t="e">
        <f t="shared" si="12"/>
        <v>#VALUE!</v>
      </c>
      <c r="BW32" s="59" t="str">
        <f t="shared" si="13"/>
        <v xml:space="preserve"> </v>
      </c>
      <c r="BX32" s="59" t="str">
        <f t="shared" si="13"/>
        <v>-</v>
      </c>
      <c r="BY32" s="59" t="str">
        <f t="shared" si="14"/>
        <v>-</v>
      </c>
      <c r="CC32" s="4">
        <v>28</v>
      </c>
      <c r="CD32" s="2" t="e">
        <f>VLOOKUP(CC32,$BV$5:BY$215,1,FALSE)</f>
        <v>#N/A</v>
      </c>
      <c r="CE32" s="6" t="e">
        <f>VLOOKUP(CC32,$BV$5:BY$215,2,FALSE)</f>
        <v>#N/A</v>
      </c>
      <c r="CF32" s="103" t="e">
        <f>VLOOKUP(CC32,$BV$5:BY$215,4,FALSE)</f>
        <v>#N/A</v>
      </c>
      <c r="CL32" s="77">
        <v>1</v>
      </c>
    </row>
    <row r="33" spans="1:90" ht="17.45" customHeight="1">
      <c r="A33" s="58">
        <v>29</v>
      </c>
      <c r="B33" s="59" t="str">
        <f>'C Div'!A33 &amp; " " &amp; 'C Div'!B33</f>
        <v xml:space="preserve"> </v>
      </c>
      <c r="C33" s="59" t="str">
        <f>'C Div'!E33</f>
        <v>-</v>
      </c>
      <c r="D33" s="60"/>
      <c r="E33" s="60"/>
      <c r="F33" s="60"/>
      <c r="G33" s="60"/>
      <c r="H33" s="60"/>
      <c r="I33" s="60"/>
      <c r="J33" s="60"/>
      <c r="K33" s="60"/>
      <c r="L33" s="60"/>
      <c r="M33" s="74" t="str">
        <f t="shared" si="15"/>
        <v>-</v>
      </c>
      <c r="N33" s="60"/>
      <c r="O33" s="60"/>
      <c r="P33" s="60"/>
      <c r="Q33" s="60"/>
      <c r="R33" s="60"/>
      <c r="S33" s="60"/>
      <c r="T33" s="60"/>
      <c r="U33" s="60"/>
      <c r="V33" s="60"/>
      <c r="W33" s="74" t="str">
        <f t="shared" si="1"/>
        <v>-</v>
      </c>
      <c r="X33" s="155" t="str">
        <f t="shared" si="2"/>
        <v>-</v>
      </c>
      <c r="Y33" s="156" t="str">
        <f t="shared" si="3"/>
        <v>-</v>
      </c>
      <c r="AA33" s="60"/>
      <c r="AB33" s="60"/>
      <c r="AC33" s="60"/>
      <c r="AD33" s="60"/>
      <c r="AE33" s="60"/>
      <c r="AF33" s="60"/>
      <c r="AG33" s="60"/>
      <c r="AH33" s="60"/>
      <c r="AI33" s="60"/>
      <c r="AJ33" s="74" t="str">
        <f t="shared" si="4"/>
        <v>-</v>
      </c>
      <c r="AK33" s="60"/>
      <c r="AL33" s="60"/>
      <c r="AM33" s="60"/>
      <c r="AN33" s="60"/>
      <c r="AO33" s="60"/>
      <c r="AP33" s="60"/>
      <c r="AQ33" s="60"/>
      <c r="AR33" s="60"/>
      <c r="AS33" s="60"/>
      <c r="AT33" s="74" t="str">
        <f t="shared" si="5"/>
        <v>-</v>
      </c>
      <c r="AU33" s="155" t="str">
        <f t="shared" si="6"/>
        <v>-</v>
      </c>
      <c r="AV33" s="156" t="str">
        <f t="shared" si="7"/>
        <v>-</v>
      </c>
      <c r="AX33" s="59" t="str">
        <f>IF(AND(D33&gt;0,AA33&gt;0),MIN(D33,AA33),"-")</f>
        <v>-</v>
      </c>
      <c r="AY33" s="59" t="str">
        <f>IF(AND(E33&gt;0,AB33&gt;0),MIN(E33,AB33),"-")</f>
        <v>-</v>
      </c>
      <c r="AZ33" s="59" t="str">
        <f>IF(AND(F33&gt;0,AC33&gt;0),MIN(F33,AC33),"-")</f>
        <v>-</v>
      </c>
      <c r="BA33" s="59" t="str">
        <f>IF(AND(G33&gt;0,AD33&gt;0),MIN(G33,AD33),"-")</f>
        <v>-</v>
      </c>
      <c r="BB33" s="59" t="str">
        <f>IF(AND(H33&gt;0,AE33&gt;0),MIN(H33,AE33),"-")</f>
        <v>-</v>
      </c>
      <c r="BC33" s="59" t="str">
        <f>IF(AND(I33&gt;0,AF33&gt;0),MIN(I33,AF33),"-")</f>
        <v>-</v>
      </c>
      <c r="BD33" s="59" t="str">
        <f>IF(AND(J33&gt;0,AG33&gt;0),MIN(J33,AG33),"-")</f>
        <v>-</v>
      </c>
      <c r="BE33" s="59" t="str">
        <f>IF(AND(K33&gt;0,AH33&gt;0),MIN(K33,AH33),"-")</f>
        <v>-</v>
      </c>
      <c r="BF33" s="59" t="str">
        <f>IF(AND(L33&gt;0,AI33&gt;0),MIN(L33,AI33),"-")</f>
        <v>-</v>
      </c>
      <c r="BG33" s="59" t="str">
        <f t="shared" si="8"/>
        <v>-</v>
      </c>
      <c r="BH33" s="59" t="str">
        <f>IF(AND(N33&gt;0,AK33&gt;0),MIN(N33,AK33),"-")</f>
        <v>-</v>
      </c>
      <c r="BI33" s="59" t="str">
        <f>IF(AND(O33&gt;0,AL33&gt;0),MIN(O33,AL33),"-")</f>
        <v>-</v>
      </c>
      <c r="BJ33" s="59" t="str">
        <f>IF(AND(P33&gt;0,AM33&gt;0),MIN(P33,AM33),"-")</f>
        <v>-</v>
      </c>
      <c r="BK33" s="59" t="str">
        <f>IF(AND(Q33&gt;0,AN33&gt;0),MIN(Q33,AN33),"-")</f>
        <v>-</v>
      </c>
      <c r="BL33" s="59" t="str">
        <f>IF(AND(R33&gt;0,AO33&gt;0),MIN(R33,AO33),"-")</f>
        <v>-</v>
      </c>
      <c r="BM33" s="59" t="str">
        <f>IF(AND(S33&gt;0,AP33&gt;0),MIN(S33,AP33),"-")</f>
        <v>-</v>
      </c>
      <c r="BN33" s="59" t="str">
        <f>IF(AND(T33&gt;0,AQ33&gt;0),MIN(T33,AQ33),"-")</f>
        <v>-</v>
      </c>
      <c r="BO33" s="59" t="str">
        <f>IF(AND(U33&gt;0,AR33&gt;0),MIN(U33,AR33),"-")</f>
        <v>-</v>
      </c>
      <c r="BP33" s="59" t="str">
        <f>IF(AND(V33&gt;0,AS33&gt;0),MIN(V33,AS33),"-")</f>
        <v>-</v>
      </c>
      <c r="BQ33" s="59" t="str">
        <f t="shared" si="9"/>
        <v>-</v>
      </c>
      <c r="BR33" s="59" t="str">
        <f t="shared" si="10"/>
        <v>-</v>
      </c>
      <c r="BS33" s="59" t="str">
        <f t="shared" si="11"/>
        <v>-</v>
      </c>
      <c r="BT33" s="98" t="str">
        <f>IF(ISNUMBER(BS33),BS33-(C33*Rules!$P$9/100),"-")</f>
        <v>-</v>
      </c>
      <c r="BU33" s="59" t="e">
        <f>RANK($BT33,$BT$5:$BT$106,1)+COUNTIF(BT$5:BT33,BT33)-1</f>
        <v>#VALUE!</v>
      </c>
      <c r="BV33" s="59" t="e">
        <f t="shared" si="12"/>
        <v>#VALUE!</v>
      </c>
      <c r="BW33" s="59" t="str">
        <f t="shared" si="13"/>
        <v xml:space="preserve"> </v>
      </c>
      <c r="BX33" s="59" t="str">
        <f t="shared" si="13"/>
        <v>-</v>
      </c>
      <c r="BY33" s="59" t="str">
        <f t="shared" si="14"/>
        <v>-</v>
      </c>
      <c r="CC33" s="4">
        <v>29</v>
      </c>
      <c r="CD33" s="2" t="e">
        <f>VLOOKUP(CC33,$BV$5:BY$215,1,FALSE)</f>
        <v>#N/A</v>
      </c>
      <c r="CE33" s="6" t="e">
        <f>VLOOKUP(CC33,$BV$5:BY$215,2,FALSE)</f>
        <v>#N/A</v>
      </c>
      <c r="CF33" s="103" t="e">
        <f>VLOOKUP(CC33,$BV$5:BY$215,4,FALSE)</f>
        <v>#N/A</v>
      </c>
      <c r="CL33" s="77">
        <v>1</v>
      </c>
    </row>
    <row r="34" spans="1:90" ht="17.45" customHeight="1">
      <c r="A34" s="58">
        <v>30</v>
      </c>
      <c r="B34" s="59" t="str">
        <f>'C Div'!A34 &amp; " " &amp; 'C Div'!B34</f>
        <v xml:space="preserve"> </v>
      </c>
      <c r="C34" s="59" t="str">
        <f>'C Div'!E34</f>
        <v>-</v>
      </c>
      <c r="D34" s="60"/>
      <c r="E34" s="60"/>
      <c r="F34" s="60"/>
      <c r="G34" s="60"/>
      <c r="H34" s="60"/>
      <c r="I34" s="60"/>
      <c r="J34" s="60"/>
      <c r="K34" s="60"/>
      <c r="L34" s="60"/>
      <c r="M34" s="74" t="str">
        <f t="shared" si="15"/>
        <v>-</v>
      </c>
      <c r="N34" s="60"/>
      <c r="O34" s="60"/>
      <c r="P34" s="60"/>
      <c r="Q34" s="60"/>
      <c r="R34" s="60"/>
      <c r="S34" s="60"/>
      <c r="T34" s="60"/>
      <c r="U34" s="60"/>
      <c r="V34" s="60"/>
      <c r="W34" s="74" t="str">
        <f t="shared" si="1"/>
        <v>-</v>
      </c>
      <c r="X34" s="155" t="str">
        <f t="shared" si="2"/>
        <v>-</v>
      </c>
      <c r="Y34" s="156" t="str">
        <f t="shared" si="3"/>
        <v>-</v>
      </c>
      <c r="AA34" s="60"/>
      <c r="AB34" s="60"/>
      <c r="AC34" s="60"/>
      <c r="AD34" s="60"/>
      <c r="AE34" s="60"/>
      <c r="AF34" s="60"/>
      <c r="AG34" s="60"/>
      <c r="AH34" s="60"/>
      <c r="AI34" s="60"/>
      <c r="AJ34" s="74" t="str">
        <f t="shared" si="4"/>
        <v>-</v>
      </c>
      <c r="AK34" s="60"/>
      <c r="AL34" s="60"/>
      <c r="AM34" s="60"/>
      <c r="AN34" s="60"/>
      <c r="AO34" s="60"/>
      <c r="AP34" s="60"/>
      <c r="AQ34" s="60"/>
      <c r="AR34" s="60"/>
      <c r="AS34" s="60"/>
      <c r="AT34" s="74" t="str">
        <f t="shared" si="5"/>
        <v>-</v>
      </c>
      <c r="AU34" s="155" t="str">
        <f t="shared" si="6"/>
        <v>-</v>
      </c>
      <c r="AV34" s="156" t="str">
        <f t="shared" si="7"/>
        <v>-</v>
      </c>
      <c r="AX34" s="59" t="str">
        <f>IF(AND(D34&gt;0,AA34&gt;0),MIN(D34,AA34),"-")</f>
        <v>-</v>
      </c>
      <c r="AY34" s="59" t="str">
        <f>IF(AND(E34&gt;0,AB34&gt;0),MIN(E34,AB34),"-")</f>
        <v>-</v>
      </c>
      <c r="AZ34" s="59" t="str">
        <f>IF(AND(F34&gt;0,AC34&gt;0),MIN(F34,AC34),"-")</f>
        <v>-</v>
      </c>
      <c r="BA34" s="59" t="str">
        <f>IF(AND(G34&gt;0,AD34&gt;0),MIN(G34,AD34),"-")</f>
        <v>-</v>
      </c>
      <c r="BB34" s="59" t="str">
        <f>IF(AND(H34&gt;0,AE34&gt;0),MIN(H34,AE34),"-")</f>
        <v>-</v>
      </c>
      <c r="BC34" s="59" t="str">
        <f>IF(AND(I34&gt;0,AF34&gt;0),MIN(I34,AF34),"-")</f>
        <v>-</v>
      </c>
      <c r="BD34" s="59" t="str">
        <f>IF(AND(J34&gt;0,AG34&gt;0),MIN(J34,AG34),"-")</f>
        <v>-</v>
      </c>
      <c r="BE34" s="59" t="str">
        <f>IF(AND(K34&gt;0,AH34&gt;0),MIN(K34,AH34),"-")</f>
        <v>-</v>
      </c>
      <c r="BF34" s="59" t="str">
        <f>IF(AND(L34&gt;0,AI34&gt;0),MIN(L34,AI34),"-")</f>
        <v>-</v>
      </c>
      <c r="BG34" s="59" t="str">
        <f t="shared" si="8"/>
        <v>-</v>
      </c>
      <c r="BH34" s="59" t="str">
        <f>IF(AND(N34&gt;0,AK34&gt;0),MIN(N34,AK34),"-")</f>
        <v>-</v>
      </c>
      <c r="BI34" s="59" t="str">
        <f>IF(AND(O34&gt;0,AL34&gt;0),MIN(O34,AL34),"-")</f>
        <v>-</v>
      </c>
      <c r="BJ34" s="59" t="str">
        <f>IF(AND(P34&gt;0,AM34&gt;0),MIN(P34,AM34),"-")</f>
        <v>-</v>
      </c>
      <c r="BK34" s="59" t="str">
        <f>IF(AND(Q34&gt;0,AN34&gt;0),MIN(Q34,AN34),"-")</f>
        <v>-</v>
      </c>
      <c r="BL34" s="59" t="str">
        <f>IF(AND(R34&gt;0,AO34&gt;0),MIN(R34,AO34),"-")</f>
        <v>-</v>
      </c>
      <c r="BM34" s="59" t="str">
        <f>IF(AND(S34&gt;0,AP34&gt;0),MIN(S34,AP34),"-")</f>
        <v>-</v>
      </c>
      <c r="BN34" s="59" t="str">
        <f>IF(AND(T34&gt;0,AQ34&gt;0),MIN(T34,AQ34),"-")</f>
        <v>-</v>
      </c>
      <c r="BO34" s="59" t="str">
        <f>IF(AND(U34&gt;0,AR34&gt;0),MIN(U34,AR34),"-")</f>
        <v>-</v>
      </c>
      <c r="BP34" s="59" t="str">
        <f>IF(AND(V34&gt;0,AS34&gt;0),MIN(V34,AS34),"-")</f>
        <v>-</v>
      </c>
      <c r="BQ34" s="59" t="str">
        <f t="shared" si="9"/>
        <v>-</v>
      </c>
      <c r="BR34" s="59" t="str">
        <f t="shared" si="10"/>
        <v>-</v>
      </c>
      <c r="BS34" s="59" t="str">
        <f t="shared" si="11"/>
        <v>-</v>
      </c>
      <c r="BT34" s="98" t="str">
        <f>IF(ISNUMBER(BS34),BS34-(C34*Rules!$P$9/100),"-")</f>
        <v>-</v>
      </c>
      <c r="BU34" s="59" t="e">
        <f>RANK($BT34,$BT$5:$BT$106,1)+COUNTIF(BT$5:BT34,BT34)-1</f>
        <v>#VALUE!</v>
      </c>
      <c r="BV34" s="59" t="e">
        <f t="shared" si="12"/>
        <v>#VALUE!</v>
      </c>
      <c r="BW34" s="59" t="str">
        <f t="shared" si="13"/>
        <v xml:space="preserve"> </v>
      </c>
      <c r="BX34" s="59" t="str">
        <f t="shared" si="13"/>
        <v>-</v>
      </c>
      <c r="BY34" s="59" t="str">
        <f t="shared" si="14"/>
        <v>-</v>
      </c>
      <c r="CC34" s="4">
        <v>30</v>
      </c>
      <c r="CD34" s="2" t="e">
        <f>VLOOKUP(CC34,$BV$5:BY$215,1,FALSE)</f>
        <v>#N/A</v>
      </c>
      <c r="CE34" s="6" t="e">
        <f>VLOOKUP(CC34,$BV$5:BY$215,2,FALSE)</f>
        <v>#N/A</v>
      </c>
      <c r="CF34" s="103" t="e">
        <f>VLOOKUP(CC34,$BV$5:BY$215,4,FALSE)</f>
        <v>#N/A</v>
      </c>
      <c r="CL34" s="77">
        <v>1</v>
      </c>
    </row>
    <row r="35" spans="1:90" ht="17.45" customHeight="1">
      <c r="A35" s="58">
        <v>31</v>
      </c>
      <c r="B35" s="59" t="str">
        <f>'C Div'!A35 &amp; " " &amp; 'C Div'!B35</f>
        <v xml:space="preserve"> </v>
      </c>
      <c r="C35" s="59" t="str">
        <f>'C Div'!E35</f>
        <v>-</v>
      </c>
      <c r="D35" s="60"/>
      <c r="E35" s="60"/>
      <c r="F35" s="60"/>
      <c r="G35" s="60"/>
      <c r="H35" s="60"/>
      <c r="I35" s="60"/>
      <c r="J35" s="60"/>
      <c r="K35" s="60"/>
      <c r="L35" s="60"/>
      <c r="M35" s="74" t="str">
        <f t="shared" si="15"/>
        <v>-</v>
      </c>
      <c r="N35" s="60"/>
      <c r="O35" s="60"/>
      <c r="P35" s="60"/>
      <c r="Q35" s="60"/>
      <c r="R35" s="60"/>
      <c r="S35" s="60"/>
      <c r="T35" s="60"/>
      <c r="U35" s="60"/>
      <c r="V35" s="60"/>
      <c r="W35" s="74" t="str">
        <f t="shared" si="1"/>
        <v>-</v>
      </c>
      <c r="X35" s="155" t="str">
        <f t="shared" si="2"/>
        <v>-</v>
      </c>
      <c r="Y35" s="156" t="str">
        <f t="shared" si="3"/>
        <v>-</v>
      </c>
      <c r="AA35" s="60"/>
      <c r="AB35" s="60"/>
      <c r="AC35" s="60"/>
      <c r="AD35" s="60"/>
      <c r="AE35" s="60"/>
      <c r="AF35" s="60"/>
      <c r="AG35" s="60"/>
      <c r="AH35" s="60"/>
      <c r="AI35" s="60"/>
      <c r="AJ35" s="74" t="str">
        <f t="shared" si="4"/>
        <v>-</v>
      </c>
      <c r="AK35" s="60"/>
      <c r="AL35" s="60"/>
      <c r="AM35" s="60"/>
      <c r="AN35" s="60"/>
      <c r="AO35" s="60"/>
      <c r="AP35" s="60"/>
      <c r="AQ35" s="60"/>
      <c r="AR35" s="60"/>
      <c r="AS35" s="60"/>
      <c r="AT35" s="74" t="str">
        <f t="shared" si="5"/>
        <v>-</v>
      </c>
      <c r="AU35" s="155" t="str">
        <f t="shared" si="6"/>
        <v>-</v>
      </c>
      <c r="AV35" s="156" t="str">
        <f t="shared" si="7"/>
        <v>-</v>
      </c>
      <c r="AX35" s="59" t="str">
        <f>IF(AND(D35&gt;0,AA35&gt;0),MIN(D35,AA35),"-")</f>
        <v>-</v>
      </c>
      <c r="AY35" s="59" t="str">
        <f>IF(AND(E35&gt;0,AB35&gt;0),MIN(E35,AB35),"-")</f>
        <v>-</v>
      </c>
      <c r="AZ35" s="59" t="str">
        <f>IF(AND(F35&gt;0,AC35&gt;0),MIN(F35,AC35),"-")</f>
        <v>-</v>
      </c>
      <c r="BA35" s="59" t="str">
        <f>IF(AND(G35&gt;0,AD35&gt;0),MIN(G35,AD35),"-")</f>
        <v>-</v>
      </c>
      <c r="BB35" s="59" t="str">
        <f>IF(AND(H35&gt;0,AE35&gt;0),MIN(H35,AE35),"-")</f>
        <v>-</v>
      </c>
      <c r="BC35" s="59" t="str">
        <f>IF(AND(I35&gt;0,AF35&gt;0),MIN(I35,AF35),"-")</f>
        <v>-</v>
      </c>
      <c r="BD35" s="59" t="str">
        <f>IF(AND(J35&gt;0,AG35&gt;0),MIN(J35,AG35),"-")</f>
        <v>-</v>
      </c>
      <c r="BE35" s="59" t="str">
        <f>IF(AND(K35&gt;0,AH35&gt;0),MIN(K35,AH35),"-")</f>
        <v>-</v>
      </c>
      <c r="BF35" s="59" t="str">
        <f>IF(AND(L35&gt;0,AI35&gt;0),MIN(L35,AI35),"-")</f>
        <v>-</v>
      </c>
      <c r="BG35" s="59" t="str">
        <f t="shared" si="8"/>
        <v>-</v>
      </c>
      <c r="BH35" s="59" t="str">
        <f>IF(AND(N35&gt;0,AK35&gt;0),MIN(N35,AK35),"-")</f>
        <v>-</v>
      </c>
      <c r="BI35" s="59" t="str">
        <f>IF(AND(O35&gt;0,AL35&gt;0),MIN(O35,AL35),"-")</f>
        <v>-</v>
      </c>
      <c r="BJ35" s="59" t="str">
        <f>IF(AND(P35&gt;0,AM35&gt;0),MIN(P35,AM35),"-")</f>
        <v>-</v>
      </c>
      <c r="BK35" s="59" t="str">
        <f>IF(AND(Q35&gt;0,AN35&gt;0),MIN(Q35,AN35),"-")</f>
        <v>-</v>
      </c>
      <c r="BL35" s="59" t="str">
        <f>IF(AND(R35&gt;0,AO35&gt;0),MIN(R35,AO35),"-")</f>
        <v>-</v>
      </c>
      <c r="BM35" s="59" t="str">
        <f>IF(AND(S35&gt;0,AP35&gt;0),MIN(S35,AP35),"-")</f>
        <v>-</v>
      </c>
      <c r="BN35" s="59" t="str">
        <f>IF(AND(T35&gt;0,AQ35&gt;0),MIN(T35,AQ35),"-")</f>
        <v>-</v>
      </c>
      <c r="BO35" s="59" t="str">
        <f>IF(AND(U35&gt;0,AR35&gt;0),MIN(U35,AR35),"-")</f>
        <v>-</v>
      </c>
      <c r="BP35" s="59" t="str">
        <f>IF(AND(V35&gt;0,AS35&gt;0),MIN(V35,AS35),"-")</f>
        <v>-</v>
      </c>
      <c r="BQ35" s="59" t="str">
        <f t="shared" si="9"/>
        <v>-</v>
      </c>
      <c r="BR35" s="59" t="str">
        <f t="shared" si="10"/>
        <v>-</v>
      </c>
      <c r="BS35" s="59" t="str">
        <f t="shared" si="11"/>
        <v>-</v>
      </c>
      <c r="BT35" s="98" t="str">
        <f>IF(ISNUMBER(BS35),BS35-(C35*Rules!$P$9/100),"-")</f>
        <v>-</v>
      </c>
      <c r="BU35" s="59" t="e">
        <f>RANK($BT35,$BT$5:$BT$106,1)+COUNTIF(BT$5:BT35,BT35)-1</f>
        <v>#VALUE!</v>
      </c>
      <c r="BV35" s="59" t="e">
        <f t="shared" si="12"/>
        <v>#VALUE!</v>
      </c>
      <c r="BW35" s="59" t="str">
        <f t="shared" si="13"/>
        <v xml:space="preserve"> </v>
      </c>
      <c r="BX35" s="59" t="str">
        <f t="shared" si="13"/>
        <v>-</v>
      </c>
      <c r="BY35" s="59" t="str">
        <f t="shared" si="14"/>
        <v>-</v>
      </c>
      <c r="CC35" s="4">
        <v>31</v>
      </c>
      <c r="CD35" s="2" t="e">
        <f>VLOOKUP(CC35,$BV$5:BY$215,1,FALSE)</f>
        <v>#N/A</v>
      </c>
      <c r="CE35" s="6" t="e">
        <f>VLOOKUP(CC35,$BV$5:BY$215,2,FALSE)</f>
        <v>#N/A</v>
      </c>
      <c r="CF35" s="103" t="e">
        <f>VLOOKUP(CC35,$BV$5:BY$215,4,FALSE)</f>
        <v>#N/A</v>
      </c>
      <c r="CL35" s="77">
        <v>1</v>
      </c>
    </row>
    <row r="36" spans="1:90" ht="17.45" customHeight="1">
      <c r="A36" s="58">
        <v>32</v>
      </c>
      <c r="B36" s="59" t="str">
        <f>'C Div'!A36 &amp; " " &amp; 'C Div'!B36</f>
        <v xml:space="preserve"> </v>
      </c>
      <c r="C36" s="59" t="str">
        <f>'C Div'!E36</f>
        <v>-</v>
      </c>
      <c r="D36" s="60"/>
      <c r="E36" s="60"/>
      <c r="F36" s="60"/>
      <c r="G36" s="60"/>
      <c r="H36" s="60"/>
      <c r="I36" s="60"/>
      <c r="J36" s="60"/>
      <c r="K36" s="60"/>
      <c r="L36" s="60"/>
      <c r="M36" s="74" t="str">
        <f t="shared" si="15"/>
        <v>-</v>
      </c>
      <c r="N36" s="60"/>
      <c r="O36" s="60"/>
      <c r="P36" s="60"/>
      <c r="Q36" s="60"/>
      <c r="R36" s="60"/>
      <c r="S36" s="60"/>
      <c r="T36" s="60"/>
      <c r="U36" s="60"/>
      <c r="V36" s="60"/>
      <c r="W36" s="74" t="str">
        <f t="shared" si="1"/>
        <v>-</v>
      </c>
      <c r="X36" s="155" t="str">
        <f t="shared" si="2"/>
        <v>-</v>
      </c>
      <c r="Y36" s="156" t="str">
        <f t="shared" si="3"/>
        <v>-</v>
      </c>
      <c r="AA36" s="60"/>
      <c r="AB36" s="60"/>
      <c r="AC36" s="60"/>
      <c r="AD36" s="60"/>
      <c r="AE36" s="60"/>
      <c r="AF36" s="60"/>
      <c r="AG36" s="60"/>
      <c r="AH36" s="60"/>
      <c r="AI36" s="60"/>
      <c r="AJ36" s="74" t="str">
        <f t="shared" si="4"/>
        <v>-</v>
      </c>
      <c r="AK36" s="60"/>
      <c r="AL36" s="60"/>
      <c r="AM36" s="60"/>
      <c r="AN36" s="60"/>
      <c r="AO36" s="60"/>
      <c r="AP36" s="60"/>
      <c r="AQ36" s="60"/>
      <c r="AR36" s="60"/>
      <c r="AS36" s="60"/>
      <c r="AT36" s="74" t="str">
        <f t="shared" si="5"/>
        <v>-</v>
      </c>
      <c r="AU36" s="155" t="str">
        <f t="shared" si="6"/>
        <v>-</v>
      </c>
      <c r="AV36" s="156" t="str">
        <f t="shared" si="7"/>
        <v>-</v>
      </c>
      <c r="AX36" s="59" t="str">
        <f>IF(AND(D36&gt;0,AA36&gt;0),MIN(D36,AA36),"-")</f>
        <v>-</v>
      </c>
      <c r="AY36" s="59" t="str">
        <f>IF(AND(E36&gt;0,AB36&gt;0),MIN(E36,AB36),"-")</f>
        <v>-</v>
      </c>
      <c r="AZ36" s="59" t="str">
        <f>IF(AND(F36&gt;0,AC36&gt;0),MIN(F36,AC36),"-")</f>
        <v>-</v>
      </c>
      <c r="BA36" s="59" t="str">
        <f>IF(AND(G36&gt;0,AD36&gt;0),MIN(G36,AD36),"-")</f>
        <v>-</v>
      </c>
      <c r="BB36" s="59" t="str">
        <f>IF(AND(H36&gt;0,AE36&gt;0),MIN(H36,AE36),"-")</f>
        <v>-</v>
      </c>
      <c r="BC36" s="59" t="str">
        <f>IF(AND(I36&gt;0,AF36&gt;0),MIN(I36,AF36),"-")</f>
        <v>-</v>
      </c>
      <c r="BD36" s="59" t="str">
        <f>IF(AND(J36&gt;0,AG36&gt;0),MIN(J36,AG36),"-")</f>
        <v>-</v>
      </c>
      <c r="BE36" s="59" t="str">
        <f>IF(AND(K36&gt;0,AH36&gt;0),MIN(K36,AH36),"-")</f>
        <v>-</v>
      </c>
      <c r="BF36" s="59" t="str">
        <f>IF(AND(L36&gt;0,AI36&gt;0),MIN(L36,AI36),"-")</f>
        <v>-</v>
      </c>
      <c r="BG36" s="59" t="str">
        <f t="shared" si="8"/>
        <v>-</v>
      </c>
      <c r="BH36" s="59" t="str">
        <f>IF(AND(N36&gt;0,AK36&gt;0),MIN(N36,AK36),"-")</f>
        <v>-</v>
      </c>
      <c r="BI36" s="59" t="str">
        <f>IF(AND(O36&gt;0,AL36&gt;0),MIN(O36,AL36),"-")</f>
        <v>-</v>
      </c>
      <c r="BJ36" s="59" t="str">
        <f>IF(AND(P36&gt;0,AM36&gt;0),MIN(P36,AM36),"-")</f>
        <v>-</v>
      </c>
      <c r="BK36" s="59" t="str">
        <f>IF(AND(Q36&gt;0,AN36&gt;0),MIN(Q36,AN36),"-")</f>
        <v>-</v>
      </c>
      <c r="BL36" s="59" t="str">
        <f>IF(AND(R36&gt;0,AO36&gt;0),MIN(R36,AO36),"-")</f>
        <v>-</v>
      </c>
      <c r="BM36" s="59" t="str">
        <f>IF(AND(S36&gt;0,AP36&gt;0),MIN(S36,AP36),"-")</f>
        <v>-</v>
      </c>
      <c r="BN36" s="59" t="str">
        <f>IF(AND(T36&gt;0,AQ36&gt;0),MIN(T36,AQ36),"-")</f>
        <v>-</v>
      </c>
      <c r="BO36" s="59" t="str">
        <f>IF(AND(U36&gt;0,AR36&gt;0),MIN(U36,AR36),"-")</f>
        <v>-</v>
      </c>
      <c r="BP36" s="59" t="str">
        <f>IF(AND(V36&gt;0,AS36&gt;0),MIN(V36,AS36),"-")</f>
        <v>-</v>
      </c>
      <c r="BQ36" s="59" t="str">
        <f t="shared" si="9"/>
        <v>-</v>
      </c>
      <c r="BR36" s="59" t="str">
        <f t="shared" si="10"/>
        <v>-</v>
      </c>
      <c r="BS36" s="59" t="str">
        <f t="shared" si="11"/>
        <v>-</v>
      </c>
      <c r="BT36" s="98" t="str">
        <f>IF(ISNUMBER(BS36),BS36-(C36*Rules!$P$9/100),"-")</f>
        <v>-</v>
      </c>
      <c r="BU36" s="59" t="e">
        <f>RANK($BT36,$BT$5:$BT$106,1)+COUNTIF(BT$5:BT36,BT36)-1</f>
        <v>#VALUE!</v>
      </c>
      <c r="BV36" s="59" t="e">
        <f t="shared" si="12"/>
        <v>#VALUE!</v>
      </c>
      <c r="BW36" s="59" t="str">
        <f t="shared" si="13"/>
        <v xml:space="preserve"> </v>
      </c>
      <c r="BX36" s="59" t="str">
        <f t="shared" si="13"/>
        <v>-</v>
      </c>
      <c r="BY36" s="59" t="str">
        <f t="shared" si="14"/>
        <v>-</v>
      </c>
      <c r="CC36" s="4">
        <v>32</v>
      </c>
      <c r="CD36" s="2" t="e">
        <f>VLOOKUP(CC36,$BV$5:BY$215,1,FALSE)</f>
        <v>#N/A</v>
      </c>
      <c r="CE36" s="6" t="e">
        <f>VLOOKUP(CC36,$BV$5:BY$215,2,FALSE)</f>
        <v>#N/A</v>
      </c>
      <c r="CF36" s="103" t="e">
        <f>VLOOKUP(CC36,$BV$5:BY$215,4,FALSE)</f>
        <v>#N/A</v>
      </c>
      <c r="CL36" s="77">
        <v>1</v>
      </c>
    </row>
    <row r="37" spans="1:90" ht="17.45" customHeight="1">
      <c r="A37" s="58">
        <v>33</v>
      </c>
      <c r="B37" s="59" t="str">
        <f>'C Div'!A37 &amp; " " &amp; 'C Div'!B37</f>
        <v xml:space="preserve"> </v>
      </c>
      <c r="C37" s="59" t="str">
        <f>'C Div'!E37</f>
        <v>-</v>
      </c>
      <c r="D37" s="60"/>
      <c r="E37" s="60"/>
      <c r="F37" s="60"/>
      <c r="G37" s="60"/>
      <c r="H37" s="60"/>
      <c r="I37" s="60"/>
      <c r="J37" s="60"/>
      <c r="K37" s="60"/>
      <c r="L37" s="60"/>
      <c r="M37" s="74" t="str">
        <f t="shared" si="15"/>
        <v>-</v>
      </c>
      <c r="N37" s="60"/>
      <c r="O37" s="60"/>
      <c r="P37" s="60"/>
      <c r="Q37" s="60"/>
      <c r="R37" s="60"/>
      <c r="S37" s="60"/>
      <c r="T37" s="60"/>
      <c r="U37" s="60"/>
      <c r="V37" s="60"/>
      <c r="W37" s="74" t="str">
        <f t="shared" si="1"/>
        <v>-</v>
      </c>
      <c r="X37" s="155" t="str">
        <f t="shared" si="2"/>
        <v>-</v>
      </c>
      <c r="Y37" s="156" t="str">
        <f t="shared" si="3"/>
        <v>-</v>
      </c>
      <c r="AA37" s="60"/>
      <c r="AB37" s="60"/>
      <c r="AC37" s="60"/>
      <c r="AD37" s="60"/>
      <c r="AE37" s="60"/>
      <c r="AF37" s="60"/>
      <c r="AG37" s="60"/>
      <c r="AH37" s="60"/>
      <c r="AI37" s="60"/>
      <c r="AJ37" s="74" t="str">
        <f t="shared" si="4"/>
        <v>-</v>
      </c>
      <c r="AK37" s="60"/>
      <c r="AL37" s="60"/>
      <c r="AM37" s="60"/>
      <c r="AN37" s="60"/>
      <c r="AO37" s="60"/>
      <c r="AP37" s="60"/>
      <c r="AQ37" s="60"/>
      <c r="AR37" s="60"/>
      <c r="AS37" s="60"/>
      <c r="AT37" s="74" t="str">
        <f t="shared" si="5"/>
        <v>-</v>
      </c>
      <c r="AU37" s="155" t="str">
        <f t="shared" si="6"/>
        <v>-</v>
      </c>
      <c r="AV37" s="156" t="str">
        <f t="shared" si="7"/>
        <v>-</v>
      </c>
      <c r="AX37" s="59" t="str">
        <f>IF(AND(D37&gt;0,AA37&gt;0),MIN(D37,AA37),"-")</f>
        <v>-</v>
      </c>
      <c r="AY37" s="59" t="str">
        <f>IF(AND(E37&gt;0,AB37&gt;0),MIN(E37,AB37),"-")</f>
        <v>-</v>
      </c>
      <c r="AZ37" s="59" t="str">
        <f>IF(AND(F37&gt;0,AC37&gt;0),MIN(F37,AC37),"-")</f>
        <v>-</v>
      </c>
      <c r="BA37" s="59" t="str">
        <f>IF(AND(G37&gt;0,AD37&gt;0),MIN(G37,AD37),"-")</f>
        <v>-</v>
      </c>
      <c r="BB37" s="59" t="str">
        <f>IF(AND(H37&gt;0,AE37&gt;0),MIN(H37,AE37),"-")</f>
        <v>-</v>
      </c>
      <c r="BC37" s="59" t="str">
        <f>IF(AND(I37&gt;0,AF37&gt;0),MIN(I37,AF37),"-")</f>
        <v>-</v>
      </c>
      <c r="BD37" s="59" t="str">
        <f>IF(AND(J37&gt;0,AG37&gt;0),MIN(J37,AG37),"-")</f>
        <v>-</v>
      </c>
      <c r="BE37" s="59" t="str">
        <f>IF(AND(K37&gt;0,AH37&gt;0),MIN(K37,AH37),"-")</f>
        <v>-</v>
      </c>
      <c r="BF37" s="59" t="str">
        <f>IF(AND(L37&gt;0,AI37&gt;0),MIN(L37,AI37),"-")</f>
        <v>-</v>
      </c>
      <c r="BG37" s="59" t="str">
        <f t="shared" si="8"/>
        <v>-</v>
      </c>
      <c r="BH37" s="59" t="str">
        <f>IF(AND(N37&gt;0,AK37&gt;0),MIN(N37,AK37),"-")</f>
        <v>-</v>
      </c>
      <c r="BI37" s="59" t="str">
        <f>IF(AND(O37&gt;0,AL37&gt;0),MIN(O37,AL37),"-")</f>
        <v>-</v>
      </c>
      <c r="BJ37" s="59" t="str">
        <f>IF(AND(P37&gt;0,AM37&gt;0),MIN(P37,AM37),"-")</f>
        <v>-</v>
      </c>
      <c r="BK37" s="59" t="str">
        <f>IF(AND(Q37&gt;0,AN37&gt;0),MIN(Q37,AN37),"-")</f>
        <v>-</v>
      </c>
      <c r="BL37" s="59" t="str">
        <f>IF(AND(R37&gt;0,AO37&gt;0),MIN(R37,AO37),"-")</f>
        <v>-</v>
      </c>
      <c r="BM37" s="59" t="str">
        <f>IF(AND(S37&gt;0,AP37&gt;0),MIN(S37,AP37),"-")</f>
        <v>-</v>
      </c>
      <c r="BN37" s="59" t="str">
        <f>IF(AND(T37&gt;0,AQ37&gt;0),MIN(T37,AQ37),"-")</f>
        <v>-</v>
      </c>
      <c r="BO37" s="59" t="str">
        <f>IF(AND(U37&gt;0,AR37&gt;0),MIN(U37,AR37),"-")</f>
        <v>-</v>
      </c>
      <c r="BP37" s="59" t="str">
        <f>IF(AND(V37&gt;0,AS37&gt;0),MIN(V37,AS37),"-")</f>
        <v>-</v>
      </c>
      <c r="BQ37" s="59" t="str">
        <f t="shared" si="9"/>
        <v>-</v>
      </c>
      <c r="BR37" s="59" t="str">
        <f t="shared" si="10"/>
        <v>-</v>
      </c>
      <c r="BS37" s="59" t="str">
        <f t="shared" si="11"/>
        <v>-</v>
      </c>
      <c r="BT37" s="98" t="str">
        <f>IF(ISNUMBER(BS37),BS37-(C37*Rules!$P$9/100),"-")</f>
        <v>-</v>
      </c>
      <c r="BU37" s="59" t="e">
        <f>RANK($BT37,$BT$5:$BT$106,1)+COUNTIF(BT$5:BT37,BT37)-1</f>
        <v>#VALUE!</v>
      </c>
      <c r="BV37" s="59" t="e">
        <f t="shared" si="12"/>
        <v>#VALUE!</v>
      </c>
      <c r="BW37" s="59" t="str">
        <f t="shared" si="13"/>
        <v xml:space="preserve"> </v>
      </c>
      <c r="BX37" s="59" t="str">
        <f t="shared" si="13"/>
        <v>-</v>
      </c>
      <c r="BY37" s="59" t="str">
        <f t="shared" si="14"/>
        <v>-</v>
      </c>
      <c r="CC37" s="4">
        <v>33</v>
      </c>
      <c r="CD37" s="2" t="e">
        <f>VLOOKUP(CC37,$BV$5:BY$215,1,FALSE)</f>
        <v>#N/A</v>
      </c>
      <c r="CE37" s="6" t="e">
        <f>VLOOKUP(CC37,$BV$5:BY$215,2,FALSE)</f>
        <v>#N/A</v>
      </c>
      <c r="CF37" s="103" t="e">
        <f>VLOOKUP(CC37,$BV$5:BY$215,4,FALSE)</f>
        <v>#N/A</v>
      </c>
      <c r="CL37" s="77">
        <v>1</v>
      </c>
    </row>
    <row r="38" spans="1:90" ht="17.45" customHeight="1">
      <c r="A38" s="58">
        <v>34</v>
      </c>
      <c r="B38" s="59" t="str">
        <f>'C Div'!A38 &amp; " " &amp; 'C Div'!B38</f>
        <v xml:space="preserve"> </v>
      </c>
      <c r="C38" s="59" t="str">
        <f>'C Div'!E38</f>
        <v>-</v>
      </c>
      <c r="D38" s="60"/>
      <c r="E38" s="60"/>
      <c r="F38" s="60"/>
      <c r="G38" s="60"/>
      <c r="H38" s="60"/>
      <c r="I38" s="60"/>
      <c r="J38" s="60"/>
      <c r="K38" s="60"/>
      <c r="L38" s="60"/>
      <c r="M38" s="74" t="str">
        <f t="shared" si="15"/>
        <v>-</v>
      </c>
      <c r="N38" s="60"/>
      <c r="O38" s="60"/>
      <c r="P38" s="60"/>
      <c r="Q38" s="60"/>
      <c r="R38" s="60"/>
      <c r="S38" s="60"/>
      <c r="T38" s="60"/>
      <c r="U38" s="60"/>
      <c r="V38" s="60"/>
      <c r="W38" s="74" t="str">
        <f t="shared" si="1"/>
        <v>-</v>
      </c>
      <c r="X38" s="155" t="str">
        <f t="shared" si="2"/>
        <v>-</v>
      </c>
      <c r="Y38" s="156" t="str">
        <f t="shared" si="3"/>
        <v>-</v>
      </c>
      <c r="AA38" s="60"/>
      <c r="AB38" s="60"/>
      <c r="AC38" s="60"/>
      <c r="AD38" s="60"/>
      <c r="AE38" s="60"/>
      <c r="AF38" s="60"/>
      <c r="AG38" s="60"/>
      <c r="AH38" s="60"/>
      <c r="AI38" s="60"/>
      <c r="AJ38" s="74" t="str">
        <f t="shared" si="4"/>
        <v>-</v>
      </c>
      <c r="AK38" s="60"/>
      <c r="AL38" s="60"/>
      <c r="AM38" s="60"/>
      <c r="AN38" s="60"/>
      <c r="AO38" s="60"/>
      <c r="AP38" s="60"/>
      <c r="AQ38" s="60"/>
      <c r="AR38" s="60"/>
      <c r="AS38" s="60"/>
      <c r="AT38" s="74" t="str">
        <f t="shared" si="5"/>
        <v>-</v>
      </c>
      <c r="AU38" s="155" t="str">
        <f t="shared" si="6"/>
        <v>-</v>
      </c>
      <c r="AV38" s="156" t="str">
        <f t="shared" si="7"/>
        <v>-</v>
      </c>
      <c r="AX38" s="59" t="str">
        <f>IF(AND(D38&gt;0,AA38&gt;0),MIN(D38,AA38),"-")</f>
        <v>-</v>
      </c>
      <c r="AY38" s="59" t="str">
        <f>IF(AND(E38&gt;0,AB38&gt;0),MIN(E38,AB38),"-")</f>
        <v>-</v>
      </c>
      <c r="AZ38" s="59" t="str">
        <f>IF(AND(F38&gt;0,AC38&gt;0),MIN(F38,AC38),"-")</f>
        <v>-</v>
      </c>
      <c r="BA38" s="59" t="str">
        <f>IF(AND(G38&gt;0,AD38&gt;0),MIN(G38,AD38),"-")</f>
        <v>-</v>
      </c>
      <c r="BB38" s="59" t="str">
        <f>IF(AND(H38&gt;0,AE38&gt;0),MIN(H38,AE38),"-")</f>
        <v>-</v>
      </c>
      <c r="BC38" s="59" t="str">
        <f>IF(AND(I38&gt;0,AF38&gt;0),MIN(I38,AF38),"-")</f>
        <v>-</v>
      </c>
      <c r="BD38" s="59" t="str">
        <f>IF(AND(J38&gt;0,AG38&gt;0),MIN(J38,AG38),"-")</f>
        <v>-</v>
      </c>
      <c r="BE38" s="59" t="str">
        <f>IF(AND(K38&gt;0,AH38&gt;0),MIN(K38,AH38),"-")</f>
        <v>-</v>
      </c>
      <c r="BF38" s="59" t="str">
        <f>IF(AND(L38&gt;0,AI38&gt;0),MIN(L38,AI38),"-")</f>
        <v>-</v>
      </c>
      <c r="BG38" s="59" t="str">
        <f t="shared" si="8"/>
        <v>-</v>
      </c>
      <c r="BH38" s="59" t="str">
        <f>IF(AND(N38&gt;0,AK38&gt;0),MIN(N38,AK38),"-")</f>
        <v>-</v>
      </c>
      <c r="BI38" s="59" t="str">
        <f>IF(AND(O38&gt;0,AL38&gt;0),MIN(O38,AL38),"-")</f>
        <v>-</v>
      </c>
      <c r="BJ38" s="59" t="str">
        <f>IF(AND(P38&gt;0,AM38&gt;0),MIN(P38,AM38),"-")</f>
        <v>-</v>
      </c>
      <c r="BK38" s="59" t="str">
        <f>IF(AND(Q38&gt;0,AN38&gt;0),MIN(Q38,AN38),"-")</f>
        <v>-</v>
      </c>
      <c r="BL38" s="59" t="str">
        <f>IF(AND(R38&gt;0,AO38&gt;0),MIN(R38,AO38),"-")</f>
        <v>-</v>
      </c>
      <c r="BM38" s="59" t="str">
        <f>IF(AND(S38&gt;0,AP38&gt;0),MIN(S38,AP38),"-")</f>
        <v>-</v>
      </c>
      <c r="BN38" s="59" t="str">
        <f>IF(AND(T38&gt;0,AQ38&gt;0),MIN(T38,AQ38),"-")</f>
        <v>-</v>
      </c>
      <c r="BO38" s="59" t="str">
        <f>IF(AND(U38&gt;0,AR38&gt;0),MIN(U38,AR38),"-")</f>
        <v>-</v>
      </c>
      <c r="BP38" s="59" t="str">
        <f>IF(AND(V38&gt;0,AS38&gt;0),MIN(V38,AS38),"-")</f>
        <v>-</v>
      </c>
      <c r="BQ38" s="59" t="str">
        <f t="shared" si="9"/>
        <v>-</v>
      </c>
      <c r="BR38" s="59" t="str">
        <f t="shared" si="10"/>
        <v>-</v>
      </c>
      <c r="BS38" s="59" t="str">
        <f t="shared" si="11"/>
        <v>-</v>
      </c>
      <c r="BT38" s="98" t="str">
        <f>IF(ISNUMBER(BS38),BS38-(C38*Rules!$P$9/100),"-")</f>
        <v>-</v>
      </c>
      <c r="BU38" s="59" t="e">
        <f>RANK($BT38,$BT$5:$BT$106,1)+COUNTIF(BT$5:BT38,BT38)-1</f>
        <v>#VALUE!</v>
      </c>
      <c r="BV38" s="59" t="e">
        <f t="shared" si="12"/>
        <v>#VALUE!</v>
      </c>
      <c r="BW38" s="59" t="str">
        <f t="shared" si="13"/>
        <v xml:space="preserve"> </v>
      </c>
      <c r="BX38" s="59" t="str">
        <f t="shared" si="13"/>
        <v>-</v>
      </c>
      <c r="BY38" s="59" t="str">
        <f t="shared" si="14"/>
        <v>-</v>
      </c>
      <c r="CC38" s="4">
        <v>34</v>
      </c>
      <c r="CD38" s="2" t="e">
        <f>VLOOKUP(CC38,$BV$5:BY$215,1,FALSE)</f>
        <v>#N/A</v>
      </c>
      <c r="CE38" s="6" t="e">
        <f>VLOOKUP(CC38,$BV$5:BY$215,2,FALSE)</f>
        <v>#N/A</v>
      </c>
      <c r="CF38" s="103" t="e">
        <f>VLOOKUP(CC38,$BV$5:BY$215,4,FALSE)</f>
        <v>#N/A</v>
      </c>
      <c r="CL38" s="77">
        <v>1</v>
      </c>
    </row>
    <row r="39" spans="1:90" ht="17.45" customHeight="1">
      <c r="A39" s="58">
        <v>35</v>
      </c>
      <c r="B39" s="59" t="str">
        <f>'C Div'!A39 &amp; " " &amp; 'C Div'!B39</f>
        <v xml:space="preserve"> </v>
      </c>
      <c r="C39" s="59" t="str">
        <f>'C Div'!E39</f>
        <v>-</v>
      </c>
      <c r="D39" s="60"/>
      <c r="E39" s="60"/>
      <c r="F39" s="60"/>
      <c r="G39" s="60"/>
      <c r="H39" s="60"/>
      <c r="I39" s="60"/>
      <c r="J39" s="60"/>
      <c r="K39" s="60"/>
      <c r="L39" s="60"/>
      <c r="M39" s="74" t="str">
        <f t="shared" si="15"/>
        <v>-</v>
      </c>
      <c r="N39" s="60"/>
      <c r="O39" s="60"/>
      <c r="P39" s="60"/>
      <c r="Q39" s="60"/>
      <c r="R39" s="60"/>
      <c r="S39" s="60"/>
      <c r="T39" s="60"/>
      <c r="U39" s="60"/>
      <c r="V39" s="60"/>
      <c r="W39" s="74" t="str">
        <f t="shared" si="1"/>
        <v>-</v>
      </c>
      <c r="X39" s="155" t="str">
        <f t="shared" si="2"/>
        <v>-</v>
      </c>
      <c r="Y39" s="156" t="str">
        <f t="shared" si="3"/>
        <v>-</v>
      </c>
      <c r="AA39" s="60"/>
      <c r="AB39" s="60"/>
      <c r="AC39" s="60"/>
      <c r="AD39" s="60"/>
      <c r="AE39" s="60"/>
      <c r="AF39" s="60"/>
      <c r="AG39" s="60"/>
      <c r="AH39" s="60"/>
      <c r="AI39" s="60"/>
      <c r="AJ39" s="74" t="str">
        <f t="shared" si="4"/>
        <v>-</v>
      </c>
      <c r="AK39" s="60"/>
      <c r="AL39" s="60"/>
      <c r="AM39" s="60"/>
      <c r="AN39" s="60"/>
      <c r="AO39" s="60"/>
      <c r="AP39" s="60"/>
      <c r="AQ39" s="60"/>
      <c r="AR39" s="60"/>
      <c r="AS39" s="60"/>
      <c r="AT39" s="74" t="str">
        <f t="shared" si="5"/>
        <v>-</v>
      </c>
      <c r="AU39" s="155" t="str">
        <f t="shared" si="6"/>
        <v>-</v>
      </c>
      <c r="AV39" s="156" t="str">
        <f t="shared" si="7"/>
        <v>-</v>
      </c>
      <c r="AX39" s="59" t="str">
        <f>IF(AND(D39&gt;0,AA39&gt;0),MIN(D39,AA39),"-")</f>
        <v>-</v>
      </c>
      <c r="AY39" s="59" t="str">
        <f>IF(AND(E39&gt;0,AB39&gt;0),MIN(E39,AB39),"-")</f>
        <v>-</v>
      </c>
      <c r="AZ39" s="59" t="str">
        <f>IF(AND(F39&gt;0,AC39&gt;0),MIN(F39,AC39),"-")</f>
        <v>-</v>
      </c>
      <c r="BA39" s="59" t="str">
        <f>IF(AND(G39&gt;0,AD39&gt;0),MIN(G39,AD39),"-")</f>
        <v>-</v>
      </c>
      <c r="BB39" s="59" t="str">
        <f>IF(AND(H39&gt;0,AE39&gt;0),MIN(H39,AE39),"-")</f>
        <v>-</v>
      </c>
      <c r="BC39" s="59" t="str">
        <f>IF(AND(I39&gt;0,AF39&gt;0),MIN(I39,AF39),"-")</f>
        <v>-</v>
      </c>
      <c r="BD39" s="59" t="str">
        <f>IF(AND(J39&gt;0,AG39&gt;0),MIN(J39,AG39),"-")</f>
        <v>-</v>
      </c>
      <c r="BE39" s="59" t="str">
        <f>IF(AND(K39&gt;0,AH39&gt;0),MIN(K39,AH39),"-")</f>
        <v>-</v>
      </c>
      <c r="BF39" s="59" t="str">
        <f>IF(AND(L39&gt;0,AI39&gt;0),MIN(L39,AI39),"-")</f>
        <v>-</v>
      </c>
      <c r="BG39" s="59" t="str">
        <f t="shared" si="8"/>
        <v>-</v>
      </c>
      <c r="BH39" s="59" t="str">
        <f>IF(AND(N39&gt;0,AK39&gt;0),MIN(N39,AK39),"-")</f>
        <v>-</v>
      </c>
      <c r="BI39" s="59" t="str">
        <f>IF(AND(O39&gt;0,AL39&gt;0),MIN(O39,AL39),"-")</f>
        <v>-</v>
      </c>
      <c r="BJ39" s="59" t="str">
        <f>IF(AND(P39&gt;0,AM39&gt;0),MIN(P39,AM39),"-")</f>
        <v>-</v>
      </c>
      <c r="BK39" s="59" t="str">
        <f>IF(AND(Q39&gt;0,AN39&gt;0),MIN(Q39,AN39),"-")</f>
        <v>-</v>
      </c>
      <c r="BL39" s="59" t="str">
        <f>IF(AND(R39&gt;0,AO39&gt;0),MIN(R39,AO39),"-")</f>
        <v>-</v>
      </c>
      <c r="BM39" s="59" t="str">
        <f>IF(AND(S39&gt;0,AP39&gt;0),MIN(S39,AP39),"-")</f>
        <v>-</v>
      </c>
      <c r="BN39" s="59" t="str">
        <f>IF(AND(T39&gt;0,AQ39&gt;0),MIN(T39,AQ39),"-")</f>
        <v>-</v>
      </c>
      <c r="BO39" s="59" t="str">
        <f>IF(AND(U39&gt;0,AR39&gt;0),MIN(U39,AR39),"-")</f>
        <v>-</v>
      </c>
      <c r="BP39" s="59" t="str">
        <f>IF(AND(V39&gt;0,AS39&gt;0),MIN(V39,AS39),"-")</f>
        <v>-</v>
      </c>
      <c r="BQ39" s="59" t="str">
        <f t="shared" si="9"/>
        <v>-</v>
      </c>
      <c r="BR39" s="59" t="str">
        <f t="shared" si="10"/>
        <v>-</v>
      </c>
      <c r="BS39" s="59" t="str">
        <f t="shared" si="11"/>
        <v>-</v>
      </c>
      <c r="BT39" s="98" t="str">
        <f>IF(ISNUMBER(BS39),BS39-(C39*Rules!$P$9/100),"-")</f>
        <v>-</v>
      </c>
      <c r="BU39" s="59" t="e">
        <f>RANK($BT39,$BT$5:$BT$106,1)+COUNTIF(BT$5:BT39,BT39)-1</f>
        <v>#VALUE!</v>
      </c>
      <c r="BV39" s="59" t="e">
        <f t="shared" si="12"/>
        <v>#VALUE!</v>
      </c>
      <c r="BW39" s="59" t="str">
        <f t="shared" si="13"/>
        <v xml:space="preserve"> </v>
      </c>
      <c r="BX39" s="59" t="str">
        <f t="shared" si="13"/>
        <v>-</v>
      </c>
      <c r="BY39" s="59" t="str">
        <f t="shared" si="14"/>
        <v>-</v>
      </c>
      <c r="CC39" s="4">
        <v>35</v>
      </c>
      <c r="CD39" s="2" t="e">
        <f>VLOOKUP(CC39,$BV$5:BY$215,1,FALSE)</f>
        <v>#N/A</v>
      </c>
      <c r="CE39" s="6" t="e">
        <f>VLOOKUP(CC39,$BV$5:BY$215,2,FALSE)</f>
        <v>#N/A</v>
      </c>
      <c r="CF39" s="103" t="e">
        <f>VLOOKUP(CC39,$BV$5:BY$215,4,FALSE)</f>
        <v>#N/A</v>
      </c>
      <c r="CL39" s="77">
        <v>1</v>
      </c>
    </row>
    <row r="40" spans="1:90" ht="17.45" customHeight="1">
      <c r="A40" s="58">
        <v>36</v>
      </c>
      <c r="B40" s="59" t="str">
        <f>'C Div'!A40 &amp; " " &amp; 'C Div'!B40</f>
        <v xml:space="preserve"> </v>
      </c>
      <c r="C40" s="59" t="str">
        <f>'C Div'!E40</f>
        <v>-</v>
      </c>
      <c r="D40" s="60"/>
      <c r="E40" s="60"/>
      <c r="F40" s="60"/>
      <c r="G40" s="60"/>
      <c r="H40" s="60"/>
      <c r="I40" s="60"/>
      <c r="J40" s="60"/>
      <c r="K40" s="60"/>
      <c r="L40" s="60"/>
      <c r="M40" s="74" t="str">
        <f t="shared" si="15"/>
        <v>-</v>
      </c>
      <c r="N40" s="60"/>
      <c r="O40" s="60"/>
      <c r="P40" s="60"/>
      <c r="Q40" s="60"/>
      <c r="R40" s="60"/>
      <c r="S40" s="60"/>
      <c r="T40" s="60"/>
      <c r="U40" s="60"/>
      <c r="V40" s="60"/>
      <c r="W40" s="74" t="str">
        <f t="shared" si="1"/>
        <v>-</v>
      </c>
      <c r="X40" s="155" t="str">
        <f t="shared" si="2"/>
        <v>-</v>
      </c>
      <c r="Y40" s="156" t="str">
        <f t="shared" si="3"/>
        <v>-</v>
      </c>
      <c r="AA40" s="60"/>
      <c r="AB40" s="60"/>
      <c r="AC40" s="60"/>
      <c r="AD40" s="60"/>
      <c r="AE40" s="60"/>
      <c r="AF40" s="60"/>
      <c r="AG40" s="60"/>
      <c r="AH40" s="60"/>
      <c r="AI40" s="60"/>
      <c r="AJ40" s="74" t="str">
        <f t="shared" si="4"/>
        <v>-</v>
      </c>
      <c r="AK40" s="60"/>
      <c r="AL40" s="60"/>
      <c r="AM40" s="60"/>
      <c r="AN40" s="60"/>
      <c r="AO40" s="60"/>
      <c r="AP40" s="60"/>
      <c r="AQ40" s="60"/>
      <c r="AR40" s="60"/>
      <c r="AS40" s="60"/>
      <c r="AT40" s="74" t="str">
        <f t="shared" si="5"/>
        <v>-</v>
      </c>
      <c r="AU40" s="155" t="str">
        <f t="shared" si="6"/>
        <v>-</v>
      </c>
      <c r="AV40" s="156" t="str">
        <f t="shared" si="7"/>
        <v>-</v>
      </c>
      <c r="AX40" s="59" t="str">
        <f>IF(AND(D40&gt;0,AA40&gt;0),MIN(D40,AA40),"-")</f>
        <v>-</v>
      </c>
      <c r="AY40" s="59" t="str">
        <f>IF(AND(E40&gt;0,AB40&gt;0),MIN(E40,AB40),"-")</f>
        <v>-</v>
      </c>
      <c r="AZ40" s="59" t="str">
        <f>IF(AND(F40&gt;0,AC40&gt;0),MIN(F40,AC40),"-")</f>
        <v>-</v>
      </c>
      <c r="BA40" s="59" t="str">
        <f>IF(AND(G40&gt;0,AD40&gt;0),MIN(G40,AD40),"-")</f>
        <v>-</v>
      </c>
      <c r="BB40" s="59" t="str">
        <f>IF(AND(H40&gt;0,AE40&gt;0),MIN(H40,AE40),"-")</f>
        <v>-</v>
      </c>
      <c r="BC40" s="59" t="str">
        <f>IF(AND(I40&gt;0,AF40&gt;0),MIN(I40,AF40),"-")</f>
        <v>-</v>
      </c>
      <c r="BD40" s="59" t="str">
        <f>IF(AND(J40&gt;0,AG40&gt;0),MIN(J40,AG40),"-")</f>
        <v>-</v>
      </c>
      <c r="BE40" s="59" t="str">
        <f>IF(AND(K40&gt;0,AH40&gt;0),MIN(K40,AH40),"-")</f>
        <v>-</v>
      </c>
      <c r="BF40" s="59" t="str">
        <f>IF(AND(L40&gt;0,AI40&gt;0),MIN(L40,AI40),"-")</f>
        <v>-</v>
      </c>
      <c r="BG40" s="59" t="str">
        <f t="shared" si="8"/>
        <v>-</v>
      </c>
      <c r="BH40" s="59" t="str">
        <f>IF(AND(N40&gt;0,AK40&gt;0),MIN(N40,AK40),"-")</f>
        <v>-</v>
      </c>
      <c r="BI40" s="59" t="str">
        <f>IF(AND(O40&gt;0,AL40&gt;0),MIN(O40,AL40),"-")</f>
        <v>-</v>
      </c>
      <c r="BJ40" s="59" t="str">
        <f>IF(AND(P40&gt;0,AM40&gt;0),MIN(P40,AM40),"-")</f>
        <v>-</v>
      </c>
      <c r="BK40" s="59" t="str">
        <f>IF(AND(Q40&gt;0,AN40&gt;0),MIN(Q40,AN40),"-")</f>
        <v>-</v>
      </c>
      <c r="BL40" s="59" t="str">
        <f>IF(AND(R40&gt;0,AO40&gt;0),MIN(R40,AO40),"-")</f>
        <v>-</v>
      </c>
      <c r="BM40" s="59" t="str">
        <f>IF(AND(S40&gt;0,AP40&gt;0),MIN(S40,AP40),"-")</f>
        <v>-</v>
      </c>
      <c r="BN40" s="59" t="str">
        <f>IF(AND(T40&gt;0,AQ40&gt;0),MIN(T40,AQ40),"-")</f>
        <v>-</v>
      </c>
      <c r="BO40" s="59" t="str">
        <f>IF(AND(U40&gt;0,AR40&gt;0),MIN(U40,AR40),"-")</f>
        <v>-</v>
      </c>
      <c r="BP40" s="59" t="str">
        <f>IF(AND(V40&gt;0,AS40&gt;0),MIN(V40,AS40),"-")</f>
        <v>-</v>
      </c>
      <c r="BQ40" s="59" t="str">
        <f t="shared" si="9"/>
        <v>-</v>
      </c>
      <c r="BR40" s="59" t="str">
        <f t="shared" si="10"/>
        <v>-</v>
      </c>
      <c r="BS40" s="59" t="str">
        <f t="shared" si="11"/>
        <v>-</v>
      </c>
      <c r="BT40" s="98" t="str">
        <f>IF(ISNUMBER(BS40),BS40-(C40*Rules!$P$9/100),"-")</f>
        <v>-</v>
      </c>
      <c r="BU40" s="59" t="e">
        <f>RANK($BT40,$BT$5:$BT$106,1)+COUNTIF(BT$5:BT40,BT40)-1</f>
        <v>#VALUE!</v>
      </c>
      <c r="BV40" s="59" t="e">
        <f t="shared" si="12"/>
        <v>#VALUE!</v>
      </c>
      <c r="BW40" s="59" t="str">
        <f t="shared" si="13"/>
        <v xml:space="preserve"> </v>
      </c>
      <c r="BX40" s="59" t="str">
        <f t="shared" si="13"/>
        <v>-</v>
      </c>
      <c r="BY40" s="59" t="str">
        <f t="shared" si="14"/>
        <v>-</v>
      </c>
      <c r="CC40" s="4">
        <v>36</v>
      </c>
      <c r="CD40" s="2" t="e">
        <f>VLOOKUP(CC40,$BV$5:BY$215,1,FALSE)</f>
        <v>#N/A</v>
      </c>
      <c r="CE40" s="6" t="e">
        <f>VLOOKUP(CC40,$BV$5:BY$215,2,FALSE)</f>
        <v>#N/A</v>
      </c>
      <c r="CF40" s="103" t="e">
        <f>VLOOKUP(CC40,$BV$5:BY$215,4,FALSE)</f>
        <v>#N/A</v>
      </c>
      <c r="CL40" s="77">
        <v>1</v>
      </c>
    </row>
    <row r="41" spans="1:90" ht="17.45" customHeight="1">
      <c r="A41" s="58">
        <v>37</v>
      </c>
      <c r="B41" s="59" t="str">
        <f>'C Div'!A41 &amp; " " &amp; 'C Div'!B41</f>
        <v xml:space="preserve"> </v>
      </c>
      <c r="C41" s="59" t="str">
        <f>'C Div'!E41</f>
        <v>-</v>
      </c>
      <c r="D41" s="60"/>
      <c r="E41" s="60"/>
      <c r="F41" s="60"/>
      <c r="G41" s="60"/>
      <c r="H41" s="60"/>
      <c r="I41" s="60"/>
      <c r="J41" s="60"/>
      <c r="K41" s="60"/>
      <c r="L41" s="60"/>
      <c r="M41" s="74" t="str">
        <f t="shared" si="15"/>
        <v>-</v>
      </c>
      <c r="N41" s="60"/>
      <c r="O41" s="60"/>
      <c r="P41" s="60"/>
      <c r="Q41" s="60"/>
      <c r="R41" s="60"/>
      <c r="S41" s="60"/>
      <c r="T41" s="60"/>
      <c r="U41" s="60"/>
      <c r="V41" s="60"/>
      <c r="W41" s="74" t="str">
        <f t="shared" si="1"/>
        <v>-</v>
      </c>
      <c r="X41" s="155" t="str">
        <f t="shared" si="2"/>
        <v>-</v>
      </c>
      <c r="Y41" s="156" t="str">
        <f t="shared" si="3"/>
        <v>-</v>
      </c>
      <c r="AA41" s="60"/>
      <c r="AB41" s="60"/>
      <c r="AC41" s="60"/>
      <c r="AD41" s="60"/>
      <c r="AE41" s="60"/>
      <c r="AF41" s="60"/>
      <c r="AG41" s="60"/>
      <c r="AH41" s="60"/>
      <c r="AI41" s="60"/>
      <c r="AJ41" s="74" t="str">
        <f t="shared" si="4"/>
        <v>-</v>
      </c>
      <c r="AK41" s="60"/>
      <c r="AL41" s="60"/>
      <c r="AM41" s="60"/>
      <c r="AN41" s="60"/>
      <c r="AO41" s="60"/>
      <c r="AP41" s="60"/>
      <c r="AQ41" s="60"/>
      <c r="AR41" s="60"/>
      <c r="AS41" s="60"/>
      <c r="AT41" s="74" t="str">
        <f t="shared" si="5"/>
        <v>-</v>
      </c>
      <c r="AU41" s="155" t="str">
        <f t="shared" si="6"/>
        <v>-</v>
      </c>
      <c r="AV41" s="156" t="str">
        <f t="shared" si="7"/>
        <v>-</v>
      </c>
      <c r="AX41" s="59" t="str">
        <f>IF(AND(D41&gt;0,AA41&gt;0),MIN(D41,AA41),"-")</f>
        <v>-</v>
      </c>
      <c r="AY41" s="59" t="str">
        <f>IF(AND(E41&gt;0,AB41&gt;0),MIN(E41,AB41),"-")</f>
        <v>-</v>
      </c>
      <c r="AZ41" s="59" t="str">
        <f>IF(AND(F41&gt;0,AC41&gt;0),MIN(F41,AC41),"-")</f>
        <v>-</v>
      </c>
      <c r="BA41" s="59" t="str">
        <f>IF(AND(G41&gt;0,AD41&gt;0),MIN(G41,AD41),"-")</f>
        <v>-</v>
      </c>
      <c r="BB41" s="59" t="str">
        <f>IF(AND(H41&gt;0,AE41&gt;0),MIN(H41,AE41),"-")</f>
        <v>-</v>
      </c>
      <c r="BC41" s="59" t="str">
        <f>IF(AND(I41&gt;0,AF41&gt;0),MIN(I41,AF41),"-")</f>
        <v>-</v>
      </c>
      <c r="BD41" s="59" t="str">
        <f>IF(AND(J41&gt;0,AG41&gt;0),MIN(J41,AG41),"-")</f>
        <v>-</v>
      </c>
      <c r="BE41" s="59" t="str">
        <f>IF(AND(K41&gt;0,AH41&gt;0),MIN(K41,AH41),"-")</f>
        <v>-</v>
      </c>
      <c r="BF41" s="59" t="str">
        <f>IF(AND(L41&gt;0,AI41&gt;0),MIN(L41,AI41),"-")</f>
        <v>-</v>
      </c>
      <c r="BG41" s="59" t="str">
        <f t="shared" si="8"/>
        <v>-</v>
      </c>
      <c r="BH41" s="59" t="str">
        <f>IF(AND(N41&gt;0,AK41&gt;0),MIN(N41,AK41),"-")</f>
        <v>-</v>
      </c>
      <c r="BI41" s="59" t="str">
        <f>IF(AND(O41&gt;0,AL41&gt;0),MIN(O41,AL41),"-")</f>
        <v>-</v>
      </c>
      <c r="BJ41" s="59" t="str">
        <f>IF(AND(P41&gt;0,AM41&gt;0),MIN(P41,AM41),"-")</f>
        <v>-</v>
      </c>
      <c r="BK41" s="59" t="str">
        <f>IF(AND(Q41&gt;0,AN41&gt;0),MIN(Q41,AN41),"-")</f>
        <v>-</v>
      </c>
      <c r="BL41" s="59" t="str">
        <f>IF(AND(R41&gt;0,AO41&gt;0),MIN(R41,AO41),"-")</f>
        <v>-</v>
      </c>
      <c r="BM41" s="59" t="str">
        <f>IF(AND(S41&gt;0,AP41&gt;0),MIN(S41,AP41),"-")</f>
        <v>-</v>
      </c>
      <c r="BN41" s="59" t="str">
        <f>IF(AND(T41&gt;0,AQ41&gt;0),MIN(T41,AQ41),"-")</f>
        <v>-</v>
      </c>
      <c r="BO41" s="59" t="str">
        <f>IF(AND(U41&gt;0,AR41&gt;0),MIN(U41,AR41),"-")</f>
        <v>-</v>
      </c>
      <c r="BP41" s="59" t="str">
        <f>IF(AND(V41&gt;0,AS41&gt;0),MIN(V41,AS41),"-")</f>
        <v>-</v>
      </c>
      <c r="BQ41" s="59" t="str">
        <f t="shared" si="9"/>
        <v>-</v>
      </c>
      <c r="BR41" s="59" t="str">
        <f t="shared" si="10"/>
        <v>-</v>
      </c>
      <c r="BS41" s="59" t="str">
        <f t="shared" si="11"/>
        <v>-</v>
      </c>
      <c r="BT41" s="98" t="str">
        <f>IF(ISNUMBER(BS41),BS41-(C41*Rules!$P$9/100),"-")</f>
        <v>-</v>
      </c>
      <c r="BU41" s="59" t="e">
        <f>RANK($BT41,$BT$5:$BT$106,1)+COUNTIF(BT$5:BT41,BT41)-1</f>
        <v>#VALUE!</v>
      </c>
      <c r="BV41" s="59" t="e">
        <f t="shared" si="12"/>
        <v>#VALUE!</v>
      </c>
      <c r="BW41" s="59" t="str">
        <f t="shared" si="13"/>
        <v xml:space="preserve"> </v>
      </c>
      <c r="BX41" s="59" t="str">
        <f t="shared" si="13"/>
        <v>-</v>
      </c>
      <c r="BY41" s="59" t="str">
        <f t="shared" si="14"/>
        <v>-</v>
      </c>
      <c r="CC41" s="4">
        <v>37</v>
      </c>
      <c r="CD41" s="2" t="e">
        <f>VLOOKUP(CC41,$BV$5:BY$215,1,FALSE)</f>
        <v>#N/A</v>
      </c>
      <c r="CE41" s="6" t="e">
        <f>VLOOKUP(CC41,$BV$5:BY$215,2,FALSE)</f>
        <v>#N/A</v>
      </c>
      <c r="CF41" s="103" t="e">
        <f>VLOOKUP(CC41,$BV$5:BY$215,4,FALSE)</f>
        <v>#N/A</v>
      </c>
      <c r="CL41" s="77">
        <v>1</v>
      </c>
    </row>
    <row r="42" spans="1:90" ht="17.45" customHeight="1">
      <c r="A42" s="58">
        <v>38</v>
      </c>
      <c r="B42" s="59" t="str">
        <f>'C Div'!A42 &amp; " " &amp; 'C Div'!B42</f>
        <v xml:space="preserve"> </v>
      </c>
      <c r="C42" s="59" t="str">
        <f>'C Div'!E42</f>
        <v>-</v>
      </c>
      <c r="D42" s="60"/>
      <c r="E42" s="60"/>
      <c r="F42" s="60"/>
      <c r="G42" s="60"/>
      <c r="H42" s="60"/>
      <c r="I42" s="60"/>
      <c r="J42" s="60"/>
      <c r="K42" s="60"/>
      <c r="L42" s="60"/>
      <c r="M42" s="74" t="str">
        <f t="shared" si="15"/>
        <v>-</v>
      </c>
      <c r="N42" s="60"/>
      <c r="O42" s="60"/>
      <c r="P42" s="60"/>
      <c r="Q42" s="60"/>
      <c r="R42" s="60"/>
      <c r="S42" s="60"/>
      <c r="T42" s="60"/>
      <c r="U42" s="60"/>
      <c r="V42" s="60"/>
      <c r="W42" s="74" t="str">
        <f t="shared" si="1"/>
        <v>-</v>
      </c>
      <c r="X42" s="155" t="str">
        <f t="shared" si="2"/>
        <v>-</v>
      </c>
      <c r="Y42" s="156" t="str">
        <f t="shared" si="3"/>
        <v>-</v>
      </c>
      <c r="AA42" s="60"/>
      <c r="AB42" s="60"/>
      <c r="AC42" s="60"/>
      <c r="AD42" s="60"/>
      <c r="AE42" s="60"/>
      <c r="AF42" s="60"/>
      <c r="AG42" s="60"/>
      <c r="AH42" s="60"/>
      <c r="AI42" s="60"/>
      <c r="AJ42" s="74" t="str">
        <f t="shared" si="4"/>
        <v>-</v>
      </c>
      <c r="AK42" s="60"/>
      <c r="AL42" s="60"/>
      <c r="AM42" s="60"/>
      <c r="AN42" s="60"/>
      <c r="AO42" s="60"/>
      <c r="AP42" s="60"/>
      <c r="AQ42" s="60"/>
      <c r="AR42" s="60"/>
      <c r="AS42" s="60"/>
      <c r="AT42" s="74" t="str">
        <f t="shared" si="5"/>
        <v>-</v>
      </c>
      <c r="AU42" s="155" t="str">
        <f t="shared" si="6"/>
        <v>-</v>
      </c>
      <c r="AV42" s="156" t="str">
        <f t="shared" si="7"/>
        <v>-</v>
      </c>
      <c r="AX42" s="59" t="str">
        <f>IF(AND(D42&gt;0,AA42&gt;0),MIN(D42,AA42),"-")</f>
        <v>-</v>
      </c>
      <c r="AY42" s="59" t="str">
        <f>IF(AND(E42&gt;0,AB42&gt;0),MIN(E42,AB42),"-")</f>
        <v>-</v>
      </c>
      <c r="AZ42" s="59" t="str">
        <f>IF(AND(F42&gt;0,AC42&gt;0),MIN(F42,AC42),"-")</f>
        <v>-</v>
      </c>
      <c r="BA42" s="59" t="str">
        <f>IF(AND(G42&gt;0,AD42&gt;0),MIN(G42,AD42),"-")</f>
        <v>-</v>
      </c>
      <c r="BB42" s="59" t="str">
        <f>IF(AND(H42&gt;0,AE42&gt;0),MIN(H42,AE42),"-")</f>
        <v>-</v>
      </c>
      <c r="BC42" s="59" t="str">
        <f>IF(AND(I42&gt;0,AF42&gt;0),MIN(I42,AF42),"-")</f>
        <v>-</v>
      </c>
      <c r="BD42" s="59" t="str">
        <f>IF(AND(J42&gt;0,AG42&gt;0),MIN(J42,AG42),"-")</f>
        <v>-</v>
      </c>
      <c r="BE42" s="59" t="str">
        <f>IF(AND(K42&gt;0,AH42&gt;0),MIN(K42,AH42),"-")</f>
        <v>-</v>
      </c>
      <c r="BF42" s="59" t="str">
        <f>IF(AND(L42&gt;0,AI42&gt;0),MIN(L42,AI42),"-")</f>
        <v>-</v>
      </c>
      <c r="BG42" s="59" t="str">
        <f t="shared" si="8"/>
        <v>-</v>
      </c>
      <c r="BH42" s="59" t="str">
        <f>IF(AND(N42&gt;0,AK42&gt;0),MIN(N42,AK42),"-")</f>
        <v>-</v>
      </c>
      <c r="BI42" s="59" t="str">
        <f>IF(AND(O42&gt;0,AL42&gt;0),MIN(O42,AL42),"-")</f>
        <v>-</v>
      </c>
      <c r="BJ42" s="59" t="str">
        <f>IF(AND(P42&gt;0,AM42&gt;0),MIN(P42,AM42),"-")</f>
        <v>-</v>
      </c>
      <c r="BK42" s="59" t="str">
        <f>IF(AND(Q42&gt;0,AN42&gt;0),MIN(Q42,AN42),"-")</f>
        <v>-</v>
      </c>
      <c r="BL42" s="59" t="str">
        <f>IF(AND(R42&gt;0,AO42&gt;0),MIN(R42,AO42),"-")</f>
        <v>-</v>
      </c>
      <c r="BM42" s="59" t="str">
        <f>IF(AND(S42&gt;0,AP42&gt;0),MIN(S42,AP42),"-")</f>
        <v>-</v>
      </c>
      <c r="BN42" s="59" t="str">
        <f>IF(AND(T42&gt;0,AQ42&gt;0),MIN(T42,AQ42),"-")</f>
        <v>-</v>
      </c>
      <c r="BO42" s="59" t="str">
        <f>IF(AND(U42&gt;0,AR42&gt;0),MIN(U42,AR42),"-")</f>
        <v>-</v>
      </c>
      <c r="BP42" s="59" t="str">
        <f>IF(AND(V42&gt;0,AS42&gt;0),MIN(V42,AS42),"-")</f>
        <v>-</v>
      </c>
      <c r="BQ42" s="59" t="str">
        <f t="shared" si="9"/>
        <v>-</v>
      </c>
      <c r="BR42" s="59" t="str">
        <f t="shared" si="10"/>
        <v>-</v>
      </c>
      <c r="BS42" s="59" t="str">
        <f t="shared" si="11"/>
        <v>-</v>
      </c>
      <c r="BT42" s="98" t="str">
        <f>IF(ISNUMBER(BS42),BS42-(C42*Rules!$P$9/100),"-")</f>
        <v>-</v>
      </c>
      <c r="BU42" s="59" t="e">
        <f>RANK($BT42,$BT$5:$BT$106,1)+COUNTIF(BT$5:BT42,BT42)-1</f>
        <v>#VALUE!</v>
      </c>
      <c r="BV42" s="59" t="e">
        <f t="shared" si="12"/>
        <v>#VALUE!</v>
      </c>
      <c r="BW42" s="59" t="str">
        <f t="shared" si="13"/>
        <v xml:space="preserve"> </v>
      </c>
      <c r="BX42" s="59" t="str">
        <f t="shared" si="13"/>
        <v>-</v>
      </c>
      <c r="BY42" s="59" t="str">
        <f t="shared" si="14"/>
        <v>-</v>
      </c>
      <c r="CC42" s="4">
        <v>38</v>
      </c>
      <c r="CD42" s="2" t="e">
        <f>VLOOKUP(CC42,$BV$5:BY$215,1,FALSE)</f>
        <v>#N/A</v>
      </c>
      <c r="CE42" s="6" t="e">
        <f>VLOOKUP(CC42,$BV$5:BY$215,2,FALSE)</f>
        <v>#N/A</v>
      </c>
      <c r="CF42" s="103" t="e">
        <f>VLOOKUP(CC42,$BV$5:BY$215,4,FALSE)</f>
        <v>#N/A</v>
      </c>
      <c r="CL42" s="77">
        <v>1</v>
      </c>
    </row>
    <row r="43" spans="1:90" ht="17.45" customHeight="1">
      <c r="A43" s="58">
        <v>39</v>
      </c>
      <c r="B43" s="59" t="str">
        <f>'C Div'!A43 &amp; " " &amp; 'C Div'!B43</f>
        <v xml:space="preserve"> </v>
      </c>
      <c r="C43" s="59" t="str">
        <f>'C Div'!E43</f>
        <v>-</v>
      </c>
      <c r="D43" s="60"/>
      <c r="E43" s="60"/>
      <c r="F43" s="60"/>
      <c r="G43" s="60"/>
      <c r="H43" s="60"/>
      <c r="I43" s="60"/>
      <c r="J43" s="60"/>
      <c r="K43" s="60"/>
      <c r="L43" s="60"/>
      <c r="M43" s="74" t="str">
        <f t="shared" si="15"/>
        <v>-</v>
      </c>
      <c r="N43" s="60"/>
      <c r="O43" s="60"/>
      <c r="P43" s="60"/>
      <c r="Q43" s="60"/>
      <c r="R43" s="60"/>
      <c r="S43" s="60"/>
      <c r="T43" s="60"/>
      <c r="U43" s="60"/>
      <c r="V43" s="60"/>
      <c r="W43" s="74" t="str">
        <f t="shared" si="1"/>
        <v>-</v>
      </c>
      <c r="X43" s="155" t="str">
        <f t="shared" si="2"/>
        <v>-</v>
      </c>
      <c r="Y43" s="156" t="str">
        <f t="shared" si="3"/>
        <v>-</v>
      </c>
      <c r="AA43" s="60"/>
      <c r="AB43" s="60"/>
      <c r="AC43" s="60"/>
      <c r="AD43" s="60"/>
      <c r="AE43" s="60"/>
      <c r="AF43" s="60"/>
      <c r="AG43" s="60"/>
      <c r="AH43" s="60"/>
      <c r="AI43" s="60"/>
      <c r="AJ43" s="74" t="str">
        <f t="shared" si="4"/>
        <v>-</v>
      </c>
      <c r="AK43" s="60"/>
      <c r="AL43" s="60"/>
      <c r="AM43" s="60"/>
      <c r="AN43" s="60"/>
      <c r="AO43" s="60"/>
      <c r="AP43" s="60"/>
      <c r="AQ43" s="60"/>
      <c r="AR43" s="60"/>
      <c r="AS43" s="60"/>
      <c r="AT43" s="74" t="str">
        <f t="shared" si="5"/>
        <v>-</v>
      </c>
      <c r="AU43" s="155" t="str">
        <f t="shared" si="6"/>
        <v>-</v>
      </c>
      <c r="AV43" s="156" t="str">
        <f t="shared" si="7"/>
        <v>-</v>
      </c>
      <c r="AX43" s="59" t="str">
        <f>IF(AND(D43&gt;0,AA43&gt;0),MIN(D43,AA43),"-")</f>
        <v>-</v>
      </c>
      <c r="AY43" s="59" t="str">
        <f>IF(AND(E43&gt;0,AB43&gt;0),MIN(E43,AB43),"-")</f>
        <v>-</v>
      </c>
      <c r="AZ43" s="59" t="str">
        <f>IF(AND(F43&gt;0,AC43&gt;0),MIN(F43,AC43),"-")</f>
        <v>-</v>
      </c>
      <c r="BA43" s="59" t="str">
        <f>IF(AND(G43&gt;0,AD43&gt;0),MIN(G43,AD43),"-")</f>
        <v>-</v>
      </c>
      <c r="BB43" s="59" t="str">
        <f>IF(AND(H43&gt;0,AE43&gt;0),MIN(H43,AE43),"-")</f>
        <v>-</v>
      </c>
      <c r="BC43" s="59" t="str">
        <f>IF(AND(I43&gt;0,AF43&gt;0),MIN(I43,AF43),"-")</f>
        <v>-</v>
      </c>
      <c r="BD43" s="59" t="str">
        <f>IF(AND(J43&gt;0,AG43&gt;0),MIN(J43,AG43),"-")</f>
        <v>-</v>
      </c>
      <c r="BE43" s="59" t="str">
        <f>IF(AND(K43&gt;0,AH43&gt;0),MIN(K43,AH43),"-")</f>
        <v>-</v>
      </c>
      <c r="BF43" s="59" t="str">
        <f>IF(AND(L43&gt;0,AI43&gt;0),MIN(L43,AI43),"-")</f>
        <v>-</v>
      </c>
      <c r="BG43" s="59" t="str">
        <f t="shared" si="8"/>
        <v>-</v>
      </c>
      <c r="BH43" s="59" t="str">
        <f>IF(AND(N43&gt;0,AK43&gt;0),MIN(N43,AK43),"-")</f>
        <v>-</v>
      </c>
      <c r="BI43" s="59" t="str">
        <f>IF(AND(O43&gt;0,AL43&gt;0),MIN(O43,AL43),"-")</f>
        <v>-</v>
      </c>
      <c r="BJ43" s="59" t="str">
        <f>IF(AND(P43&gt;0,AM43&gt;0),MIN(P43,AM43),"-")</f>
        <v>-</v>
      </c>
      <c r="BK43" s="59" t="str">
        <f>IF(AND(Q43&gt;0,AN43&gt;0),MIN(Q43,AN43),"-")</f>
        <v>-</v>
      </c>
      <c r="BL43" s="59" t="str">
        <f>IF(AND(R43&gt;0,AO43&gt;0),MIN(R43,AO43),"-")</f>
        <v>-</v>
      </c>
      <c r="BM43" s="59" t="str">
        <f>IF(AND(S43&gt;0,AP43&gt;0),MIN(S43,AP43),"-")</f>
        <v>-</v>
      </c>
      <c r="BN43" s="59" t="str">
        <f>IF(AND(T43&gt;0,AQ43&gt;0),MIN(T43,AQ43),"-")</f>
        <v>-</v>
      </c>
      <c r="BO43" s="59" t="str">
        <f>IF(AND(U43&gt;0,AR43&gt;0),MIN(U43,AR43),"-")</f>
        <v>-</v>
      </c>
      <c r="BP43" s="59" t="str">
        <f>IF(AND(V43&gt;0,AS43&gt;0),MIN(V43,AS43),"-")</f>
        <v>-</v>
      </c>
      <c r="BQ43" s="59" t="str">
        <f t="shared" si="9"/>
        <v>-</v>
      </c>
      <c r="BR43" s="59" t="str">
        <f t="shared" si="10"/>
        <v>-</v>
      </c>
      <c r="BS43" s="59" t="str">
        <f t="shared" si="11"/>
        <v>-</v>
      </c>
      <c r="BT43" s="98" t="str">
        <f>IF(ISNUMBER(BS43),BS43-(C43*Rules!$P$9/100),"-")</f>
        <v>-</v>
      </c>
      <c r="BU43" s="59" t="e">
        <f>RANK($BT43,$BT$5:$BT$106,1)+COUNTIF(BT$5:BT43,BT43)-1</f>
        <v>#VALUE!</v>
      </c>
      <c r="BV43" s="59" t="e">
        <f t="shared" si="12"/>
        <v>#VALUE!</v>
      </c>
      <c r="BW43" s="59" t="str">
        <f t="shared" si="13"/>
        <v xml:space="preserve"> </v>
      </c>
      <c r="BX43" s="59" t="str">
        <f t="shared" si="13"/>
        <v>-</v>
      </c>
      <c r="BY43" s="59" t="str">
        <f t="shared" si="14"/>
        <v>-</v>
      </c>
      <c r="CC43" s="4">
        <v>39</v>
      </c>
      <c r="CD43" s="2" t="e">
        <f>VLOOKUP(CC43,$BV$5:BY$215,1,FALSE)</f>
        <v>#N/A</v>
      </c>
      <c r="CE43" s="6" t="e">
        <f>VLOOKUP(CC43,$BV$5:BY$215,2,FALSE)</f>
        <v>#N/A</v>
      </c>
      <c r="CF43" s="103" t="e">
        <f>VLOOKUP(CC43,$BV$5:BY$215,4,FALSE)</f>
        <v>#N/A</v>
      </c>
      <c r="CL43" s="77">
        <v>1</v>
      </c>
    </row>
    <row r="44" spans="1:90" ht="17.45" customHeight="1">
      <c r="A44" s="58">
        <v>40</v>
      </c>
      <c r="B44" s="59" t="str">
        <f>'C Div'!A44 &amp; " " &amp; 'C Div'!B44</f>
        <v xml:space="preserve"> </v>
      </c>
      <c r="C44" s="59" t="str">
        <f>'C Div'!E44</f>
        <v>-</v>
      </c>
      <c r="D44" s="60"/>
      <c r="E44" s="60"/>
      <c r="F44" s="60"/>
      <c r="G44" s="60"/>
      <c r="H44" s="60"/>
      <c r="I44" s="60"/>
      <c r="J44" s="60"/>
      <c r="K44" s="60"/>
      <c r="L44" s="60"/>
      <c r="M44" s="74" t="str">
        <f t="shared" si="15"/>
        <v>-</v>
      </c>
      <c r="N44" s="60"/>
      <c r="O44" s="60"/>
      <c r="P44" s="60"/>
      <c r="Q44" s="60"/>
      <c r="R44" s="60"/>
      <c r="S44" s="60"/>
      <c r="T44" s="60"/>
      <c r="U44" s="60"/>
      <c r="V44" s="60"/>
      <c r="W44" s="74" t="str">
        <f t="shared" si="1"/>
        <v>-</v>
      </c>
      <c r="X44" s="155" t="str">
        <f t="shared" si="2"/>
        <v>-</v>
      </c>
      <c r="Y44" s="156" t="str">
        <f t="shared" si="3"/>
        <v>-</v>
      </c>
      <c r="AA44" s="60"/>
      <c r="AB44" s="60"/>
      <c r="AC44" s="60"/>
      <c r="AD44" s="60"/>
      <c r="AE44" s="60"/>
      <c r="AF44" s="60"/>
      <c r="AG44" s="60"/>
      <c r="AH44" s="60"/>
      <c r="AI44" s="60"/>
      <c r="AJ44" s="74" t="str">
        <f t="shared" si="4"/>
        <v>-</v>
      </c>
      <c r="AK44" s="60"/>
      <c r="AL44" s="60"/>
      <c r="AM44" s="60"/>
      <c r="AN44" s="60"/>
      <c r="AO44" s="60"/>
      <c r="AP44" s="60"/>
      <c r="AQ44" s="60"/>
      <c r="AR44" s="60"/>
      <c r="AS44" s="60"/>
      <c r="AT44" s="74" t="str">
        <f t="shared" si="5"/>
        <v>-</v>
      </c>
      <c r="AU44" s="155" t="str">
        <f t="shared" si="6"/>
        <v>-</v>
      </c>
      <c r="AV44" s="156" t="str">
        <f t="shared" si="7"/>
        <v>-</v>
      </c>
      <c r="AX44" s="59" t="str">
        <f>IF(AND(D44&gt;0,AA44&gt;0),MIN(D44,AA44),"-")</f>
        <v>-</v>
      </c>
      <c r="AY44" s="59" t="str">
        <f>IF(AND(E44&gt;0,AB44&gt;0),MIN(E44,AB44),"-")</f>
        <v>-</v>
      </c>
      <c r="AZ44" s="59" t="str">
        <f>IF(AND(F44&gt;0,AC44&gt;0),MIN(F44,AC44),"-")</f>
        <v>-</v>
      </c>
      <c r="BA44" s="59" t="str">
        <f>IF(AND(G44&gt;0,AD44&gt;0),MIN(G44,AD44),"-")</f>
        <v>-</v>
      </c>
      <c r="BB44" s="59" t="str">
        <f>IF(AND(H44&gt;0,AE44&gt;0),MIN(H44,AE44),"-")</f>
        <v>-</v>
      </c>
      <c r="BC44" s="59" t="str">
        <f>IF(AND(I44&gt;0,AF44&gt;0),MIN(I44,AF44),"-")</f>
        <v>-</v>
      </c>
      <c r="BD44" s="59" t="str">
        <f>IF(AND(J44&gt;0,AG44&gt;0),MIN(J44,AG44),"-")</f>
        <v>-</v>
      </c>
      <c r="BE44" s="59" t="str">
        <f>IF(AND(K44&gt;0,AH44&gt;0),MIN(K44,AH44),"-")</f>
        <v>-</v>
      </c>
      <c r="BF44" s="59" t="str">
        <f>IF(AND(L44&gt;0,AI44&gt;0),MIN(L44,AI44),"-")</f>
        <v>-</v>
      </c>
      <c r="BG44" s="59" t="str">
        <f t="shared" si="8"/>
        <v>-</v>
      </c>
      <c r="BH44" s="59" t="str">
        <f>IF(AND(N44&gt;0,AK44&gt;0),MIN(N44,AK44),"-")</f>
        <v>-</v>
      </c>
      <c r="BI44" s="59" t="str">
        <f>IF(AND(O44&gt;0,AL44&gt;0),MIN(O44,AL44),"-")</f>
        <v>-</v>
      </c>
      <c r="BJ44" s="59" t="str">
        <f>IF(AND(P44&gt;0,AM44&gt;0),MIN(P44,AM44),"-")</f>
        <v>-</v>
      </c>
      <c r="BK44" s="59" t="str">
        <f>IF(AND(Q44&gt;0,AN44&gt;0),MIN(Q44,AN44),"-")</f>
        <v>-</v>
      </c>
      <c r="BL44" s="59" t="str">
        <f>IF(AND(R44&gt;0,AO44&gt;0),MIN(R44,AO44),"-")</f>
        <v>-</v>
      </c>
      <c r="BM44" s="59" t="str">
        <f>IF(AND(S44&gt;0,AP44&gt;0),MIN(S44,AP44),"-")</f>
        <v>-</v>
      </c>
      <c r="BN44" s="59" t="str">
        <f>IF(AND(T44&gt;0,AQ44&gt;0),MIN(T44,AQ44),"-")</f>
        <v>-</v>
      </c>
      <c r="BO44" s="59" t="str">
        <f>IF(AND(U44&gt;0,AR44&gt;0),MIN(U44,AR44),"-")</f>
        <v>-</v>
      </c>
      <c r="BP44" s="59" t="str">
        <f>IF(AND(V44&gt;0,AS44&gt;0),MIN(V44,AS44),"-")</f>
        <v>-</v>
      </c>
      <c r="BQ44" s="59" t="str">
        <f t="shared" si="9"/>
        <v>-</v>
      </c>
      <c r="BR44" s="59" t="str">
        <f t="shared" si="10"/>
        <v>-</v>
      </c>
      <c r="BS44" s="59" t="str">
        <f t="shared" si="11"/>
        <v>-</v>
      </c>
      <c r="BT44" s="98" t="str">
        <f>IF(ISNUMBER(BS44),BS44-(C44*Rules!$P$9/100),"-")</f>
        <v>-</v>
      </c>
      <c r="BU44" s="59" t="e">
        <f>RANK($BT44,$BT$5:$BT$106,1)+COUNTIF(BT$5:BT44,BT44)-1</f>
        <v>#VALUE!</v>
      </c>
      <c r="BV44" s="59" t="e">
        <f t="shared" si="12"/>
        <v>#VALUE!</v>
      </c>
      <c r="BW44" s="59" t="str">
        <f t="shared" si="13"/>
        <v xml:space="preserve"> </v>
      </c>
      <c r="BX44" s="59" t="str">
        <f t="shared" si="13"/>
        <v>-</v>
      </c>
      <c r="BY44" s="59" t="str">
        <f t="shared" si="14"/>
        <v>-</v>
      </c>
      <c r="CC44" s="4">
        <v>40</v>
      </c>
      <c r="CD44" s="2" t="e">
        <f>VLOOKUP(CC44,$BV$5:BY$215,1,FALSE)</f>
        <v>#N/A</v>
      </c>
      <c r="CE44" s="6" t="e">
        <f>VLOOKUP(CC44,$BV$5:BY$215,2,FALSE)</f>
        <v>#N/A</v>
      </c>
      <c r="CF44" s="103" t="e">
        <f>VLOOKUP(CC44,$BV$5:BY$215,4,FALSE)</f>
        <v>#N/A</v>
      </c>
      <c r="CL44" s="77">
        <v>1</v>
      </c>
    </row>
    <row r="45" spans="1:90" ht="17.45" customHeight="1">
      <c r="A45" s="58">
        <v>41</v>
      </c>
      <c r="B45" s="59" t="str">
        <f>'C Div'!A45 &amp; " " &amp; 'C Div'!B45</f>
        <v xml:space="preserve"> </v>
      </c>
      <c r="C45" s="59" t="str">
        <f>'C Div'!E45</f>
        <v>-</v>
      </c>
      <c r="D45" s="60"/>
      <c r="E45" s="60"/>
      <c r="F45" s="60"/>
      <c r="G45" s="60"/>
      <c r="H45" s="60"/>
      <c r="I45" s="60"/>
      <c r="J45" s="60"/>
      <c r="K45" s="60"/>
      <c r="L45" s="60"/>
      <c r="M45" s="74" t="str">
        <f t="shared" si="15"/>
        <v>-</v>
      </c>
      <c r="N45" s="60"/>
      <c r="O45" s="60"/>
      <c r="P45" s="60"/>
      <c r="Q45" s="60"/>
      <c r="R45" s="60"/>
      <c r="S45" s="60"/>
      <c r="T45" s="60"/>
      <c r="U45" s="60"/>
      <c r="V45" s="60"/>
      <c r="W45" s="74" t="str">
        <f t="shared" si="1"/>
        <v>-</v>
      </c>
      <c r="X45" s="155" t="str">
        <f t="shared" si="2"/>
        <v>-</v>
      </c>
      <c r="Y45" s="156" t="str">
        <f t="shared" si="3"/>
        <v>-</v>
      </c>
      <c r="AA45" s="60"/>
      <c r="AB45" s="60"/>
      <c r="AC45" s="60"/>
      <c r="AD45" s="60"/>
      <c r="AE45" s="60"/>
      <c r="AF45" s="60"/>
      <c r="AG45" s="60"/>
      <c r="AH45" s="60"/>
      <c r="AI45" s="60"/>
      <c r="AJ45" s="74" t="str">
        <f t="shared" si="4"/>
        <v>-</v>
      </c>
      <c r="AK45" s="60"/>
      <c r="AL45" s="60"/>
      <c r="AM45" s="60"/>
      <c r="AN45" s="60"/>
      <c r="AO45" s="60"/>
      <c r="AP45" s="60"/>
      <c r="AQ45" s="60"/>
      <c r="AR45" s="60"/>
      <c r="AS45" s="60"/>
      <c r="AT45" s="74" t="str">
        <f t="shared" si="5"/>
        <v>-</v>
      </c>
      <c r="AU45" s="155" t="str">
        <f t="shared" si="6"/>
        <v>-</v>
      </c>
      <c r="AV45" s="156" t="str">
        <f t="shared" si="7"/>
        <v>-</v>
      </c>
      <c r="AX45" s="59" t="str">
        <f>IF(AND(D45&gt;0,AA45&gt;0),MIN(D45,AA45),"-")</f>
        <v>-</v>
      </c>
      <c r="AY45" s="59" t="str">
        <f>IF(AND(E45&gt;0,AB45&gt;0),MIN(E45,AB45),"-")</f>
        <v>-</v>
      </c>
      <c r="AZ45" s="59" t="str">
        <f>IF(AND(F45&gt;0,AC45&gt;0),MIN(F45,AC45),"-")</f>
        <v>-</v>
      </c>
      <c r="BA45" s="59" t="str">
        <f>IF(AND(G45&gt;0,AD45&gt;0),MIN(G45,AD45),"-")</f>
        <v>-</v>
      </c>
      <c r="BB45" s="59" t="str">
        <f>IF(AND(H45&gt;0,AE45&gt;0),MIN(H45,AE45),"-")</f>
        <v>-</v>
      </c>
      <c r="BC45" s="59" t="str">
        <f>IF(AND(I45&gt;0,AF45&gt;0),MIN(I45,AF45),"-")</f>
        <v>-</v>
      </c>
      <c r="BD45" s="59" t="str">
        <f>IF(AND(J45&gt;0,AG45&gt;0),MIN(J45,AG45),"-")</f>
        <v>-</v>
      </c>
      <c r="BE45" s="59" t="str">
        <f>IF(AND(K45&gt;0,AH45&gt;0),MIN(K45,AH45),"-")</f>
        <v>-</v>
      </c>
      <c r="BF45" s="59" t="str">
        <f>IF(AND(L45&gt;0,AI45&gt;0),MIN(L45,AI45),"-")</f>
        <v>-</v>
      </c>
      <c r="BG45" s="59" t="str">
        <f t="shared" si="8"/>
        <v>-</v>
      </c>
      <c r="BH45" s="59" t="str">
        <f>IF(AND(N45&gt;0,AK45&gt;0),MIN(N45,AK45),"-")</f>
        <v>-</v>
      </c>
      <c r="BI45" s="59" t="str">
        <f>IF(AND(O45&gt;0,AL45&gt;0),MIN(O45,AL45),"-")</f>
        <v>-</v>
      </c>
      <c r="BJ45" s="59" t="str">
        <f>IF(AND(P45&gt;0,AM45&gt;0),MIN(P45,AM45),"-")</f>
        <v>-</v>
      </c>
      <c r="BK45" s="59" t="str">
        <f>IF(AND(Q45&gt;0,AN45&gt;0),MIN(Q45,AN45),"-")</f>
        <v>-</v>
      </c>
      <c r="BL45" s="59" t="str">
        <f>IF(AND(R45&gt;0,AO45&gt;0),MIN(R45,AO45),"-")</f>
        <v>-</v>
      </c>
      <c r="BM45" s="59" t="str">
        <f>IF(AND(S45&gt;0,AP45&gt;0),MIN(S45,AP45),"-")</f>
        <v>-</v>
      </c>
      <c r="BN45" s="59" t="str">
        <f>IF(AND(T45&gt;0,AQ45&gt;0),MIN(T45,AQ45),"-")</f>
        <v>-</v>
      </c>
      <c r="BO45" s="59" t="str">
        <f>IF(AND(U45&gt;0,AR45&gt;0),MIN(U45,AR45),"-")</f>
        <v>-</v>
      </c>
      <c r="BP45" s="59" t="str">
        <f>IF(AND(V45&gt;0,AS45&gt;0),MIN(V45,AS45),"-")</f>
        <v>-</v>
      </c>
      <c r="BQ45" s="59" t="str">
        <f t="shared" si="9"/>
        <v>-</v>
      </c>
      <c r="BR45" s="59" t="str">
        <f t="shared" si="10"/>
        <v>-</v>
      </c>
      <c r="BS45" s="59" t="str">
        <f t="shared" si="11"/>
        <v>-</v>
      </c>
      <c r="BT45" s="98" t="str">
        <f>IF(ISNUMBER(BS45),BS45-(C45*Rules!$P$9/100),"-")</f>
        <v>-</v>
      </c>
      <c r="BU45" s="59" t="e">
        <f>RANK($BT45,$BT$5:$BT$106,1)+COUNTIF(BT$5:BT45,BT45)-1</f>
        <v>#VALUE!</v>
      </c>
      <c r="BV45" s="59" t="e">
        <f t="shared" si="12"/>
        <v>#VALUE!</v>
      </c>
      <c r="BW45" s="59" t="str">
        <f t="shared" si="13"/>
        <v xml:space="preserve"> </v>
      </c>
      <c r="BX45" s="59" t="str">
        <f t="shared" si="13"/>
        <v>-</v>
      </c>
      <c r="BY45" s="59" t="str">
        <f t="shared" si="14"/>
        <v>-</v>
      </c>
      <c r="CC45" s="4">
        <v>41</v>
      </c>
      <c r="CD45" s="2" t="e">
        <f>VLOOKUP(CC45,$BV$5:BY$215,1,FALSE)</f>
        <v>#N/A</v>
      </c>
      <c r="CE45" s="6" t="e">
        <f>VLOOKUP(CC45,$BV$5:BY$215,2,FALSE)</f>
        <v>#N/A</v>
      </c>
      <c r="CF45" s="103" t="e">
        <f>VLOOKUP(CC45,$BV$5:BY$215,4,FALSE)</f>
        <v>#N/A</v>
      </c>
      <c r="CL45" s="77">
        <v>1</v>
      </c>
    </row>
    <row r="46" spans="1:90" ht="17.45" customHeight="1">
      <c r="A46" s="58">
        <v>42</v>
      </c>
      <c r="B46" s="59" t="str">
        <f>'C Div'!A46 &amp; " " &amp; 'C Div'!B46</f>
        <v xml:space="preserve"> </v>
      </c>
      <c r="C46" s="59" t="str">
        <f>'C Div'!E46</f>
        <v>-</v>
      </c>
      <c r="D46" s="60"/>
      <c r="E46" s="60"/>
      <c r="F46" s="60"/>
      <c r="G46" s="60"/>
      <c r="H46" s="60"/>
      <c r="I46" s="60"/>
      <c r="J46" s="60"/>
      <c r="K46" s="60"/>
      <c r="L46" s="60"/>
      <c r="M46" s="74" t="str">
        <f t="shared" si="15"/>
        <v>-</v>
      </c>
      <c r="N46" s="60"/>
      <c r="O46" s="60"/>
      <c r="P46" s="60"/>
      <c r="Q46" s="60"/>
      <c r="R46" s="60"/>
      <c r="S46" s="60"/>
      <c r="T46" s="60"/>
      <c r="U46" s="60"/>
      <c r="V46" s="60"/>
      <c r="W46" s="74" t="str">
        <f t="shared" si="1"/>
        <v>-</v>
      </c>
      <c r="X46" s="155" t="str">
        <f t="shared" si="2"/>
        <v>-</v>
      </c>
      <c r="Y46" s="156" t="str">
        <f t="shared" si="3"/>
        <v>-</v>
      </c>
      <c r="AA46" s="60"/>
      <c r="AB46" s="60"/>
      <c r="AC46" s="60"/>
      <c r="AD46" s="60"/>
      <c r="AE46" s="60"/>
      <c r="AF46" s="60"/>
      <c r="AG46" s="60"/>
      <c r="AH46" s="60"/>
      <c r="AI46" s="60"/>
      <c r="AJ46" s="74" t="str">
        <f t="shared" si="4"/>
        <v>-</v>
      </c>
      <c r="AK46" s="60"/>
      <c r="AL46" s="60"/>
      <c r="AM46" s="60"/>
      <c r="AN46" s="60"/>
      <c r="AO46" s="60"/>
      <c r="AP46" s="60"/>
      <c r="AQ46" s="60"/>
      <c r="AR46" s="60"/>
      <c r="AS46" s="60"/>
      <c r="AT46" s="74" t="str">
        <f t="shared" si="5"/>
        <v>-</v>
      </c>
      <c r="AU46" s="155" t="str">
        <f t="shared" si="6"/>
        <v>-</v>
      </c>
      <c r="AV46" s="156" t="str">
        <f t="shared" si="7"/>
        <v>-</v>
      </c>
      <c r="AX46" s="59" t="str">
        <f>IF(AND(D46&gt;0,AA46&gt;0),MIN(D46,AA46),"-")</f>
        <v>-</v>
      </c>
      <c r="AY46" s="59" t="str">
        <f>IF(AND(E46&gt;0,AB46&gt;0),MIN(E46,AB46),"-")</f>
        <v>-</v>
      </c>
      <c r="AZ46" s="59" t="str">
        <f>IF(AND(F46&gt;0,AC46&gt;0),MIN(F46,AC46),"-")</f>
        <v>-</v>
      </c>
      <c r="BA46" s="59" t="str">
        <f>IF(AND(G46&gt;0,AD46&gt;0),MIN(G46,AD46),"-")</f>
        <v>-</v>
      </c>
      <c r="BB46" s="59" t="str">
        <f>IF(AND(H46&gt;0,AE46&gt;0),MIN(H46,AE46),"-")</f>
        <v>-</v>
      </c>
      <c r="BC46" s="59" t="str">
        <f>IF(AND(I46&gt;0,AF46&gt;0),MIN(I46,AF46),"-")</f>
        <v>-</v>
      </c>
      <c r="BD46" s="59" t="str">
        <f>IF(AND(J46&gt;0,AG46&gt;0),MIN(J46,AG46),"-")</f>
        <v>-</v>
      </c>
      <c r="BE46" s="59" t="str">
        <f>IF(AND(K46&gt;0,AH46&gt;0),MIN(K46,AH46),"-")</f>
        <v>-</v>
      </c>
      <c r="BF46" s="59" t="str">
        <f>IF(AND(L46&gt;0,AI46&gt;0),MIN(L46,AI46),"-")</f>
        <v>-</v>
      </c>
      <c r="BG46" s="59" t="str">
        <f t="shared" si="8"/>
        <v>-</v>
      </c>
      <c r="BH46" s="59" t="str">
        <f>IF(AND(N46&gt;0,AK46&gt;0),MIN(N46,AK46),"-")</f>
        <v>-</v>
      </c>
      <c r="BI46" s="59" t="str">
        <f>IF(AND(O46&gt;0,AL46&gt;0),MIN(O46,AL46),"-")</f>
        <v>-</v>
      </c>
      <c r="BJ46" s="59" t="str">
        <f>IF(AND(P46&gt;0,AM46&gt;0),MIN(P46,AM46),"-")</f>
        <v>-</v>
      </c>
      <c r="BK46" s="59" t="str">
        <f>IF(AND(Q46&gt;0,AN46&gt;0),MIN(Q46,AN46),"-")</f>
        <v>-</v>
      </c>
      <c r="BL46" s="59" t="str">
        <f>IF(AND(R46&gt;0,AO46&gt;0),MIN(R46,AO46),"-")</f>
        <v>-</v>
      </c>
      <c r="BM46" s="59" t="str">
        <f>IF(AND(S46&gt;0,AP46&gt;0),MIN(S46,AP46),"-")</f>
        <v>-</v>
      </c>
      <c r="BN46" s="59" t="str">
        <f>IF(AND(T46&gt;0,AQ46&gt;0),MIN(T46,AQ46),"-")</f>
        <v>-</v>
      </c>
      <c r="BO46" s="59" t="str">
        <f>IF(AND(U46&gt;0,AR46&gt;0),MIN(U46,AR46),"-")</f>
        <v>-</v>
      </c>
      <c r="BP46" s="59" t="str">
        <f>IF(AND(V46&gt;0,AS46&gt;0),MIN(V46,AS46),"-")</f>
        <v>-</v>
      </c>
      <c r="BQ46" s="59" t="str">
        <f t="shared" si="9"/>
        <v>-</v>
      </c>
      <c r="BR46" s="59" t="str">
        <f t="shared" si="10"/>
        <v>-</v>
      </c>
      <c r="BS46" s="59" t="str">
        <f t="shared" si="11"/>
        <v>-</v>
      </c>
      <c r="BT46" s="98" t="str">
        <f>IF(ISNUMBER(BS46),BS46-(C46*Rules!$P$9/100),"-")</f>
        <v>-</v>
      </c>
      <c r="BU46" s="59" t="e">
        <f>RANK($BT46,$BT$5:$BT$106,1)+COUNTIF(BT$5:BT46,BT46)-1</f>
        <v>#VALUE!</v>
      </c>
      <c r="BV46" s="59" t="e">
        <f t="shared" si="12"/>
        <v>#VALUE!</v>
      </c>
      <c r="BW46" s="59" t="str">
        <f t="shared" si="13"/>
        <v xml:space="preserve"> </v>
      </c>
      <c r="BX46" s="59" t="str">
        <f t="shared" si="13"/>
        <v>-</v>
      </c>
      <c r="BY46" s="59" t="str">
        <f t="shared" si="14"/>
        <v>-</v>
      </c>
      <c r="CC46" s="4">
        <v>42</v>
      </c>
      <c r="CD46" s="2" t="e">
        <f>VLOOKUP(CC46,$BV$5:BY$215,1,FALSE)</f>
        <v>#N/A</v>
      </c>
      <c r="CE46" s="6" t="e">
        <f>VLOOKUP(CC46,$BV$5:BY$215,2,FALSE)</f>
        <v>#N/A</v>
      </c>
      <c r="CF46" s="103" t="e">
        <f>VLOOKUP(CC46,$BV$5:BY$215,4,FALSE)</f>
        <v>#N/A</v>
      </c>
      <c r="CL46" s="77">
        <v>1</v>
      </c>
    </row>
    <row r="47" spans="1:90" ht="17.45" customHeight="1">
      <c r="A47" s="58">
        <v>43</v>
      </c>
      <c r="B47" s="59" t="str">
        <f>'C Div'!A47 &amp; " " &amp; 'C Div'!B47</f>
        <v xml:space="preserve"> </v>
      </c>
      <c r="C47" s="59" t="str">
        <f>'C Div'!E47</f>
        <v>-</v>
      </c>
      <c r="D47" s="60"/>
      <c r="E47" s="60"/>
      <c r="F47" s="60"/>
      <c r="G47" s="60"/>
      <c r="H47" s="60"/>
      <c r="I47" s="60"/>
      <c r="J47" s="60"/>
      <c r="K47" s="60"/>
      <c r="L47" s="60"/>
      <c r="M47" s="74" t="str">
        <f t="shared" si="15"/>
        <v>-</v>
      </c>
      <c r="N47" s="60"/>
      <c r="O47" s="60"/>
      <c r="P47" s="60"/>
      <c r="Q47" s="60"/>
      <c r="R47" s="60"/>
      <c r="S47" s="60"/>
      <c r="T47" s="60"/>
      <c r="U47" s="60"/>
      <c r="V47" s="60"/>
      <c r="W47" s="74" t="str">
        <f t="shared" si="1"/>
        <v>-</v>
      </c>
      <c r="X47" s="155" t="str">
        <f t="shared" si="2"/>
        <v>-</v>
      </c>
      <c r="Y47" s="156" t="str">
        <f t="shared" si="3"/>
        <v>-</v>
      </c>
      <c r="AA47" s="60"/>
      <c r="AB47" s="60"/>
      <c r="AC47" s="60"/>
      <c r="AD47" s="60"/>
      <c r="AE47" s="60"/>
      <c r="AF47" s="60"/>
      <c r="AG47" s="60"/>
      <c r="AH47" s="60"/>
      <c r="AI47" s="60"/>
      <c r="AJ47" s="74" t="str">
        <f t="shared" si="4"/>
        <v>-</v>
      </c>
      <c r="AK47" s="60"/>
      <c r="AL47" s="60"/>
      <c r="AM47" s="60"/>
      <c r="AN47" s="60"/>
      <c r="AO47" s="60"/>
      <c r="AP47" s="60"/>
      <c r="AQ47" s="60"/>
      <c r="AR47" s="60"/>
      <c r="AS47" s="60"/>
      <c r="AT47" s="74" t="str">
        <f t="shared" si="5"/>
        <v>-</v>
      </c>
      <c r="AU47" s="155" t="str">
        <f t="shared" si="6"/>
        <v>-</v>
      </c>
      <c r="AV47" s="156" t="str">
        <f t="shared" si="7"/>
        <v>-</v>
      </c>
      <c r="AX47" s="59" t="str">
        <f>IF(AND(D47&gt;0,AA47&gt;0),MIN(D47,AA47),"-")</f>
        <v>-</v>
      </c>
      <c r="AY47" s="59" t="str">
        <f>IF(AND(E47&gt;0,AB47&gt;0),MIN(E47,AB47),"-")</f>
        <v>-</v>
      </c>
      <c r="AZ47" s="59" t="str">
        <f>IF(AND(F47&gt;0,AC47&gt;0),MIN(F47,AC47),"-")</f>
        <v>-</v>
      </c>
      <c r="BA47" s="59" t="str">
        <f>IF(AND(G47&gt;0,AD47&gt;0),MIN(G47,AD47),"-")</f>
        <v>-</v>
      </c>
      <c r="BB47" s="59" t="str">
        <f>IF(AND(H47&gt;0,AE47&gt;0),MIN(H47,AE47),"-")</f>
        <v>-</v>
      </c>
      <c r="BC47" s="59" t="str">
        <f>IF(AND(I47&gt;0,AF47&gt;0),MIN(I47,AF47),"-")</f>
        <v>-</v>
      </c>
      <c r="BD47" s="59" t="str">
        <f>IF(AND(J47&gt;0,AG47&gt;0),MIN(J47,AG47),"-")</f>
        <v>-</v>
      </c>
      <c r="BE47" s="59" t="str">
        <f>IF(AND(K47&gt;0,AH47&gt;0),MIN(K47,AH47),"-")</f>
        <v>-</v>
      </c>
      <c r="BF47" s="59" t="str">
        <f>IF(AND(L47&gt;0,AI47&gt;0),MIN(L47,AI47),"-")</f>
        <v>-</v>
      </c>
      <c r="BG47" s="59" t="str">
        <f t="shared" si="8"/>
        <v>-</v>
      </c>
      <c r="BH47" s="59" t="str">
        <f>IF(AND(N47&gt;0,AK47&gt;0),MIN(N47,AK47),"-")</f>
        <v>-</v>
      </c>
      <c r="BI47" s="59" t="str">
        <f>IF(AND(O47&gt;0,AL47&gt;0),MIN(O47,AL47),"-")</f>
        <v>-</v>
      </c>
      <c r="BJ47" s="59" t="str">
        <f>IF(AND(P47&gt;0,AM47&gt;0),MIN(P47,AM47),"-")</f>
        <v>-</v>
      </c>
      <c r="BK47" s="59" t="str">
        <f>IF(AND(Q47&gt;0,AN47&gt;0),MIN(Q47,AN47),"-")</f>
        <v>-</v>
      </c>
      <c r="BL47" s="59" t="str">
        <f>IF(AND(R47&gt;0,AO47&gt;0),MIN(R47,AO47),"-")</f>
        <v>-</v>
      </c>
      <c r="BM47" s="59" t="str">
        <f>IF(AND(S47&gt;0,AP47&gt;0),MIN(S47,AP47),"-")</f>
        <v>-</v>
      </c>
      <c r="BN47" s="59" t="str">
        <f>IF(AND(T47&gt;0,AQ47&gt;0),MIN(T47,AQ47),"-")</f>
        <v>-</v>
      </c>
      <c r="BO47" s="59" t="str">
        <f>IF(AND(U47&gt;0,AR47&gt;0),MIN(U47,AR47),"-")</f>
        <v>-</v>
      </c>
      <c r="BP47" s="59" t="str">
        <f>IF(AND(V47&gt;0,AS47&gt;0),MIN(V47,AS47),"-")</f>
        <v>-</v>
      </c>
      <c r="BQ47" s="59" t="str">
        <f t="shared" si="9"/>
        <v>-</v>
      </c>
      <c r="BR47" s="59" t="str">
        <f t="shared" si="10"/>
        <v>-</v>
      </c>
      <c r="BS47" s="59" t="str">
        <f t="shared" si="11"/>
        <v>-</v>
      </c>
      <c r="BT47" s="98" t="str">
        <f>IF(ISNUMBER(BS47),BS47-(C47*Rules!$P$9/100),"-")</f>
        <v>-</v>
      </c>
      <c r="BU47" s="59" t="e">
        <f>RANK($BT47,$BT$5:$BT$106,1)+COUNTIF(BT$5:BT47,BT47)-1</f>
        <v>#VALUE!</v>
      </c>
      <c r="BV47" s="59" t="e">
        <f t="shared" si="12"/>
        <v>#VALUE!</v>
      </c>
      <c r="BW47" s="59" t="str">
        <f t="shared" si="13"/>
        <v xml:space="preserve"> </v>
      </c>
      <c r="BX47" s="59" t="str">
        <f t="shared" si="13"/>
        <v>-</v>
      </c>
      <c r="BY47" s="59" t="str">
        <f t="shared" si="14"/>
        <v>-</v>
      </c>
      <c r="CC47" s="4">
        <v>43</v>
      </c>
      <c r="CD47" s="2" t="e">
        <f>VLOOKUP(CC47,$BV$5:BY$215,1,FALSE)</f>
        <v>#N/A</v>
      </c>
      <c r="CE47" s="6" t="e">
        <f>VLOOKUP(CC47,$BV$5:BY$215,2,FALSE)</f>
        <v>#N/A</v>
      </c>
      <c r="CF47" s="103" t="e">
        <f>VLOOKUP(CC47,$BV$5:BY$215,4,FALSE)</f>
        <v>#N/A</v>
      </c>
      <c r="CL47" s="77">
        <v>1</v>
      </c>
    </row>
    <row r="48" spans="1:90" ht="17.45" customHeight="1">
      <c r="A48" s="58">
        <v>44</v>
      </c>
      <c r="B48" s="59" t="str">
        <f>'C Div'!A48 &amp; " " &amp; 'C Div'!B48</f>
        <v xml:space="preserve"> </v>
      </c>
      <c r="C48" s="59" t="str">
        <f>'C Div'!E48</f>
        <v>-</v>
      </c>
      <c r="D48" s="60"/>
      <c r="E48" s="60"/>
      <c r="F48" s="60"/>
      <c r="G48" s="60"/>
      <c r="H48" s="60"/>
      <c r="I48" s="60"/>
      <c r="J48" s="60"/>
      <c r="K48" s="60"/>
      <c r="L48" s="60"/>
      <c r="M48" s="74" t="str">
        <f t="shared" si="15"/>
        <v>-</v>
      </c>
      <c r="N48" s="60"/>
      <c r="O48" s="60"/>
      <c r="P48" s="60"/>
      <c r="Q48" s="60"/>
      <c r="R48" s="60"/>
      <c r="S48" s="60"/>
      <c r="T48" s="60"/>
      <c r="U48" s="60"/>
      <c r="V48" s="60"/>
      <c r="W48" s="74" t="str">
        <f t="shared" si="1"/>
        <v>-</v>
      </c>
      <c r="X48" s="155" t="str">
        <f t="shared" si="2"/>
        <v>-</v>
      </c>
      <c r="Y48" s="156" t="str">
        <f t="shared" si="3"/>
        <v>-</v>
      </c>
      <c r="AA48" s="60"/>
      <c r="AB48" s="60"/>
      <c r="AC48" s="60"/>
      <c r="AD48" s="60"/>
      <c r="AE48" s="60"/>
      <c r="AF48" s="60"/>
      <c r="AG48" s="60"/>
      <c r="AH48" s="60"/>
      <c r="AI48" s="60"/>
      <c r="AJ48" s="74" t="str">
        <f t="shared" si="4"/>
        <v>-</v>
      </c>
      <c r="AK48" s="60"/>
      <c r="AL48" s="60"/>
      <c r="AM48" s="60"/>
      <c r="AN48" s="60"/>
      <c r="AO48" s="60"/>
      <c r="AP48" s="60"/>
      <c r="AQ48" s="60"/>
      <c r="AR48" s="60"/>
      <c r="AS48" s="60"/>
      <c r="AT48" s="74" t="str">
        <f t="shared" si="5"/>
        <v>-</v>
      </c>
      <c r="AU48" s="155" t="str">
        <f t="shared" si="6"/>
        <v>-</v>
      </c>
      <c r="AV48" s="156" t="str">
        <f t="shared" si="7"/>
        <v>-</v>
      </c>
      <c r="AX48" s="59" t="str">
        <f>IF(AND(D48&gt;0,AA48&gt;0),MIN(D48,AA48),"-")</f>
        <v>-</v>
      </c>
      <c r="AY48" s="59" t="str">
        <f>IF(AND(E48&gt;0,AB48&gt;0),MIN(E48,AB48),"-")</f>
        <v>-</v>
      </c>
      <c r="AZ48" s="59" t="str">
        <f>IF(AND(F48&gt;0,AC48&gt;0),MIN(F48,AC48),"-")</f>
        <v>-</v>
      </c>
      <c r="BA48" s="59" t="str">
        <f>IF(AND(G48&gt;0,AD48&gt;0),MIN(G48,AD48),"-")</f>
        <v>-</v>
      </c>
      <c r="BB48" s="59" t="str">
        <f>IF(AND(H48&gt;0,AE48&gt;0),MIN(H48,AE48),"-")</f>
        <v>-</v>
      </c>
      <c r="BC48" s="59" t="str">
        <f>IF(AND(I48&gt;0,AF48&gt;0),MIN(I48,AF48),"-")</f>
        <v>-</v>
      </c>
      <c r="BD48" s="59" t="str">
        <f>IF(AND(J48&gt;0,AG48&gt;0),MIN(J48,AG48),"-")</f>
        <v>-</v>
      </c>
      <c r="BE48" s="59" t="str">
        <f>IF(AND(K48&gt;0,AH48&gt;0),MIN(K48,AH48),"-")</f>
        <v>-</v>
      </c>
      <c r="BF48" s="59" t="str">
        <f>IF(AND(L48&gt;0,AI48&gt;0),MIN(L48,AI48),"-")</f>
        <v>-</v>
      </c>
      <c r="BG48" s="59" t="str">
        <f t="shared" si="8"/>
        <v>-</v>
      </c>
      <c r="BH48" s="59" t="str">
        <f>IF(AND(N48&gt;0,AK48&gt;0),MIN(N48,AK48),"-")</f>
        <v>-</v>
      </c>
      <c r="BI48" s="59" t="str">
        <f>IF(AND(O48&gt;0,AL48&gt;0),MIN(O48,AL48),"-")</f>
        <v>-</v>
      </c>
      <c r="BJ48" s="59" t="str">
        <f>IF(AND(P48&gt;0,AM48&gt;0),MIN(P48,AM48),"-")</f>
        <v>-</v>
      </c>
      <c r="BK48" s="59" t="str">
        <f>IF(AND(Q48&gt;0,AN48&gt;0),MIN(Q48,AN48),"-")</f>
        <v>-</v>
      </c>
      <c r="BL48" s="59" t="str">
        <f>IF(AND(R48&gt;0,AO48&gt;0),MIN(R48,AO48),"-")</f>
        <v>-</v>
      </c>
      <c r="BM48" s="59" t="str">
        <f>IF(AND(S48&gt;0,AP48&gt;0),MIN(S48,AP48),"-")</f>
        <v>-</v>
      </c>
      <c r="BN48" s="59" t="str">
        <f>IF(AND(T48&gt;0,AQ48&gt;0),MIN(T48,AQ48),"-")</f>
        <v>-</v>
      </c>
      <c r="BO48" s="59" t="str">
        <f>IF(AND(U48&gt;0,AR48&gt;0),MIN(U48,AR48),"-")</f>
        <v>-</v>
      </c>
      <c r="BP48" s="59" t="str">
        <f>IF(AND(V48&gt;0,AS48&gt;0),MIN(V48,AS48),"-")</f>
        <v>-</v>
      </c>
      <c r="BQ48" s="59" t="str">
        <f t="shared" si="9"/>
        <v>-</v>
      </c>
      <c r="BR48" s="59" t="str">
        <f t="shared" si="10"/>
        <v>-</v>
      </c>
      <c r="BS48" s="59" t="str">
        <f t="shared" si="11"/>
        <v>-</v>
      </c>
      <c r="BT48" s="98" t="str">
        <f>IF(ISNUMBER(BS48),BS48-(C48*Rules!$P$9/100),"-")</f>
        <v>-</v>
      </c>
      <c r="BU48" s="59" t="e">
        <f>RANK($BT48,$BT$5:$BT$106,1)+COUNTIF(BT$5:BT48,BT48)-1</f>
        <v>#VALUE!</v>
      </c>
      <c r="BV48" s="59" t="e">
        <f t="shared" si="12"/>
        <v>#VALUE!</v>
      </c>
      <c r="BW48" s="59" t="str">
        <f t="shared" si="13"/>
        <v xml:space="preserve"> </v>
      </c>
      <c r="BX48" s="59" t="str">
        <f t="shared" si="13"/>
        <v>-</v>
      </c>
      <c r="BY48" s="59" t="str">
        <f t="shared" si="14"/>
        <v>-</v>
      </c>
      <c r="CC48" s="4">
        <v>44</v>
      </c>
      <c r="CD48" s="2" t="e">
        <f>VLOOKUP(CC48,$BV$5:BY$215,1,FALSE)</f>
        <v>#N/A</v>
      </c>
      <c r="CE48" s="6" t="e">
        <f>VLOOKUP(CC48,$BV$5:BY$215,2,FALSE)</f>
        <v>#N/A</v>
      </c>
      <c r="CF48" s="103" t="e">
        <f>VLOOKUP(CC48,$BV$5:BY$215,4,FALSE)</f>
        <v>#N/A</v>
      </c>
      <c r="CL48" s="77">
        <v>1</v>
      </c>
    </row>
    <row r="49" spans="1:90" ht="17.45" customHeight="1">
      <c r="A49" s="58">
        <v>45</v>
      </c>
      <c r="B49" s="59" t="str">
        <f>'C Div'!A49 &amp; " " &amp; 'C Div'!B49</f>
        <v xml:space="preserve"> </v>
      </c>
      <c r="C49" s="59" t="str">
        <f>'C Div'!E49</f>
        <v>-</v>
      </c>
      <c r="D49" s="60"/>
      <c r="E49" s="60"/>
      <c r="F49" s="60"/>
      <c r="G49" s="60"/>
      <c r="H49" s="60"/>
      <c r="I49" s="60"/>
      <c r="J49" s="60"/>
      <c r="K49" s="60"/>
      <c r="L49" s="60"/>
      <c r="M49" s="74" t="str">
        <f t="shared" si="15"/>
        <v>-</v>
      </c>
      <c r="N49" s="60"/>
      <c r="O49" s="60"/>
      <c r="P49" s="60"/>
      <c r="Q49" s="60"/>
      <c r="R49" s="60"/>
      <c r="S49" s="60"/>
      <c r="T49" s="60"/>
      <c r="U49" s="60"/>
      <c r="V49" s="60"/>
      <c r="W49" s="74" t="str">
        <f t="shared" si="1"/>
        <v>-</v>
      </c>
      <c r="X49" s="155" t="str">
        <f t="shared" si="2"/>
        <v>-</v>
      </c>
      <c r="Y49" s="156" t="str">
        <f t="shared" si="3"/>
        <v>-</v>
      </c>
      <c r="AA49" s="60"/>
      <c r="AB49" s="60"/>
      <c r="AC49" s="60"/>
      <c r="AD49" s="60"/>
      <c r="AE49" s="60"/>
      <c r="AF49" s="60"/>
      <c r="AG49" s="60"/>
      <c r="AH49" s="60"/>
      <c r="AI49" s="60"/>
      <c r="AJ49" s="74" t="str">
        <f t="shared" si="4"/>
        <v>-</v>
      </c>
      <c r="AK49" s="60"/>
      <c r="AL49" s="60"/>
      <c r="AM49" s="60"/>
      <c r="AN49" s="60"/>
      <c r="AO49" s="60"/>
      <c r="AP49" s="60"/>
      <c r="AQ49" s="60"/>
      <c r="AR49" s="60"/>
      <c r="AS49" s="60"/>
      <c r="AT49" s="74" t="str">
        <f t="shared" si="5"/>
        <v>-</v>
      </c>
      <c r="AU49" s="155" t="str">
        <f t="shared" si="6"/>
        <v>-</v>
      </c>
      <c r="AV49" s="156" t="str">
        <f t="shared" si="7"/>
        <v>-</v>
      </c>
      <c r="AX49" s="59" t="str">
        <f>IF(AND(D49&gt;0,AA49&gt;0),MIN(D49,AA49),"-")</f>
        <v>-</v>
      </c>
      <c r="AY49" s="59" t="str">
        <f>IF(AND(E49&gt;0,AB49&gt;0),MIN(E49,AB49),"-")</f>
        <v>-</v>
      </c>
      <c r="AZ49" s="59" t="str">
        <f>IF(AND(F49&gt;0,AC49&gt;0),MIN(F49,AC49),"-")</f>
        <v>-</v>
      </c>
      <c r="BA49" s="59" t="str">
        <f>IF(AND(G49&gt;0,AD49&gt;0),MIN(G49,AD49),"-")</f>
        <v>-</v>
      </c>
      <c r="BB49" s="59" t="str">
        <f>IF(AND(H49&gt;0,AE49&gt;0),MIN(H49,AE49),"-")</f>
        <v>-</v>
      </c>
      <c r="BC49" s="59" t="str">
        <f>IF(AND(I49&gt;0,AF49&gt;0),MIN(I49,AF49),"-")</f>
        <v>-</v>
      </c>
      <c r="BD49" s="59" t="str">
        <f>IF(AND(J49&gt;0,AG49&gt;0),MIN(J49,AG49),"-")</f>
        <v>-</v>
      </c>
      <c r="BE49" s="59" t="str">
        <f>IF(AND(K49&gt;0,AH49&gt;0),MIN(K49,AH49),"-")</f>
        <v>-</v>
      </c>
      <c r="BF49" s="59" t="str">
        <f>IF(AND(L49&gt;0,AI49&gt;0),MIN(L49,AI49),"-")</f>
        <v>-</v>
      </c>
      <c r="BG49" s="59" t="str">
        <f t="shared" si="8"/>
        <v>-</v>
      </c>
      <c r="BH49" s="59" t="str">
        <f>IF(AND(N49&gt;0,AK49&gt;0),MIN(N49,AK49),"-")</f>
        <v>-</v>
      </c>
      <c r="BI49" s="59" t="str">
        <f>IF(AND(O49&gt;0,AL49&gt;0),MIN(O49,AL49),"-")</f>
        <v>-</v>
      </c>
      <c r="BJ49" s="59" t="str">
        <f>IF(AND(P49&gt;0,AM49&gt;0),MIN(P49,AM49),"-")</f>
        <v>-</v>
      </c>
      <c r="BK49" s="59" t="str">
        <f>IF(AND(Q49&gt;0,AN49&gt;0),MIN(Q49,AN49),"-")</f>
        <v>-</v>
      </c>
      <c r="BL49" s="59" t="str">
        <f>IF(AND(R49&gt;0,AO49&gt;0),MIN(R49,AO49),"-")</f>
        <v>-</v>
      </c>
      <c r="BM49" s="59" t="str">
        <f>IF(AND(S49&gt;0,AP49&gt;0),MIN(S49,AP49),"-")</f>
        <v>-</v>
      </c>
      <c r="BN49" s="59" t="str">
        <f>IF(AND(T49&gt;0,AQ49&gt;0),MIN(T49,AQ49),"-")</f>
        <v>-</v>
      </c>
      <c r="BO49" s="59" t="str">
        <f>IF(AND(U49&gt;0,AR49&gt;0),MIN(U49,AR49),"-")</f>
        <v>-</v>
      </c>
      <c r="BP49" s="59" t="str">
        <f>IF(AND(V49&gt;0,AS49&gt;0),MIN(V49,AS49),"-")</f>
        <v>-</v>
      </c>
      <c r="BQ49" s="59" t="str">
        <f t="shared" si="9"/>
        <v>-</v>
      </c>
      <c r="BR49" s="59" t="str">
        <f t="shared" si="10"/>
        <v>-</v>
      </c>
      <c r="BS49" s="59" t="str">
        <f t="shared" si="11"/>
        <v>-</v>
      </c>
      <c r="BT49" s="98" t="str">
        <f>IF(ISNUMBER(BS49),BS49-(C49*Rules!$P$9/100),"-")</f>
        <v>-</v>
      </c>
      <c r="BU49" s="59" t="e">
        <f>RANK($BT49,$BT$5:$BT$106,1)+COUNTIF(BT$5:BT49,BT49)-1</f>
        <v>#VALUE!</v>
      </c>
      <c r="BV49" s="59" t="e">
        <f t="shared" si="12"/>
        <v>#VALUE!</v>
      </c>
      <c r="BW49" s="59" t="str">
        <f t="shared" si="13"/>
        <v xml:space="preserve"> </v>
      </c>
      <c r="BX49" s="59" t="str">
        <f t="shared" si="13"/>
        <v>-</v>
      </c>
      <c r="BY49" s="59" t="str">
        <f t="shared" si="14"/>
        <v>-</v>
      </c>
      <c r="CC49" s="4">
        <v>45</v>
      </c>
      <c r="CD49" s="2" t="e">
        <f>VLOOKUP(CC49,$BV$5:BY$215,1,FALSE)</f>
        <v>#N/A</v>
      </c>
      <c r="CE49" s="6" t="e">
        <f>VLOOKUP(CC49,$BV$5:BY$215,2,FALSE)</f>
        <v>#N/A</v>
      </c>
      <c r="CF49" s="103" t="e">
        <f>VLOOKUP(CC49,$BV$5:BY$215,4,FALSE)</f>
        <v>#N/A</v>
      </c>
      <c r="CL49" s="77">
        <v>1</v>
      </c>
    </row>
    <row r="50" spans="1:90" ht="17.45" customHeight="1">
      <c r="A50" s="58">
        <v>46</v>
      </c>
      <c r="B50" s="59" t="str">
        <f>'C Div'!A50 &amp; " " &amp; 'C Div'!B50</f>
        <v xml:space="preserve"> </v>
      </c>
      <c r="C50" s="59" t="str">
        <f>'C Div'!E50</f>
        <v>-</v>
      </c>
      <c r="D50" s="60"/>
      <c r="E50" s="60"/>
      <c r="F50" s="60"/>
      <c r="G50" s="60"/>
      <c r="H50" s="60"/>
      <c r="I50" s="60"/>
      <c r="J50" s="60"/>
      <c r="K50" s="60"/>
      <c r="L50" s="60"/>
      <c r="M50" s="74" t="str">
        <f t="shared" si="15"/>
        <v>-</v>
      </c>
      <c r="N50" s="60"/>
      <c r="O50" s="60"/>
      <c r="P50" s="60"/>
      <c r="Q50" s="60"/>
      <c r="R50" s="60"/>
      <c r="S50" s="60"/>
      <c r="T50" s="60"/>
      <c r="U50" s="60"/>
      <c r="V50" s="60"/>
      <c r="W50" s="74" t="str">
        <f t="shared" si="1"/>
        <v>-</v>
      </c>
      <c r="X50" s="155" t="str">
        <f t="shared" si="2"/>
        <v>-</v>
      </c>
      <c r="Y50" s="156" t="str">
        <f t="shared" si="3"/>
        <v>-</v>
      </c>
      <c r="AA50" s="60"/>
      <c r="AB50" s="60"/>
      <c r="AC50" s="60"/>
      <c r="AD50" s="60"/>
      <c r="AE50" s="60"/>
      <c r="AF50" s="60"/>
      <c r="AG50" s="60"/>
      <c r="AH50" s="60"/>
      <c r="AI50" s="60"/>
      <c r="AJ50" s="74" t="str">
        <f t="shared" si="4"/>
        <v>-</v>
      </c>
      <c r="AK50" s="60"/>
      <c r="AL50" s="60"/>
      <c r="AM50" s="60"/>
      <c r="AN50" s="60"/>
      <c r="AO50" s="60"/>
      <c r="AP50" s="60"/>
      <c r="AQ50" s="60"/>
      <c r="AR50" s="60"/>
      <c r="AS50" s="60"/>
      <c r="AT50" s="74" t="str">
        <f t="shared" si="5"/>
        <v>-</v>
      </c>
      <c r="AU50" s="155" t="str">
        <f t="shared" si="6"/>
        <v>-</v>
      </c>
      <c r="AV50" s="156" t="str">
        <f t="shared" si="7"/>
        <v>-</v>
      </c>
      <c r="AX50" s="59" t="str">
        <f>IF(AND(D50&gt;0,AA50&gt;0),MIN(D50,AA50),"-")</f>
        <v>-</v>
      </c>
      <c r="AY50" s="59" t="str">
        <f>IF(AND(E50&gt;0,AB50&gt;0),MIN(E50,AB50),"-")</f>
        <v>-</v>
      </c>
      <c r="AZ50" s="59" t="str">
        <f>IF(AND(F50&gt;0,AC50&gt;0),MIN(F50,AC50),"-")</f>
        <v>-</v>
      </c>
      <c r="BA50" s="59" t="str">
        <f>IF(AND(G50&gt;0,AD50&gt;0),MIN(G50,AD50),"-")</f>
        <v>-</v>
      </c>
      <c r="BB50" s="59" t="str">
        <f>IF(AND(H50&gt;0,AE50&gt;0),MIN(H50,AE50),"-")</f>
        <v>-</v>
      </c>
      <c r="BC50" s="59" t="str">
        <f>IF(AND(I50&gt;0,AF50&gt;0),MIN(I50,AF50),"-")</f>
        <v>-</v>
      </c>
      <c r="BD50" s="59" t="str">
        <f>IF(AND(J50&gt;0,AG50&gt;0),MIN(J50,AG50),"-")</f>
        <v>-</v>
      </c>
      <c r="BE50" s="59" t="str">
        <f>IF(AND(K50&gt;0,AH50&gt;0),MIN(K50,AH50),"-")</f>
        <v>-</v>
      </c>
      <c r="BF50" s="59" t="str">
        <f>IF(AND(L50&gt;0,AI50&gt;0),MIN(L50,AI50),"-")</f>
        <v>-</v>
      </c>
      <c r="BG50" s="59" t="str">
        <f t="shared" si="8"/>
        <v>-</v>
      </c>
      <c r="BH50" s="59" t="str">
        <f>IF(AND(N50&gt;0,AK50&gt;0),MIN(N50,AK50),"-")</f>
        <v>-</v>
      </c>
      <c r="BI50" s="59" t="str">
        <f>IF(AND(O50&gt;0,AL50&gt;0),MIN(O50,AL50),"-")</f>
        <v>-</v>
      </c>
      <c r="BJ50" s="59" t="str">
        <f>IF(AND(P50&gt;0,AM50&gt;0),MIN(P50,AM50),"-")</f>
        <v>-</v>
      </c>
      <c r="BK50" s="59" t="str">
        <f>IF(AND(Q50&gt;0,AN50&gt;0),MIN(Q50,AN50),"-")</f>
        <v>-</v>
      </c>
      <c r="BL50" s="59" t="str">
        <f>IF(AND(R50&gt;0,AO50&gt;0),MIN(R50,AO50),"-")</f>
        <v>-</v>
      </c>
      <c r="BM50" s="59" t="str">
        <f>IF(AND(S50&gt;0,AP50&gt;0),MIN(S50,AP50),"-")</f>
        <v>-</v>
      </c>
      <c r="BN50" s="59" t="str">
        <f>IF(AND(T50&gt;0,AQ50&gt;0),MIN(T50,AQ50),"-")</f>
        <v>-</v>
      </c>
      <c r="BO50" s="59" t="str">
        <f>IF(AND(U50&gt;0,AR50&gt;0),MIN(U50,AR50),"-")</f>
        <v>-</v>
      </c>
      <c r="BP50" s="59" t="str">
        <f>IF(AND(V50&gt;0,AS50&gt;0),MIN(V50,AS50),"-")</f>
        <v>-</v>
      </c>
      <c r="BQ50" s="59" t="str">
        <f t="shared" si="9"/>
        <v>-</v>
      </c>
      <c r="BR50" s="59" t="str">
        <f t="shared" si="10"/>
        <v>-</v>
      </c>
      <c r="BS50" s="59" t="str">
        <f t="shared" si="11"/>
        <v>-</v>
      </c>
      <c r="BT50" s="98" t="str">
        <f>IF(ISNUMBER(BS50),BS50-(C50*Rules!$P$9/100),"-")</f>
        <v>-</v>
      </c>
      <c r="BU50" s="59" t="e">
        <f>RANK($BT50,$BT$5:$BT$106,1)+COUNTIF(BT$5:BT50,BT50)-1</f>
        <v>#VALUE!</v>
      </c>
      <c r="BV50" s="59" t="e">
        <f t="shared" si="12"/>
        <v>#VALUE!</v>
      </c>
      <c r="BW50" s="59" t="str">
        <f t="shared" si="13"/>
        <v xml:space="preserve"> </v>
      </c>
      <c r="BX50" s="59" t="str">
        <f t="shared" si="13"/>
        <v>-</v>
      </c>
      <c r="BY50" s="59" t="str">
        <f t="shared" si="14"/>
        <v>-</v>
      </c>
      <c r="CC50" s="4">
        <v>46</v>
      </c>
      <c r="CD50" s="2" t="e">
        <f>VLOOKUP(CC50,$BV$5:BY$215,1,FALSE)</f>
        <v>#N/A</v>
      </c>
      <c r="CE50" s="6" t="e">
        <f>VLOOKUP(CC50,$BV$5:BY$215,2,FALSE)</f>
        <v>#N/A</v>
      </c>
      <c r="CF50" s="103" t="e">
        <f>VLOOKUP(CC50,$BV$5:BY$215,4,FALSE)</f>
        <v>#N/A</v>
      </c>
      <c r="CL50" s="77">
        <v>1</v>
      </c>
    </row>
    <row r="51" spans="1:90" ht="17.45" customHeight="1">
      <c r="A51" s="58">
        <v>47</v>
      </c>
      <c r="B51" s="59" t="str">
        <f>'C Div'!A51 &amp; " " &amp; 'C Div'!B51</f>
        <v xml:space="preserve"> </v>
      </c>
      <c r="C51" s="59" t="str">
        <f>'C Div'!E51</f>
        <v>-</v>
      </c>
      <c r="D51" s="60"/>
      <c r="E51" s="60"/>
      <c r="F51" s="60"/>
      <c r="G51" s="60"/>
      <c r="H51" s="60"/>
      <c r="I51" s="60"/>
      <c r="J51" s="60"/>
      <c r="K51" s="60"/>
      <c r="L51" s="60"/>
      <c r="M51" s="74" t="str">
        <f t="shared" si="15"/>
        <v>-</v>
      </c>
      <c r="N51" s="60"/>
      <c r="O51" s="60"/>
      <c r="P51" s="60"/>
      <c r="Q51" s="60"/>
      <c r="R51" s="60"/>
      <c r="S51" s="60"/>
      <c r="T51" s="60"/>
      <c r="U51" s="60"/>
      <c r="V51" s="60"/>
      <c r="W51" s="74" t="str">
        <f t="shared" si="1"/>
        <v>-</v>
      </c>
      <c r="X51" s="155" t="str">
        <f t="shared" si="2"/>
        <v>-</v>
      </c>
      <c r="Y51" s="156" t="str">
        <f t="shared" si="3"/>
        <v>-</v>
      </c>
      <c r="AA51" s="60"/>
      <c r="AB51" s="60"/>
      <c r="AC51" s="60"/>
      <c r="AD51" s="60"/>
      <c r="AE51" s="60"/>
      <c r="AF51" s="60"/>
      <c r="AG51" s="60"/>
      <c r="AH51" s="60"/>
      <c r="AI51" s="60"/>
      <c r="AJ51" s="74" t="str">
        <f t="shared" si="4"/>
        <v>-</v>
      </c>
      <c r="AK51" s="60"/>
      <c r="AL51" s="60"/>
      <c r="AM51" s="60"/>
      <c r="AN51" s="60"/>
      <c r="AO51" s="60"/>
      <c r="AP51" s="60"/>
      <c r="AQ51" s="60"/>
      <c r="AR51" s="60"/>
      <c r="AS51" s="60"/>
      <c r="AT51" s="74" t="str">
        <f t="shared" si="5"/>
        <v>-</v>
      </c>
      <c r="AU51" s="155" t="str">
        <f t="shared" si="6"/>
        <v>-</v>
      </c>
      <c r="AV51" s="156" t="str">
        <f t="shared" si="7"/>
        <v>-</v>
      </c>
      <c r="AX51" s="59" t="str">
        <f>IF(AND(D51&gt;0,AA51&gt;0),MIN(D51,AA51),"-")</f>
        <v>-</v>
      </c>
      <c r="AY51" s="59" t="str">
        <f>IF(AND(E51&gt;0,AB51&gt;0),MIN(E51,AB51),"-")</f>
        <v>-</v>
      </c>
      <c r="AZ51" s="59" t="str">
        <f>IF(AND(F51&gt;0,AC51&gt;0),MIN(F51,AC51),"-")</f>
        <v>-</v>
      </c>
      <c r="BA51" s="59" t="str">
        <f>IF(AND(G51&gt;0,AD51&gt;0),MIN(G51,AD51),"-")</f>
        <v>-</v>
      </c>
      <c r="BB51" s="59" t="str">
        <f>IF(AND(H51&gt;0,AE51&gt;0),MIN(H51,AE51),"-")</f>
        <v>-</v>
      </c>
      <c r="BC51" s="59" t="str">
        <f>IF(AND(I51&gt;0,AF51&gt;0),MIN(I51,AF51),"-")</f>
        <v>-</v>
      </c>
      <c r="BD51" s="59" t="str">
        <f>IF(AND(J51&gt;0,AG51&gt;0),MIN(J51,AG51),"-")</f>
        <v>-</v>
      </c>
      <c r="BE51" s="59" t="str">
        <f>IF(AND(K51&gt;0,AH51&gt;0),MIN(K51,AH51),"-")</f>
        <v>-</v>
      </c>
      <c r="BF51" s="59" t="str">
        <f>IF(AND(L51&gt;0,AI51&gt;0),MIN(L51,AI51),"-")</f>
        <v>-</v>
      </c>
      <c r="BG51" s="59" t="str">
        <f t="shared" si="8"/>
        <v>-</v>
      </c>
      <c r="BH51" s="59" t="str">
        <f>IF(AND(N51&gt;0,AK51&gt;0),MIN(N51,AK51),"-")</f>
        <v>-</v>
      </c>
      <c r="BI51" s="59" t="str">
        <f>IF(AND(O51&gt;0,AL51&gt;0),MIN(O51,AL51),"-")</f>
        <v>-</v>
      </c>
      <c r="BJ51" s="59" t="str">
        <f>IF(AND(P51&gt;0,AM51&gt;0),MIN(P51,AM51),"-")</f>
        <v>-</v>
      </c>
      <c r="BK51" s="59" t="str">
        <f>IF(AND(Q51&gt;0,AN51&gt;0),MIN(Q51,AN51),"-")</f>
        <v>-</v>
      </c>
      <c r="BL51" s="59" t="str">
        <f>IF(AND(R51&gt;0,AO51&gt;0),MIN(R51,AO51),"-")</f>
        <v>-</v>
      </c>
      <c r="BM51" s="59" t="str">
        <f>IF(AND(S51&gt;0,AP51&gt;0),MIN(S51,AP51),"-")</f>
        <v>-</v>
      </c>
      <c r="BN51" s="59" t="str">
        <f>IF(AND(T51&gt;0,AQ51&gt;0),MIN(T51,AQ51),"-")</f>
        <v>-</v>
      </c>
      <c r="BO51" s="59" t="str">
        <f>IF(AND(U51&gt;0,AR51&gt;0),MIN(U51,AR51),"-")</f>
        <v>-</v>
      </c>
      <c r="BP51" s="59" t="str">
        <f>IF(AND(V51&gt;0,AS51&gt;0),MIN(V51,AS51),"-")</f>
        <v>-</v>
      </c>
      <c r="BQ51" s="59" t="str">
        <f t="shared" si="9"/>
        <v>-</v>
      </c>
      <c r="BR51" s="59" t="str">
        <f t="shared" si="10"/>
        <v>-</v>
      </c>
      <c r="BS51" s="59" t="str">
        <f t="shared" si="11"/>
        <v>-</v>
      </c>
      <c r="BT51" s="98" t="str">
        <f>IF(ISNUMBER(BS51),BS51-(C51*Rules!$P$9/100),"-")</f>
        <v>-</v>
      </c>
      <c r="BU51" s="59" t="e">
        <f>RANK($BT51,$BT$5:$BT$106,1)+COUNTIF(BT$5:BT51,BT51)-1</f>
        <v>#VALUE!</v>
      </c>
      <c r="BV51" s="59" t="e">
        <f t="shared" si="12"/>
        <v>#VALUE!</v>
      </c>
      <c r="BW51" s="59" t="str">
        <f t="shared" si="13"/>
        <v xml:space="preserve"> </v>
      </c>
      <c r="BX51" s="59" t="str">
        <f t="shared" si="13"/>
        <v>-</v>
      </c>
      <c r="BY51" s="59" t="str">
        <f t="shared" si="14"/>
        <v>-</v>
      </c>
      <c r="CC51" s="4">
        <v>47</v>
      </c>
      <c r="CD51" s="2" t="e">
        <f>VLOOKUP(CC51,$BV$5:BY$215,1,FALSE)</f>
        <v>#N/A</v>
      </c>
      <c r="CE51" s="6" t="e">
        <f>VLOOKUP(CC51,$BV$5:BY$215,2,FALSE)</f>
        <v>#N/A</v>
      </c>
      <c r="CF51" s="103" t="e">
        <f>VLOOKUP(CC51,$BV$5:BY$215,4,FALSE)</f>
        <v>#N/A</v>
      </c>
      <c r="CL51" s="77">
        <v>1</v>
      </c>
    </row>
    <row r="52" spans="1:90" ht="17.45" customHeight="1">
      <c r="A52" s="58">
        <v>48</v>
      </c>
      <c r="B52" s="59" t="str">
        <f>'C Div'!A52 &amp; " " &amp; 'C Div'!B52</f>
        <v xml:space="preserve"> </v>
      </c>
      <c r="C52" s="59" t="str">
        <f>'C Div'!E52</f>
        <v>-</v>
      </c>
      <c r="D52" s="60"/>
      <c r="E52" s="60"/>
      <c r="F52" s="60"/>
      <c r="G52" s="60"/>
      <c r="H52" s="60"/>
      <c r="I52" s="60"/>
      <c r="J52" s="60"/>
      <c r="K52" s="60"/>
      <c r="L52" s="60"/>
      <c r="M52" s="74" t="str">
        <f t="shared" si="15"/>
        <v>-</v>
      </c>
      <c r="N52" s="60"/>
      <c r="O52" s="60"/>
      <c r="P52" s="60"/>
      <c r="Q52" s="60"/>
      <c r="R52" s="60"/>
      <c r="S52" s="60"/>
      <c r="T52" s="60"/>
      <c r="U52" s="60"/>
      <c r="V52" s="60"/>
      <c r="W52" s="74" t="str">
        <f t="shared" si="1"/>
        <v>-</v>
      </c>
      <c r="X52" s="155" t="str">
        <f t="shared" si="2"/>
        <v>-</v>
      </c>
      <c r="Y52" s="156" t="str">
        <f t="shared" si="3"/>
        <v>-</v>
      </c>
      <c r="AA52" s="60"/>
      <c r="AB52" s="60"/>
      <c r="AC52" s="60"/>
      <c r="AD52" s="60"/>
      <c r="AE52" s="60"/>
      <c r="AF52" s="60"/>
      <c r="AG52" s="60"/>
      <c r="AH52" s="60"/>
      <c r="AI52" s="60"/>
      <c r="AJ52" s="74" t="str">
        <f t="shared" si="4"/>
        <v>-</v>
      </c>
      <c r="AK52" s="60"/>
      <c r="AL52" s="60"/>
      <c r="AM52" s="60"/>
      <c r="AN52" s="60"/>
      <c r="AO52" s="60"/>
      <c r="AP52" s="60"/>
      <c r="AQ52" s="60"/>
      <c r="AR52" s="60"/>
      <c r="AS52" s="60"/>
      <c r="AT52" s="74" t="str">
        <f t="shared" si="5"/>
        <v>-</v>
      </c>
      <c r="AU52" s="155" t="str">
        <f t="shared" si="6"/>
        <v>-</v>
      </c>
      <c r="AV52" s="156" t="str">
        <f t="shared" si="7"/>
        <v>-</v>
      </c>
      <c r="AX52" s="59" t="str">
        <f>IF(AND(D52&gt;0,AA52&gt;0),MIN(D52,AA52),"-")</f>
        <v>-</v>
      </c>
      <c r="AY52" s="59" t="str">
        <f>IF(AND(E52&gt;0,AB52&gt;0),MIN(E52,AB52),"-")</f>
        <v>-</v>
      </c>
      <c r="AZ52" s="59" t="str">
        <f>IF(AND(F52&gt;0,AC52&gt;0),MIN(F52,AC52),"-")</f>
        <v>-</v>
      </c>
      <c r="BA52" s="59" t="str">
        <f>IF(AND(G52&gt;0,AD52&gt;0),MIN(G52,AD52),"-")</f>
        <v>-</v>
      </c>
      <c r="BB52" s="59" t="str">
        <f>IF(AND(H52&gt;0,AE52&gt;0),MIN(H52,AE52),"-")</f>
        <v>-</v>
      </c>
      <c r="BC52" s="59" t="str">
        <f>IF(AND(I52&gt;0,AF52&gt;0),MIN(I52,AF52),"-")</f>
        <v>-</v>
      </c>
      <c r="BD52" s="59" t="str">
        <f>IF(AND(J52&gt;0,AG52&gt;0),MIN(J52,AG52),"-")</f>
        <v>-</v>
      </c>
      <c r="BE52" s="59" t="str">
        <f>IF(AND(K52&gt;0,AH52&gt;0),MIN(K52,AH52),"-")</f>
        <v>-</v>
      </c>
      <c r="BF52" s="59" t="str">
        <f>IF(AND(L52&gt;0,AI52&gt;0),MIN(L52,AI52),"-")</f>
        <v>-</v>
      </c>
      <c r="BG52" s="59" t="str">
        <f t="shared" si="8"/>
        <v>-</v>
      </c>
      <c r="BH52" s="59" t="str">
        <f>IF(AND(N52&gt;0,AK52&gt;0),MIN(N52,AK52),"-")</f>
        <v>-</v>
      </c>
      <c r="BI52" s="59" t="str">
        <f>IF(AND(O52&gt;0,AL52&gt;0),MIN(O52,AL52),"-")</f>
        <v>-</v>
      </c>
      <c r="BJ52" s="59" t="str">
        <f>IF(AND(P52&gt;0,AM52&gt;0),MIN(P52,AM52),"-")</f>
        <v>-</v>
      </c>
      <c r="BK52" s="59" t="str">
        <f>IF(AND(Q52&gt;0,AN52&gt;0),MIN(Q52,AN52),"-")</f>
        <v>-</v>
      </c>
      <c r="BL52" s="59" t="str">
        <f>IF(AND(R52&gt;0,AO52&gt;0),MIN(R52,AO52),"-")</f>
        <v>-</v>
      </c>
      <c r="BM52" s="59" t="str">
        <f>IF(AND(S52&gt;0,AP52&gt;0),MIN(S52,AP52),"-")</f>
        <v>-</v>
      </c>
      <c r="BN52" s="59" t="str">
        <f>IF(AND(T52&gt;0,AQ52&gt;0),MIN(T52,AQ52),"-")</f>
        <v>-</v>
      </c>
      <c r="BO52" s="59" t="str">
        <f>IF(AND(U52&gt;0,AR52&gt;0),MIN(U52,AR52),"-")</f>
        <v>-</v>
      </c>
      <c r="BP52" s="59" t="str">
        <f>IF(AND(V52&gt;0,AS52&gt;0),MIN(V52,AS52),"-")</f>
        <v>-</v>
      </c>
      <c r="BQ52" s="59" t="str">
        <f t="shared" si="9"/>
        <v>-</v>
      </c>
      <c r="BR52" s="59" t="str">
        <f t="shared" si="10"/>
        <v>-</v>
      </c>
      <c r="BS52" s="59" t="str">
        <f t="shared" si="11"/>
        <v>-</v>
      </c>
      <c r="BT52" s="98" t="str">
        <f>IF(ISNUMBER(BS52),BS52-(C52*Rules!$P$9/100),"-")</f>
        <v>-</v>
      </c>
      <c r="BU52" s="59" t="e">
        <f>RANK($BT52,$BT$5:$BT$106,1)+COUNTIF(BT$5:BT52,BT52)-1</f>
        <v>#VALUE!</v>
      </c>
      <c r="BV52" s="59" t="e">
        <f t="shared" si="12"/>
        <v>#VALUE!</v>
      </c>
      <c r="BW52" s="59" t="str">
        <f t="shared" si="13"/>
        <v xml:space="preserve"> </v>
      </c>
      <c r="BX52" s="59" t="str">
        <f t="shared" si="13"/>
        <v>-</v>
      </c>
      <c r="BY52" s="59" t="str">
        <f t="shared" si="14"/>
        <v>-</v>
      </c>
      <c r="CC52" s="4">
        <v>48</v>
      </c>
      <c r="CD52" s="2" t="e">
        <f>VLOOKUP(CC52,$BV$5:BY$215,1,FALSE)</f>
        <v>#N/A</v>
      </c>
      <c r="CE52" s="6" t="e">
        <f>VLOOKUP(CC52,$BV$5:BY$215,2,FALSE)</f>
        <v>#N/A</v>
      </c>
      <c r="CF52" s="103" t="e">
        <f>VLOOKUP(CC52,$BV$5:BY$215,4,FALSE)</f>
        <v>#N/A</v>
      </c>
      <c r="CL52" s="77">
        <v>1</v>
      </c>
    </row>
    <row r="53" spans="1:90" ht="17.45" customHeight="1">
      <c r="A53" s="58">
        <v>49</v>
      </c>
      <c r="B53" s="59" t="str">
        <f>'C Div'!A53 &amp; " " &amp; 'C Div'!B53</f>
        <v xml:space="preserve"> </v>
      </c>
      <c r="C53" s="59" t="str">
        <f>'C Div'!E53</f>
        <v>-</v>
      </c>
      <c r="D53" s="60"/>
      <c r="E53" s="60"/>
      <c r="F53" s="60"/>
      <c r="G53" s="60"/>
      <c r="H53" s="60"/>
      <c r="I53" s="60"/>
      <c r="J53" s="60"/>
      <c r="K53" s="60"/>
      <c r="L53" s="60"/>
      <c r="M53" s="74" t="str">
        <f t="shared" si="15"/>
        <v>-</v>
      </c>
      <c r="N53" s="60"/>
      <c r="O53" s="60"/>
      <c r="P53" s="60"/>
      <c r="Q53" s="60"/>
      <c r="R53" s="60"/>
      <c r="S53" s="60"/>
      <c r="T53" s="60"/>
      <c r="U53" s="60"/>
      <c r="V53" s="60"/>
      <c r="W53" s="74" t="str">
        <f t="shared" si="1"/>
        <v>-</v>
      </c>
      <c r="X53" s="155" t="str">
        <f t="shared" si="2"/>
        <v>-</v>
      </c>
      <c r="Y53" s="156" t="str">
        <f t="shared" si="3"/>
        <v>-</v>
      </c>
      <c r="AA53" s="60"/>
      <c r="AB53" s="60"/>
      <c r="AC53" s="60"/>
      <c r="AD53" s="60"/>
      <c r="AE53" s="60"/>
      <c r="AF53" s="60"/>
      <c r="AG53" s="60"/>
      <c r="AH53" s="60"/>
      <c r="AI53" s="60"/>
      <c r="AJ53" s="74" t="str">
        <f t="shared" si="4"/>
        <v>-</v>
      </c>
      <c r="AK53" s="60"/>
      <c r="AL53" s="60"/>
      <c r="AM53" s="60"/>
      <c r="AN53" s="60"/>
      <c r="AO53" s="60"/>
      <c r="AP53" s="60"/>
      <c r="AQ53" s="60"/>
      <c r="AR53" s="60"/>
      <c r="AS53" s="60"/>
      <c r="AT53" s="74" t="str">
        <f t="shared" si="5"/>
        <v>-</v>
      </c>
      <c r="AU53" s="155" t="str">
        <f t="shared" si="6"/>
        <v>-</v>
      </c>
      <c r="AV53" s="156" t="str">
        <f t="shared" si="7"/>
        <v>-</v>
      </c>
      <c r="AX53" s="59" t="str">
        <f>IF(AND(D53&gt;0,AA53&gt;0),MIN(D53,AA53),"-")</f>
        <v>-</v>
      </c>
      <c r="AY53" s="59" t="str">
        <f>IF(AND(E53&gt;0,AB53&gt;0),MIN(E53,AB53),"-")</f>
        <v>-</v>
      </c>
      <c r="AZ53" s="59" t="str">
        <f>IF(AND(F53&gt;0,AC53&gt;0),MIN(F53,AC53),"-")</f>
        <v>-</v>
      </c>
      <c r="BA53" s="59" t="str">
        <f>IF(AND(G53&gt;0,AD53&gt;0),MIN(G53,AD53),"-")</f>
        <v>-</v>
      </c>
      <c r="BB53" s="59" t="str">
        <f>IF(AND(H53&gt;0,AE53&gt;0),MIN(H53,AE53),"-")</f>
        <v>-</v>
      </c>
      <c r="BC53" s="59" t="str">
        <f>IF(AND(I53&gt;0,AF53&gt;0),MIN(I53,AF53),"-")</f>
        <v>-</v>
      </c>
      <c r="BD53" s="59" t="str">
        <f>IF(AND(J53&gt;0,AG53&gt;0),MIN(J53,AG53),"-")</f>
        <v>-</v>
      </c>
      <c r="BE53" s="59" t="str">
        <f>IF(AND(K53&gt;0,AH53&gt;0),MIN(K53,AH53),"-")</f>
        <v>-</v>
      </c>
      <c r="BF53" s="59" t="str">
        <f>IF(AND(L53&gt;0,AI53&gt;0),MIN(L53,AI53),"-")</f>
        <v>-</v>
      </c>
      <c r="BG53" s="59" t="str">
        <f t="shared" si="8"/>
        <v>-</v>
      </c>
      <c r="BH53" s="59" t="str">
        <f>IF(AND(N53&gt;0,AK53&gt;0),MIN(N53,AK53),"-")</f>
        <v>-</v>
      </c>
      <c r="BI53" s="59" t="str">
        <f>IF(AND(O53&gt;0,AL53&gt;0),MIN(O53,AL53),"-")</f>
        <v>-</v>
      </c>
      <c r="BJ53" s="59" t="str">
        <f>IF(AND(P53&gt;0,AM53&gt;0),MIN(P53,AM53),"-")</f>
        <v>-</v>
      </c>
      <c r="BK53" s="59" t="str">
        <f>IF(AND(Q53&gt;0,AN53&gt;0),MIN(Q53,AN53),"-")</f>
        <v>-</v>
      </c>
      <c r="BL53" s="59" t="str">
        <f>IF(AND(R53&gt;0,AO53&gt;0),MIN(R53,AO53),"-")</f>
        <v>-</v>
      </c>
      <c r="BM53" s="59" t="str">
        <f>IF(AND(S53&gt;0,AP53&gt;0),MIN(S53,AP53),"-")</f>
        <v>-</v>
      </c>
      <c r="BN53" s="59" t="str">
        <f>IF(AND(T53&gt;0,AQ53&gt;0),MIN(T53,AQ53),"-")</f>
        <v>-</v>
      </c>
      <c r="BO53" s="59" t="str">
        <f>IF(AND(U53&gt;0,AR53&gt;0),MIN(U53,AR53),"-")</f>
        <v>-</v>
      </c>
      <c r="BP53" s="59" t="str">
        <f>IF(AND(V53&gt;0,AS53&gt;0),MIN(V53,AS53),"-")</f>
        <v>-</v>
      </c>
      <c r="BQ53" s="59" t="str">
        <f t="shared" si="9"/>
        <v>-</v>
      </c>
      <c r="BR53" s="59" t="str">
        <f t="shared" si="10"/>
        <v>-</v>
      </c>
      <c r="BS53" s="59" t="str">
        <f t="shared" si="11"/>
        <v>-</v>
      </c>
      <c r="BT53" s="98" t="str">
        <f>IF(ISNUMBER(BS53),BS53-(C53*Rules!$P$9/100),"-")</f>
        <v>-</v>
      </c>
      <c r="BU53" s="59" t="e">
        <f>RANK($BT53,$BT$5:$BT$106,1)+COUNTIF(BT$5:BT53,BT53)-1</f>
        <v>#VALUE!</v>
      </c>
      <c r="BV53" s="59" t="e">
        <f t="shared" si="12"/>
        <v>#VALUE!</v>
      </c>
      <c r="BW53" s="59" t="str">
        <f t="shared" si="13"/>
        <v xml:space="preserve"> </v>
      </c>
      <c r="BX53" s="59" t="str">
        <f t="shared" si="13"/>
        <v>-</v>
      </c>
      <c r="BY53" s="59" t="str">
        <f t="shared" si="14"/>
        <v>-</v>
      </c>
      <c r="CC53" s="4">
        <v>49</v>
      </c>
      <c r="CD53" s="2" t="e">
        <f>VLOOKUP(CC53,$BV$5:BY$215,1,FALSE)</f>
        <v>#N/A</v>
      </c>
      <c r="CE53" s="6" t="e">
        <f>VLOOKUP(CC53,$BV$5:BY$215,2,FALSE)</f>
        <v>#N/A</v>
      </c>
      <c r="CF53" s="103" t="e">
        <f>VLOOKUP(CC53,$BV$5:BY$215,4,FALSE)</f>
        <v>#N/A</v>
      </c>
      <c r="CL53" s="77">
        <v>1</v>
      </c>
    </row>
    <row r="54" spans="1:90" ht="17.45" customHeight="1">
      <c r="A54" s="58">
        <v>50</v>
      </c>
      <c r="B54" s="59" t="str">
        <f>'C Div'!A54 &amp; " " &amp; 'C Div'!B54</f>
        <v xml:space="preserve"> </v>
      </c>
      <c r="C54" s="59" t="str">
        <f>'C Div'!E54</f>
        <v>-</v>
      </c>
      <c r="D54" s="60"/>
      <c r="E54" s="60"/>
      <c r="F54" s="60"/>
      <c r="G54" s="60"/>
      <c r="H54" s="60"/>
      <c r="I54" s="60"/>
      <c r="J54" s="60"/>
      <c r="K54" s="60"/>
      <c r="L54" s="60"/>
      <c r="M54" s="74" t="str">
        <f t="shared" si="15"/>
        <v>-</v>
      </c>
      <c r="N54" s="60"/>
      <c r="O54" s="60"/>
      <c r="P54" s="60"/>
      <c r="Q54" s="60"/>
      <c r="R54" s="60"/>
      <c r="S54" s="60"/>
      <c r="T54" s="60"/>
      <c r="U54" s="60"/>
      <c r="V54" s="60"/>
      <c r="W54" s="74" t="str">
        <f t="shared" si="1"/>
        <v>-</v>
      </c>
      <c r="X54" s="155" t="str">
        <f t="shared" si="2"/>
        <v>-</v>
      </c>
      <c r="Y54" s="156" t="str">
        <f t="shared" si="3"/>
        <v>-</v>
      </c>
      <c r="AA54" s="60"/>
      <c r="AB54" s="60"/>
      <c r="AC54" s="60"/>
      <c r="AD54" s="60"/>
      <c r="AE54" s="60"/>
      <c r="AF54" s="60"/>
      <c r="AG54" s="60"/>
      <c r="AH54" s="60"/>
      <c r="AI54" s="60"/>
      <c r="AJ54" s="74" t="str">
        <f t="shared" si="4"/>
        <v>-</v>
      </c>
      <c r="AK54" s="60"/>
      <c r="AL54" s="60"/>
      <c r="AM54" s="60"/>
      <c r="AN54" s="60"/>
      <c r="AO54" s="60"/>
      <c r="AP54" s="60"/>
      <c r="AQ54" s="60"/>
      <c r="AR54" s="60"/>
      <c r="AS54" s="60"/>
      <c r="AT54" s="74" t="str">
        <f t="shared" si="5"/>
        <v>-</v>
      </c>
      <c r="AU54" s="155" t="str">
        <f t="shared" si="6"/>
        <v>-</v>
      </c>
      <c r="AV54" s="156" t="str">
        <f t="shared" si="7"/>
        <v>-</v>
      </c>
      <c r="AX54" s="59" t="str">
        <f>IF(AND(D54&gt;0,AA54&gt;0),MIN(D54,AA54),"-")</f>
        <v>-</v>
      </c>
      <c r="AY54" s="59" t="str">
        <f>IF(AND(E54&gt;0,AB54&gt;0),MIN(E54,AB54),"-")</f>
        <v>-</v>
      </c>
      <c r="AZ54" s="59" t="str">
        <f>IF(AND(F54&gt;0,AC54&gt;0),MIN(F54,AC54),"-")</f>
        <v>-</v>
      </c>
      <c r="BA54" s="59" t="str">
        <f>IF(AND(G54&gt;0,AD54&gt;0),MIN(G54,AD54),"-")</f>
        <v>-</v>
      </c>
      <c r="BB54" s="59" t="str">
        <f>IF(AND(H54&gt;0,AE54&gt;0),MIN(H54,AE54),"-")</f>
        <v>-</v>
      </c>
      <c r="BC54" s="59" t="str">
        <f>IF(AND(I54&gt;0,AF54&gt;0),MIN(I54,AF54),"-")</f>
        <v>-</v>
      </c>
      <c r="BD54" s="59" t="str">
        <f>IF(AND(J54&gt;0,AG54&gt;0),MIN(J54,AG54),"-")</f>
        <v>-</v>
      </c>
      <c r="BE54" s="59" t="str">
        <f>IF(AND(K54&gt;0,AH54&gt;0),MIN(K54,AH54),"-")</f>
        <v>-</v>
      </c>
      <c r="BF54" s="59" t="str">
        <f>IF(AND(L54&gt;0,AI54&gt;0),MIN(L54,AI54),"-")</f>
        <v>-</v>
      </c>
      <c r="BG54" s="59" t="str">
        <f t="shared" si="8"/>
        <v>-</v>
      </c>
      <c r="BH54" s="59" t="str">
        <f>IF(AND(N54&gt;0,AK54&gt;0),MIN(N54,AK54),"-")</f>
        <v>-</v>
      </c>
      <c r="BI54" s="59" t="str">
        <f>IF(AND(O54&gt;0,AL54&gt;0),MIN(O54,AL54),"-")</f>
        <v>-</v>
      </c>
      <c r="BJ54" s="59" t="str">
        <f>IF(AND(P54&gt;0,AM54&gt;0),MIN(P54,AM54),"-")</f>
        <v>-</v>
      </c>
      <c r="BK54" s="59" t="str">
        <f>IF(AND(Q54&gt;0,AN54&gt;0),MIN(Q54,AN54),"-")</f>
        <v>-</v>
      </c>
      <c r="BL54" s="59" t="str">
        <f>IF(AND(R54&gt;0,AO54&gt;0),MIN(R54,AO54),"-")</f>
        <v>-</v>
      </c>
      <c r="BM54" s="59" t="str">
        <f>IF(AND(S54&gt;0,AP54&gt;0),MIN(S54,AP54),"-")</f>
        <v>-</v>
      </c>
      <c r="BN54" s="59" t="str">
        <f>IF(AND(T54&gt;0,AQ54&gt;0),MIN(T54,AQ54),"-")</f>
        <v>-</v>
      </c>
      <c r="BO54" s="59" t="str">
        <f>IF(AND(U54&gt;0,AR54&gt;0),MIN(U54,AR54),"-")</f>
        <v>-</v>
      </c>
      <c r="BP54" s="59" t="str">
        <f>IF(AND(V54&gt;0,AS54&gt;0),MIN(V54,AS54),"-")</f>
        <v>-</v>
      </c>
      <c r="BQ54" s="59" t="str">
        <f t="shared" si="9"/>
        <v>-</v>
      </c>
      <c r="BR54" s="59" t="str">
        <f t="shared" si="10"/>
        <v>-</v>
      </c>
      <c r="BS54" s="59" t="str">
        <f t="shared" si="11"/>
        <v>-</v>
      </c>
      <c r="BT54" s="98" t="str">
        <f>IF(ISNUMBER(BS54),BS54-(C54*Rules!$P$9/100),"-")</f>
        <v>-</v>
      </c>
      <c r="BU54" s="59" t="e">
        <f>RANK($BT54,$BT$5:$BT$106,1)+COUNTIF(BT$5:BT54,BT54)-1</f>
        <v>#VALUE!</v>
      </c>
      <c r="BV54" s="59" t="e">
        <f t="shared" si="12"/>
        <v>#VALUE!</v>
      </c>
      <c r="BW54" s="59" t="str">
        <f t="shared" si="13"/>
        <v xml:space="preserve"> </v>
      </c>
      <c r="BX54" s="59" t="str">
        <f t="shared" si="13"/>
        <v>-</v>
      </c>
      <c r="BY54" s="59" t="str">
        <f t="shared" si="14"/>
        <v>-</v>
      </c>
      <c r="CC54" s="4">
        <v>50</v>
      </c>
      <c r="CD54" s="2" t="e">
        <f>VLOOKUP(CC54,$BV$5:BY$215,1,FALSE)</f>
        <v>#N/A</v>
      </c>
      <c r="CE54" s="6" t="e">
        <f>VLOOKUP(CC54,$BV$5:BY$215,2,FALSE)</f>
        <v>#N/A</v>
      </c>
      <c r="CF54" s="103" t="e">
        <f>VLOOKUP(CC54,$BV$5:BY$215,4,FALSE)</f>
        <v>#N/A</v>
      </c>
      <c r="CL54" s="77">
        <v>1</v>
      </c>
    </row>
    <row r="55" spans="1:90" ht="17.45" customHeight="1">
      <c r="A55" s="58">
        <v>51</v>
      </c>
      <c r="B55" s="59" t="str">
        <f>'C Div'!A55 &amp; " " &amp; 'C Div'!B55</f>
        <v xml:space="preserve"> </v>
      </c>
      <c r="C55" s="59" t="str">
        <f>'C Div'!E55</f>
        <v>-</v>
      </c>
      <c r="D55" s="60"/>
      <c r="E55" s="60"/>
      <c r="F55" s="60"/>
      <c r="G55" s="60"/>
      <c r="H55" s="60"/>
      <c r="I55" s="60"/>
      <c r="J55" s="60"/>
      <c r="K55" s="60"/>
      <c r="L55" s="60"/>
      <c r="M55" s="74" t="str">
        <f t="shared" si="15"/>
        <v>-</v>
      </c>
      <c r="N55" s="60"/>
      <c r="O55" s="60"/>
      <c r="P55" s="60"/>
      <c r="Q55" s="60"/>
      <c r="R55" s="60"/>
      <c r="S55" s="60"/>
      <c r="T55" s="60"/>
      <c r="U55" s="60"/>
      <c r="V55" s="60"/>
      <c r="W55" s="74" t="str">
        <f t="shared" si="1"/>
        <v>-</v>
      </c>
      <c r="X55" s="155" t="str">
        <f t="shared" si="2"/>
        <v>-</v>
      </c>
      <c r="Y55" s="156" t="str">
        <f t="shared" si="3"/>
        <v>-</v>
      </c>
      <c r="AA55" s="60"/>
      <c r="AB55" s="60"/>
      <c r="AC55" s="60"/>
      <c r="AD55" s="60"/>
      <c r="AE55" s="60"/>
      <c r="AF55" s="60"/>
      <c r="AG55" s="60"/>
      <c r="AH55" s="60"/>
      <c r="AI55" s="60"/>
      <c r="AJ55" s="74" t="str">
        <f t="shared" si="4"/>
        <v>-</v>
      </c>
      <c r="AK55" s="60"/>
      <c r="AL55" s="60"/>
      <c r="AM55" s="60"/>
      <c r="AN55" s="60"/>
      <c r="AO55" s="60"/>
      <c r="AP55" s="60"/>
      <c r="AQ55" s="60"/>
      <c r="AR55" s="60"/>
      <c r="AS55" s="60"/>
      <c r="AT55" s="74" t="str">
        <f t="shared" si="5"/>
        <v>-</v>
      </c>
      <c r="AU55" s="155" t="str">
        <f t="shared" si="6"/>
        <v>-</v>
      </c>
      <c r="AV55" s="156" t="str">
        <f t="shared" si="7"/>
        <v>-</v>
      </c>
      <c r="AX55" s="59" t="str">
        <f>IF(AND(D55&gt;0,AA55&gt;0),MIN(D55,AA55),"-")</f>
        <v>-</v>
      </c>
      <c r="AY55" s="59" t="str">
        <f>IF(AND(E55&gt;0,AB55&gt;0),MIN(E55,AB55),"-")</f>
        <v>-</v>
      </c>
      <c r="AZ55" s="59" t="str">
        <f>IF(AND(F55&gt;0,AC55&gt;0),MIN(F55,AC55),"-")</f>
        <v>-</v>
      </c>
      <c r="BA55" s="59" t="str">
        <f>IF(AND(G55&gt;0,AD55&gt;0),MIN(G55,AD55),"-")</f>
        <v>-</v>
      </c>
      <c r="BB55" s="59" t="str">
        <f>IF(AND(H55&gt;0,AE55&gt;0),MIN(H55,AE55),"-")</f>
        <v>-</v>
      </c>
      <c r="BC55" s="59" t="str">
        <f>IF(AND(I55&gt;0,AF55&gt;0),MIN(I55,AF55),"-")</f>
        <v>-</v>
      </c>
      <c r="BD55" s="59" t="str">
        <f>IF(AND(J55&gt;0,AG55&gt;0),MIN(J55,AG55),"-")</f>
        <v>-</v>
      </c>
      <c r="BE55" s="59" t="str">
        <f>IF(AND(K55&gt;0,AH55&gt;0),MIN(K55,AH55),"-")</f>
        <v>-</v>
      </c>
      <c r="BF55" s="59" t="str">
        <f>IF(AND(L55&gt;0,AI55&gt;0),MIN(L55,AI55),"-")</f>
        <v>-</v>
      </c>
      <c r="BG55" s="59" t="str">
        <f t="shared" si="8"/>
        <v>-</v>
      </c>
      <c r="BH55" s="59" t="str">
        <f>IF(AND(N55&gt;0,AK55&gt;0),MIN(N55,AK55),"-")</f>
        <v>-</v>
      </c>
      <c r="BI55" s="59" t="str">
        <f>IF(AND(O55&gt;0,AL55&gt;0),MIN(O55,AL55),"-")</f>
        <v>-</v>
      </c>
      <c r="BJ55" s="59" t="str">
        <f>IF(AND(P55&gt;0,AM55&gt;0),MIN(P55,AM55),"-")</f>
        <v>-</v>
      </c>
      <c r="BK55" s="59" t="str">
        <f>IF(AND(Q55&gt;0,AN55&gt;0),MIN(Q55,AN55),"-")</f>
        <v>-</v>
      </c>
      <c r="BL55" s="59" t="str">
        <f>IF(AND(R55&gt;0,AO55&gt;0),MIN(R55,AO55),"-")</f>
        <v>-</v>
      </c>
      <c r="BM55" s="59" t="str">
        <f>IF(AND(S55&gt;0,AP55&gt;0),MIN(S55,AP55),"-")</f>
        <v>-</v>
      </c>
      <c r="BN55" s="59" t="str">
        <f>IF(AND(T55&gt;0,AQ55&gt;0),MIN(T55,AQ55),"-")</f>
        <v>-</v>
      </c>
      <c r="BO55" s="59" t="str">
        <f>IF(AND(U55&gt;0,AR55&gt;0),MIN(U55,AR55),"-")</f>
        <v>-</v>
      </c>
      <c r="BP55" s="59" t="str">
        <f>IF(AND(V55&gt;0,AS55&gt;0),MIN(V55,AS55),"-")</f>
        <v>-</v>
      </c>
      <c r="BQ55" s="59" t="str">
        <f t="shared" si="9"/>
        <v>-</v>
      </c>
      <c r="BR55" s="59" t="str">
        <f t="shared" si="10"/>
        <v>-</v>
      </c>
      <c r="BS55" s="59" t="str">
        <f t="shared" si="11"/>
        <v>-</v>
      </c>
      <c r="BT55" s="98" t="str">
        <f>IF(ISNUMBER(BS55),BS55-(C55*Rules!$P$9/100),"-")</f>
        <v>-</v>
      </c>
      <c r="BU55" s="59" t="e">
        <f>RANK($BT55,$BT$5:$BT$106,1)+COUNTIF(BT$5:BT55,BT55)-1</f>
        <v>#VALUE!</v>
      </c>
      <c r="BV55" s="59" t="e">
        <f t="shared" si="12"/>
        <v>#VALUE!</v>
      </c>
      <c r="BW55" s="59" t="str">
        <f t="shared" si="13"/>
        <v xml:space="preserve"> </v>
      </c>
      <c r="BX55" s="59" t="str">
        <f t="shared" si="13"/>
        <v>-</v>
      </c>
      <c r="BY55" s="59" t="str">
        <f t="shared" si="14"/>
        <v>-</v>
      </c>
      <c r="CC55" s="4">
        <v>51</v>
      </c>
      <c r="CD55" s="2" t="e">
        <f>VLOOKUP(CC55,$BV$5:BY$215,1,FALSE)</f>
        <v>#N/A</v>
      </c>
      <c r="CE55" s="6" t="e">
        <f>VLOOKUP(CC55,$BV$5:BY$215,2,FALSE)</f>
        <v>#N/A</v>
      </c>
      <c r="CF55" s="103" t="e">
        <f>VLOOKUP(CC55,$BV$5:BY$215,4,FALSE)</f>
        <v>#N/A</v>
      </c>
      <c r="CL55" s="77">
        <v>1</v>
      </c>
    </row>
    <row r="56" spans="1:90" ht="17.45" customHeight="1">
      <c r="A56" s="58">
        <v>52</v>
      </c>
      <c r="B56" s="59" t="str">
        <f>'C Div'!A56 &amp; " " &amp; 'C Div'!B56</f>
        <v xml:space="preserve"> </v>
      </c>
      <c r="C56" s="59" t="str">
        <f>'C Div'!E56</f>
        <v>-</v>
      </c>
      <c r="D56" s="60"/>
      <c r="E56" s="60"/>
      <c r="F56" s="60"/>
      <c r="G56" s="60"/>
      <c r="H56" s="60"/>
      <c r="I56" s="60"/>
      <c r="J56" s="60"/>
      <c r="K56" s="60"/>
      <c r="L56" s="60"/>
      <c r="M56" s="74" t="str">
        <f t="shared" si="15"/>
        <v>-</v>
      </c>
      <c r="N56" s="60"/>
      <c r="O56" s="60"/>
      <c r="P56" s="60"/>
      <c r="Q56" s="60"/>
      <c r="R56" s="60"/>
      <c r="S56" s="60"/>
      <c r="T56" s="60"/>
      <c r="U56" s="60"/>
      <c r="V56" s="60"/>
      <c r="W56" s="74" t="str">
        <f t="shared" si="1"/>
        <v>-</v>
      </c>
      <c r="X56" s="155" t="str">
        <f t="shared" si="2"/>
        <v>-</v>
      </c>
      <c r="Y56" s="156" t="str">
        <f t="shared" si="3"/>
        <v>-</v>
      </c>
      <c r="AA56" s="60"/>
      <c r="AB56" s="60"/>
      <c r="AC56" s="60"/>
      <c r="AD56" s="60"/>
      <c r="AE56" s="60"/>
      <c r="AF56" s="60"/>
      <c r="AG56" s="60"/>
      <c r="AH56" s="60"/>
      <c r="AI56" s="60"/>
      <c r="AJ56" s="74" t="str">
        <f t="shared" si="4"/>
        <v>-</v>
      </c>
      <c r="AK56" s="60"/>
      <c r="AL56" s="60"/>
      <c r="AM56" s="60"/>
      <c r="AN56" s="60"/>
      <c r="AO56" s="60"/>
      <c r="AP56" s="60"/>
      <c r="AQ56" s="60"/>
      <c r="AR56" s="60"/>
      <c r="AS56" s="60"/>
      <c r="AT56" s="74" t="str">
        <f t="shared" si="5"/>
        <v>-</v>
      </c>
      <c r="AU56" s="155" t="str">
        <f t="shared" si="6"/>
        <v>-</v>
      </c>
      <c r="AV56" s="156" t="str">
        <f t="shared" si="7"/>
        <v>-</v>
      </c>
      <c r="AX56" s="59" t="str">
        <f>IF(AND(D56&gt;0,AA56&gt;0),MIN(D56,AA56),"-")</f>
        <v>-</v>
      </c>
      <c r="AY56" s="59" t="str">
        <f>IF(AND(E56&gt;0,AB56&gt;0),MIN(E56,AB56),"-")</f>
        <v>-</v>
      </c>
      <c r="AZ56" s="59" t="str">
        <f>IF(AND(F56&gt;0,AC56&gt;0),MIN(F56,AC56),"-")</f>
        <v>-</v>
      </c>
      <c r="BA56" s="59" t="str">
        <f>IF(AND(G56&gt;0,AD56&gt;0),MIN(G56,AD56),"-")</f>
        <v>-</v>
      </c>
      <c r="BB56" s="59" t="str">
        <f>IF(AND(H56&gt;0,AE56&gt;0),MIN(H56,AE56),"-")</f>
        <v>-</v>
      </c>
      <c r="BC56" s="59" t="str">
        <f>IF(AND(I56&gt;0,AF56&gt;0),MIN(I56,AF56),"-")</f>
        <v>-</v>
      </c>
      <c r="BD56" s="59" t="str">
        <f>IF(AND(J56&gt;0,AG56&gt;0),MIN(J56,AG56),"-")</f>
        <v>-</v>
      </c>
      <c r="BE56" s="59" t="str">
        <f>IF(AND(K56&gt;0,AH56&gt;0),MIN(K56,AH56),"-")</f>
        <v>-</v>
      </c>
      <c r="BF56" s="59" t="str">
        <f>IF(AND(L56&gt;0,AI56&gt;0),MIN(L56,AI56),"-")</f>
        <v>-</v>
      </c>
      <c r="BG56" s="59" t="str">
        <f t="shared" si="8"/>
        <v>-</v>
      </c>
      <c r="BH56" s="59" t="str">
        <f>IF(AND(N56&gt;0,AK56&gt;0),MIN(N56,AK56),"-")</f>
        <v>-</v>
      </c>
      <c r="BI56" s="59" t="str">
        <f>IF(AND(O56&gt;0,AL56&gt;0),MIN(O56,AL56),"-")</f>
        <v>-</v>
      </c>
      <c r="BJ56" s="59" t="str">
        <f>IF(AND(P56&gt;0,AM56&gt;0),MIN(P56,AM56),"-")</f>
        <v>-</v>
      </c>
      <c r="BK56" s="59" t="str">
        <f>IF(AND(Q56&gt;0,AN56&gt;0),MIN(Q56,AN56),"-")</f>
        <v>-</v>
      </c>
      <c r="BL56" s="59" t="str">
        <f>IF(AND(R56&gt;0,AO56&gt;0),MIN(R56,AO56),"-")</f>
        <v>-</v>
      </c>
      <c r="BM56" s="59" t="str">
        <f>IF(AND(S56&gt;0,AP56&gt;0),MIN(S56,AP56),"-")</f>
        <v>-</v>
      </c>
      <c r="BN56" s="59" t="str">
        <f>IF(AND(T56&gt;0,AQ56&gt;0),MIN(T56,AQ56),"-")</f>
        <v>-</v>
      </c>
      <c r="BO56" s="59" t="str">
        <f>IF(AND(U56&gt;0,AR56&gt;0),MIN(U56,AR56),"-")</f>
        <v>-</v>
      </c>
      <c r="BP56" s="59" t="str">
        <f>IF(AND(V56&gt;0,AS56&gt;0),MIN(V56,AS56),"-")</f>
        <v>-</v>
      </c>
      <c r="BQ56" s="59" t="str">
        <f t="shared" si="9"/>
        <v>-</v>
      </c>
      <c r="BR56" s="59" t="str">
        <f t="shared" si="10"/>
        <v>-</v>
      </c>
      <c r="BS56" s="59" t="str">
        <f t="shared" si="11"/>
        <v>-</v>
      </c>
      <c r="BT56" s="98" t="str">
        <f>IF(ISNUMBER(BS56),BS56-(C56*Rules!$P$9/100),"-")</f>
        <v>-</v>
      </c>
      <c r="BU56" s="59" t="e">
        <f>RANK($BT56,$BT$5:$BT$106,1)+COUNTIF(BT$5:BT56,BT56)-1</f>
        <v>#VALUE!</v>
      </c>
      <c r="BV56" s="59" t="e">
        <f t="shared" si="12"/>
        <v>#VALUE!</v>
      </c>
      <c r="BW56" s="59" t="str">
        <f t="shared" si="13"/>
        <v xml:space="preserve"> </v>
      </c>
      <c r="BX56" s="59" t="str">
        <f t="shared" si="13"/>
        <v>-</v>
      </c>
      <c r="BY56" s="59" t="str">
        <f t="shared" si="14"/>
        <v>-</v>
      </c>
      <c r="CC56" s="4">
        <v>52</v>
      </c>
      <c r="CD56" s="2" t="e">
        <f>VLOOKUP(CC56,$BV$5:BY$215,1,FALSE)</f>
        <v>#N/A</v>
      </c>
      <c r="CE56" s="6" t="e">
        <f>VLOOKUP(CC56,$BV$5:BY$215,2,FALSE)</f>
        <v>#N/A</v>
      </c>
      <c r="CF56" s="103" t="e">
        <f>VLOOKUP(CC56,$BV$5:BY$215,4,FALSE)</f>
        <v>#N/A</v>
      </c>
      <c r="CL56" s="77">
        <v>1</v>
      </c>
    </row>
    <row r="57" spans="1:90" ht="17.45" customHeight="1">
      <c r="A57" s="58">
        <v>53</v>
      </c>
      <c r="B57" s="59" t="str">
        <f>'C Div'!A57 &amp; " " &amp; 'C Div'!B57</f>
        <v xml:space="preserve"> </v>
      </c>
      <c r="C57" s="59" t="str">
        <f>'C Div'!E57</f>
        <v>-</v>
      </c>
      <c r="D57" s="60"/>
      <c r="E57" s="60"/>
      <c r="F57" s="60"/>
      <c r="G57" s="60"/>
      <c r="H57" s="60"/>
      <c r="I57" s="60"/>
      <c r="J57" s="60"/>
      <c r="K57" s="60"/>
      <c r="L57" s="60"/>
      <c r="M57" s="74" t="str">
        <f t="shared" si="15"/>
        <v>-</v>
      </c>
      <c r="N57" s="60"/>
      <c r="O57" s="60"/>
      <c r="P57" s="60"/>
      <c r="Q57" s="60"/>
      <c r="R57" s="60"/>
      <c r="S57" s="60"/>
      <c r="T57" s="60"/>
      <c r="U57" s="60"/>
      <c r="V57" s="60"/>
      <c r="W57" s="74" t="str">
        <f t="shared" si="1"/>
        <v>-</v>
      </c>
      <c r="X57" s="155" t="str">
        <f t="shared" si="2"/>
        <v>-</v>
      </c>
      <c r="Y57" s="156" t="str">
        <f t="shared" si="3"/>
        <v>-</v>
      </c>
      <c r="AA57" s="60"/>
      <c r="AB57" s="60"/>
      <c r="AC57" s="60"/>
      <c r="AD57" s="60"/>
      <c r="AE57" s="60"/>
      <c r="AF57" s="60"/>
      <c r="AG57" s="60"/>
      <c r="AH57" s="60"/>
      <c r="AI57" s="60"/>
      <c r="AJ57" s="74" t="str">
        <f t="shared" si="4"/>
        <v>-</v>
      </c>
      <c r="AK57" s="60"/>
      <c r="AL57" s="60"/>
      <c r="AM57" s="60"/>
      <c r="AN57" s="60"/>
      <c r="AO57" s="60"/>
      <c r="AP57" s="60"/>
      <c r="AQ57" s="60"/>
      <c r="AR57" s="60"/>
      <c r="AS57" s="60"/>
      <c r="AT57" s="74" t="str">
        <f t="shared" si="5"/>
        <v>-</v>
      </c>
      <c r="AU57" s="155" t="str">
        <f t="shared" si="6"/>
        <v>-</v>
      </c>
      <c r="AV57" s="156" t="str">
        <f t="shared" si="7"/>
        <v>-</v>
      </c>
      <c r="AX57" s="59" t="str">
        <f>IF(AND(D57&gt;0,AA57&gt;0),MIN(D57,AA57),"-")</f>
        <v>-</v>
      </c>
      <c r="AY57" s="59" t="str">
        <f>IF(AND(E57&gt;0,AB57&gt;0),MIN(E57,AB57),"-")</f>
        <v>-</v>
      </c>
      <c r="AZ57" s="59" t="str">
        <f>IF(AND(F57&gt;0,AC57&gt;0),MIN(F57,AC57),"-")</f>
        <v>-</v>
      </c>
      <c r="BA57" s="59" t="str">
        <f>IF(AND(G57&gt;0,AD57&gt;0),MIN(G57,AD57),"-")</f>
        <v>-</v>
      </c>
      <c r="BB57" s="59" t="str">
        <f>IF(AND(H57&gt;0,AE57&gt;0),MIN(H57,AE57),"-")</f>
        <v>-</v>
      </c>
      <c r="BC57" s="59" t="str">
        <f>IF(AND(I57&gt;0,AF57&gt;0),MIN(I57,AF57),"-")</f>
        <v>-</v>
      </c>
      <c r="BD57" s="59" t="str">
        <f>IF(AND(J57&gt;0,AG57&gt;0),MIN(J57,AG57),"-")</f>
        <v>-</v>
      </c>
      <c r="BE57" s="59" t="str">
        <f>IF(AND(K57&gt;0,AH57&gt;0),MIN(K57,AH57),"-")</f>
        <v>-</v>
      </c>
      <c r="BF57" s="59" t="str">
        <f>IF(AND(L57&gt;0,AI57&gt;0),MIN(L57,AI57),"-")</f>
        <v>-</v>
      </c>
      <c r="BG57" s="59" t="str">
        <f t="shared" si="8"/>
        <v>-</v>
      </c>
      <c r="BH57" s="59" t="str">
        <f>IF(AND(N57&gt;0,AK57&gt;0),MIN(N57,AK57),"-")</f>
        <v>-</v>
      </c>
      <c r="BI57" s="59" t="str">
        <f>IF(AND(O57&gt;0,AL57&gt;0),MIN(O57,AL57),"-")</f>
        <v>-</v>
      </c>
      <c r="BJ57" s="59" t="str">
        <f>IF(AND(P57&gt;0,AM57&gt;0),MIN(P57,AM57),"-")</f>
        <v>-</v>
      </c>
      <c r="BK57" s="59" t="str">
        <f>IF(AND(Q57&gt;0,AN57&gt;0),MIN(Q57,AN57),"-")</f>
        <v>-</v>
      </c>
      <c r="BL57" s="59" t="str">
        <f>IF(AND(R57&gt;0,AO57&gt;0),MIN(R57,AO57),"-")</f>
        <v>-</v>
      </c>
      <c r="BM57" s="59" t="str">
        <f>IF(AND(S57&gt;0,AP57&gt;0),MIN(S57,AP57),"-")</f>
        <v>-</v>
      </c>
      <c r="BN57" s="59" t="str">
        <f>IF(AND(T57&gt;0,AQ57&gt;0),MIN(T57,AQ57),"-")</f>
        <v>-</v>
      </c>
      <c r="BO57" s="59" t="str">
        <f>IF(AND(U57&gt;0,AR57&gt;0),MIN(U57,AR57),"-")</f>
        <v>-</v>
      </c>
      <c r="BP57" s="59" t="str">
        <f>IF(AND(V57&gt;0,AS57&gt;0),MIN(V57,AS57),"-")</f>
        <v>-</v>
      </c>
      <c r="BQ57" s="59" t="str">
        <f t="shared" si="9"/>
        <v>-</v>
      </c>
      <c r="BR57" s="59" t="str">
        <f t="shared" si="10"/>
        <v>-</v>
      </c>
      <c r="BS57" s="59" t="str">
        <f t="shared" si="11"/>
        <v>-</v>
      </c>
      <c r="BT57" s="98" t="str">
        <f>IF(ISNUMBER(BS57),BS57-(C57*Rules!$P$9/100),"-")</f>
        <v>-</v>
      </c>
      <c r="BU57" s="59" t="e">
        <f>RANK($BT57,$BT$5:$BT$106,1)+COUNTIF(BT$5:BT57,BT57)-1</f>
        <v>#VALUE!</v>
      </c>
      <c r="BV57" s="59" t="e">
        <f t="shared" si="12"/>
        <v>#VALUE!</v>
      </c>
      <c r="BW57" s="59" t="str">
        <f t="shared" si="13"/>
        <v xml:space="preserve"> </v>
      </c>
      <c r="BX57" s="59" t="str">
        <f t="shared" si="13"/>
        <v>-</v>
      </c>
      <c r="BY57" s="59" t="str">
        <f t="shared" si="14"/>
        <v>-</v>
      </c>
      <c r="CC57" s="4">
        <v>53</v>
      </c>
      <c r="CD57" s="2" t="e">
        <f>VLOOKUP(CC57,$BV$5:BY$215,1,FALSE)</f>
        <v>#N/A</v>
      </c>
      <c r="CE57" s="6" t="e">
        <f>VLOOKUP(CC57,$BV$5:BY$215,2,FALSE)</f>
        <v>#N/A</v>
      </c>
      <c r="CF57" s="103" t="e">
        <f>VLOOKUP(CC57,$BV$5:BY$215,4,FALSE)</f>
        <v>#N/A</v>
      </c>
      <c r="CL57" s="77">
        <v>1</v>
      </c>
    </row>
    <row r="58" spans="1:90" ht="17.45" customHeight="1">
      <c r="A58" s="58">
        <v>54</v>
      </c>
      <c r="B58" s="59" t="str">
        <f>'C Div'!A58 &amp; " " &amp; 'C Div'!B58</f>
        <v xml:space="preserve"> </v>
      </c>
      <c r="C58" s="59" t="str">
        <f>'C Div'!E58</f>
        <v>-</v>
      </c>
      <c r="D58" s="60"/>
      <c r="E58" s="60"/>
      <c r="F58" s="60"/>
      <c r="G58" s="60"/>
      <c r="H58" s="60"/>
      <c r="I58" s="60"/>
      <c r="J58" s="60"/>
      <c r="K58" s="60"/>
      <c r="L58" s="60"/>
      <c r="M58" s="74" t="str">
        <f t="shared" si="15"/>
        <v>-</v>
      </c>
      <c r="N58" s="60"/>
      <c r="O58" s="60"/>
      <c r="P58" s="60"/>
      <c r="Q58" s="60"/>
      <c r="R58" s="60"/>
      <c r="S58" s="60"/>
      <c r="T58" s="60"/>
      <c r="U58" s="60"/>
      <c r="V58" s="60"/>
      <c r="W58" s="74" t="str">
        <f t="shared" si="1"/>
        <v>-</v>
      </c>
      <c r="X58" s="155" t="str">
        <f t="shared" si="2"/>
        <v>-</v>
      </c>
      <c r="Y58" s="156" t="str">
        <f t="shared" si="3"/>
        <v>-</v>
      </c>
      <c r="AA58" s="60"/>
      <c r="AB58" s="60"/>
      <c r="AC58" s="60"/>
      <c r="AD58" s="60"/>
      <c r="AE58" s="60"/>
      <c r="AF58" s="60"/>
      <c r="AG58" s="60"/>
      <c r="AH58" s="60"/>
      <c r="AI58" s="60"/>
      <c r="AJ58" s="74" t="str">
        <f t="shared" si="4"/>
        <v>-</v>
      </c>
      <c r="AK58" s="60"/>
      <c r="AL58" s="60"/>
      <c r="AM58" s="60"/>
      <c r="AN58" s="60"/>
      <c r="AO58" s="60"/>
      <c r="AP58" s="60"/>
      <c r="AQ58" s="60"/>
      <c r="AR58" s="60"/>
      <c r="AS58" s="60"/>
      <c r="AT58" s="74" t="str">
        <f t="shared" si="5"/>
        <v>-</v>
      </c>
      <c r="AU58" s="155" t="str">
        <f t="shared" si="6"/>
        <v>-</v>
      </c>
      <c r="AV58" s="156" t="str">
        <f t="shared" si="7"/>
        <v>-</v>
      </c>
      <c r="AX58" s="59" t="str">
        <f>IF(AND(D58&gt;0,AA58&gt;0),MIN(D58,AA58),"-")</f>
        <v>-</v>
      </c>
      <c r="AY58" s="59" t="str">
        <f>IF(AND(E58&gt;0,AB58&gt;0),MIN(E58,AB58),"-")</f>
        <v>-</v>
      </c>
      <c r="AZ58" s="59" t="str">
        <f>IF(AND(F58&gt;0,AC58&gt;0),MIN(F58,AC58),"-")</f>
        <v>-</v>
      </c>
      <c r="BA58" s="59" t="str">
        <f>IF(AND(G58&gt;0,AD58&gt;0),MIN(G58,AD58),"-")</f>
        <v>-</v>
      </c>
      <c r="BB58" s="59" t="str">
        <f>IF(AND(H58&gt;0,AE58&gt;0),MIN(H58,AE58),"-")</f>
        <v>-</v>
      </c>
      <c r="BC58" s="59" t="str">
        <f>IF(AND(I58&gt;0,AF58&gt;0),MIN(I58,AF58),"-")</f>
        <v>-</v>
      </c>
      <c r="BD58" s="59" t="str">
        <f>IF(AND(J58&gt;0,AG58&gt;0),MIN(J58,AG58),"-")</f>
        <v>-</v>
      </c>
      <c r="BE58" s="59" t="str">
        <f>IF(AND(K58&gt;0,AH58&gt;0),MIN(K58,AH58),"-")</f>
        <v>-</v>
      </c>
      <c r="BF58" s="59" t="str">
        <f>IF(AND(L58&gt;0,AI58&gt;0),MIN(L58,AI58),"-")</f>
        <v>-</v>
      </c>
      <c r="BG58" s="59" t="str">
        <f t="shared" si="8"/>
        <v>-</v>
      </c>
      <c r="BH58" s="59" t="str">
        <f>IF(AND(N58&gt;0,AK58&gt;0),MIN(N58,AK58),"-")</f>
        <v>-</v>
      </c>
      <c r="BI58" s="59" t="str">
        <f>IF(AND(O58&gt;0,AL58&gt;0),MIN(O58,AL58),"-")</f>
        <v>-</v>
      </c>
      <c r="BJ58" s="59" t="str">
        <f>IF(AND(P58&gt;0,AM58&gt;0),MIN(P58,AM58),"-")</f>
        <v>-</v>
      </c>
      <c r="BK58" s="59" t="str">
        <f>IF(AND(Q58&gt;0,AN58&gt;0),MIN(Q58,AN58),"-")</f>
        <v>-</v>
      </c>
      <c r="BL58" s="59" t="str">
        <f>IF(AND(R58&gt;0,AO58&gt;0),MIN(R58,AO58),"-")</f>
        <v>-</v>
      </c>
      <c r="BM58" s="59" t="str">
        <f>IF(AND(S58&gt;0,AP58&gt;0),MIN(S58,AP58),"-")</f>
        <v>-</v>
      </c>
      <c r="BN58" s="59" t="str">
        <f>IF(AND(T58&gt;0,AQ58&gt;0),MIN(T58,AQ58),"-")</f>
        <v>-</v>
      </c>
      <c r="BO58" s="59" t="str">
        <f>IF(AND(U58&gt;0,AR58&gt;0),MIN(U58,AR58),"-")</f>
        <v>-</v>
      </c>
      <c r="BP58" s="59" t="str">
        <f>IF(AND(V58&gt;0,AS58&gt;0),MIN(V58,AS58),"-")</f>
        <v>-</v>
      </c>
      <c r="BQ58" s="59" t="str">
        <f t="shared" si="9"/>
        <v>-</v>
      </c>
      <c r="BR58" s="59" t="str">
        <f t="shared" si="10"/>
        <v>-</v>
      </c>
      <c r="BS58" s="59" t="str">
        <f t="shared" si="11"/>
        <v>-</v>
      </c>
      <c r="BT58" s="98" t="str">
        <f>IF(ISNUMBER(BS58),BS58-(C58*Rules!$P$9/100),"-")</f>
        <v>-</v>
      </c>
      <c r="BU58" s="59" t="e">
        <f>RANK($BT58,$BT$5:$BT$106,1)+COUNTIF(BT$5:BT58,BT58)-1</f>
        <v>#VALUE!</v>
      </c>
      <c r="BV58" s="59" t="e">
        <f t="shared" si="12"/>
        <v>#VALUE!</v>
      </c>
      <c r="BW58" s="59" t="str">
        <f t="shared" si="13"/>
        <v xml:space="preserve"> </v>
      </c>
      <c r="BX58" s="59" t="str">
        <f t="shared" si="13"/>
        <v>-</v>
      </c>
      <c r="BY58" s="59" t="str">
        <f t="shared" si="14"/>
        <v>-</v>
      </c>
      <c r="CC58" s="4">
        <v>54</v>
      </c>
      <c r="CD58" s="2" t="e">
        <f>VLOOKUP(CC58,$BV$5:BY$215,1,FALSE)</f>
        <v>#N/A</v>
      </c>
      <c r="CE58" s="6" t="e">
        <f>VLOOKUP(CC58,$BV$5:BY$215,2,FALSE)</f>
        <v>#N/A</v>
      </c>
      <c r="CF58" s="103" t="e">
        <f>VLOOKUP(CC58,$BV$5:BY$215,4,FALSE)</f>
        <v>#N/A</v>
      </c>
      <c r="CL58" s="77">
        <v>1</v>
      </c>
    </row>
    <row r="59" spans="1:90" ht="17.45" customHeight="1">
      <c r="A59" s="58">
        <v>55</v>
      </c>
      <c r="B59" s="59" t="str">
        <f>'C Div'!A59 &amp; " " &amp; 'C Div'!B59</f>
        <v xml:space="preserve"> </v>
      </c>
      <c r="C59" s="59" t="str">
        <f>'C Div'!E59</f>
        <v>-</v>
      </c>
      <c r="D59" s="60"/>
      <c r="E59" s="60"/>
      <c r="F59" s="60"/>
      <c r="G59" s="60"/>
      <c r="H59" s="60"/>
      <c r="I59" s="60"/>
      <c r="J59" s="60"/>
      <c r="K59" s="60"/>
      <c r="L59" s="60"/>
      <c r="M59" s="74" t="str">
        <f t="shared" si="15"/>
        <v>-</v>
      </c>
      <c r="N59" s="60"/>
      <c r="O59" s="60"/>
      <c r="P59" s="60"/>
      <c r="Q59" s="60"/>
      <c r="R59" s="60"/>
      <c r="S59" s="60"/>
      <c r="T59" s="60"/>
      <c r="U59" s="60"/>
      <c r="V59" s="60"/>
      <c r="W59" s="74" t="str">
        <f t="shared" si="1"/>
        <v>-</v>
      </c>
      <c r="X59" s="155" t="str">
        <f t="shared" si="2"/>
        <v>-</v>
      </c>
      <c r="Y59" s="156" t="str">
        <f t="shared" si="3"/>
        <v>-</v>
      </c>
      <c r="AA59" s="60"/>
      <c r="AB59" s="60"/>
      <c r="AC59" s="60"/>
      <c r="AD59" s="60"/>
      <c r="AE59" s="60"/>
      <c r="AF59" s="60"/>
      <c r="AG59" s="60"/>
      <c r="AH59" s="60"/>
      <c r="AI59" s="60"/>
      <c r="AJ59" s="74" t="str">
        <f t="shared" si="4"/>
        <v>-</v>
      </c>
      <c r="AK59" s="60"/>
      <c r="AL59" s="60"/>
      <c r="AM59" s="60"/>
      <c r="AN59" s="60"/>
      <c r="AO59" s="60"/>
      <c r="AP59" s="60"/>
      <c r="AQ59" s="60"/>
      <c r="AR59" s="60"/>
      <c r="AS59" s="60"/>
      <c r="AT59" s="74" t="str">
        <f t="shared" si="5"/>
        <v>-</v>
      </c>
      <c r="AU59" s="155" t="str">
        <f t="shared" si="6"/>
        <v>-</v>
      </c>
      <c r="AV59" s="156" t="str">
        <f t="shared" si="7"/>
        <v>-</v>
      </c>
      <c r="AX59" s="59" t="str">
        <f>IF(AND(D59&gt;0,AA59&gt;0),MIN(D59,AA59),"-")</f>
        <v>-</v>
      </c>
      <c r="AY59" s="59" t="str">
        <f>IF(AND(E59&gt;0,AB59&gt;0),MIN(E59,AB59),"-")</f>
        <v>-</v>
      </c>
      <c r="AZ59" s="59" t="str">
        <f>IF(AND(F59&gt;0,AC59&gt;0),MIN(F59,AC59),"-")</f>
        <v>-</v>
      </c>
      <c r="BA59" s="59" t="str">
        <f>IF(AND(G59&gt;0,AD59&gt;0),MIN(G59,AD59),"-")</f>
        <v>-</v>
      </c>
      <c r="BB59" s="59" t="str">
        <f>IF(AND(H59&gt;0,AE59&gt;0),MIN(H59,AE59),"-")</f>
        <v>-</v>
      </c>
      <c r="BC59" s="59" t="str">
        <f>IF(AND(I59&gt;0,AF59&gt;0),MIN(I59,AF59),"-")</f>
        <v>-</v>
      </c>
      <c r="BD59" s="59" t="str">
        <f>IF(AND(J59&gt;0,AG59&gt;0),MIN(J59,AG59),"-")</f>
        <v>-</v>
      </c>
      <c r="BE59" s="59" t="str">
        <f>IF(AND(K59&gt;0,AH59&gt;0),MIN(K59,AH59),"-")</f>
        <v>-</v>
      </c>
      <c r="BF59" s="59" t="str">
        <f>IF(AND(L59&gt;0,AI59&gt;0),MIN(L59,AI59),"-")</f>
        <v>-</v>
      </c>
      <c r="BG59" s="59" t="str">
        <f t="shared" si="8"/>
        <v>-</v>
      </c>
      <c r="BH59" s="59" t="str">
        <f>IF(AND(N59&gt;0,AK59&gt;0),MIN(N59,AK59),"-")</f>
        <v>-</v>
      </c>
      <c r="BI59" s="59" t="str">
        <f>IF(AND(O59&gt;0,AL59&gt;0),MIN(O59,AL59),"-")</f>
        <v>-</v>
      </c>
      <c r="BJ59" s="59" t="str">
        <f>IF(AND(P59&gt;0,AM59&gt;0),MIN(P59,AM59),"-")</f>
        <v>-</v>
      </c>
      <c r="BK59" s="59" t="str">
        <f>IF(AND(Q59&gt;0,AN59&gt;0),MIN(Q59,AN59),"-")</f>
        <v>-</v>
      </c>
      <c r="BL59" s="59" t="str">
        <f>IF(AND(R59&gt;0,AO59&gt;0),MIN(R59,AO59),"-")</f>
        <v>-</v>
      </c>
      <c r="BM59" s="59" t="str">
        <f>IF(AND(S59&gt;0,AP59&gt;0),MIN(S59,AP59),"-")</f>
        <v>-</v>
      </c>
      <c r="BN59" s="59" t="str">
        <f>IF(AND(T59&gt;0,AQ59&gt;0),MIN(T59,AQ59),"-")</f>
        <v>-</v>
      </c>
      <c r="BO59" s="59" t="str">
        <f>IF(AND(U59&gt;0,AR59&gt;0),MIN(U59,AR59),"-")</f>
        <v>-</v>
      </c>
      <c r="BP59" s="59" t="str">
        <f>IF(AND(V59&gt;0,AS59&gt;0),MIN(V59,AS59),"-")</f>
        <v>-</v>
      </c>
      <c r="BQ59" s="59" t="str">
        <f t="shared" si="9"/>
        <v>-</v>
      </c>
      <c r="BR59" s="59" t="str">
        <f t="shared" si="10"/>
        <v>-</v>
      </c>
      <c r="BS59" s="59" t="str">
        <f t="shared" si="11"/>
        <v>-</v>
      </c>
      <c r="BT59" s="98" t="str">
        <f>IF(ISNUMBER(BS59),BS59-(C59*Rules!$P$9/100),"-")</f>
        <v>-</v>
      </c>
      <c r="BU59" s="59" t="e">
        <f>RANK($BT59,$BT$5:$BT$106,1)+COUNTIF(BT$5:BT59,BT59)-1</f>
        <v>#VALUE!</v>
      </c>
      <c r="BV59" s="59" t="e">
        <f t="shared" si="12"/>
        <v>#VALUE!</v>
      </c>
      <c r="BW59" s="59" t="str">
        <f t="shared" si="13"/>
        <v xml:space="preserve"> </v>
      </c>
      <c r="BX59" s="59" t="str">
        <f t="shared" si="13"/>
        <v>-</v>
      </c>
      <c r="BY59" s="59" t="str">
        <f t="shared" si="14"/>
        <v>-</v>
      </c>
      <c r="CC59" s="4">
        <v>55</v>
      </c>
      <c r="CD59" s="2" t="e">
        <f>VLOOKUP(CC59,$BV$5:BY$215,1,FALSE)</f>
        <v>#N/A</v>
      </c>
      <c r="CE59" s="6" t="e">
        <f>VLOOKUP(CC59,$BV$5:BY$215,2,FALSE)</f>
        <v>#N/A</v>
      </c>
      <c r="CF59" s="103" t="e">
        <f>VLOOKUP(CC59,$BV$5:BY$215,4,FALSE)</f>
        <v>#N/A</v>
      </c>
      <c r="CL59" s="77">
        <v>1</v>
      </c>
    </row>
    <row r="60" spans="1:90" ht="17.45" customHeight="1">
      <c r="A60" s="58">
        <v>56</v>
      </c>
      <c r="B60" s="59" t="str">
        <f>'C Div'!A60 &amp; " " &amp; 'C Div'!B60</f>
        <v xml:space="preserve"> </v>
      </c>
      <c r="C60" s="59" t="str">
        <f>'C Div'!E60</f>
        <v>-</v>
      </c>
      <c r="D60" s="60"/>
      <c r="E60" s="60"/>
      <c r="F60" s="60"/>
      <c r="G60" s="60"/>
      <c r="H60" s="60"/>
      <c r="I60" s="60"/>
      <c r="J60" s="60"/>
      <c r="K60" s="60"/>
      <c r="L60" s="60"/>
      <c r="M60" s="74" t="str">
        <f t="shared" si="15"/>
        <v>-</v>
      </c>
      <c r="N60" s="60"/>
      <c r="O60" s="60"/>
      <c r="P60" s="60"/>
      <c r="Q60" s="60"/>
      <c r="R60" s="60"/>
      <c r="S60" s="60"/>
      <c r="T60" s="60"/>
      <c r="U60" s="60"/>
      <c r="V60" s="60"/>
      <c r="W60" s="74" t="str">
        <f t="shared" si="1"/>
        <v>-</v>
      </c>
      <c r="X60" s="155" t="str">
        <f t="shared" si="2"/>
        <v>-</v>
      </c>
      <c r="Y60" s="156" t="str">
        <f t="shared" si="3"/>
        <v>-</v>
      </c>
      <c r="AA60" s="60"/>
      <c r="AB60" s="60"/>
      <c r="AC60" s="60"/>
      <c r="AD60" s="60"/>
      <c r="AE60" s="60"/>
      <c r="AF60" s="60"/>
      <c r="AG60" s="60"/>
      <c r="AH60" s="60"/>
      <c r="AI60" s="60"/>
      <c r="AJ60" s="74" t="str">
        <f t="shared" si="4"/>
        <v>-</v>
      </c>
      <c r="AK60" s="60"/>
      <c r="AL60" s="60"/>
      <c r="AM60" s="60"/>
      <c r="AN60" s="60"/>
      <c r="AO60" s="60"/>
      <c r="AP60" s="60"/>
      <c r="AQ60" s="60"/>
      <c r="AR60" s="60"/>
      <c r="AS60" s="60"/>
      <c r="AT60" s="74" t="str">
        <f t="shared" si="5"/>
        <v>-</v>
      </c>
      <c r="AU60" s="155" t="str">
        <f t="shared" si="6"/>
        <v>-</v>
      </c>
      <c r="AV60" s="156" t="str">
        <f t="shared" si="7"/>
        <v>-</v>
      </c>
      <c r="AX60" s="59" t="str">
        <f>IF(AND(D60&gt;0,AA60&gt;0),MIN(D60,AA60),"-")</f>
        <v>-</v>
      </c>
      <c r="AY60" s="59" t="str">
        <f>IF(AND(E60&gt;0,AB60&gt;0),MIN(E60,AB60),"-")</f>
        <v>-</v>
      </c>
      <c r="AZ60" s="59" t="str">
        <f>IF(AND(F60&gt;0,AC60&gt;0),MIN(F60,AC60),"-")</f>
        <v>-</v>
      </c>
      <c r="BA60" s="59" t="str">
        <f>IF(AND(G60&gt;0,AD60&gt;0),MIN(G60,AD60),"-")</f>
        <v>-</v>
      </c>
      <c r="BB60" s="59" t="str">
        <f>IF(AND(H60&gt;0,AE60&gt;0),MIN(H60,AE60),"-")</f>
        <v>-</v>
      </c>
      <c r="BC60" s="59" t="str">
        <f>IF(AND(I60&gt;0,AF60&gt;0),MIN(I60,AF60),"-")</f>
        <v>-</v>
      </c>
      <c r="BD60" s="59" t="str">
        <f>IF(AND(J60&gt;0,AG60&gt;0),MIN(J60,AG60),"-")</f>
        <v>-</v>
      </c>
      <c r="BE60" s="59" t="str">
        <f>IF(AND(K60&gt;0,AH60&gt;0),MIN(K60,AH60),"-")</f>
        <v>-</v>
      </c>
      <c r="BF60" s="59" t="str">
        <f>IF(AND(L60&gt;0,AI60&gt;0),MIN(L60,AI60),"-")</f>
        <v>-</v>
      </c>
      <c r="BG60" s="59" t="str">
        <f t="shared" si="8"/>
        <v>-</v>
      </c>
      <c r="BH60" s="59" t="str">
        <f>IF(AND(N60&gt;0,AK60&gt;0),MIN(N60,AK60),"-")</f>
        <v>-</v>
      </c>
      <c r="BI60" s="59" t="str">
        <f>IF(AND(O60&gt;0,AL60&gt;0),MIN(O60,AL60),"-")</f>
        <v>-</v>
      </c>
      <c r="BJ60" s="59" t="str">
        <f>IF(AND(P60&gt;0,AM60&gt;0),MIN(P60,AM60),"-")</f>
        <v>-</v>
      </c>
      <c r="BK60" s="59" t="str">
        <f>IF(AND(Q60&gt;0,AN60&gt;0),MIN(Q60,AN60),"-")</f>
        <v>-</v>
      </c>
      <c r="BL60" s="59" t="str">
        <f>IF(AND(R60&gt;0,AO60&gt;0),MIN(R60,AO60),"-")</f>
        <v>-</v>
      </c>
      <c r="BM60" s="59" t="str">
        <f>IF(AND(S60&gt;0,AP60&gt;0),MIN(S60,AP60),"-")</f>
        <v>-</v>
      </c>
      <c r="BN60" s="59" t="str">
        <f>IF(AND(T60&gt;0,AQ60&gt;0),MIN(T60,AQ60),"-")</f>
        <v>-</v>
      </c>
      <c r="BO60" s="59" t="str">
        <f>IF(AND(U60&gt;0,AR60&gt;0),MIN(U60,AR60),"-")</f>
        <v>-</v>
      </c>
      <c r="BP60" s="59" t="str">
        <f>IF(AND(V60&gt;0,AS60&gt;0),MIN(V60,AS60),"-")</f>
        <v>-</v>
      </c>
      <c r="BQ60" s="59" t="str">
        <f t="shared" si="9"/>
        <v>-</v>
      </c>
      <c r="BR60" s="59" t="str">
        <f t="shared" si="10"/>
        <v>-</v>
      </c>
      <c r="BS60" s="59" t="str">
        <f t="shared" si="11"/>
        <v>-</v>
      </c>
      <c r="BT60" s="98" t="str">
        <f>IF(ISNUMBER(BS60),BS60-(C60*Rules!$P$9/100),"-")</f>
        <v>-</v>
      </c>
      <c r="BU60" s="59" t="e">
        <f>RANK($BT60,$BT$5:$BT$106,1)+COUNTIF(BT$5:BT60,BT60)-1</f>
        <v>#VALUE!</v>
      </c>
      <c r="BV60" s="59" t="e">
        <f t="shared" si="12"/>
        <v>#VALUE!</v>
      </c>
      <c r="BW60" s="59" t="str">
        <f t="shared" si="13"/>
        <v xml:space="preserve"> </v>
      </c>
      <c r="BX60" s="59" t="str">
        <f t="shared" si="13"/>
        <v>-</v>
      </c>
      <c r="BY60" s="59" t="str">
        <f t="shared" si="14"/>
        <v>-</v>
      </c>
      <c r="CC60" s="4">
        <v>56</v>
      </c>
      <c r="CD60" s="2" t="e">
        <f>VLOOKUP(CC60,$BV$5:BY$215,1,FALSE)</f>
        <v>#N/A</v>
      </c>
      <c r="CE60" s="6" t="e">
        <f>VLOOKUP(CC60,$BV$5:BY$215,2,FALSE)</f>
        <v>#N/A</v>
      </c>
      <c r="CF60" s="103" t="e">
        <f>VLOOKUP(CC60,$BV$5:BY$215,4,FALSE)</f>
        <v>#N/A</v>
      </c>
      <c r="CL60" s="77">
        <v>1</v>
      </c>
    </row>
    <row r="61" spans="1:90" ht="17.45" customHeight="1">
      <c r="A61" s="58">
        <v>57</v>
      </c>
      <c r="B61" s="59" t="str">
        <f>'C Div'!A61 &amp; " " &amp; 'C Div'!B61</f>
        <v xml:space="preserve"> </v>
      </c>
      <c r="C61" s="59" t="str">
        <f>'C Div'!E61</f>
        <v>-</v>
      </c>
      <c r="D61" s="60"/>
      <c r="E61" s="60"/>
      <c r="F61" s="60"/>
      <c r="G61" s="60"/>
      <c r="H61" s="60"/>
      <c r="I61" s="60"/>
      <c r="J61" s="60"/>
      <c r="K61" s="60"/>
      <c r="L61" s="60"/>
      <c r="M61" s="74" t="str">
        <f t="shared" si="15"/>
        <v>-</v>
      </c>
      <c r="N61" s="60"/>
      <c r="O61" s="60"/>
      <c r="P61" s="60"/>
      <c r="Q61" s="60"/>
      <c r="R61" s="60"/>
      <c r="S61" s="60"/>
      <c r="T61" s="60"/>
      <c r="U61" s="60"/>
      <c r="V61" s="60"/>
      <c r="W61" s="74" t="str">
        <f t="shared" si="1"/>
        <v>-</v>
      </c>
      <c r="X61" s="155" t="str">
        <f t="shared" si="2"/>
        <v>-</v>
      </c>
      <c r="Y61" s="156" t="str">
        <f t="shared" si="3"/>
        <v>-</v>
      </c>
      <c r="AA61" s="60"/>
      <c r="AB61" s="60"/>
      <c r="AC61" s="60"/>
      <c r="AD61" s="60"/>
      <c r="AE61" s="60"/>
      <c r="AF61" s="60"/>
      <c r="AG61" s="60"/>
      <c r="AH61" s="60"/>
      <c r="AI61" s="60"/>
      <c r="AJ61" s="74" t="str">
        <f t="shared" si="4"/>
        <v>-</v>
      </c>
      <c r="AK61" s="60"/>
      <c r="AL61" s="60"/>
      <c r="AM61" s="60"/>
      <c r="AN61" s="60"/>
      <c r="AO61" s="60"/>
      <c r="AP61" s="60"/>
      <c r="AQ61" s="60"/>
      <c r="AR61" s="60"/>
      <c r="AS61" s="60"/>
      <c r="AT61" s="74" t="str">
        <f t="shared" si="5"/>
        <v>-</v>
      </c>
      <c r="AU61" s="155" t="str">
        <f t="shared" si="6"/>
        <v>-</v>
      </c>
      <c r="AV61" s="156" t="str">
        <f t="shared" si="7"/>
        <v>-</v>
      </c>
      <c r="AX61" s="59" t="str">
        <f>IF(AND(D61&gt;0,AA61&gt;0),MIN(D61,AA61),"-")</f>
        <v>-</v>
      </c>
      <c r="AY61" s="59" t="str">
        <f>IF(AND(E61&gt;0,AB61&gt;0),MIN(E61,AB61),"-")</f>
        <v>-</v>
      </c>
      <c r="AZ61" s="59" t="str">
        <f>IF(AND(F61&gt;0,AC61&gt;0),MIN(F61,AC61),"-")</f>
        <v>-</v>
      </c>
      <c r="BA61" s="59" t="str">
        <f>IF(AND(G61&gt;0,AD61&gt;0),MIN(G61,AD61),"-")</f>
        <v>-</v>
      </c>
      <c r="BB61" s="59" t="str">
        <f>IF(AND(H61&gt;0,AE61&gt;0),MIN(H61,AE61),"-")</f>
        <v>-</v>
      </c>
      <c r="BC61" s="59" t="str">
        <f>IF(AND(I61&gt;0,AF61&gt;0),MIN(I61,AF61),"-")</f>
        <v>-</v>
      </c>
      <c r="BD61" s="59" t="str">
        <f>IF(AND(J61&gt;0,AG61&gt;0),MIN(J61,AG61),"-")</f>
        <v>-</v>
      </c>
      <c r="BE61" s="59" t="str">
        <f>IF(AND(K61&gt;0,AH61&gt;0),MIN(K61,AH61),"-")</f>
        <v>-</v>
      </c>
      <c r="BF61" s="59" t="str">
        <f>IF(AND(L61&gt;0,AI61&gt;0),MIN(L61,AI61),"-")</f>
        <v>-</v>
      </c>
      <c r="BG61" s="59" t="str">
        <f t="shared" si="8"/>
        <v>-</v>
      </c>
      <c r="BH61" s="59" t="str">
        <f>IF(AND(N61&gt;0,AK61&gt;0),MIN(N61,AK61),"-")</f>
        <v>-</v>
      </c>
      <c r="BI61" s="59" t="str">
        <f>IF(AND(O61&gt;0,AL61&gt;0),MIN(O61,AL61),"-")</f>
        <v>-</v>
      </c>
      <c r="BJ61" s="59" t="str">
        <f>IF(AND(P61&gt;0,AM61&gt;0),MIN(P61,AM61),"-")</f>
        <v>-</v>
      </c>
      <c r="BK61" s="59" t="str">
        <f>IF(AND(Q61&gt;0,AN61&gt;0),MIN(Q61,AN61),"-")</f>
        <v>-</v>
      </c>
      <c r="BL61" s="59" t="str">
        <f>IF(AND(R61&gt;0,AO61&gt;0),MIN(R61,AO61),"-")</f>
        <v>-</v>
      </c>
      <c r="BM61" s="59" t="str">
        <f>IF(AND(S61&gt;0,AP61&gt;0),MIN(S61,AP61),"-")</f>
        <v>-</v>
      </c>
      <c r="BN61" s="59" t="str">
        <f>IF(AND(T61&gt;0,AQ61&gt;0),MIN(T61,AQ61),"-")</f>
        <v>-</v>
      </c>
      <c r="BO61" s="59" t="str">
        <f>IF(AND(U61&gt;0,AR61&gt;0),MIN(U61,AR61),"-")</f>
        <v>-</v>
      </c>
      <c r="BP61" s="59" t="str">
        <f>IF(AND(V61&gt;0,AS61&gt;0),MIN(V61,AS61),"-")</f>
        <v>-</v>
      </c>
      <c r="BQ61" s="59" t="str">
        <f t="shared" si="9"/>
        <v>-</v>
      </c>
      <c r="BR61" s="59" t="str">
        <f t="shared" si="10"/>
        <v>-</v>
      </c>
      <c r="BS61" s="59" t="str">
        <f t="shared" si="11"/>
        <v>-</v>
      </c>
      <c r="BT61" s="98" t="str">
        <f>IF(ISNUMBER(BS61),BS61-(C61*Rules!$P$9/100),"-")</f>
        <v>-</v>
      </c>
      <c r="BU61" s="59" t="e">
        <f>RANK($BT61,$BT$5:$BT$106,1)+COUNTIF(BT$5:BT61,BT61)-1</f>
        <v>#VALUE!</v>
      </c>
      <c r="BV61" s="59" t="e">
        <f t="shared" si="12"/>
        <v>#VALUE!</v>
      </c>
      <c r="BW61" s="59" t="str">
        <f t="shared" si="13"/>
        <v xml:space="preserve"> </v>
      </c>
      <c r="BX61" s="59" t="str">
        <f t="shared" si="13"/>
        <v>-</v>
      </c>
      <c r="BY61" s="59" t="str">
        <f t="shared" si="14"/>
        <v>-</v>
      </c>
      <c r="CC61" s="4">
        <v>57</v>
      </c>
      <c r="CD61" s="2" t="e">
        <f>VLOOKUP(CC61,$BV$5:BY$215,1,FALSE)</f>
        <v>#N/A</v>
      </c>
      <c r="CE61" s="6" t="e">
        <f>VLOOKUP(CC61,$BV$5:BY$215,2,FALSE)</f>
        <v>#N/A</v>
      </c>
      <c r="CF61" s="103" t="e">
        <f>VLOOKUP(CC61,$BV$5:BY$215,4,FALSE)</f>
        <v>#N/A</v>
      </c>
      <c r="CL61" s="77">
        <v>1</v>
      </c>
    </row>
    <row r="62" spans="1:90" ht="17.45" customHeight="1">
      <c r="A62" s="58">
        <v>58</v>
      </c>
      <c r="B62" s="59" t="str">
        <f>'C Div'!A62 &amp; " " &amp; 'C Div'!B62</f>
        <v xml:space="preserve"> </v>
      </c>
      <c r="C62" s="59" t="str">
        <f>'C Div'!E62</f>
        <v>-</v>
      </c>
      <c r="D62" s="60"/>
      <c r="E62" s="60"/>
      <c r="F62" s="60"/>
      <c r="G62" s="60"/>
      <c r="H62" s="60"/>
      <c r="I62" s="60"/>
      <c r="J62" s="60"/>
      <c r="K62" s="60"/>
      <c r="L62" s="60"/>
      <c r="M62" s="74" t="str">
        <f t="shared" si="15"/>
        <v>-</v>
      </c>
      <c r="N62" s="60"/>
      <c r="O62" s="60"/>
      <c r="P62" s="60"/>
      <c r="Q62" s="60"/>
      <c r="R62" s="60"/>
      <c r="S62" s="60"/>
      <c r="T62" s="60"/>
      <c r="U62" s="60"/>
      <c r="V62" s="60"/>
      <c r="W62" s="74" t="str">
        <f t="shared" si="1"/>
        <v>-</v>
      </c>
      <c r="X62" s="155" t="str">
        <f t="shared" si="2"/>
        <v>-</v>
      </c>
      <c r="Y62" s="156" t="str">
        <f t="shared" si="3"/>
        <v>-</v>
      </c>
      <c r="AA62" s="60"/>
      <c r="AB62" s="60"/>
      <c r="AC62" s="60"/>
      <c r="AD62" s="60"/>
      <c r="AE62" s="60"/>
      <c r="AF62" s="60"/>
      <c r="AG62" s="60"/>
      <c r="AH62" s="60"/>
      <c r="AI62" s="60"/>
      <c r="AJ62" s="74" t="str">
        <f t="shared" si="4"/>
        <v>-</v>
      </c>
      <c r="AK62" s="60"/>
      <c r="AL62" s="60"/>
      <c r="AM62" s="60"/>
      <c r="AN62" s="60"/>
      <c r="AO62" s="60"/>
      <c r="AP62" s="60"/>
      <c r="AQ62" s="60"/>
      <c r="AR62" s="60"/>
      <c r="AS62" s="60"/>
      <c r="AT62" s="74" t="str">
        <f t="shared" si="5"/>
        <v>-</v>
      </c>
      <c r="AU62" s="155" t="str">
        <f t="shared" si="6"/>
        <v>-</v>
      </c>
      <c r="AV62" s="156" t="str">
        <f t="shared" si="7"/>
        <v>-</v>
      </c>
      <c r="AX62" s="59" t="str">
        <f>IF(AND(D62&gt;0,AA62&gt;0),MIN(D62,AA62),"-")</f>
        <v>-</v>
      </c>
      <c r="AY62" s="59" t="str">
        <f>IF(AND(E62&gt;0,AB62&gt;0),MIN(E62,AB62),"-")</f>
        <v>-</v>
      </c>
      <c r="AZ62" s="59" t="str">
        <f>IF(AND(F62&gt;0,AC62&gt;0),MIN(F62,AC62),"-")</f>
        <v>-</v>
      </c>
      <c r="BA62" s="59" t="str">
        <f>IF(AND(G62&gt;0,AD62&gt;0),MIN(G62,AD62),"-")</f>
        <v>-</v>
      </c>
      <c r="BB62" s="59" t="str">
        <f>IF(AND(H62&gt;0,AE62&gt;0),MIN(H62,AE62),"-")</f>
        <v>-</v>
      </c>
      <c r="BC62" s="59" t="str">
        <f>IF(AND(I62&gt;0,AF62&gt;0),MIN(I62,AF62),"-")</f>
        <v>-</v>
      </c>
      <c r="BD62" s="59" t="str">
        <f>IF(AND(J62&gt;0,AG62&gt;0),MIN(J62,AG62),"-")</f>
        <v>-</v>
      </c>
      <c r="BE62" s="59" t="str">
        <f>IF(AND(K62&gt;0,AH62&gt;0),MIN(K62,AH62),"-")</f>
        <v>-</v>
      </c>
      <c r="BF62" s="59" t="str">
        <f>IF(AND(L62&gt;0,AI62&gt;0),MIN(L62,AI62),"-")</f>
        <v>-</v>
      </c>
      <c r="BG62" s="59" t="str">
        <f t="shared" si="8"/>
        <v>-</v>
      </c>
      <c r="BH62" s="59" t="str">
        <f>IF(AND(N62&gt;0,AK62&gt;0),MIN(N62,AK62),"-")</f>
        <v>-</v>
      </c>
      <c r="BI62" s="59" t="str">
        <f>IF(AND(O62&gt;0,AL62&gt;0),MIN(O62,AL62),"-")</f>
        <v>-</v>
      </c>
      <c r="BJ62" s="59" t="str">
        <f>IF(AND(P62&gt;0,AM62&gt;0),MIN(P62,AM62),"-")</f>
        <v>-</v>
      </c>
      <c r="BK62" s="59" t="str">
        <f>IF(AND(Q62&gt;0,AN62&gt;0),MIN(Q62,AN62),"-")</f>
        <v>-</v>
      </c>
      <c r="BL62" s="59" t="str">
        <f>IF(AND(R62&gt;0,AO62&gt;0),MIN(R62,AO62),"-")</f>
        <v>-</v>
      </c>
      <c r="BM62" s="59" t="str">
        <f>IF(AND(S62&gt;0,AP62&gt;0),MIN(S62,AP62),"-")</f>
        <v>-</v>
      </c>
      <c r="BN62" s="59" t="str">
        <f>IF(AND(T62&gt;0,AQ62&gt;0),MIN(T62,AQ62),"-")</f>
        <v>-</v>
      </c>
      <c r="BO62" s="59" t="str">
        <f>IF(AND(U62&gt;0,AR62&gt;0),MIN(U62,AR62),"-")</f>
        <v>-</v>
      </c>
      <c r="BP62" s="59" t="str">
        <f>IF(AND(V62&gt;0,AS62&gt;0),MIN(V62,AS62),"-")</f>
        <v>-</v>
      </c>
      <c r="BQ62" s="59" t="str">
        <f t="shared" si="9"/>
        <v>-</v>
      </c>
      <c r="BR62" s="59" t="str">
        <f t="shared" si="10"/>
        <v>-</v>
      </c>
      <c r="BS62" s="59" t="str">
        <f t="shared" si="11"/>
        <v>-</v>
      </c>
      <c r="BT62" s="98" t="str">
        <f>IF(ISNUMBER(BS62),BS62-(C62*Rules!$P$9/100),"-")</f>
        <v>-</v>
      </c>
      <c r="BU62" s="59" t="e">
        <f>RANK($BT62,$BT$5:$BT$106,1)+COUNTIF(BT$5:BT62,BT62)-1</f>
        <v>#VALUE!</v>
      </c>
      <c r="BV62" s="59" t="e">
        <f t="shared" si="12"/>
        <v>#VALUE!</v>
      </c>
      <c r="BW62" s="59" t="str">
        <f t="shared" si="13"/>
        <v xml:space="preserve"> </v>
      </c>
      <c r="BX62" s="59" t="str">
        <f t="shared" si="13"/>
        <v>-</v>
      </c>
      <c r="BY62" s="59" t="str">
        <f t="shared" si="14"/>
        <v>-</v>
      </c>
      <c r="CC62" s="4">
        <v>58</v>
      </c>
      <c r="CD62" s="2" t="e">
        <f>VLOOKUP(CC62,$BV$5:BY$215,1,FALSE)</f>
        <v>#N/A</v>
      </c>
      <c r="CE62" s="6" t="e">
        <f>VLOOKUP(CC62,$BV$5:BY$215,2,FALSE)</f>
        <v>#N/A</v>
      </c>
      <c r="CF62" s="103" t="e">
        <f>VLOOKUP(CC62,$BV$5:BY$215,4,FALSE)</f>
        <v>#N/A</v>
      </c>
      <c r="CL62" s="77">
        <v>1</v>
      </c>
    </row>
    <row r="63" spans="1:90" ht="17.45" customHeight="1">
      <c r="A63" s="58">
        <v>59</v>
      </c>
      <c r="B63" s="59" t="str">
        <f>'C Div'!A63 &amp; " " &amp; 'C Div'!B63</f>
        <v xml:space="preserve"> </v>
      </c>
      <c r="C63" s="59" t="str">
        <f>'C Div'!E63</f>
        <v>-</v>
      </c>
      <c r="D63" s="60"/>
      <c r="E63" s="60"/>
      <c r="F63" s="60"/>
      <c r="G63" s="60"/>
      <c r="H63" s="60"/>
      <c r="I63" s="60"/>
      <c r="J63" s="60"/>
      <c r="K63" s="60"/>
      <c r="L63" s="60"/>
      <c r="M63" s="74" t="str">
        <f t="shared" si="15"/>
        <v>-</v>
      </c>
      <c r="N63" s="60"/>
      <c r="O63" s="60"/>
      <c r="P63" s="60"/>
      <c r="Q63" s="60"/>
      <c r="R63" s="60"/>
      <c r="S63" s="60"/>
      <c r="T63" s="60"/>
      <c r="U63" s="60"/>
      <c r="V63" s="60"/>
      <c r="W63" s="74" t="str">
        <f t="shared" si="1"/>
        <v>-</v>
      </c>
      <c r="X63" s="155" t="str">
        <f t="shared" si="2"/>
        <v>-</v>
      </c>
      <c r="Y63" s="156" t="str">
        <f t="shared" si="3"/>
        <v>-</v>
      </c>
      <c r="AA63" s="60"/>
      <c r="AB63" s="60"/>
      <c r="AC63" s="60"/>
      <c r="AD63" s="60"/>
      <c r="AE63" s="60"/>
      <c r="AF63" s="60"/>
      <c r="AG63" s="60"/>
      <c r="AH63" s="60"/>
      <c r="AI63" s="60"/>
      <c r="AJ63" s="74" t="str">
        <f t="shared" si="4"/>
        <v>-</v>
      </c>
      <c r="AK63" s="60"/>
      <c r="AL63" s="60"/>
      <c r="AM63" s="60"/>
      <c r="AN63" s="60"/>
      <c r="AO63" s="60"/>
      <c r="AP63" s="60"/>
      <c r="AQ63" s="60"/>
      <c r="AR63" s="60"/>
      <c r="AS63" s="60"/>
      <c r="AT63" s="74" t="str">
        <f t="shared" si="5"/>
        <v>-</v>
      </c>
      <c r="AU63" s="155" t="str">
        <f t="shared" si="6"/>
        <v>-</v>
      </c>
      <c r="AV63" s="156" t="str">
        <f t="shared" si="7"/>
        <v>-</v>
      </c>
      <c r="AX63" s="59" t="str">
        <f>IF(AND(D63&gt;0,AA63&gt;0),MIN(D63,AA63),"-")</f>
        <v>-</v>
      </c>
      <c r="AY63" s="59" t="str">
        <f>IF(AND(E63&gt;0,AB63&gt;0),MIN(E63,AB63),"-")</f>
        <v>-</v>
      </c>
      <c r="AZ63" s="59" t="str">
        <f>IF(AND(F63&gt;0,AC63&gt;0),MIN(F63,AC63),"-")</f>
        <v>-</v>
      </c>
      <c r="BA63" s="59" t="str">
        <f>IF(AND(G63&gt;0,AD63&gt;0),MIN(G63,AD63),"-")</f>
        <v>-</v>
      </c>
      <c r="BB63" s="59" t="str">
        <f>IF(AND(H63&gt;0,AE63&gt;0),MIN(H63,AE63),"-")</f>
        <v>-</v>
      </c>
      <c r="BC63" s="59" t="str">
        <f>IF(AND(I63&gt;0,AF63&gt;0),MIN(I63,AF63),"-")</f>
        <v>-</v>
      </c>
      <c r="BD63" s="59" t="str">
        <f>IF(AND(J63&gt;0,AG63&gt;0),MIN(J63,AG63),"-")</f>
        <v>-</v>
      </c>
      <c r="BE63" s="59" t="str">
        <f>IF(AND(K63&gt;0,AH63&gt;0),MIN(K63,AH63),"-")</f>
        <v>-</v>
      </c>
      <c r="BF63" s="59" t="str">
        <f>IF(AND(L63&gt;0,AI63&gt;0),MIN(L63,AI63),"-")</f>
        <v>-</v>
      </c>
      <c r="BG63" s="59" t="str">
        <f t="shared" si="8"/>
        <v>-</v>
      </c>
      <c r="BH63" s="59" t="str">
        <f>IF(AND(N63&gt;0,AK63&gt;0),MIN(N63,AK63),"-")</f>
        <v>-</v>
      </c>
      <c r="BI63" s="59" t="str">
        <f>IF(AND(O63&gt;0,AL63&gt;0),MIN(O63,AL63),"-")</f>
        <v>-</v>
      </c>
      <c r="BJ63" s="59" t="str">
        <f>IF(AND(P63&gt;0,AM63&gt;0),MIN(P63,AM63),"-")</f>
        <v>-</v>
      </c>
      <c r="BK63" s="59" t="str">
        <f>IF(AND(Q63&gt;0,AN63&gt;0),MIN(Q63,AN63),"-")</f>
        <v>-</v>
      </c>
      <c r="BL63" s="59" t="str">
        <f>IF(AND(R63&gt;0,AO63&gt;0),MIN(R63,AO63),"-")</f>
        <v>-</v>
      </c>
      <c r="BM63" s="59" t="str">
        <f>IF(AND(S63&gt;0,AP63&gt;0),MIN(S63,AP63),"-")</f>
        <v>-</v>
      </c>
      <c r="BN63" s="59" t="str">
        <f>IF(AND(T63&gt;0,AQ63&gt;0),MIN(T63,AQ63),"-")</f>
        <v>-</v>
      </c>
      <c r="BO63" s="59" t="str">
        <f>IF(AND(U63&gt;0,AR63&gt;0),MIN(U63,AR63),"-")</f>
        <v>-</v>
      </c>
      <c r="BP63" s="59" t="str">
        <f>IF(AND(V63&gt;0,AS63&gt;0),MIN(V63,AS63),"-")</f>
        <v>-</v>
      </c>
      <c r="BQ63" s="59" t="str">
        <f t="shared" si="9"/>
        <v>-</v>
      </c>
      <c r="BR63" s="59" t="str">
        <f t="shared" si="10"/>
        <v>-</v>
      </c>
      <c r="BS63" s="59" t="str">
        <f t="shared" si="11"/>
        <v>-</v>
      </c>
      <c r="BT63" s="98" t="str">
        <f>IF(ISNUMBER(BS63),BS63-(C63*Rules!$P$9/100),"-")</f>
        <v>-</v>
      </c>
      <c r="BU63" s="59" t="e">
        <f>RANK($BT63,$BT$5:$BT$106,1)+COUNTIF(BT$5:BT63,BT63)-1</f>
        <v>#VALUE!</v>
      </c>
      <c r="BV63" s="59" t="e">
        <f t="shared" si="12"/>
        <v>#VALUE!</v>
      </c>
      <c r="BW63" s="59" t="str">
        <f t="shared" si="13"/>
        <v xml:space="preserve"> </v>
      </c>
      <c r="BX63" s="59" t="str">
        <f t="shared" si="13"/>
        <v>-</v>
      </c>
      <c r="BY63" s="59" t="str">
        <f t="shared" si="14"/>
        <v>-</v>
      </c>
      <c r="CC63" s="4">
        <v>59</v>
      </c>
      <c r="CD63" s="2" t="e">
        <f>VLOOKUP(CC63,$BV$5:BY$215,1,FALSE)</f>
        <v>#N/A</v>
      </c>
      <c r="CE63" s="6" t="e">
        <f>VLOOKUP(CC63,$BV$5:BY$215,2,FALSE)</f>
        <v>#N/A</v>
      </c>
      <c r="CF63" s="103" t="e">
        <f>VLOOKUP(CC63,$BV$5:BY$215,4,FALSE)</f>
        <v>#N/A</v>
      </c>
      <c r="CL63" s="77">
        <v>1</v>
      </c>
    </row>
    <row r="64" spans="1:90" ht="17.45" customHeight="1">
      <c r="A64" s="58">
        <v>60</v>
      </c>
      <c r="B64" s="59" t="str">
        <f>'C Div'!A64 &amp; " " &amp; 'C Div'!B64</f>
        <v xml:space="preserve"> </v>
      </c>
      <c r="C64" s="59" t="str">
        <f>'C Div'!E64</f>
        <v>-</v>
      </c>
      <c r="D64" s="60"/>
      <c r="E64" s="60"/>
      <c r="F64" s="60"/>
      <c r="G64" s="60"/>
      <c r="H64" s="60"/>
      <c r="I64" s="60"/>
      <c r="J64" s="60"/>
      <c r="K64" s="60"/>
      <c r="L64" s="60"/>
      <c r="M64" s="74" t="str">
        <f t="shared" si="15"/>
        <v>-</v>
      </c>
      <c r="N64" s="60"/>
      <c r="O64" s="60"/>
      <c r="P64" s="60"/>
      <c r="Q64" s="60"/>
      <c r="R64" s="60"/>
      <c r="S64" s="60"/>
      <c r="T64" s="60"/>
      <c r="U64" s="60"/>
      <c r="V64" s="60"/>
      <c r="W64" s="74" t="str">
        <f t="shared" si="1"/>
        <v>-</v>
      </c>
      <c r="X64" s="155" t="str">
        <f t="shared" si="2"/>
        <v>-</v>
      </c>
      <c r="Y64" s="156" t="str">
        <f t="shared" si="3"/>
        <v>-</v>
      </c>
      <c r="AA64" s="60"/>
      <c r="AB64" s="60"/>
      <c r="AC64" s="60"/>
      <c r="AD64" s="60"/>
      <c r="AE64" s="60"/>
      <c r="AF64" s="60"/>
      <c r="AG64" s="60"/>
      <c r="AH64" s="60"/>
      <c r="AI64" s="60"/>
      <c r="AJ64" s="74" t="str">
        <f t="shared" si="4"/>
        <v>-</v>
      </c>
      <c r="AK64" s="60"/>
      <c r="AL64" s="60"/>
      <c r="AM64" s="60"/>
      <c r="AN64" s="60"/>
      <c r="AO64" s="60"/>
      <c r="AP64" s="60"/>
      <c r="AQ64" s="60"/>
      <c r="AR64" s="60"/>
      <c r="AS64" s="60"/>
      <c r="AT64" s="74" t="str">
        <f t="shared" si="5"/>
        <v>-</v>
      </c>
      <c r="AU64" s="155" t="str">
        <f t="shared" si="6"/>
        <v>-</v>
      </c>
      <c r="AV64" s="156" t="str">
        <f t="shared" si="7"/>
        <v>-</v>
      </c>
      <c r="AX64" s="59" t="str">
        <f>IF(AND(D64&gt;0,AA64&gt;0),MIN(D64,AA64),"-")</f>
        <v>-</v>
      </c>
      <c r="AY64" s="59" t="str">
        <f>IF(AND(E64&gt;0,AB64&gt;0),MIN(E64,AB64),"-")</f>
        <v>-</v>
      </c>
      <c r="AZ64" s="59" t="str">
        <f>IF(AND(F64&gt;0,AC64&gt;0),MIN(F64,AC64),"-")</f>
        <v>-</v>
      </c>
      <c r="BA64" s="59" t="str">
        <f>IF(AND(G64&gt;0,AD64&gt;0),MIN(G64,AD64),"-")</f>
        <v>-</v>
      </c>
      <c r="BB64" s="59" t="str">
        <f>IF(AND(H64&gt;0,AE64&gt;0),MIN(H64,AE64),"-")</f>
        <v>-</v>
      </c>
      <c r="BC64" s="59" t="str">
        <f>IF(AND(I64&gt;0,AF64&gt;0),MIN(I64,AF64),"-")</f>
        <v>-</v>
      </c>
      <c r="BD64" s="59" t="str">
        <f>IF(AND(J64&gt;0,AG64&gt;0),MIN(J64,AG64),"-")</f>
        <v>-</v>
      </c>
      <c r="BE64" s="59" t="str">
        <f>IF(AND(K64&gt;0,AH64&gt;0),MIN(K64,AH64),"-")</f>
        <v>-</v>
      </c>
      <c r="BF64" s="59" t="str">
        <f>IF(AND(L64&gt;0,AI64&gt;0),MIN(L64,AI64),"-")</f>
        <v>-</v>
      </c>
      <c r="BG64" s="59" t="str">
        <f t="shared" si="8"/>
        <v>-</v>
      </c>
      <c r="BH64" s="59" t="str">
        <f>IF(AND(N64&gt;0,AK64&gt;0),MIN(N64,AK64),"-")</f>
        <v>-</v>
      </c>
      <c r="BI64" s="59" t="str">
        <f>IF(AND(O64&gt;0,AL64&gt;0),MIN(O64,AL64),"-")</f>
        <v>-</v>
      </c>
      <c r="BJ64" s="59" t="str">
        <f>IF(AND(P64&gt;0,AM64&gt;0),MIN(P64,AM64),"-")</f>
        <v>-</v>
      </c>
      <c r="BK64" s="59" t="str">
        <f>IF(AND(Q64&gt;0,AN64&gt;0),MIN(Q64,AN64),"-")</f>
        <v>-</v>
      </c>
      <c r="BL64" s="59" t="str">
        <f>IF(AND(R64&gt;0,AO64&gt;0),MIN(R64,AO64),"-")</f>
        <v>-</v>
      </c>
      <c r="BM64" s="59" t="str">
        <f>IF(AND(S64&gt;0,AP64&gt;0),MIN(S64,AP64),"-")</f>
        <v>-</v>
      </c>
      <c r="BN64" s="59" t="str">
        <f>IF(AND(T64&gt;0,AQ64&gt;0),MIN(T64,AQ64),"-")</f>
        <v>-</v>
      </c>
      <c r="BO64" s="59" t="str">
        <f>IF(AND(U64&gt;0,AR64&gt;0),MIN(U64,AR64),"-")</f>
        <v>-</v>
      </c>
      <c r="BP64" s="59" t="str">
        <f>IF(AND(V64&gt;0,AS64&gt;0),MIN(V64,AS64),"-")</f>
        <v>-</v>
      </c>
      <c r="BQ64" s="59" t="str">
        <f t="shared" si="9"/>
        <v>-</v>
      </c>
      <c r="BR64" s="59" t="str">
        <f t="shared" si="10"/>
        <v>-</v>
      </c>
      <c r="BS64" s="59" t="str">
        <f t="shared" si="11"/>
        <v>-</v>
      </c>
      <c r="BT64" s="98" t="str">
        <f>IF(ISNUMBER(BS64),BS64-(C64*Rules!$P$9/100),"-")</f>
        <v>-</v>
      </c>
      <c r="BU64" s="59" t="e">
        <f>RANK($BT64,$BT$5:$BT$106,1)+COUNTIF(BT$5:BT64,BT64)-1</f>
        <v>#VALUE!</v>
      </c>
      <c r="BV64" s="59" t="e">
        <f t="shared" si="12"/>
        <v>#VALUE!</v>
      </c>
      <c r="BW64" s="59" t="str">
        <f t="shared" si="13"/>
        <v xml:space="preserve"> </v>
      </c>
      <c r="BX64" s="59" t="str">
        <f t="shared" si="13"/>
        <v>-</v>
      </c>
      <c r="BY64" s="59" t="str">
        <f t="shared" si="14"/>
        <v>-</v>
      </c>
      <c r="CC64" s="4">
        <v>60</v>
      </c>
      <c r="CD64" s="2" t="e">
        <f>VLOOKUP(CC64,$BV$5:BY$215,1,FALSE)</f>
        <v>#N/A</v>
      </c>
      <c r="CE64" s="6" t="e">
        <f>VLOOKUP(CC64,$BV$5:BY$215,2,FALSE)</f>
        <v>#N/A</v>
      </c>
      <c r="CF64" s="103" t="e">
        <f>VLOOKUP(CC64,$BV$5:BY$215,4,FALSE)</f>
        <v>#N/A</v>
      </c>
      <c r="CL64" s="77">
        <v>1</v>
      </c>
    </row>
    <row r="65" spans="1:90" ht="17.45" customHeight="1">
      <c r="A65" s="58">
        <v>61</v>
      </c>
      <c r="B65" s="59" t="str">
        <f>'C Div'!A65 &amp; " " &amp; 'C Div'!B65</f>
        <v xml:space="preserve"> </v>
      </c>
      <c r="C65" s="59" t="str">
        <f>'C Div'!E65</f>
        <v>-</v>
      </c>
      <c r="D65" s="60"/>
      <c r="E65" s="60"/>
      <c r="F65" s="60"/>
      <c r="G65" s="60"/>
      <c r="H65" s="60"/>
      <c r="I65" s="60"/>
      <c r="J65" s="60"/>
      <c r="K65" s="60"/>
      <c r="L65" s="60"/>
      <c r="M65" s="74" t="str">
        <f t="shared" si="15"/>
        <v>-</v>
      </c>
      <c r="N65" s="60"/>
      <c r="O65" s="60"/>
      <c r="P65" s="60"/>
      <c r="Q65" s="60"/>
      <c r="R65" s="60"/>
      <c r="S65" s="60"/>
      <c r="T65" s="60"/>
      <c r="U65" s="60"/>
      <c r="V65" s="60"/>
      <c r="W65" s="74" t="str">
        <f t="shared" si="1"/>
        <v>-</v>
      </c>
      <c r="X65" s="155" t="str">
        <f t="shared" si="2"/>
        <v>-</v>
      </c>
      <c r="Y65" s="156" t="str">
        <f t="shared" si="3"/>
        <v>-</v>
      </c>
      <c r="AA65" s="60"/>
      <c r="AB65" s="60"/>
      <c r="AC65" s="60"/>
      <c r="AD65" s="60"/>
      <c r="AE65" s="60"/>
      <c r="AF65" s="60"/>
      <c r="AG65" s="60"/>
      <c r="AH65" s="60"/>
      <c r="AI65" s="60"/>
      <c r="AJ65" s="74" t="str">
        <f t="shared" si="4"/>
        <v>-</v>
      </c>
      <c r="AK65" s="60"/>
      <c r="AL65" s="60"/>
      <c r="AM65" s="60"/>
      <c r="AN65" s="60"/>
      <c r="AO65" s="60"/>
      <c r="AP65" s="60"/>
      <c r="AQ65" s="60"/>
      <c r="AR65" s="60"/>
      <c r="AS65" s="60"/>
      <c r="AT65" s="74" t="str">
        <f t="shared" si="5"/>
        <v>-</v>
      </c>
      <c r="AU65" s="155" t="str">
        <f t="shared" si="6"/>
        <v>-</v>
      </c>
      <c r="AV65" s="156" t="str">
        <f t="shared" si="7"/>
        <v>-</v>
      </c>
      <c r="AX65" s="59" t="str">
        <f>IF(AND(D65&gt;0,AA65&gt;0),MIN(D65,AA65),"-")</f>
        <v>-</v>
      </c>
      <c r="AY65" s="59" t="str">
        <f>IF(AND(E65&gt;0,AB65&gt;0),MIN(E65,AB65),"-")</f>
        <v>-</v>
      </c>
      <c r="AZ65" s="59" t="str">
        <f>IF(AND(F65&gt;0,AC65&gt;0),MIN(F65,AC65),"-")</f>
        <v>-</v>
      </c>
      <c r="BA65" s="59" t="str">
        <f>IF(AND(G65&gt;0,AD65&gt;0),MIN(G65,AD65),"-")</f>
        <v>-</v>
      </c>
      <c r="BB65" s="59" t="str">
        <f>IF(AND(H65&gt;0,AE65&gt;0),MIN(H65,AE65),"-")</f>
        <v>-</v>
      </c>
      <c r="BC65" s="59" t="str">
        <f>IF(AND(I65&gt;0,AF65&gt;0),MIN(I65,AF65),"-")</f>
        <v>-</v>
      </c>
      <c r="BD65" s="59" t="str">
        <f>IF(AND(J65&gt;0,AG65&gt;0),MIN(J65,AG65),"-")</f>
        <v>-</v>
      </c>
      <c r="BE65" s="59" t="str">
        <f>IF(AND(K65&gt;0,AH65&gt;0),MIN(K65,AH65),"-")</f>
        <v>-</v>
      </c>
      <c r="BF65" s="59" t="str">
        <f>IF(AND(L65&gt;0,AI65&gt;0),MIN(L65,AI65),"-")</f>
        <v>-</v>
      </c>
      <c r="BG65" s="59" t="str">
        <f t="shared" si="8"/>
        <v>-</v>
      </c>
      <c r="BH65" s="59" t="str">
        <f>IF(AND(N65&gt;0,AK65&gt;0),MIN(N65,AK65),"-")</f>
        <v>-</v>
      </c>
      <c r="BI65" s="59" t="str">
        <f>IF(AND(O65&gt;0,AL65&gt;0),MIN(O65,AL65),"-")</f>
        <v>-</v>
      </c>
      <c r="BJ65" s="59" t="str">
        <f>IF(AND(P65&gt;0,AM65&gt;0),MIN(P65,AM65),"-")</f>
        <v>-</v>
      </c>
      <c r="BK65" s="59" t="str">
        <f>IF(AND(Q65&gt;0,AN65&gt;0),MIN(Q65,AN65),"-")</f>
        <v>-</v>
      </c>
      <c r="BL65" s="59" t="str">
        <f>IF(AND(R65&gt;0,AO65&gt;0),MIN(R65,AO65),"-")</f>
        <v>-</v>
      </c>
      <c r="BM65" s="59" t="str">
        <f>IF(AND(S65&gt;0,AP65&gt;0),MIN(S65,AP65),"-")</f>
        <v>-</v>
      </c>
      <c r="BN65" s="59" t="str">
        <f>IF(AND(T65&gt;0,AQ65&gt;0),MIN(T65,AQ65),"-")</f>
        <v>-</v>
      </c>
      <c r="BO65" s="59" t="str">
        <f>IF(AND(U65&gt;0,AR65&gt;0),MIN(U65,AR65),"-")</f>
        <v>-</v>
      </c>
      <c r="BP65" s="59" t="str">
        <f>IF(AND(V65&gt;0,AS65&gt;0),MIN(V65,AS65),"-")</f>
        <v>-</v>
      </c>
      <c r="BQ65" s="59" t="str">
        <f t="shared" si="9"/>
        <v>-</v>
      </c>
      <c r="BR65" s="59" t="str">
        <f t="shared" si="10"/>
        <v>-</v>
      </c>
      <c r="BS65" s="59" t="str">
        <f t="shared" si="11"/>
        <v>-</v>
      </c>
      <c r="BT65" s="98" t="str">
        <f>IF(ISNUMBER(BS65),BS65-(C65*Rules!$P$9/100),"-")</f>
        <v>-</v>
      </c>
      <c r="BU65" s="59" t="e">
        <f>RANK($BT65,$BT$5:$BT$106,1)+COUNTIF(BT$5:BT65,BT65)-1</f>
        <v>#VALUE!</v>
      </c>
      <c r="BV65" s="59" t="e">
        <f t="shared" si="12"/>
        <v>#VALUE!</v>
      </c>
      <c r="BW65" s="59" t="str">
        <f t="shared" si="13"/>
        <v xml:space="preserve"> </v>
      </c>
      <c r="BX65" s="59" t="str">
        <f t="shared" si="13"/>
        <v>-</v>
      </c>
      <c r="BY65" s="59" t="str">
        <f t="shared" si="14"/>
        <v>-</v>
      </c>
      <c r="CC65" s="4">
        <v>61</v>
      </c>
      <c r="CD65" s="2" t="e">
        <f>VLOOKUP(CC65,$BV$5:BY$215,1,FALSE)</f>
        <v>#N/A</v>
      </c>
      <c r="CE65" s="6" t="e">
        <f>VLOOKUP(CC65,$BV$5:BY$215,2,FALSE)</f>
        <v>#N/A</v>
      </c>
      <c r="CF65" s="103" t="e">
        <f>VLOOKUP(CC65,$BV$5:BY$215,4,FALSE)</f>
        <v>#N/A</v>
      </c>
      <c r="CL65" s="77">
        <v>1</v>
      </c>
    </row>
    <row r="66" spans="1:90" ht="17.45" customHeight="1">
      <c r="A66" s="58">
        <v>62</v>
      </c>
      <c r="B66" s="59" t="str">
        <f>'C Div'!A66 &amp; " " &amp; 'C Div'!B66</f>
        <v xml:space="preserve"> </v>
      </c>
      <c r="C66" s="59" t="str">
        <f>'C Div'!E66</f>
        <v>-</v>
      </c>
      <c r="D66" s="60"/>
      <c r="E66" s="60"/>
      <c r="F66" s="60"/>
      <c r="G66" s="60"/>
      <c r="H66" s="60"/>
      <c r="I66" s="60"/>
      <c r="J66" s="60"/>
      <c r="K66" s="60"/>
      <c r="L66" s="60"/>
      <c r="M66" s="74" t="str">
        <f t="shared" si="15"/>
        <v>-</v>
      </c>
      <c r="N66" s="60"/>
      <c r="O66" s="60"/>
      <c r="P66" s="60"/>
      <c r="Q66" s="60"/>
      <c r="R66" s="60"/>
      <c r="S66" s="60"/>
      <c r="T66" s="60"/>
      <c r="U66" s="60"/>
      <c r="V66" s="60"/>
      <c r="W66" s="74" t="str">
        <f t="shared" si="1"/>
        <v>-</v>
      </c>
      <c r="X66" s="155" t="str">
        <f t="shared" si="2"/>
        <v>-</v>
      </c>
      <c r="Y66" s="156" t="str">
        <f t="shared" si="3"/>
        <v>-</v>
      </c>
      <c r="AA66" s="60"/>
      <c r="AB66" s="60"/>
      <c r="AC66" s="60"/>
      <c r="AD66" s="60"/>
      <c r="AE66" s="60"/>
      <c r="AF66" s="60"/>
      <c r="AG66" s="60"/>
      <c r="AH66" s="60"/>
      <c r="AI66" s="60"/>
      <c r="AJ66" s="74" t="str">
        <f t="shared" si="4"/>
        <v>-</v>
      </c>
      <c r="AK66" s="60"/>
      <c r="AL66" s="60"/>
      <c r="AM66" s="60"/>
      <c r="AN66" s="60"/>
      <c r="AO66" s="60"/>
      <c r="AP66" s="60"/>
      <c r="AQ66" s="60"/>
      <c r="AR66" s="60"/>
      <c r="AS66" s="60"/>
      <c r="AT66" s="74" t="str">
        <f t="shared" si="5"/>
        <v>-</v>
      </c>
      <c r="AU66" s="155" t="str">
        <f t="shared" si="6"/>
        <v>-</v>
      </c>
      <c r="AV66" s="156" t="str">
        <f t="shared" si="7"/>
        <v>-</v>
      </c>
      <c r="AX66" s="59" t="str">
        <f>IF(AND(D66&gt;0,AA66&gt;0),MIN(D66,AA66),"-")</f>
        <v>-</v>
      </c>
      <c r="AY66" s="59" t="str">
        <f>IF(AND(E66&gt;0,AB66&gt;0),MIN(E66,AB66),"-")</f>
        <v>-</v>
      </c>
      <c r="AZ66" s="59" t="str">
        <f>IF(AND(F66&gt;0,AC66&gt;0),MIN(F66,AC66),"-")</f>
        <v>-</v>
      </c>
      <c r="BA66" s="59" t="str">
        <f>IF(AND(G66&gt;0,AD66&gt;0),MIN(G66,AD66),"-")</f>
        <v>-</v>
      </c>
      <c r="BB66" s="59" t="str">
        <f>IF(AND(H66&gt;0,AE66&gt;0),MIN(H66,AE66),"-")</f>
        <v>-</v>
      </c>
      <c r="BC66" s="59" t="str">
        <f>IF(AND(I66&gt;0,AF66&gt;0),MIN(I66,AF66),"-")</f>
        <v>-</v>
      </c>
      <c r="BD66" s="59" t="str">
        <f>IF(AND(J66&gt;0,AG66&gt;0),MIN(J66,AG66),"-")</f>
        <v>-</v>
      </c>
      <c r="BE66" s="59" t="str">
        <f>IF(AND(K66&gt;0,AH66&gt;0),MIN(K66,AH66),"-")</f>
        <v>-</v>
      </c>
      <c r="BF66" s="59" t="str">
        <f>IF(AND(L66&gt;0,AI66&gt;0),MIN(L66,AI66),"-")</f>
        <v>-</v>
      </c>
      <c r="BG66" s="59" t="str">
        <f t="shared" si="8"/>
        <v>-</v>
      </c>
      <c r="BH66" s="59" t="str">
        <f>IF(AND(N66&gt;0,AK66&gt;0),MIN(N66,AK66),"-")</f>
        <v>-</v>
      </c>
      <c r="BI66" s="59" t="str">
        <f>IF(AND(O66&gt;0,AL66&gt;0),MIN(O66,AL66),"-")</f>
        <v>-</v>
      </c>
      <c r="BJ66" s="59" t="str">
        <f>IF(AND(P66&gt;0,AM66&gt;0),MIN(P66,AM66),"-")</f>
        <v>-</v>
      </c>
      <c r="BK66" s="59" t="str">
        <f>IF(AND(Q66&gt;0,AN66&gt;0),MIN(Q66,AN66),"-")</f>
        <v>-</v>
      </c>
      <c r="BL66" s="59" t="str">
        <f>IF(AND(R66&gt;0,AO66&gt;0),MIN(R66,AO66),"-")</f>
        <v>-</v>
      </c>
      <c r="BM66" s="59" t="str">
        <f>IF(AND(S66&gt;0,AP66&gt;0),MIN(S66,AP66),"-")</f>
        <v>-</v>
      </c>
      <c r="BN66" s="59" t="str">
        <f>IF(AND(T66&gt;0,AQ66&gt;0),MIN(T66,AQ66),"-")</f>
        <v>-</v>
      </c>
      <c r="BO66" s="59" t="str">
        <f>IF(AND(U66&gt;0,AR66&gt;0),MIN(U66,AR66),"-")</f>
        <v>-</v>
      </c>
      <c r="BP66" s="59" t="str">
        <f>IF(AND(V66&gt;0,AS66&gt;0),MIN(V66,AS66),"-")</f>
        <v>-</v>
      </c>
      <c r="BQ66" s="59" t="str">
        <f t="shared" si="9"/>
        <v>-</v>
      </c>
      <c r="BR66" s="59" t="str">
        <f t="shared" si="10"/>
        <v>-</v>
      </c>
      <c r="BS66" s="59" t="str">
        <f t="shared" si="11"/>
        <v>-</v>
      </c>
      <c r="BT66" s="98" t="str">
        <f>IF(ISNUMBER(BS66),BS66-(C66*Rules!$P$9/100),"-")</f>
        <v>-</v>
      </c>
      <c r="BU66" s="59" t="e">
        <f>RANK($BT66,$BT$5:$BT$106,1)+COUNTIF(BT$5:BT66,BT66)-1</f>
        <v>#VALUE!</v>
      </c>
      <c r="BV66" s="59" t="e">
        <f t="shared" si="12"/>
        <v>#VALUE!</v>
      </c>
      <c r="BW66" s="59" t="str">
        <f t="shared" si="13"/>
        <v xml:space="preserve"> </v>
      </c>
      <c r="BX66" s="59" t="str">
        <f t="shared" si="13"/>
        <v>-</v>
      </c>
      <c r="BY66" s="59" t="str">
        <f t="shared" si="14"/>
        <v>-</v>
      </c>
      <c r="CC66" s="4">
        <v>62</v>
      </c>
      <c r="CD66" s="2" t="e">
        <f>VLOOKUP(CC66,$BV$5:BY$215,1,FALSE)</f>
        <v>#N/A</v>
      </c>
      <c r="CE66" s="6" t="e">
        <f>VLOOKUP(CC66,$BV$5:BY$215,2,FALSE)</f>
        <v>#N/A</v>
      </c>
      <c r="CF66" s="103" t="e">
        <f>VLOOKUP(CC66,$BV$5:BY$215,4,FALSE)</f>
        <v>#N/A</v>
      </c>
      <c r="CL66" s="77">
        <v>1</v>
      </c>
    </row>
    <row r="67" spans="1:90" ht="17.45" customHeight="1">
      <c r="A67" s="58">
        <v>63</v>
      </c>
      <c r="B67" s="59" t="str">
        <f>'C Div'!A67 &amp; " " &amp; 'C Div'!B67</f>
        <v xml:space="preserve"> </v>
      </c>
      <c r="C67" s="59" t="str">
        <f>'C Div'!E67</f>
        <v>-</v>
      </c>
      <c r="D67" s="60"/>
      <c r="E67" s="60"/>
      <c r="F67" s="60"/>
      <c r="G67" s="60"/>
      <c r="H67" s="60"/>
      <c r="I67" s="60"/>
      <c r="J67" s="60"/>
      <c r="K67" s="60"/>
      <c r="L67" s="60"/>
      <c r="M67" s="74" t="str">
        <f t="shared" si="15"/>
        <v>-</v>
      </c>
      <c r="N67" s="60"/>
      <c r="O67" s="60"/>
      <c r="P67" s="60"/>
      <c r="Q67" s="60"/>
      <c r="R67" s="60"/>
      <c r="S67" s="60"/>
      <c r="T67" s="60"/>
      <c r="U67" s="60"/>
      <c r="V67" s="60"/>
      <c r="W67" s="74" t="str">
        <f t="shared" si="1"/>
        <v>-</v>
      </c>
      <c r="X67" s="155" t="str">
        <f t="shared" si="2"/>
        <v>-</v>
      </c>
      <c r="Y67" s="156" t="str">
        <f t="shared" si="3"/>
        <v>-</v>
      </c>
      <c r="AA67" s="60"/>
      <c r="AB67" s="60"/>
      <c r="AC67" s="60"/>
      <c r="AD67" s="60"/>
      <c r="AE67" s="60"/>
      <c r="AF67" s="60"/>
      <c r="AG67" s="60"/>
      <c r="AH67" s="60"/>
      <c r="AI67" s="60"/>
      <c r="AJ67" s="74" t="str">
        <f t="shared" si="4"/>
        <v>-</v>
      </c>
      <c r="AK67" s="60"/>
      <c r="AL67" s="60"/>
      <c r="AM67" s="60"/>
      <c r="AN67" s="60"/>
      <c r="AO67" s="60"/>
      <c r="AP67" s="60"/>
      <c r="AQ67" s="60"/>
      <c r="AR67" s="60"/>
      <c r="AS67" s="60"/>
      <c r="AT67" s="74" t="str">
        <f t="shared" si="5"/>
        <v>-</v>
      </c>
      <c r="AU67" s="155" t="str">
        <f t="shared" si="6"/>
        <v>-</v>
      </c>
      <c r="AV67" s="156" t="str">
        <f t="shared" si="7"/>
        <v>-</v>
      </c>
      <c r="AX67" s="59" t="str">
        <f>IF(AND(D67&gt;0,AA67&gt;0),MIN(D67,AA67),"-")</f>
        <v>-</v>
      </c>
      <c r="AY67" s="59" t="str">
        <f>IF(AND(E67&gt;0,AB67&gt;0),MIN(E67,AB67),"-")</f>
        <v>-</v>
      </c>
      <c r="AZ67" s="59" t="str">
        <f>IF(AND(F67&gt;0,AC67&gt;0),MIN(F67,AC67),"-")</f>
        <v>-</v>
      </c>
      <c r="BA67" s="59" t="str">
        <f>IF(AND(G67&gt;0,AD67&gt;0),MIN(G67,AD67),"-")</f>
        <v>-</v>
      </c>
      <c r="BB67" s="59" t="str">
        <f>IF(AND(H67&gt;0,AE67&gt;0),MIN(H67,AE67),"-")</f>
        <v>-</v>
      </c>
      <c r="BC67" s="59" t="str">
        <f>IF(AND(I67&gt;0,AF67&gt;0),MIN(I67,AF67),"-")</f>
        <v>-</v>
      </c>
      <c r="BD67" s="59" t="str">
        <f>IF(AND(J67&gt;0,AG67&gt;0),MIN(J67,AG67),"-")</f>
        <v>-</v>
      </c>
      <c r="BE67" s="59" t="str">
        <f>IF(AND(K67&gt;0,AH67&gt;0),MIN(K67,AH67),"-")</f>
        <v>-</v>
      </c>
      <c r="BF67" s="59" t="str">
        <f>IF(AND(L67&gt;0,AI67&gt;0),MIN(L67,AI67),"-")</f>
        <v>-</v>
      </c>
      <c r="BG67" s="59" t="str">
        <f t="shared" si="8"/>
        <v>-</v>
      </c>
      <c r="BH67" s="59" t="str">
        <f>IF(AND(N67&gt;0,AK67&gt;0),MIN(N67,AK67),"-")</f>
        <v>-</v>
      </c>
      <c r="BI67" s="59" t="str">
        <f>IF(AND(O67&gt;0,AL67&gt;0),MIN(O67,AL67),"-")</f>
        <v>-</v>
      </c>
      <c r="BJ67" s="59" t="str">
        <f>IF(AND(P67&gt;0,AM67&gt;0),MIN(P67,AM67),"-")</f>
        <v>-</v>
      </c>
      <c r="BK67" s="59" t="str">
        <f>IF(AND(Q67&gt;0,AN67&gt;0),MIN(Q67,AN67),"-")</f>
        <v>-</v>
      </c>
      <c r="BL67" s="59" t="str">
        <f>IF(AND(R67&gt;0,AO67&gt;0),MIN(R67,AO67),"-")</f>
        <v>-</v>
      </c>
      <c r="BM67" s="59" t="str">
        <f>IF(AND(S67&gt;0,AP67&gt;0),MIN(S67,AP67),"-")</f>
        <v>-</v>
      </c>
      <c r="BN67" s="59" t="str">
        <f>IF(AND(T67&gt;0,AQ67&gt;0),MIN(T67,AQ67),"-")</f>
        <v>-</v>
      </c>
      <c r="BO67" s="59" t="str">
        <f>IF(AND(U67&gt;0,AR67&gt;0),MIN(U67,AR67),"-")</f>
        <v>-</v>
      </c>
      <c r="BP67" s="59" t="str">
        <f>IF(AND(V67&gt;0,AS67&gt;0),MIN(V67,AS67),"-")</f>
        <v>-</v>
      </c>
      <c r="BQ67" s="59" t="str">
        <f t="shared" si="9"/>
        <v>-</v>
      </c>
      <c r="BR67" s="59" t="str">
        <f t="shared" si="10"/>
        <v>-</v>
      </c>
      <c r="BS67" s="59" t="str">
        <f t="shared" si="11"/>
        <v>-</v>
      </c>
      <c r="BT67" s="98" t="str">
        <f>IF(ISNUMBER(BS67),BS67-(C67*Rules!$P$9/100),"-")</f>
        <v>-</v>
      </c>
      <c r="BU67" s="59" t="e">
        <f>RANK($BT67,$BT$5:$BT$106,1)+COUNTIF(BT$5:BT67,BT67)-1</f>
        <v>#VALUE!</v>
      </c>
      <c r="BV67" s="59" t="e">
        <f t="shared" si="12"/>
        <v>#VALUE!</v>
      </c>
      <c r="BW67" s="59" t="str">
        <f t="shared" si="13"/>
        <v xml:space="preserve"> </v>
      </c>
      <c r="BX67" s="59" t="str">
        <f t="shared" si="13"/>
        <v>-</v>
      </c>
      <c r="BY67" s="59" t="str">
        <f t="shared" si="14"/>
        <v>-</v>
      </c>
      <c r="CC67" s="4">
        <v>63</v>
      </c>
      <c r="CD67" s="2" t="e">
        <f>VLOOKUP(CC67,$BV$5:BY$215,1,FALSE)</f>
        <v>#N/A</v>
      </c>
      <c r="CE67" s="6" t="e">
        <f>VLOOKUP(CC67,$BV$5:BY$215,2,FALSE)</f>
        <v>#N/A</v>
      </c>
      <c r="CF67" s="103" t="e">
        <f>VLOOKUP(CC67,$BV$5:BY$215,4,FALSE)</f>
        <v>#N/A</v>
      </c>
      <c r="CL67" s="77">
        <v>1</v>
      </c>
    </row>
    <row r="68" spans="1:90" ht="17.45" customHeight="1">
      <c r="A68" s="58">
        <v>64</v>
      </c>
      <c r="B68" s="59" t="str">
        <f>'C Div'!A68 &amp; " " &amp; 'C Div'!B68</f>
        <v xml:space="preserve"> </v>
      </c>
      <c r="C68" s="59" t="str">
        <f>'C Div'!E68</f>
        <v>-</v>
      </c>
      <c r="D68" s="60"/>
      <c r="E68" s="60"/>
      <c r="F68" s="60"/>
      <c r="G68" s="60"/>
      <c r="H68" s="60"/>
      <c r="I68" s="60"/>
      <c r="J68" s="60"/>
      <c r="K68" s="60"/>
      <c r="L68" s="60"/>
      <c r="M68" s="74" t="str">
        <f t="shared" si="15"/>
        <v>-</v>
      </c>
      <c r="N68" s="60"/>
      <c r="O68" s="60"/>
      <c r="P68" s="60"/>
      <c r="Q68" s="60"/>
      <c r="R68" s="60"/>
      <c r="S68" s="60"/>
      <c r="T68" s="60"/>
      <c r="U68" s="60"/>
      <c r="V68" s="60"/>
      <c r="W68" s="74" t="str">
        <f t="shared" si="1"/>
        <v>-</v>
      </c>
      <c r="X68" s="155" t="str">
        <f t="shared" si="2"/>
        <v>-</v>
      </c>
      <c r="Y68" s="156" t="str">
        <f t="shared" si="3"/>
        <v>-</v>
      </c>
      <c r="AA68" s="60"/>
      <c r="AB68" s="60"/>
      <c r="AC68" s="60"/>
      <c r="AD68" s="60"/>
      <c r="AE68" s="60"/>
      <c r="AF68" s="60"/>
      <c r="AG68" s="60"/>
      <c r="AH68" s="60"/>
      <c r="AI68" s="60"/>
      <c r="AJ68" s="74" t="str">
        <f t="shared" si="4"/>
        <v>-</v>
      </c>
      <c r="AK68" s="60"/>
      <c r="AL68" s="60"/>
      <c r="AM68" s="60"/>
      <c r="AN68" s="60"/>
      <c r="AO68" s="60"/>
      <c r="AP68" s="60"/>
      <c r="AQ68" s="60"/>
      <c r="AR68" s="60"/>
      <c r="AS68" s="60"/>
      <c r="AT68" s="74" t="str">
        <f t="shared" si="5"/>
        <v>-</v>
      </c>
      <c r="AU68" s="155" t="str">
        <f t="shared" si="6"/>
        <v>-</v>
      </c>
      <c r="AV68" s="156" t="str">
        <f t="shared" si="7"/>
        <v>-</v>
      </c>
      <c r="AX68" s="59" t="str">
        <f>IF(AND(D68&gt;0,AA68&gt;0),MIN(D68,AA68),"-")</f>
        <v>-</v>
      </c>
      <c r="AY68" s="59" t="str">
        <f>IF(AND(E68&gt;0,AB68&gt;0),MIN(E68,AB68),"-")</f>
        <v>-</v>
      </c>
      <c r="AZ68" s="59" t="str">
        <f>IF(AND(F68&gt;0,AC68&gt;0),MIN(F68,AC68),"-")</f>
        <v>-</v>
      </c>
      <c r="BA68" s="59" t="str">
        <f>IF(AND(G68&gt;0,AD68&gt;0),MIN(G68,AD68),"-")</f>
        <v>-</v>
      </c>
      <c r="BB68" s="59" t="str">
        <f>IF(AND(H68&gt;0,AE68&gt;0),MIN(H68,AE68),"-")</f>
        <v>-</v>
      </c>
      <c r="BC68" s="59" t="str">
        <f>IF(AND(I68&gt;0,AF68&gt;0),MIN(I68,AF68),"-")</f>
        <v>-</v>
      </c>
      <c r="BD68" s="59" t="str">
        <f>IF(AND(J68&gt;0,AG68&gt;0),MIN(J68,AG68),"-")</f>
        <v>-</v>
      </c>
      <c r="BE68" s="59" t="str">
        <f>IF(AND(K68&gt;0,AH68&gt;0),MIN(K68,AH68),"-")</f>
        <v>-</v>
      </c>
      <c r="BF68" s="59" t="str">
        <f>IF(AND(L68&gt;0,AI68&gt;0),MIN(L68,AI68),"-")</f>
        <v>-</v>
      </c>
      <c r="BG68" s="59" t="str">
        <f t="shared" si="8"/>
        <v>-</v>
      </c>
      <c r="BH68" s="59" t="str">
        <f>IF(AND(N68&gt;0,AK68&gt;0),MIN(N68,AK68),"-")</f>
        <v>-</v>
      </c>
      <c r="BI68" s="59" t="str">
        <f>IF(AND(O68&gt;0,AL68&gt;0),MIN(O68,AL68),"-")</f>
        <v>-</v>
      </c>
      <c r="BJ68" s="59" t="str">
        <f>IF(AND(P68&gt;0,AM68&gt;0),MIN(P68,AM68),"-")</f>
        <v>-</v>
      </c>
      <c r="BK68" s="59" t="str">
        <f>IF(AND(Q68&gt;0,AN68&gt;0),MIN(Q68,AN68),"-")</f>
        <v>-</v>
      </c>
      <c r="BL68" s="59" t="str">
        <f>IF(AND(R68&gt;0,AO68&gt;0),MIN(R68,AO68),"-")</f>
        <v>-</v>
      </c>
      <c r="BM68" s="59" t="str">
        <f>IF(AND(S68&gt;0,AP68&gt;0),MIN(S68,AP68),"-")</f>
        <v>-</v>
      </c>
      <c r="BN68" s="59" t="str">
        <f>IF(AND(T68&gt;0,AQ68&gt;0),MIN(T68,AQ68),"-")</f>
        <v>-</v>
      </c>
      <c r="BO68" s="59" t="str">
        <f>IF(AND(U68&gt;0,AR68&gt;0),MIN(U68,AR68),"-")</f>
        <v>-</v>
      </c>
      <c r="BP68" s="59" t="str">
        <f>IF(AND(V68&gt;0,AS68&gt;0),MIN(V68,AS68),"-")</f>
        <v>-</v>
      </c>
      <c r="BQ68" s="59" t="str">
        <f t="shared" si="9"/>
        <v>-</v>
      </c>
      <c r="BR68" s="59" t="str">
        <f t="shared" si="10"/>
        <v>-</v>
      </c>
      <c r="BS68" s="59" t="str">
        <f t="shared" si="11"/>
        <v>-</v>
      </c>
      <c r="BT68" s="98" t="str">
        <f>IF(ISNUMBER(BS68),BS68-(C68*Rules!$P$9/100),"-")</f>
        <v>-</v>
      </c>
      <c r="BU68" s="59" t="e">
        <f>RANK($BT68,$BT$5:$BT$106,1)+COUNTIF(BT$5:BT68,BT68)-1</f>
        <v>#VALUE!</v>
      </c>
      <c r="BV68" s="59" t="e">
        <f t="shared" si="12"/>
        <v>#VALUE!</v>
      </c>
      <c r="BW68" s="59" t="str">
        <f t="shared" si="13"/>
        <v xml:space="preserve"> </v>
      </c>
      <c r="BX68" s="59" t="str">
        <f t="shared" si="13"/>
        <v>-</v>
      </c>
      <c r="BY68" s="59" t="str">
        <f t="shared" si="14"/>
        <v>-</v>
      </c>
      <c r="CC68" s="4">
        <v>64</v>
      </c>
      <c r="CD68" s="2" t="e">
        <f>VLOOKUP(CC68,$BV$5:BY$215,1,FALSE)</f>
        <v>#N/A</v>
      </c>
      <c r="CE68" s="6" t="e">
        <f>VLOOKUP(CC68,$BV$5:BY$215,2,FALSE)</f>
        <v>#N/A</v>
      </c>
      <c r="CF68" s="103" t="e">
        <f>VLOOKUP(CC68,$BV$5:BY$215,4,FALSE)</f>
        <v>#N/A</v>
      </c>
      <c r="CL68" s="77">
        <v>1</v>
      </c>
    </row>
    <row r="69" spans="1:90" ht="17.45" customHeight="1">
      <c r="A69" s="58">
        <v>65</v>
      </c>
      <c r="B69" s="59" t="str">
        <f>'C Div'!A69 &amp; " " &amp; 'C Div'!B69</f>
        <v xml:space="preserve"> </v>
      </c>
      <c r="C69" s="59" t="str">
        <f>'C Div'!E69</f>
        <v>-</v>
      </c>
      <c r="D69" s="60"/>
      <c r="E69" s="60"/>
      <c r="F69" s="60"/>
      <c r="G69" s="60"/>
      <c r="H69" s="60"/>
      <c r="I69" s="60"/>
      <c r="J69" s="60"/>
      <c r="K69" s="60"/>
      <c r="L69" s="60"/>
      <c r="M69" s="74" t="str">
        <f t="shared" si="15"/>
        <v>-</v>
      </c>
      <c r="N69" s="60"/>
      <c r="O69" s="60"/>
      <c r="P69" s="60"/>
      <c r="Q69" s="60"/>
      <c r="R69" s="60"/>
      <c r="S69" s="60"/>
      <c r="T69" s="60"/>
      <c r="U69" s="60"/>
      <c r="V69" s="60"/>
      <c r="W69" s="74" t="str">
        <f t="shared" si="1"/>
        <v>-</v>
      </c>
      <c r="X69" s="155" t="str">
        <f t="shared" si="2"/>
        <v>-</v>
      </c>
      <c r="Y69" s="156" t="str">
        <f t="shared" si="3"/>
        <v>-</v>
      </c>
      <c r="AA69" s="60"/>
      <c r="AB69" s="60"/>
      <c r="AC69" s="60"/>
      <c r="AD69" s="60"/>
      <c r="AE69" s="60"/>
      <c r="AF69" s="60"/>
      <c r="AG69" s="60"/>
      <c r="AH69" s="60"/>
      <c r="AI69" s="60"/>
      <c r="AJ69" s="74" t="str">
        <f t="shared" si="4"/>
        <v>-</v>
      </c>
      <c r="AK69" s="60"/>
      <c r="AL69" s="60"/>
      <c r="AM69" s="60"/>
      <c r="AN69" s="60"/>
      <c r="AO69" s="60"/>
      <c r="AP69" s="60"/>
      <c r="AQ69" s="60"/>
      <c r="AR69" s="60"/>
      <c r="AS69" s="60"/>
      <c r="AT69" s="74" t="str">
        <f t="shared" si="5"/>
        <v>-</v>
      </c>
      <c r="AU69" s="155" t="str">
        <f t="shared" si="6"/>
        <v>-</v>
      </c>
      <c r="AV69" s="156" t="str">
        <f t="shared" si="7"/>
        <v>-</v>
      </c>
      <c r="AX69" s="59" t="str">
        <f>IF(AND(D69&gt;0,AA69&gt;0),MIN(D69,AA69),"-")</f>
        <v>-</v>
      </c>
      <c r="AY69" s="59" t="str">
        <f>IF(AND(E69&gt;0,AB69&gt;0),MIN(E69,AB69),"-")</f>
        <v>-</v>
      </c>
      <c r="AZ69" s="59" t="str">
        <f>IF(AND(F69&gt;0,AC69&gt;0),MIN(F69,AC69),"-")</f>
        <v>-</v>
      </c>
      <c r="BA69" s="59" t="str">
        <f>IF(AND(G69&gt;0,AD69&gt;0),MIN(G69,AD69),"-")</f>
        <v>-</v>
      </c>
      <c r="BB69" s="59" t="str">
        <f>IF(AND(H69&gt;0,AE69&gt;0),MIN(H69,AE69),"-")</f>
        <v>-</v>
      </c>
      <c r="BC69" s="59" t="str">
        <f>IF(AND(I69&gt;0,AF69&gt;0),MIN(I69,AF69),"-")</f>
        <v>-</v>
      </c>
      <c r="BD69" s="59" t="str">
        <f>IF(AND(J69&gt;0,AG69&gt;0),MIN(J69,AG69),"-")</f>
        <v>-</v>
      </c>
      <c r="BE69" s="59" t="str">
        <f>IF(AND(K69&gt;0,AH69&gt;0),MIN(K69,AH69),"-")</f>
        <v>-</v>
      </c>
      <c r="BF69" s="59" t="str">
        <f>IF(AND(L69&gt;0,AI69&gt;0),MIN(L69,AI69),"-")</f>
        <v>-</v>
      </c>
      <c r="BG69" s="59" t="str">
        <f t="shared" si="8"/>
        <v>-</v>
      </c>
      <c r="BH69" s="59" t="str">
        <f>IF(AND(N69&gt;0,AK69&gt;0),MIN(N69,AK69),"-")</f>
        <v>-</v>
      </c>
      <c r="BI69" s="59" t="str">
        <f>IF(AND(O69&gt;0,AL69&gt;0),MIN(O69,AL69),"-")</f>
        <v>-</v>
      </c>
      <c r="BJ69" s="59" t="str">
        <f>IF(AND(P69&gt;0,AM69&gt;0),MIN(P69,AM69),"-")</f>
        <v>-</v>
      </c>
      <c r="BK69" s="59" t="str">
        <f>IF(AND(Q69&gt;0,AN69&gt;0),MIN(Q69,AN69),"-")</f>
        <v>-</v>
      </c>
      <c r="BL69" s="59" t="str">
        <f>IF(AND(R69&gt;0,AO69&gt;0),MIN(R69,AO69),"-")</f>
        <v>-</v>
      </c>
      <c r="BM69" s="59" t="str">
        <f>IF(AND(S69&gt;0,AP69&gt;0),MIN(S69,AP69),"-")</f>
        <v>-</v>
      </c>
      <c r="BN69" s="59" t="str">
        <f>IF(AND(T69&gt;0,AQ69&gt;0),MIN(T69,AQ69),"-")</f>
        <v>-</v>
      </c>
      <c r="BO69" s="59" t="str">
        <f>IF(AND(U69&gt;0,AR69&gt;0),MIN(U69,AR69),"-")</f>
        <v>-</v>
      </c>
      <c r="BP69" s="59" t="str">
        <f>IF(AND(V69&gt;0,AS69&gt;0),MIN(V69,AS69),"-")</f>
        <v>-</v>
      </c>
      <c r="BQ69" s="59" t="str">
        <f t="shared" si="9"/>
        <v>-</v>
      </c>
      <c r="BR69" s="59" t="str">
        <f t="shared" si="10"/>
        <v>-</v>
      </c>
      <c r="BS69" s="59" t="str">
        <f t="shared" si="11"/>
        <v>-</v>
      </c>
      <c r="BT69" s="98" t="str">
        <f>IF(ISNUMBER(BS69),BS69-(C69*Rules!$P$9/100),"-")</f>
        <v>-</v>
      </c>
      <c r="BU69" s="59" t="e">
        <f>RANK($BT69,$BT$5:$BT$106,1)+COUNTIF(BT$5:BT69,BT69)-1</f>
        <v>#VALUE!</v>
      </c>
      <c r="BV69" s="59" t="e">
        <f t="shared" si="12"/>
        <v>#VALUE!</v>
      </c>
      <c r="BW69" s="59" t="str">
        <f t="shared" si="13"/>
        <v xml:space="preserve"> </v>
      </c>
      <c r="BX69" s="59" t="str">
        <f t="shared" si="13"/>
        <v>-</v>
      </c>
      <c r="BY69" s="59" t="str">
        <f t="shared" si="14"/>
        <v>-</v>
      </c>
      <c r="CC69" s="4">
        <v>65</v>
      </c>
      <c r="CD69" s="2" t="e">
        <f>VLOOKUP(CC69,$BV$5:BY$215,1,FALSE)</f>
        <v>#N/A</v>
      </c>
      <c r="CE69" s="6" t="e">
        <f>VLOOKUP(CC69,$BV$5:BY$215,2,FALSE)</f>
        <v>#N/A</v>
      </c>
      <c r="CF69" s="103" t="e">
        <f>VLOOKUP(CC69,$BV$5:BY$215,4,FALSE)</f>
        <v>#N/A</v>
      </c>
      <c r="CL69" s="77">
        <v>1</v>
      </c>
    </row>
    <row r="70" spans="1:90" ht="17.45" customHeight="1">
      <c r="A70" s="58">
        <v>66</v>
      </c>
      <c r="B70" s="59" t="str">
        <f>'C Div'!A70 &amp; " " &amp; 'C Div'!B70</f>
        <v xml:space="preserve"> </v>
      </c>
      <c r="C70" s="59" t="str">
        <f>'C Div'!E70</f>
        <v>-</v>
      </c>
      <c r="D70" s="60"/>
      <c r="E70" s="60"/>
      <c r="F70" s="60"/>
      <c r="G70" s="60"/>
      <c r="H70" s="60"/>
      <c r="I70" s="60"/>
      <c r="J70" s="60"/>
      <c r="K70" s="60"/>
      <c r="L70" s="60"/>
      <c r="M70" s="74" t="str">
        <f t="shared" ref="M70:M133" si="16">IF(COUNTIF(D70:L70,"&lt;&gt;"&amp;"")=9,SUM(D70:L70),"-")</f>
        <v>-</v>
      </c>
      <c r="N70" s="60"/>
      <c r="O70" s="60"/>
      <c r="P70" s="60"/>
      <c r="Q70" s="60"/>
      <c r="R70" s="60"/>
      <c r="S70" s="60"/>
      <c r="T70" s="60"/>
      <c r="U70" s="60"/>
      <c r="V70" s="60"/>
      <c r="W70" s="74" t="str">
        <f t="shared" ref="W70:W133" si="17">IF(COUNTIF(N70:V70,"&lt;&gt;"&amp;"")=9,SUM(N70:V70),"-")</f>
        <v>-</v>
      </c>
      <c r="X70" s="155" t="str">
        <f t="shared" ref="X70:X133" si="18">IF(AND(ISNUMBER(M70),ISNUMBER(W70)),M70+W70,"-")</f>
        <v>-</v>
      </c>
      <c r="Y70" s="156" t="str">
        <f t="shared" ref="Y70:Y133" si="19">IF(ISNUMBER(X70),X70-C70,"-")</f>
        <v>-</v>
      </c>
      <c r="AA70" s="60"/>
      <c r="AB70" s="60"/>
      <c r="AC70" s="60"/>
      <c r="AD70" s="60"/>
      <c r="AE70" s="60"/>
      <c r="AF70" s="60"/>
      <c r="AG70" s="60"/>
      <c r="AH70" s="60"/>
      <c r="AI70" s="60"/>
      <c r="AJ70" s="74" t="str">
        <f t="shared" ref="AJ70:AJ133" si="20">IF(COUNTIF(AA70:AI70,"&lt;&gt;"&amp;"")=9,SUM(AA70:AI70),"-")</f>
        <v>-</v>
      </c>
      <c r="AK70" s="60"/>
      <c r="AL70" s="60"/>
      <c r="AM70" s="60"/>
      <c r="AN70" s="60"/>
      <c r="AO70" s="60"/>
      <c r="AP70" s="60"/>
      <c r="AQ70" s="60"/>
      <c r="AR70" s="60"/>
      <c r="AS70" s="60"/>
      <c r="AT70" s="74" t="str">
        <f t="shared" ref="AT70:AT133" si="21">IF(COUNTIF(AK70:AS70,"&lt;&gt;"&amp;"")=9,SUM(AK70:AS70),"-")</f>
        <v>-</v>
      </c>
      <c r="AU70" s="155" t="str">
        <f t="shared" ref="AU70:AU133" si="22">IF(AND(ISNUMBER(AJ70),ISNUMBER(AT70)),AJ70+AT70,"-")</f>
        <v>-</v>
      </c>
      <c r="AV70" s="156" t="str">
        <f t="shared" ref="AV70:AV133" si="23">IF(ISNUMBER(AU70),AU70-C70,"-")</f>
        <v>-</v>
      </c>
      <c r="AX70" s="59" t="str">
        <f>IF(AND(D70&gt;0,AA70&gt;0),MIN(D70,AA70),"-")</f>
        <v>-</v>
      </c>
      <c r="AY70" s="59" t="str">
        <f>IF(AND(E70&gt;0,AB70&gt;0),MIN(E70,AB70),"-")</f>
        <v>-</v>
      </c>
      <c r="AZ70" s="59" t="str">
        <f>IF(AND(F70&gt;0,AC70&gt;0),MIN(F70,AC70),"-")</f>
        <v>-</v>
      </c>
      <c r="BA70" s="59" t="str">
        <f>IF(AND(G70&gt;0,AD70&gt;0),MIN(G70,AD70),"-")</f>
        <v>-</v>
      </c>
      <c r="BB70" s="59" t="str">
        <f>IF(AND(H70&gt;0,AE70&gt;0),MIN(H70,AE70),"-")</f>
        <v>-</v>
      </c>
      <c r="BC70" s="59" t="str">
        <f>IF(AND(I70&gt;0,AF70&gt;0),MIN(I70,AF70),"-")</f>
        <v>-</v>
      </c>
      <c r="BD70" s="59" t="str">
        <f>IF(AND(J70&gt;0,AG70&gt;0),MIN(J70,AG70),"-")</f>
        <v>-</v>
      </c>
      <c r="BE70" s="59" t="str">
        <f>IF(AND(K70&gt;0,AH70&gt;0),MIN(K70,AH70),"-")</f>
        <v>-</v>
      </c>
      <c r="BF70" s="59" t="str">
        <f>IF(AND(L70&gt;0,AI70&gt;0),MIN(L70,AI70),"-")</f>
        <v>-</v>
      </c>
      <c r="BG70" s="59" t="str">
        <f t="shared" ref="BG70:BG133" si="24">IF(COUNTIF(AX70:BF70,"&lt;&gt;-")=9,SUM(AX70:BF70),"-")</f>
        <v>-</v>
      </c>
      <c r="BH70" s="59" t="str">
        <f>IF(AND(N70&gt;0,AK70&gt;0),MIN(N70,AK70),"-")</f>
        <v>-</v>
      </c>
      <c r="BI70" s="59" t="str">
        <f>IF(AND(O70&gt;0,AL70&gt;0),MIN(O70,AL70),"-")</f>
        <v>-</v>
      </c>
      <c r="BJ70" s="59" t="str">
        <f>IF(AND(P70&gt;0,AM70&gt;0),MIN(P70,AM70),"-")</f>
        <v>-</v>
      </c>
      <c r="BK70" s="59" t="str">
        <f>IF(AND(Q70&gt;0,AN70&gt;0),MIN(Q70,AN70),"-")</f>
        <v>-</v>
      </c>
      <c r="BL70" s="59" t="str">
        <f>IF(AND(R70&gt;0,AO70&gt;0),MIN(R70,AO70),"-")</f>
        <v>-</v>
      </c>
      <c r="BM70" s="59" t="str">
        <f>IF(AND(S70&gt;0,AP70&gt;0),MIN(S70,AP70),"-")</f>
        <v>-</v>
      </c>
      <c r="BN70" s="59" t="str">
        <f>IF(AND(T70&gt;0,AQ70&gt;0),MIN(T70,AQ70),"-")</f>
        <v>-</v>
      </c>
      <c r="BO70" s="59" t="str">
        <f>IF(AND(U70&gt;0,AR70&gt;0),MIN(U70,AR70),"-")</f>
        <v>-</v>
      </c>
      <c r="BP70" s="59" t="str">
        <f>IF(AND(V70&gt;0,AS70&gt;0),MIN(V70,AS70),"-")</f>
        <v>-</v>
      </c>
      <c r="BQ70" s="59" t="str">
        <f t="shared" ref="BQ70:BQ133" si="25">IF(COUNTIF(BH70:BP70,"&lt;&gt;-")=9,SUM(BH70:BP70),"-")</f>
        <v>-</v>
      </c>
      <c r="BR70" s="59" t="str">
        <f t="shared" ref="BR70:BR133" si="26">BG70</f>
        <v>-</v>
      </c>
      <c r="BS70" s="59" t="str">
        <f t="shared" ref="BS70:BS133" si="27">IF(COUNTIF(BQ70:BR70,"&lt;&gt;-")=2,SUM(BQ70:BR70),"-")</f>
        <v>-</v>
      </c>
      <c r="BT70" s="98" t="str">
        <f>IF(ISNUMBER(BS70),BS70-(C70*Rules!$P$9/100),"-")</f>
        <v>-</v>
      </c>
      <c r="BU70" s="59" t="e">
        <f>RANK($BT70,$BT$5:$BT$106,1)+COUNTIF(BT$5:BT70,BT70)-1</f>
        <v>#VALUE!</v>
      </c>
      <c r="BV70" s="59" t="e">
        <f t="shared" ref="BV70:BV133" si="28">RANK(BT70,$BT$5:$BT$215,1)</f>
        <v>#VALUE!</v>
      </c>
      <c r="BW70" s="59" t="str">
        <f t="shared" ref="BW70:BX133" si="29">B70</f>
        <v xml:space="preserve"> </v>
      </c>
      <c r="BX70" s="59" t="str">
        <f t="shared" si="29"/>
        <v>-</v>
      </c>
      <c r="BY70" s="59" t="str">
        <f t="shared" ref="BY70:BY133" si="30">BT70</f>
        <v>-</v>
      </c>
      <c r="CC70" s="4">
        <v>66</v>
      </c>
      <c r="CD70" s="2" t="e">
        <f>VLOOKUP(CC70,$BV$5:BY$215,1,FALSE)</f>
        <v>#N/A</v>
      </c>
      <c r="CE70" s="6" t="e">
        <f>VLOOKUP(CC70,$BV$5:BY$215,2,FALSE)</f>
        <v>#N/A</v>
      </c>
      <c r="CF70" s="103" t="e">
        <f>VLOOKUP(CC70,$BV$5:BY$215,4,FALSE)</f>
        <v>#N/A</v>
      </c>
      <c r="CL70" s="77">
        <v>1</v>
      </c>
    </row>
    <row r="71" spans="1:90" ht="17.45" customHeight="1">
      <c r="A71" s="58">
        <v>67</v>
      </c>
      <c r="B71" s="59" t="str">
        <f>'C Div'!A71 &amp; " " &amp; 'C Div'!B71</f>
        <v xml:space="preserve"> </v>
      </c>
      <c r="C71" s="59" t="str">
        <f>'C Div'!E71</f>
        <v>-</v>
      </c>
      <c r="D71" s="60"/>
      <c r="E71" s="60"/>
      <c r="F71" s="60"/>
      <c r="G71" s="60"/>
      <c r="H71" s="60"/>
      <c r="I71" s="60"/>
      <c r="J71" s="60"/>
      <c r="K71" s="60"/>
      <c r="L71" s="60"/>
      <c r="M71" s="74" t="str">
        <f t="shared" si="16"/>
        <v>-</v>
      </c>
      <c r="N71" s="60"/>
      <c r="O71" s="60"/>
      <c r="P71" s="60"/>
      <c r="Q71" s="60"/>
      <c r="R71" s="60"/>
      <c r="S71" s="60"/>
      <c r="T71" s="60"/>
      <c r="U71" s="60"/>
      <c r="V71" s="60"/>
      <c r="W71" s="74" t="str">
        <f t="shared" si="17"/>
        <v>-</v>
      </c>
      <c r="X71" s="155" t="str">
        <f t="shared" si="18"/>
        <v>-</v>
      </c>
      <c r="Y71" s="156" t="str">
        <f t="shared" si="19"/>
        <v>-</v>
      </c>
      <c r="AA71" s="60"/>
      <c r="AB71" s="60"/>
      <c r="AC71" s="60"/>
      <c r="AD71" s="60"/>
      <c r="AE71" s="60"/>
      <c r="AF71" s="60"/>
      <c r="AG71" s="60"/>
      <c r="AH71" s="60"/>
      <c r="AI71" s="60"/>
      <c r="AJ71" s="74" t="str">
        <f t="shared" si="20"/>
        <v>-</v>
      </c>
      <c r="AK71" s="60"/>
      <c r="AL71" s="60"/>
      <c r="AM71" s="60"/>
      <c r="AN71" s="60"/>
      <c r="AO71" s="60"/>
      <c r="AP71" s="60"/>
      <c r="AQ71" s="60"/>
      <c r="AR71" s="60"/>
      <c r="AS71" s="60"/>
      <c r="AT71" s="74" t="str">
        <f t="shared" si="21"/>
        <v>-</v>
      </c>
      <c r="AU71" s="155" t="str">
        <f t="shared" si="22"/>
        <v>-</v>
      </c>
      <c r="AV71" s="156" t="str">
        <f t="shared" si="23"/>
        <v>-</v>
      </c>
      <c r="AX71" s="59" t="str">
        <f>IF(AND(D71&gt;0,AA71&gt;0),MIN(D71,AA71),"-")</f>
        <v>-</v>
      </c>
      <c r="AY71" s="59" t="str">
        <f>IF(AND(E71&gt;0,AB71&gt;0),MIN(E71,AB71),"-")</f>
        <v>-</v>
      </c>
      <c r="AZ71" s="59" t="str">
        <f>IF(AND(F71&gt;0,AC71&gt;0),MIN(F71,AC71),"-")</f>
        <v>-</v>
      </c>
      <c r="BA71" s="59" t="str">
        <f>IF(AND(G71&gt;0,AD71&gt;0),MIN(G71,AD71),"-")</f>
        <v>-</v>
      </c>
      <c r="BB71" s="59" t="str">
        <f>IF(AND(H71&gt;0,AE71&gt;0),MIN(H71,AE71),"-")</f>
        <v>-</v>
      </c>
      <c r="BC71" s="59" t="str">
        <f>IF(AND(I71&gt;0,AF71&gt;0),MIN(I71,AF71),"-")</f>
        <v>-</v>
      </c>
      <c r="BD71" s="59" t="str">
        <f>IF(AND(J71&gt;0,AG71&gt;0),MIN(J71,AG71),"-")</f>
        <v>-</v>
      </c>
      <c r="BE71" s="59" t="str">
        <f>IF(AND(K71&gt;0,AH71&gt;0),MIN(K71,AH71),"-")</f>
        <v>-</v>
      </c>
      <c r="BF71" s="59" t="str">
        <f>IF(AND(L71&gt;0,AI71&gt;0),MIN(L71,AI71),"-")</f>
        <v>-</v>
      </c>
      <c r="BG71" s="59" t="str">
        <f t="shared" si="24"/>
        <v>-</v>
      </c>
      <c r="BH71" s="59" t="str">
        <f>IF(AND(N71&gt;0,AK71&gt;0),MIN(N71,AK71),"-")</f>
        <v>-</v>
      </c>
      <c r="BI71" s="59" t="str">
        <f>IF(AND(O71&gt;0,AL71&gt;0),MIN(O71,AL71),"-")</f>
        <v>-</v>
      </c>
      <c r="BJ71" s="59" t="str">
        <f>IF(AND(P71&gt;0,AM71&gt;0),MIN(P71,AM71),"-")</f>
        <v>-</v>
      </c>
      <c r="BK71" s="59" t="str">
        <f>IF(AND(Q71&gt;0,AN71&gt;0),MIN(Q71,AN71),"-")</f>
        <v>-</v>
      </c>
      <c r="BL71" s="59" t="str">
        <f>IF(AND(R71&gt;0,AO71&gt;0),MIN(R71,AO71),"-")</f>
        <v>-</v>
      </c>
      <c r="BM71" s="59" t="str">
        <f>IF(AND(S71&gt;0,AP71&gt;0),MIN(S71,AP71),"-")</f>
        <v>-</v>
      </c>
      <c r="BN71" s="59" t="str">
        <f>IF(AND(T71&gt;0,AQ71&gt;0),MIN(T71,AQ71),"-")</f>
        <v>-</v>
      </c>
      <c r="BO71" s="59" t="str">
        <f>IF(AND(U71&gt;0,AR71&gt;0),MIN(U71,AR71),"-")</f>
        <v>-</v>
      </c>
      <c r="BP71" s="59" t="str">
        <f>IF(AND(V71&gt;0,AS71&gt;0),MIN(V71,AS71),"-")</f>
        <v>-</v>
      </c>
      <c r="BQ71" s="59" t="str">
        <f t="shared" si="25"/>
        <v>-</v>
      </c>
      <c r="BR71" s="59" t="str">
        <f t="shared" si="26"/>
        <v>-</v>
      </c>
      <c r="BS71" s="59" t="str">
        <f t="shared" si="27"/>
        <v>-</v>
      </c>
      <c r="BT71" s="98" t="str">
        <f>IF(ISNUMBER(BS71),BS71-(C71*Rules!$P$9/100),"-")</f>
        <v>-</v>
      </c>
      <c r="BU71" s="59" t="e">
        <f>RANK($BT71,$BT$5:$BT$106,1)+COUNTIF(BT$5:BT71,BT71)-1</f>
        <v>#VALUE!</v>
      </c>
      <c r="BV71" s="59" t="e">
        <f t="shared" si="28"/>
        <v>#VALUE!</v>
      </c>
      <c r="BW71" s="59" t="str">
        <f t="shared" si="29"/>
        <v xml:space="preserve"> </v>
      </c>
      <c r="BX71" s="59" t="str">
        <f t="shared" si="29"/>
        <v>-</v>
      </c>
      <c r="BY71" s="59" t="str">
        <f t="shared" si="30"/>
        <v>-</v>
      </c>
      <c r="CC71" s="4">
        <v>67</v>
      </c>
      <c r="CD71" s="2" t="e">
        <f>VLOOKUP(CC71,$BV$5:BY$215,1,FALSE)</f>
        <v>#N/A</v>
      </c>
      <c r="CE71" s="6" t="e">
        <f>VLOOKUP(CC71,$BV$5:BY$215,2,FALSE)</f>
        <v>#N/A</v>
      </c>
      <c r="CF71" s="103" t="e">
        <f>VLOOKUP(CC71,$BV$5:BY$215,4,FALSE)</f>
        <v>#N/A</v>
      </c>
      <c r="CL71" s="77">
        <v>1</v>
      </c>
    </row>
    <row r="72" spans="1:90" ht="17.45" customHeight="1">
      <c r="A72" s="58">
        <v>68</v>
      </c>
      <c r="B72" s="59" t="str">
        <f>'C Div'!A72 &amp; " " &amp; 'C Div'!B72</f>
        <v xml:space="preserve"> </v>
      </c>
      <c r="C72" s="59" t="str">
        <f>'C Div'!E72</f>
        <v>-</v>
      </c>
      <c r="D72" s="60"/>
      <c r="E72" s="60"/>
      <c r="F72" s="60"/>
      <c r="G72" s="60"/>
      <c r="H72" s="60"/>
      <c r="I72" s="60"/>
      <c r="J72" s="60"/>
      <c r="K72" s="60"/>
      <c r="L72" s="60"/>
      <c r="M72" s="74" t="str">
        <f t="shared" si="16"/>
        <v>-</v>
      </c>
      <c r="N72" s="60"/>
      <c r="O72" s="60"/>
      <c r="P72" s="60"/>
      <c r="Q72" s="60"/>
      <c r="R72" s="60"/>
      <c r="S72" s="60"/>
      <c r="T72" s="60"/>
      <c r="U72" s="60"/>
      <c r="V72" s="60"/>
      <c r="W72" s="74" t="str">
        <f t="shared" si="17"/>
        <v>-</v>
      </c>
      <c r="X72" s="155" t="str">
        <f t="shared" si="18"/>
        <v>-</v>
      </c>
      <c r="Y72" s="156" t="str">
        <f t="shared" si="19"/>
        <v>-</v>
      </c>
      <c r="AA72" s="60"/>
      <c r="AB72" s="60"/>
      <c r="AC72" s="60"/>
      <c r="AD72" s="60"/>
      <c r="AE72" s="60"/>
      <c r="AF72" s="60"/>
      <c r="AG72" s="60"/>
      <c r="AH72" s="60"/>
      <c r="AI72" s="60"/>
      <c r="AJ72" s="74" t="str">
        <f t="shared" si="20"/>
        <v>-</v>
      </c>
      <c r="AK72" s="60"/>
      <c r="AL72" s="60"/>
      <c r="AM72" s="60"/>
      <c r="AN72" s="60"/>
      <c r="AO72" s="60"/>
      <c r="AP72" s="60"/>
      <c r="AQ72" s="60"/>
      <c r="AR72" s="60"/>
      <c r="AS72" s="60"/>
      <c r="AT72" s="74" t="str">
        <f t="shared" si="21"/>
        <v>-</v>
      </c>
      <c r="AU72" s="155" t="str">
        <f t="shared" si="22"/>
        <v>-</v>
      </c>
      <c r="AV72" s="156" t="str">
        <f t="shared" si="23"/>
        <v>-</v>
      </c>
      <c r="AX72" s="59" t="str">
        <f>IF(AND(D72&gt;0,AA72&gt;0),MIN(D72,AA72),"-")</f>
        <v>-</v>
      </c>
      <c r="AY72" s="59" t="str">
        <f>IF(AND(E72&gt;0,AB72&gt;0),MIN(E72,AB72),"-")</f>
        <v>-</v>
      </c>
      <c r="AZ72" s="59" t="str">
        <f>IF(AND(F72&gt;0,AC72&gt;0),MIN(F72,AC72),"-")</f>
        <v>-</v>
      </c>
      <c r="BA72" s="59" t="str">
        <f>IF(AND(G72&gt;0,AD72&gt;0),MIN(G72,AD72),"-")</f>
        <v>-</v>
      </c>
      <c r="BB72" s="59" t="str">
        <f>IF(AND(H72&gt;0,AE72&gt;0),MIN(H72,AE72),"-")</f>
        <v>-</v>
      </c>
      <c r="BC72" s="59" t="str">
        <f>IF(AND(I72&gt;0,AF72&gt;0),MIN(I72,AF72),"-")</f>
        <v>-</v>
      </c>
      <c r="BD72" s="59" t="str">
        <f>IF(AND(J72&gt;0,AG72&gt;0),MIN(J72,AG72),"-")</f>
        <v>-</v>
      </c>
      <c r="BE72" s="59" t="str">
        <f>IF(AND(K72&gt;0,AH72&gt;0),MIN(K72,AH72),"-")</f>
        <v>-</v>
      </c>
      <c r="BF72" s="59" t="str">
        <f>IF(AND(L72&gt;0,AI72&gt;0),MIN(L72,AI72),"-")</f>
        <v>-</v>
      </c>
      <c r="BG72" s="59" t="str">
        <f t="shared" si="24"/>
        <v>-</v>
      </c>
      <c r="BH72" s="59" t="str">
        <f>IF(AND(N72&gt;0,AK72&gt;0),MIN(N72,AK72),"-")</f>
        <v>-</v>
      </c>
      <c r="BI72" s="59" t="str">
        <f>IF(AND(O72&gt;0,AL72&gt;0),MIN(O72,AL72),"-")</f>
        <v>-</v>
      </c>
      <c r="BJ72" s="59" t="str">
        <f>IF(AND(P72&gt;0,AM72&gt;0),MIN(P72,AM72),"-")</f>
        <v>-</v>
      </c>
      <c r="BK72" s="59" t="str">
        <f>IF(AND(Q72&gt;0,AN72&gt;0),MIN(Q72,AN72),"-")</f>
        <v>-</v>
      </c>
      <c r="BL72" s="59" t="str">
        <f>IF(AND(R72&gt;0,AO72&gt;0),MIN(R72,AO72),"-")</f>
        <v>-</v>
      </c>
      <c r="BM72" s="59" t="str">
        <f>IF(AND(S72&gt;0,AP72&gt;0),MIN(S72,AP72),"-")</f>
        <v>-</v>
      </c>
      <c r="BN72" s="59" t="str">
        <f>IF(AND(T72&gt;0,AQ72&gt;0),MIN(T72,AQ72),"-")</f>
        <v>-</v>
      </c>
      <c r="BO72" s="59" t="str">
        <f>IF(AND(U72&gt;0,AR72&gt;0),MIN(U72,AR72),"-")</f>
        <v>-</v>
      </c>
      <c r="BP72" s="59" t="str">
        <f>IF(AND(V72&gt;0,AS72&gt;0),MIN(V72,AS72),"-")</f>
        <v>-</v>
      </c>
      <c r="BQ72" s="59" t="str">
        <f t="shared" si="25"/>
        <v>-</v>
      </c>
      <c r="BR72" s="59" t="str">
        <f t="shared" si="26"/>
        <v>-</v>
      </c>
      <c r="BS72" s="59" t="str">
        <f t="shared" si="27"/>
        <v>-</v>
      </c>
      <c r="BT72" s="98" t="str">
        <f>IF(ISNUMBER(BS72),BS72-(C72*Rules!$P$9/100),"-")</f>
        <v>-</v>
      </c>
      <c r="BU72" s="59" t="e">
        <f>RANK($BT72,$BT$5:$BT$106,1)+COUNTIF(BT$5:BT72,BT72)-1</f>
        <v>#VALUE!</v>
      </c>
      <c r="BV72" s="59" t="e">
        <f t="shared" si="28"/>
        <v>#VALUE!</v>
      </c>
      <c r="BW72" s="59" t="str">
        <f t="shared" si="29"/>
        <v xml:space="preserve"> </v>
      </c>
      <c r="BX72" s="59" t="str">
        <f t="shared" si="29"/>
        <v>-</v>
      </c>
      <c r="BY72" s="59" t="str">
        <f t="shared" si="30"/>
        <v>-</v>
      </c>
      <c r="CC72" s="4">
        <v>68</v>
      </c>
      <c r="CD72" s="2" t="e">
        <f>VLOOKUP(CC72,$BV$5:BY$215,1,FALSE)</f>
        <v>#N/A</v>
      </c>
      <c r="CE72" s="6" t="e">
        <f>VLOOKUP(CC72,$BV$5:BY$215,2,FALSE)</f>
        <v>#N/A</v>
      </c>
      <c r="CF72" s="103" t="e">
        <f>VLOOKUP(CC72,$BV$5:BY$215,4,FALSE)</f>
        <v>#N/A</v>
      </c>
      <c r="CL72" s="77">
        <v>1</v>
      </c>
    </row>
    <row r="73" spans="1:90" ht="17.45" customHeight="1">
      <c r="A73" s="58">
        <v>69</v>
      </c>
      <c r="B73" s="59" t="str">
        <f>'C Div'!A73 &amp; " " &amp; 'C Div'!B73</f>
        <v xml:space="preserve"> </v>
      </c>
      <c r="C73" s="59" t="str">
        <f>'C Div'!E73</f>
        <v>-</v>
      </c>
      <c r="D73" s="60"/>
      <c r="E73" s="60"/>
      <c r="F73" s="60"/>
      <c r="G73" s="60"/>
      <c r="H73" s="60"/>
      <c r="I73" s="60"/>
      <c r="J73" s="60"/>
      <c r="K73" s="60"/>
      <c r="L73" s="60"/>
      <c r="M73" s="74" t="str">
        <f t="shared" si="16"/>
        <v>-</v>
      </c>
      <c r="N73" s="60"/>
      <c r="O73" s="60"/>
      <c r="P73" s="60"/>
      <c r="Q73" s="60"/>
      <c r="R73" s="60"/>
      <c r="S73" s="60"/>
      <c r="T73" s="60"/>
      <c r="U73" s="60"/>
      <c r="V73" s="60"/>
      <c r="W73" s="74" t="str">
        <f t="shared" si="17"/>
        <v>-</v>
      </c>
      <c r="X73" s="155" t="str">
        <f t="shared" si="18"/>
        <v>-</v>
      </c>
      <c r="Y73" s="156" t="str">
        <f t="shared" si="19"/>
        <v>-</v>
      </c>
      <c r="AA73" s="60"/>
      <c r="AB73" s="60"/>
      <c r="AC73" s="60"/>
      <c r="AD73" s="60"/>
      <c r="AE73" s="60"/>
      <c r="AF73" s="60"/>
      <c r="AG73" s="60"/>
      <c r="AH73" s="60"/>
      <c r="AI73" s="60"/>
      <c r="AJ73" s="74" t="str">
        <f t="shared" si="20"/>
        <v>-</v>
      </c>
      <c r="AK73" s="60"/>
      <c r="AL73" s="60"/>
      <c r="AM73" s="60"/>
      <c r="AN73" s="60"/>
      <c r="AO73" s="60"/>
      <c r="AP73" s="60"/>
      <c r="AQ73" s="60"/>
      <c r="AR73" s="60"/>
      <c r="AS73" s="60"/>
      <c r="AT73" s="74" t="str">
        <f t="shared" si="21"/>
        <v>-</v>
      </c>
      <c r="AU73" s="155" t="str">
        <f t="shared" si="22"/>
        <v>-</v>
      </c>
      <c r="AV73" s="156" t="str">
        <f t="shared" si="23"/>
        <v>-</v>
      </c>
      <c r="AX73" s="59" t="str">
        <f>IF(AND(D73&gt;0,AA73&gt;0),MIN(D73,AA73),"-")</f>
        <v>-</v>
      </c>
      <c r="AY73" s="59" t="str">
        <f>IF(AND(E73&gt;0,AB73&gt;0),MIN(E73,AB73),"-")</f>
        <v>-</v>
      </c>
      <c r="AZ73" s="59" t="str">
        <f>IF(AND(F73&gt;0,AC73&gt;0),MIN(F73,AC73),"-")</f>
        <v>-</v>
      </c>
      <c r="BA73" s="59" t="str">
        <f>IF(AND(G73&gt;0,AD73&gt;0),MIN(G73,AD73),"-")</f>
        <v>-</v>
      </c>
      <c r="BB73" s="59" t="str">
        <f>IF(AND(H73&gt;0,AE73&gt;0),MIN(H73,AE73),"-")</f>
        <v>-</v>
      </c>
      <c r="BC73" s="59" t="str">
        <f>IF(AND(I73&gt;0,AF73&gt;0),MIN(I73,AF73),"-")</f>
        <v>-</v>
      </c>
      <c r="BD73" s="59" t="str">
        <f>IF(AND(J73&gt;0,AG73&gt;0),MIN(J73,AG73),"-")</f>
        <v>-</v>
      </c>
      <c r="BE73" s="59" t="str">
        <f>IF(AND(K73&gt;0,AH73&gt;0),MIN(K73,AH73),"-")</f>
        <v>-</v>
      </c>
      <c r="BF73" s="59" t="str">
        <f>IF(AND(L73&gt;0,AI73&gt;0),MIN(L73,AI73),"-")</f>
        <v>-</v>
      </c>
      <c r="BG73" s="59" t="str">
        <f t="shared" si="24"/>
        <v>-</v>
      </c>
      <c r="BH73" s="59" t="str">
        <f>IF(AND(N73&gt;0,AK73&gt;0),MIN(N73,AK73),"-")</f>
        <v>-</v>
      </c>
      <c r="BI73" s="59" t="str">
        <f>IF(AND(O73&gt;0,AL73&gt;0),MIN(O73,AL73),"-")</f>
        <v>-</v>
      </c>
      <c r="BJ73" s="59" t="str">
        <f>IF(AND(P73&gt;0,AM73&gt;0),MIN(P73,AM73),"-")</f>
        <v>-</v>
      </c>
      <c r="BK73" s="59" t="str">
        <f>IF(AND(Q73&gt;0,AN73&gt;0),MIN(Q73,AN73),"-")</f>
        <v>-</v>
      </c>
      <c r="BL73" s="59" t="str">
        <f>IF(AND(R73&gt;0,AO73&gt;0),MIN(R73,AO73),"-")</f>
        <v>-</v>
      </c>
      <c r="BM73" s="59" t="str">
        <f>IF(AND(S73&gt;0,AP73&gt;0),MIN(S73,AP73),"-")</f>
        <v>-</v>
      </c>
      <c r="BN73" s="59" t="str">
        <f>IF(AND(T73&gt;0,AQ73&gt;0),MIN(T73,AQ73),"-")</f>
        <v>-</v>
      </c>
      <c r="BO73" s="59" t="str">
        <f>IF(AND(U73&gt;0,AR73&gt;0),MIN(U73,AR73),"-")</f>
        <v>-</v>
      </c>
      <c r="BP73" s="59" t="str">
        <f>IF(AND(V73&gt;0,AS73&gt;0),MIN(V73,AS73),"-")</f>
        <v>-</v>
      </c>
      <c r="BQ73" s="59" t="str">
        <f t="shared" si="25"/>
        <v>-</v>
      </c>
      <c r="BR73" s="59" t="str">
        <f t="shared" si="26"/>
        <v>-</v>
      </c>
      <c r="BS73" s="59" t="str">
        <f t="shared" si="27"/>
        <v>-</v>
      </c>
      <c r="BT73" s="98" t="str">
        <f>IF(ISNUMBER(BS73),BS73-(C73*Rules!$P$9/100),"-")</f>
        <v>-</v>
      </c>
      <c r="BU73" s="59" t="e">
        <f>RANK($BT73,$BT$5:$BT$106,1)+COUNTIF(BT$5:BT73,BT73)-1</f>
        <v>#VALUE!</v>
      </c>
      <c r="BV73" s="59" t="e">
        <f t="shared" si="28"/>
        <v>#VALUE!</v>
      </c>
      <c r="BW73" s="59" t="str">
        <f t="shared" si="29"/>
        <v xml:space="preserve"> </v>
      </c>
      <c r="BX73" s="59" t="str">
        <f t="shared" si="29"/>
        <v>-</v>
      </c>
      <c r="BY73" s="59" t="str">
        <f t="shared" si="30"/>
        <v>-</v>
      </c>
      <c r="CC73" s="4">
        <v>69</v>
      </c>
      <c r="CD73" s="2" t="e">
        <f>VLOOKUP(CC73,$BV$5:BY$215,1,FALSE)</f>
        <v>#N/A</v>
      </c>
      <c r="CE73" s="6" t="e">
        <f>VLOOKUP(CC73,$BV$5:BY$215,2,FALSE)</f>
        <v>#N/A</v>
      </c>
      <c r="CF73" s="103" t="e">
        <f>VLOOKUP(CC73,$BV$5:BY$215,4,FALSE)</f>
        <v>#N/A</v>
      </c>
      <c r="CL73" s="77">
        <v>1</v>
      </c>
    </row>
    <row r="74" spans="1:90" ht="17.45" customHeight="1">
      <c r="A74" s="58">
        <v>70</v>
      </c>
      <c r="B74" s="59" t="str">
        <f>'C Div'!A74 &amp; " " &amp; 'C Div'!B74</f>
        <v xml:space="preserve"> </v>
      </c>
      <c r="C74" s="59" t="str">
        <f>'C Div'!E74</f>
        <v>-</v>
      </c>
      <c r="D74" s="60"/>
      <c r="E74" s="60"/>
      <c r="F74" s="60"/>
      <c r="G74" s="60"/>
      <c r="H74" s="60"/>
      <c r="I74" s="60"/>
      <c r="J74" s="60"/>
      <c r="K74" s="60"/>
      <c r="L74" s="60"/>
      <c r="M74" s="74" t="str">
        <f t="shared" si="16"/>
        <v>-</v>
      </c>
      <c r="N74" s="60"/>
      <c r="O74" s="60"/>
      <c r="P74" s="60"/>
      <c r="Q74" s="60"/>
      <c r="R74" s="60"/>
      <c r="S74" s="60"/>
      <c r="T74" s="60"/>
      <c r="U74" s="60"/>
      <c r="V74" s="60"/>
      <c r="W74" s="74" t="str">
        <f t="shared" si="17"/>
        <v>-</v>
      </c>
      <c r="X74" s="155" t="str">
        <f t="shared" si="18"/>
        <v>-</v>
      </c>
      <c r="Y74" s="156" t="str">
        <f t="shared" si="19"/>
        <v>-</v>
      </c>
      <c r="AA74" s="60"/>
      <c r="AB74" s="60"/>
      <c r="AC74" s="60"/>
      <c r="AD74" s="60"/>
      <c r="AE74" s="60"/>
      <c r="AF74" s="60"/>
      <c r="AG74" s="60"/>
      <c r="AH74" s="60"/>
      <c r="AI74" s="60"/>
      <c r="AJ74" s="74" t="str">
        <f t="shared" si="20"/>
        <v>-</v>
      </c>
      <c r="AK74" s="60"/>
      <c r="AL74" s="60"/>
      <c r="AM74" s="60"/>
      <c r="AN74" s="60"/>
      <c r="AO74" s="60"/>
      <c r="AP74" s="60"/>
      <c r="AQ74" s="60"/>
      <c r="AR74" s="60"/>
      <c r="AS74" s="60"/>
      <c r="AT74" s="74" t="str">
        <f t="shared" si="21"/>
        <v>-</v>
      </c>
      <c r="AU74" s="155" t="str">
        <f t="shared" si="22"/>
        <v>-</v>
      </c>
      <c r="AV74" s="156" t="str">
        <f t="shared" si="23"/>
        <v>-</v>
      </c>
      <c r="AX74" s="59" t="str">
        <f>IF(AND(D74&gt;0,AA74&gt;0),MIN(D74,AA74),"-")</f>
        <v>-</v>
      </c>
      <c r="AY74" s="59" t="str">
        <f>IF(AND(E74&gt;0,AB74&gt;0),MIN(E74,AB74),"-")</f>
        <v>-</v>
      </c>
      <c r="AZ74" s="59" t="str">
        <f>IF(AND(F74&gt;0,AC74&gt;0),MIN(F74,AC74),"-")</f>
        <v>-</v>
      </c>
      <c r="BA74" s="59" t="str">
        <f>IF(AND(G74&gt;0,AD74&gt;0),MIN(G74,AD74),"-")</f>
        <v>-</v>
      </c>
      <c r="BB74" s="59" t="str">
        <f>IF(AND(H74&gt;0,AE74&gt;0),MIN(H74,AE74),"-")</f>
        <v>-</v>
      </c>
      <c r="BC74" s="59" t="str">
        <f>IF(AND(I74&gt;0,AF74&gt;0),MIN(I74,AF74),"-")</f>
        <v>-</v>
      </c>
      <c r="BD74" s="59" t="str">
        <f>IF(AND(J74&gt;0,AG74&gt;0),MIN(J74,AG74),"-")</f>
        <v>-</v>
      </c>
      <c r="BE74" s="59" t="str">
        <f>IF(AND(K74&gt;0,AH74&gt;0),MIN(K74,AH74),"-")</f>
        <v>-</v>
      </c>
      <c r="BF74" s="59" t="str">
        <f>IF(AND(L74&gt;0,AI74&gt;0),MIN(L74,AI74),"-")</f>
        <v>-</v>
      </c>
      <c r="BG74" s="59" t="str">
        <f t="shared" si="24"/>
        <v>-</v>
      </c>
      <c r="BH74" s="59" t="str">
        <f>IF(AND(N74&gt;0,AK74&gt;0),MIN(N74,AK74),"-")</f>
        <v>-</v>
      </c>
      <c r="BI74" s="59" t="str">
        <f>IF(AND(O74&gt;0,AL74&gt;0),MIN(O74,AL74),"-")</f>
        <v>-</v>
      </c>
      <c r="BJ74" s="59" t="str">
        <f>IF(AND(P74&gt;0,AM74&gt;0),MIN(P74,AM74),"-")</f>
        <v>-</v>
      </c>
      <c r="BK74" s="59" t="str">
        <f>IF(AND(Q74&gt;0,AN74&gt;0),MIN(Q74,AN74),"-")</f>
        <v>-</v>
      </c>
      <c r="BL74" s="59" t="str">
        <f>IF(AND(R74&gt;0,AO74&gt;0),MIN(R74,AO74),"-")</f>
        <v>-</v>
      </c>
      <c r="BM74" s="59" t="str">
        <f>IF(AND(S74&gt;0,AP74&gt;0),MIN(S74,AP74),"-")</f>
        <v>-</v>
      </c>
      <c r="BN74" s="59" t="str">
        <f>IF(AND(T74&gt;0,AQ74&gt;0),MIN(T74,AQ74),"-")</f>
        <v>-</v>
      </c>
      <c r="BO74" s="59" t="str">
        <f>IF(AND(U74&gt;0,AR74&gt;0),MIN(U74,AR74),"-")</f>
        <v>-</v>
      </c>
      <c r="BP74" s="59" t="str">
        <f>IF(AND(V74&gt;0,AS74&gt;0),MIN(V74,AS74),"-")</f>
        <v>-</v>
      </c>
      <c r="BQ74" s="59" t="str">
        <f t="shared" si="25"/>
        <v>-</v>
      </c>
      <c r="BR74" s="59" t="str">
        <f t="shared" si="26"/>
        <v>-</v>
      </c>
      <c r="BS74" s="59" t="str">
        <f t="shared" si="27"/>
        <v>-</v>
      </c>
      <c r="BT74" s="98" t="str">
        <f>IF(ISNUMBER(BS74),BS74-(C74*Rules!$P$9/100),"-")</f>
        <v>-</v>
      </c>
      <c r="BU74" s="59" t="e">
        <f>RANK($BT74,$BT$5:$BT$106,1)+COUNTIF(BT$5:BT74,BT74)-1</f>
        <v>#VALUE!</v>
      </c>
      <c r="BV74" s="59" t="e">
        <f t="shared" si="28"/>
        <v>#VALUE!</v>
      </c>
      <c r="BW74" s="59" t="str">
        <f t="shared" si="29"/>
        <v xml:space="preserve"> </v>
      </c>
      <c r="BX74" s="59" t="str">
        <f t="shared" si="29"/>
        <v>-</v>
      </c>
      <c r="BY74" s="59" t="str">
        <f t="shared" si="30"/>
        <v>-</v>
      </c>
      <c r="CC74" s="4">
        <v>70</v>
      </c>
      <c r="CD74" s="2" t="e">
        <f>VLOOKUP(CC74,$BV$5:BY$215,1,FALSE)</f>
        <v>#N/A</v>
      </c>
      <c r="CE74" s="6" t="e">
        <f>VLOOKUP(CC74,$BV$5:BY$215,2,FALSE)</f>
        <v>#N/A</v>
      </c>
      <c r="CF74" s="103" t="e">
        <f>VLOOKUP(CC74,$BV$5:BY$215,4,FALSE)</f>
        <v>#N/A</v>
      </c>
      <c r="CL74" s="77">
        <v>1</v>
      </c>
    </row>
    <row r="75" spans="1:90" ht="17.45" customHeight="1">
      <c r="A75" s="58">
        <v>71</v>
      </c>
      <c r="B75" s="59" t="str">
        <f>'C Div'!A75 &amp; " " &amp; 'C Div'!B75</f>
        <v xml:space="preserve"> </v>
      </c>
      <c r="C75" s="59" t="str">
        <f>'C Div'!E75</f>
        <v>-</v>
      </c>
      <c r="D75" s="60"/>
      <c r="E75" s="60"/>
      <c r="F75" s="60"/>
      <c r="G75" s="60"/>
      <c r="H75" s="60"/>
      <c r="I75" s="60"/>
      <c r="J75" s="60"/>
      <c r="K75" s="60"/>
      <c r="L75" s="60"/>
      <c r="M75" s="74" t="str">
        <f t="shared" si="16"/>
        <v>-</v>
      </c>
      <c r="N75" s="60"/>
      <c r="O75" s="60"/>
      <c r="P75" s="60"/>
      <c r="Q75" s="60"/>
      <c r="R75" s="60"/>
      <c r="S75" s="60"/>
      <c r="T75" s="60"/>
      <c r="U75" s="60"/>
      <c r="V75" s="60"/>
      <c r="W75" s="74" t="str">
        <f t="shared" si="17"/>
        <v>-</v>
      </c>
      <c r="X75" s="155" t="str">
        <f t="shared" si="18"/>
        <v>-</v>
      </c>
      <c r="Y75" s="156" t="str">
        <f t="shared" si="19"/>
        <v>-</v>
      </c>
      <c r="AA75" s="60"/>
      <c r="AB75" s="60"/>
      <c r="AC75" s="60"/>
      <c r="AD75" s="60"/>
      <c r="AE75" s="60"/>
      <c r="AF75" s="60"/>
      <c r="AG75" s="60"/>
      <c r="AH75" s="60"/>
      <c r="AI75" s="60"/>
      <c r="AJ75" s="74" t="str">
        <f t="shared" si="20"/>
        <v>-</v>
      </c>
      <c r="AK75" s="60"/>
      <c r="AL75" s="60"/>
      <c r="AM75" s="60"/>
      <c r="AN75" s="60"/>
      <c r="AO75" s="60"/>
      <c r="AP75" s="60"/>
      <c r="AQ75" s="60"/>
      <c r="AR75" s="60"/>
      <c r="AS75" s="60"/>
      <c r="AT75" s="74" t="str">
        <f t="shared" si="21"/>
        <v>-</v>
      </c>
      <c r="AU75" s="155" t="str">
        <f t="shared" si="22"/>
        <v>-</v>
      </c>
      <c r="AV75" s="156" t="str">
        <f t="shared" si="23"/>
        <v>-</v>
      </c>
      <c r="AX75" s="59" t="str">
        <f>IF(AND(D75&gt;0,AA75&gt;0),MIN(D75,AA75),"-")</f>
        <v>-</v>
      </c>
      <c r="AY75" s="59" t="str">
        <f>IF(AND(E75&gt;0,AB75&gt;0),MIN(E75,AB75),"-")</f>
        <v>-</v>
      </c>
      <c r="AZ75" s="59" t="str">
        <f>IF(AND(F75&gt;0,AC75&gt;0),MIN(F75,AC75),"-")</f>
        <v>-</v>
      </c>
      <c r="BA75" s="59" t="str">
        <f>IF(AND(G75&gt;0,AD75&gt;0),MIN(G75,AD75),"-")</f>
        <v>-</v>
      </c>
      <c r="BB75" s="59" t="str">
        <f>IF(AND(H75&gt;0,AE75&gt;0),MIN(H75,AE75),"-")</f>
        <v>-</v>
      </c>
      <c r="BC75" s="59" t="str">
        <f>IF(AND(I75&gt;0,AF75&gt;0),MIN(I75,AF75),"-")</f>
        <v>-</v>
      </c>
      <c r="BD75" s="59" t="str">
        <f>IF(AND(J75&gt;0,AG75&gt;0),MIN(J75,AG75),"-")</f>
        <v>-</v>
      </c>
      <c r="BE75" s="59" t="str">
        <f>IF(AND(K75&gt;0,AH75&gt;0),MIN(K75,AH75),"-")</f>
        <v>-</v>
      </c>
      <c r="BF75" s="59" t="str">
        <f>IF(AND(L75&gt;0,AI75&gt;0),MIN(L75,AI75),"-")</f>
        <v>-</v>
      </c>
      <c r="BG75" s="59" t="str">
        <f t="shared" si="24"/>
        <v>-</v>
      </c>
      <c r="BH75" s="59" t="str">
        <f>IF(AND(N75&gt;0,AK75&gt;0),MIN(N75,AK75),"-")</f>
        <v>-</v>
      </c>
      <c r="BI75" s="59" t="str">
        <f>IF(AND(O75&gt;0,AL75&gt;0),MIN(O75,AL75),"-")</f>
        <v>-</v>
      </c>
      <c r="BJ75" s="59" t="str">
        <f>IF(AND(P75&gt;0,AM75&gt;0),MIN(P75,AM75),"-")</f>
        <v>-</v>
      </c>
      <c r="BK75" s="59" t="str">
        <f>IF(AND(Q75&gt;0,AN75&gt;0),MIN(Q75,AN75),"-")</f>
        <v>-</v>
      </c>
      <c r="BL75" s="59" t="str">
        <f>IF(AND(R75&gt;0,AO75&gt;0),MIN(R75,AO75),"-")</f>
        <v>-</v>
      </c>
      <c r="BM75" s="59" t="str">
        <f>IF(AND(S75&gt;0,AP75&gt;0),MIN(S75,AP75),"-")</f>
        <v>-</v>
      </c>
      <c r="BN75" s="59" t="str">
        <f>IF(AND(T75&gt;0,AQ75&gt;0),MIN(T75,AQ75),"-")</f>
        <v>-</v>
      </c>
      <c r="BO75" s="59" t="str">
        <f>IF(AND(U75&gt;0,AR75&gt;0),MIN(U75,AR75),"-")</f>
        <v>-</v>
      </c>
      <c r="BP75" s="59" t="str">
        <f>IF(AND(V75&gt;0,AS75&gt;0),MIN(V75,AS75),"-")</f>
        <v>-</v>
      </c>
      <c r="BQ75" s="59" t="str">
        <f t="shared" si="25"/>
        <v>-</v>
      </c>
      <c r="BR75" s="59" t="str">
        <f t="shared" si="26"/>
        <v>-</v>
      </c>
      <c r="BS75" s="59" t="str">
        <f t="shared" si="27"/>
        <v>-</v>
      </c>
      <c r="BT75" s="98" t="str">
        <f>IF(ISNUMBER(BS75),BS75-(C75*Rules!$P$9/100),"-")</f>
        <v>-</v>
      </c>
      <c r="BU75" s="59" t="e">
        <f>RANK($BT75,$BT$5:$BT$106,1)+COUNTIF(BT$5:BT75,BT75)-1</f>
        <v>#VALUE!</v>
      </c>
      <c r="BV75" s="59" t="e">
        <f t="shared" si="28"/>
        <v>#VALUE!</v>
      </c>
      <c r="BW75" s="59" t="str">
        <f t="shared" si="29"/>
        <v xml:space="preserve"> </v>
      </c>
      <c r="BX75" s="59" t="str">
        <f t="shared" si="29"/>
        <v>-</v>
      </c>
      <c r="BY75" s="59" t="str">
        <f t="shared" si="30"/>
        <v>-</v>
      </c>
      <c r="CC75" s="4">
        <v>71</v>
      </c>
      <c r="CD75" s="2" t="e">
        <f>VLOOKUP(CC75,$BV$5:BY$215,1,FALSE)</f>
        <v>#N/A</v>
      </c>
      <c r="CE75" s="6" t="e">
        <f>VLOOKUP(CC75,$BV$5:BY$215,2,FALSE)</f>
        <v>#N/A</v>
      </c>
      <c r="CF75" s="103" t="e">
        <f>VLOOKUP(CC75,$BV$5:BY$215,4,FALSE)</f>
        <v>#N/A</v>
      </c>
      <c r="CL75" s="77">
        <v>1</v>
      </c>
    </row>
    <row r="76" spans="1:90" ht="17.45" customHeight="1">
      <c r="A76" s="58">
        <v>72</v>
      </c>
      <c r="B76" s="59" t="str">
        <f>'C Div'!A76 &amp; " " &amp; 'C Div'!B76</f>
        <v xml:space="preserve"> </v>
      </c>
      <c r="C76" s="59" t="str">
        <f>'C Div'!E76</f>
        <v>-</v>
      </c>
      <c r="D76" s="60"/>
      <c r="E76" s="60"/>
      <c r="F76" s="60"/>
      <c r="G76" s="60"/>
      <c r="H76" s="60"/>
      <c r="I76" s="60"/>
      <c r="J76" s="60"/>
      <c r="K76" s="60"/>
      <c r="L76" s="60"/>
      <c r="M76" s="74" t="str">
        <f t="shared" si="16"/>
        <v>-</v>
      </c>
      <c r="N76" s="60"/>
      <c r="O76" s="60"/>
      <c r="P76" s="60"/>
      <c r="Q76" s="60"/>
      <c r="R76" s="60"/>
      <c r="S76" s="60"/>
      <c r="T76" s="60"/>
      <c r="U76" s="60"/>
      <c r="V76" s="60"/>
      <c r="W76" s="74" t="str">
        <f t="shared" si="17"/>
        <v>-</v>
      </c>
      <c r="X76" s="155" t="str">
        <f t="shared" si="18"/>
        <v>-</v>
      </c>
      <c r="Y76" s="156" t="str">
        <f t="shared" si="19"/>
        <v>-</v>
      </c>
      <c r="AA76" s="60"/>
      <c r="AB76" s="60"/>
      <c r="AC76" s="60"/>
      <c r="AD76" s="60"/>
      <c r="AE76" s="60"/>
      <c r="AF76" s="60"/>
      <c r="AG76" s="60"/>
      <c r="AH76" s="60"/>
      <c r="AI76" s="60"/>
      <c r="AJ76" s="74" t="str">
        <f t="shared" si="20"/>
        <v>-</v>
      </c>
      <c r="AK76" s="60"/>
      <c r="AL76" s="60"/>
      <c r="AM76" s="60"/>
      <c r="AN76" s="60"/>
      <c r="AO76" s="60"/>
      <c r="AP76" s="60"/>
      <c r="AQ76" s="60"/>
      <c r="AR76" s="60"/>
      <c r="AS76" s="60"/>
      <c r="AT76" s="74" t="str">
        <f t="shared" si="21"/>
        <v>-</v>
      </c>
      <c r="AU76" s="155" t="str">
        <f t="shared" si="22"/>
        <v>-</v>
      </c>
      <c r="AV76" s="156" t="str">
        <f t="shared" si="23"/>
        <v>-</v>
      </c>
      <c r="AX76" s="59" t="str">
        <f>IF(AND(D76&gt;0,AA76&gt;0),MIN(D76,AA76),"-")</f>
        <v>-</v>
      </c>
      <c r="AY76" s="59" t="str">
        <f>IF(AND(E76&gt;0,AB76&gt;0),MIN(E76,AB76),"-")</f>
        <v>-</v>
      </c>
      <c r="AZ76" s="59" t="str">
        <f>IF(AND(F76&gt;0,AC76&gt;0),MIN(F76,AC76),"-")</f>
        <v>-</v>
      </c>
      <c r="BA76" s="59" t="str">
        <f>IF(AND(G76&gt;0,AD76&gt;0),MIN(G76,AD76),"-")</f>
        <v>-</v>
      </c>
      <c r="BB76" s="59" t="str">
        <f>IF(AND(H76&gt;0,AE76&gt;0),MIN(H76,AE76),"-")</f>
        <v>-</v>
      </c>
      <c r="BC76" s="59" t="str">
        <f>IF(AND(I76&gt;0,AF76&gt;0),MIN(I76,AF76),"-")</f>
        <v>-</v>
      </c>
      <c r="BD76" s="59" t="str">
        <f>IF(AND(J76&gt;0,AG76&gt;0),MIN(J76,AG76),"-")</f>
        <v>-</v>
      </c>
      <c r="BE76" s="59" t="str">
        <f>IF(AND(K76&gt;0,AH76&gt;0),MIN(K76,AH76),"-")</f>
        <v>-</v>
      </c>
      <c r="BF76" s="59" t="str">
        <f>IF(AND(L76&gt;0,AI76&gt;0),MIN(L76,AI76),"-")</f>
        <v>-</v>
      </c>
      <c r="BG76" s="59" t="str">
        <f t="shared" si="24"/>
        <v>-</v>
      </c>
      <c r="BH76" s="59" t="str">
        <f>IF(AND(N76&gt;0,AK76&gt;0),MIN(N76,AK76),"-")</f>
        <v>-</v>
      </c>
      <c r="BI76" s="59" t="str">
        <f>IF(AND(O76&gt;0,AL76&gt;0),MIN(O76,AL76),"-")</f>
        <v>-</v>
      </c>
      <c r="BJ76" s="59" t="str">
        <f>IF(AND(P76&gt;0,AM76&gt;0),MIN(P76,AM76),"-")</f>
        <v>-</v>
      </c>
      <c r="BK76" s="59" t="str">
        <f>IF(AND(Q76&gt;0,AN76&gt;0),MIN(Q76,AN76),"-")</f>
        <v>-</v>
      </c>
      <c r="BL76" s="59" t="str">
        <f>IF(AND(R76&gt;0,AO76&gt;0),MIN(R76,AO76),"-")</f>
        <v>-</v>
      </c>
      <c r="BM76" s="59" t="str">
        <f>IF(AND(S76&gt;0,AP76&gt;0),MIN(S76,AP76),"-")</f>
        <v>-</v>
      </c>
      <c r="BN76" s="59" t="str">
        <f>IF(AND(T76&gt;0,AQ76&gt;0),MIN(T76,AQ76),"-")</f>
        <v>-</v>
      </c>
      <c r="BO76" s="59" t="str">
        <f>IF(AND(U76&gt;0,AR76&gt;0),MIN(U76,AR76),"-")</f>
        <v>-</v>
      </c>
      <c r="BP76" s="59" t="str">
        <f>IF(AND(V76&gt;0,AS76&gt;0),MIN(V76,AS76),"-")</f>
        <v>-</v>
      </c>
      <c r="BQ76" s="59" t="str">
        <f t="shared" si="25"/>
        <v>-</v>
      </c>
      <c r="BR76" s="59" t="str">
        <f t="shared" si="26"/>
        <v>-</v>
      </c>
      <c r="BS76" s="59" t="str">
        <f t="shared" si="27"/>
        <v>-</v>
      </c>
      <c r="BT76" s="98" t="str">
        <f>IF(ISNUMBER(BS76),BS76-(C76*Rules!$P$9/100),"-")</f>
        <v>-</v>
      </c>
      <c r="BU76" s="59" t="e">
        <f>RANK($BT76,$BT$5:$BT$106,1)+COUNTIF(BT$5:BT76,BT76)-1</f>
        <v>#VALUE!</v>
      </c>
      <c r="BV76" s="59" t="e">
        <f t="shared" si="28"/>
        <v>#VALUE!</v>
      </c>
      <c r="BW76" s="59" t="str">
        <f t="shared" si="29"/>
        <v xml:space="preserve"> </v>
      </c>
      <c r="BX76" s="59" t="str">
        <f t="shared" si="29"/>
        <v>-</v>
      </c>
      <c r="BY76" s="59" t="str">
        <f t="shared" si="30"/>
        <v>-</v>
      </c>
      <c r="CC76" s="4">
        <v>72</v>
      </c>
      <c r="CD76" s="2" t="e">
        <f>VLOOKUP(CC76,$BV$5:BY$215,1,FALSE)</f>
        <v>#N/A</v>
      </c>
      <c r="CE76" s="6" t="e">
        <f>VLOOKUP(CC76,$BV$5:BY$215,2,FALSE)</f>
        <v>#N/A</v>
      </c>
      <c r="CF76" s="103" t="e">
        <f>VLOOKUP(CC76,$BV$5:BY$215,4,FALSE)</f>
        <v>#N/A</v>
      </c>
      <c r="CL76" s="77">
        <v>1</v>
      </c>
    </row>
    <row r="77" spans="1:90" ht="17.45" customHeight="1">
      <c r="A77" s="58">
        <v>73</v>
      </c>
      <c r="B77" s="59" t="str">
        <f>'C Div'!A77 &amp; " " &amp; 'C Div'!B77</f>
        <v xml:space="preserve"> </v>
      </c>
      <c r="C77" s="59" t="str">
        <f>'C Div'!E77</f>
        <v>-</v>
      </c>
      <c r="D77" s="60"/>
      <c r="E77" s="60"/>
      <c r="F77" s="60"/>
      <c r="G77" s="60"/>
      <c r="H77" s="60"/>
      <c r="I77" s="60"/>
      <c r="J77" s="60"/>
      <c r="K77" s="60"/>
      <c r="L77" s="60"/>
      <c r="M77" s="74" t="str">
        <f t="shared" si="16"/>
        <v>-</v>
      </c>
      <c r="N77" s="60"/>
      <c r="O77" s="60"/>
      <c r="P77" s="60"/>
      <c r="Q77" s="60"/>
      <c r="R77" s="60"/>
      <c r="S77" s="60"/>
      <c r="T77" s="60"/>
      <c r="U77" s="60"/>
      <c r="V77" s="60"/>
      <c r="W77" s="74" t="str">
        <f t="shared" si="17"/>
        <v>-</v>
      </c>
      <c r="X77" s="155" t="str">
        <f t="shared" si="18"/>
        <v>-</v>
      </c>
      <c r="Y77" s="156" t="str">
        <f t="shared" si="19"/>
        <v>-</v>
      </c>
      <c r="AA77" s="60"/>
      <c r="AB77" s="60"/>
      <c r="AC77" s="60"/>
      <c r="AD77" s="60"/>
      <c r="AE77" s="60"/>
      <c r="AF77" s="60"/>
      <c r="AG77" s="60"/>
      <c r="AH77" s="60"/>
      <c r="AI77" s="60"/>
      <c r="AJ77" s="74" t="str">
        <f t="shared" si="20"/>
        <v>-</v>
      </c>
      <c r="AK77" s="60"/>
      <c r="AL77" s="60"/>
      <c r="AM77" s="60"/>
      <c r="AN77" s="60"/>
      <c r="AO77" s="60"/>
      <c r="AP77" s="60"/>
      <c r="AQ77" s="60"/>
      <c r="AR77" s="60"/>
      <c r="AS77" s="60"/>
      <c r="AT77" s="74" t="str">
        <f t="shared" si="21"/>
        <v>-</v>
      </c>
      <c r="AU77" s="155" t="str">
        <f t="shared" si="22"/>
        <v>-</v>
      </c>
      <c r="AV77" s="156" t="str">
        <f t="shared" si="23"/>
        <v>-</v>
      </c>
      <c r="AX77" s="59" t="str">
        <f>IF(AND(D77&gt;0,AA77&gt;0),MIN(D77,AA77),"-")</f>
        <v>-</v>
      </c>
      <c r="AY77" s="59" t="str">
        <f>IF(AND(E77&gt;0,AB77&gt;0),MIN(E77,AB77),"-")</f>
        <v>-</v>
      </c>
      <c r="AZ77" s="59" t="str">
        <f>IF(AND(F77&gt;0,AC77&gt;0),MIN(F77,AC77),"-")</f>
        <v>-</v>
      </c>
      <c r="BA77" s="59" t="str">
        <f>IF(AND(G77&gt;0,AD77&gt;0),MIN(G77,AD77),"-")</f>
        <v>-</v>
      </c>
      <c r="BB77" s="59" t="str">
        <f>IF(AND(H77&gt;0,AE77&gt;0),MIN(H77,AE77),"-")</f>
        <v>-</v>
      </c>
      <c r="BC77" s="59" t="str">
        <f>IF(AND(I77&gt;0,AF77&gt;0),MIN(I77,AF77),"-")</f>
        <v>-</v>
      </c>
      <c r="BD77" s="59" t="str">
        <f>IF(AND(J77&gt;0,AG77&gt;0),MIN(J77,AG77),"-")</f>
        <v>-</v>
      </c>
      <c r="BE77" s="59" t="str">
        <f>IF(AND(K77&gt;0,AH77&gt;0),MIN(K77,AH77),"-")</f>
        <v>-</v>
      </c>
      <c r="BF77" s="59" t="str">
        <f>IF(AND(L77&gt;0,AI77&gt;0),MIN(L77,AI77),"-")</f>
        <v>-</v>
      </c>
      <c r="BG77" s="59" t="str">
        <f t="shared" si="24"/>
        <v>-</v>
      </c>
      <c r="BH77" s="59" t="str">
        <f>IF(AND(N77&gt;0,AK77&gt;0),MIN(N77,AK77),"-")</f>
        <v>-</v>
      </c>
      <c r="BI77" s="59" t="str">
        <f>IF(AND(O77&gt;0,AL77&gt;0),MIN(O77,AL77),"-")</f>
        <v>-</v>
      </c>
      <c r="BJ77" s="59" t="str">
        <f>IF(AND(P77&gt;0,AM77&gt;0),MIN(P77,AM77),"-")</f>
        <v>-</v>
      </c>
      <c r="BK77" s="59" t="str">
        <f>IF(AND(Q77&gt;0,AN77&gt;0),MIN(Q77,AN77),"-")</f>
        <v>-</v>
      </c>
      <c r="BL77" s="59" t="str">
        <f>IF(AND(R77&gt;0,AO77&gt;0),MIN(R77,AO77),"-")</f>
        <v>-</v>
      </c>
      <c r="BM77" s="59" t="str">
        <f>IF(AND(S77&gt;0,AP77&gt;0),MIN(S77,AP77),"-")</f>
        <v>-</v>
      </c>
      <c r="BN77" s="59" t="str">
        <f>IF(AND(T77&gt;0,AQ77&gt;0),MIN(T77,AQ77),"-")</f>
        <v>-</v>
      </c>
      <c r="BO77" s="59" t="str">
        <f>IF(AND(U77&gt;0,AR77&gt;0),MIN(U77,AR77),"-")</f>
        <v>-</v>
      </c>
      <c r="BP77" s="59" t="str">
        <f>IF(AND(V77&gt;0,AS77&gt;0),MIN(V77,AS77),"-")</f>
        <v>-</v>
      </c>
      <c r="BQ77" s="59" t="str">
        <f t="shared" si="25"/>
        <v>-</v>
      </c>
      <c r="BR77" s="59" t="str">
        <f t="shared" si="26"/>
        <v>-</v>
      </c>
      <c r="BS77" s="59" t="str">
        <f t="shared" si="27"/>
        <v>-</v>
      </c>
      <c r="BT77" s="98" t="str">
        <f>IF(ISNUMBER(BS77),BS77-(C77*Rules!$P$9/100),"-")</f>
        <v>-</v>
      </c>
      <c r="BU77" s="59" t="e">
        <f>RANK($BT77,$BT$5:$BT$106,1)+COUNTIF(BT$5:BT77,BT77)-1</f>
        <v>#VALUE!</v>
      </c>
      <c r="BV77" s="59" t="e">
        <f t="shared" si="28"/>
        <v>#VALUE!</v>
      </c>
      <c r="BW77" s="59" t="str">
        <f t="shared" si="29"/>
        <v xml:space="preserve"> </v>
      </c>
      <c r="BX77" s="59" t="str">
        <f t="shared" si="29"/>
        <v>-</v>
      </c>
      <c r="BY77" s="59" t="str">
        <f t="shared" si="30"/>
        <v>-</v>
      </c>
      <c r="CC77" s="4">
        <v>73</v>
      </c>
      <c r="CD77" s="2" t="e">
        <f>VLOOKUP(CC77,$BV$5:BY$215,1,FALSE)</f>
        <v>#N/A</v>
      </c>
      <c r="CE77" s="6" t="e">
        <f>VLOOKUP(CC77,$BV$5:BY$215,2,FALSE)</f>
        <v>#N/A</v>
      </c>
      <c r="CF77" s="103" t="e">
        <f>VLOOKUP(CC77,$BV$5:BY$215,4,FALSE)</f>
        <v>#N/A</v>
      </c>
      <c r="CL77" s="77">
        <v>1</v>
      </c>
    </row>
    <row r="78" spans="1:90" ht="17.45" customHeight="1">
      <c r="A78" s="58">
        <v>74</v>
      </c>
      <c r="B78" s="59" t="str">
        <f>'C Div'!A78 &amp; " " &amp; 'C Div'!B78</f>
        <v xml:space="preserve"> </v>
      </c>
      <c r="C78" s="59" t="str">
        <f>'C Div'!E78</f>
        <v>-</v>
      </c>
      <c r="D78" s="60"/>
      <c r="E78" s="60"/>
      <c r="F78" s="60"/>
      <c r="G78" s="60"/>
      <c r="H78" s="60"/>
      <c r="I78" s="60"/>
      <c r="J78" s="60"/>
      <c r="K78" s="60"/>
      <c r="L78" s="60"/>
      <c r="M78" s="74" t="str">
        <f t="shared" si="16"/>
        <v>-</v>
      </c>
      <c r="N78" s="60"/>
      <c r="O78" s="60"/>
      <c r="P78" s="60"/>
      <c r="Q78" s="60"/>
      <c r="R78" s="60"/>
      <c r="S78" s="60"/>
      <c r="T78" s="60"/>
      <c r="U78" s="60"/>
      <c r="V78" s="60"/>
      <c r="W78" s="74" t="str">
        <f t="shared" si="17"/>
        <v>-</v>
      </c>
      <c r="X78" s="155" t="str">
        <f t="shared" si="18"/>
        <v>-</v>
      </c>
      <c r="Y78" s="156" t="str">
        <f t="shared" si="19"/>
        <v>-</v>
      </c>
      <c r="AA78" s="60"/>
      <c r="AB78" s="60"/>
      <c r="AC78" s="60"/>
      <c r="AD78" s="60"/>
      <c r="AE78" s="60"/>
      <c r="AF78" s="60"/>
      <c r="AG78" s="60"/>
      <c r="AH78" s="60"/>
      <c r="AI78" s="60"/>
      <c r="AJ78" s="74" t="str">
        <f t="shared" si="20"/>
        <v>-</v>
      </c>
      <c r="AK78" s="60"/>
      <c r="AL78" s="60"/>
      <c r="AM78" s="60"/>
      <c r="AN78" s="60"/>
      <c r="AO78" s="60"/>
      <c r="AP78" s="60"/>
      <c r="AQ78" s="60"/>
      <c r="AR78" s="60"/>
      <c r="AS78" s="60"/>
      <c r="AT78" s="74" t="str">
        <f t="shared" si="21"/>
        <v>-</v>
      </c>
      <c r="AU78" s="155" t="str">
        <f t="shared" si="22"/>
        <v>-</v>
      </c>
      <c r="AV78" s="156" t="str">
        <f t="shared" si="23"/>
        <v>-</v>
      </c>
      <c r="AX78" s="59" t="str">
        <f>IF(AND(D78&gt;0,AA78&gt;0),MIN(D78,AA78),"-")</f>
        <v>-</v>
      </c>
      <c r="AY78" s="59" t="str">
        <f>IF(AND(E78&gt;0,AB78&gt;0),MIN(E78,AB78),"-")</f>
        <v>-</v>
      </c>
      <c r="AZ78" s="59" t="str">
        <f>IF(AND(F78&gt;0,AC78&gt;0),MIN(F78,AC78),"-")</f>
        <v>-</v>
      </c>
      <c r="BA78" s="59" t="str">
        <f>IF(AND(G78&gt;0,AD78&gt;0),MIN(G78,AD78),"-")</f>
        <v>-</v>
      </c>
      <c r="BB78" s="59" t="str">
        <f>IF(AND(H78&gt;0,AE78&gt;0),MIN(H78,AE78),"-")</f>
        <v>-</v>
      </c>
      <c r="BC78" s="59" t="str">
        <f>IF(AND(I78&gt;0,AF78&gt;0),MIN(I78,AF78),"-")</f>
        <v>-</v>
      </c>
      <c r="BD78" s="59" t="str">
        <f>IF(AND(J78&gt;0,AG78&gt;0),MIN(J78,AG78),"-")</f>
        <v>-</v>
      </c>
      <c r="BE78" s="59" t="str">
        <f>IF(AND(K78&gt;0,AH78&gt;0),MIN(K78,AH78),"-")</f>
        <v>-</v>
      </c>
      <c r="BF78" s="59" t="str">
        <f>IF(AND(L78&gt;0,AI78&gt;0),MIN(L78,AI78),"-")</f>
        <v>-</v>
      </c>
      <c r="BG78" s="59" t="str">
        <f t="shared" si="24"/>
        <v>-</v>
      </c>
      <c r="BH78" s="59" t="str">
        <f>IF(AND(N78&gt;0,AK78&gt;0),MIN(N78,AK78),"-")</f>
        <v>-</v>
      </c>
      <c r="BI78" s="59" t="str">
        <f>IF(AND(O78&gt;0,AL78&gt;0),MIN(O78,AL78),"-")</f>
        <v>-</v>
      </c>
      <c r="BJ78" s="59" t="str">
        <f>IF(AND(P78&gt;0,AM78&gt;0),MIN(P78,AM78),"-")</f>
        <v>-</v>
      </c>
      <c r="BK78" s="59" t="str">
        <f>IF(AND(Q78&gt;0,AN78&gt;0),MIN(Q78,AN78),"-")</f>
        <v>-</v>
      </c>
      <c r="BL78" s="59" t="str">
        <f>IF(AND(R78&gt;0,AO78&gt;0),MIN(R78,AO78),"-")</f>
        <v>-</v>
      </c>
      <c r="BM78" s="59" t="str">
        <f>IF(AND(S78&gt;0,AP78&gt;0),MIN(S78,AP78),"-")</f>
        <v>-</v>
      </c>
      <c r="BN78" s="59" t="str">
        <f>IF(AND(T78&gt;0,AQ78&gt;0),MIN(T78,AQ78),"-")</f>
        <v>-</v>
      </c>
      <c r="BO78" s="59" t="str">
        <f>IF(AND(U78&gt;0,AR78&gt;0),MIN(U78,AR78),"-")</f>
        <v>-</v>
      </c>
      <c r="BP78" s="59" t="str">
        <f>IF(AND(V78&gt;0,AS78&gt;0),MIN(V78,AS78),"-")</f>
        <v>-</v>
      </c>
      <c r="BQ78" s="59" t="str">
        <f t="shared" si="25"/>
        <v>-</v>
      </c>
      <c r="BR78" s="59" t="str">
        <f t="shared" si="26"/>
        <v>-</v>
      </c>
      <c r="BS78" s="59" t="str">
        <f t="shared" si="27"/>
        <v>-</v>
      </c>
      <c r="BT78" s="98" t="str">
        <f>IF(ISNUMBER(BS78),BS78-(C78*Rules!$P$9/100),"-")</f>
        <v>-</v>
      </c>
      <c r="BU78" s="59" t="e">
        <f>RANK($BT78,$BT$5:$BT$106,1)+COUNTIF(BT$5:BT78,BT78)-1</f>
        <v>#VALUE!</v>
      </c>
      <c r="BV78" s="59" t="e">
        <f t="shared" si="28"/>
        <v>#VALUE!</v>
      </c>
      <c r="BW78" s="59" t="str">
        <f t="shared" si="29"/>
        <v xml:space="preserve"> </v>
      </c>
      <c r="BX78" s="59" t="str">
        <f t="shared" si="29"/>
        <v>-</v>
      </c>
      <c r="BY78" s="59" t="str">
        <f t="shared" si="30"/>
        <v>-</v>
      </c>
      <c r="CC78" s="4">
        <v>74</v>
      </c>
      <c r="CD78" s="2" t="e">
        <f>VLOOKUP(CC78,$BV$5:BY$215,1,FALSE)</f>
        <v>#N/A</v>
      </c>
      <c r="CE78" s="6" t="e">
        <f>VLOOKUP(CC78,$BV$5:BY$215,2,FALSE)</f>
        <v>#N/A</v>
      </c>
      <c r="CF78" s="103" t="e">
        <f>VLOOKUP(CC78,$BV$5:BY$215,4,FALSE)</f>
        <v>#N/A</v>
      </c>
      <c r="CL78" s="77">
        <v>1</v>
      </c>
    </row>
    <row r="79" spans="1:90" ht="17.45" customHeight="1">
      <c r="A79" s="58">
        <v>75</v>
      </c>
      <c r="B79" s="59" t="str">
        <f>'C Div'!A79 &amp; " " &amp; 'C Div'!B79</f>
        <v xml:space="preserve"> </v>
      </c>
      <c r="C79" s="59" t="str">
        <f>'C Div'!E79</f>
        <v>-</v>
      </c>
      <c r="D79" s="60"/>
      <c r="E79" s="60"/>
      <c r="F79" s="60"/>
      <c r="G79" s="60"/>
      <c r="H79" s="60"/>
      <c r="I79" s="60"/>
      <c r="J79" s="60"/>
      <c r="K79" s="60"/>
      <c r="L79" s="60"/>
      <c r="M79" s="74" t="str">
        <f t="shared" si="16"/>
        <v>-</v>
      </c>
      <c r="N79" s="60"/>
      <c r="O79" s="60"/>
      <c r="P79" s="60"/>
      <c r="Q79" s="60"/>
      <c r="R79" s="60"/>
      <c r="S79" s="60"/>
      <c r="T79" s="60"/>
      <c r="U79" s="60"/>
      <c r="V79" s="60"/>
      <c r="W79" s="74" t="str">
        <f t="shared" si="17"/>
        <v>-</v>
      </c>
      <c r="X79" s="155" t="str">
        <f t="shared" si="18"/>
        <v>-</v>
      </c>
      <c r="Y79" s="156" t="str">
        <f t="shared" si="19"/>
        <v>-</v>
      </c>
      <c r="AA79" s="60"/>
      <c r="AB79" s="60"/>
      <c r="AC79" s="60"/>
      <c r="AD79" s="60"/>
      <c r="AE79" s="60"/>
      <c r="AF79" s="60"/>
      <c r="AG79" s="60"/>
      <c r="AH79" s="60"/>
      <c r="AI79" s="60"/>
      <c r="AJ79" s="74" t="str">
        <f t="shared" si="20"/>
        <v>-</v>
      </c>
      <c r="AK79" s="60"/>
      <c r="AL79" s="60"/>
      <c r="AM79" s="60"/>
      <c r="AN79" s="60"/>
      <c r="AO79" s="60"/>
      <c r="AP79" s="60"/>
      <c r="AQ79" s="60"/>
      <c r="AR79" s="60"/>
      <c r="AS79" s="60"/>
      <c r="AT79" s="74" t="str">
        <f t="shared" si="21"/>
        <v>-</v>
      </c>
      <c r="AU79" s="155" t="str">
        <f t="shared" si="22"/>
        <v>-</v>
      </c>
      <c r="AV79" s="156" t="str">
        <f t="shared" si="23"/>
        <v>-</v>
      </c>
      <c r="AX79" s="59" t="str">
        <f>IF(AND(D79&gt;0,AA79&gt;0),MIN(D79,AA79),"-")</f>
        <v>-</v>
      </c>
      <c r="AY79" s="59" t="str">
        <f>IF(AND(E79&gt;0,AB79&gt;0),MIN(E79,AB79),"-")</f>
        <v>-</v>
      </c>
      <c r="AZ79" s="59" t="str">
        <f>IF(AND(F79&gt;0,AC79&gt;0),MIN(F79,AC79),"-")</f>
        <v>-</v>
      </c>
      <c r="BA79" s="59" t="str">
        <f>IF(AND(G79&gt;0,AD79&gt;0),MIN(G79,AD79),"-")</f>
        <v>-</v>
      </c>
      <c r="BB79" s="59" t="str">
        <f>IF(AND(H79&gt;0,AE79&gt;0),MIN(H79,AE79),"-")</f>
        <v>-</v>
      </c>
      <c r="BC79" s="59" t="str">
        <f>IF(AND(I79&gt;0,AF79&gt;0),MIN(I79,AF79),"-")</f>
        <v>-</v>
      </c>
      <c r="BD79" s="59" t="str">
        <f>IF(AND(J79&gt;0,AG79&gt;0),MIN(J79,AG79),"-")</f>
        <v>-</v>
      </c>
      <c r="BE79" s="59" t="str">
        <f>IF(AND(K79&gt;0,AH79&gt;0),MIN(K79,AH79),"-")</f>
        <v>-</v>
      </c>
      <c r="BF79" s="59" t="str">
        <f>IF(AND(L79&gt;0,AI79&gt;0),MIN(L79,AI79),"-")</f>
        <v>-</v>
      </c>
      <c r="BG79" s="59" t="str">
        <f t="shared" si="24"/>
        <v>-</v>
      </c>
      <c r="BH79" s="59" t="str">
        <f>IF(AND(N79&gt;0,AK79&gt;0),MIN(N79,AK79),"-")</f>
        <v>-</v>
      </c>
      <c r="BI79" s="59" t="str">
        <f>IF(AND(O79&gt;0,AL79&gt;0),MIN(O79,AL79),"-")</f>
        <v>-</v>
      </c>
      <c r="BJ79" s="59" t="str">
        <f>IF(AND(P79&gt;0,AM79&gt;0),MIN(P79,AM79),"-")</f>
        <v>-</v>
      </c>
      <c r="BK79" s="59" t="str">
        <f>IF(AND(Q79&gt;0,AN79&gt;0),MIN(Q79,AN79),"-")</f>
        <v>-</v>
      </c>
      <c r="BL79" s="59" t="str">
        <f>IF(AND(R79&gt;0,AO79&gt;0),MIN(R79,AO79),"-")</f>
        <v>-</v>
      </c>
      <c r="BM79" s="59" t="str">
        <f>IF(AND(S79&gt;0,AP79&gt;0),MIN(S79,AP79),"-")</f>
        <v>-</v>
      </c>
      <c r="BN79" s="59" t="str">
        <f>IF(AND(T79&gt;0,AQ79&gt;0),MIN(T79,AQ79),"-")</f>
        <v>-</v>
      </c>
      <c r="BO79" s="59" t="str">
        <f>IF(AND(U79&gt;0,AR79&gt;0),MIN(U79,AR79),"-")</f>
        <v>-</v>
      </c>
      <c r="BP79" s="59" t="str">
        <f>IF(AND(V79&gt;0,AS79&gt;0),MIN(V79,AS79),"-")</f>
        <v>-</v>
      </c>
      <c r="BQ79" s="59" t="str">
        <f t="shared" si="25"/>
        <v>-</v>
      </c>
      <c r="BR79" s="59" t="str">
        <f t="shared" si="26"/>
        <v>-</v>
      </c>
      <c r="BS79" s="59" t="str">
        <f t="shared" si="27"/>
        <v>-</v>
      </c>
      <c r="BT79" s="98" t="str">
        <f>IF(ISNUMBER(BS79),BS79-(C79*Rules!$P$9/100),"-")</f>
        <v>-</v>
      </c>
      <c r="BU79" s="59" t="e">
        <f>RANK($BT79,$BT$5:$BT$106,1)+COUNTIF(BT$5:BT79,BT79)-1</f>
        <v>#VALUE!</v>
      </c>
      <c r="BV79" s="59" t="e">
        <f t="shared" si="28"/>
        <v>#VALUE!</v>
      </c>
      <c r="BW79" s="59" t="str">
        <f t="shared" si="29"/>
        <v xml:space="preserve"> </v>
      </c>
      <c r="BX79" s="59" t="str">
        <f t="shared" si="29"/>
        <v>-</v>
      </c>
      <c r="BY79" s="59" t="str">
        <f t="shared" si="30"/>
        <v>-</v>
      </c>
      <c r="CC79" s="4">
        <v>75</v>
      </c>
      <c r="CD79" s="2" t="e">
        <f>VLOOKUP(CC79,$BV$5:BY$215,1,FALSE)</f>
        <v>#N/A</v>
      </c>
      <c r="CE79" s="6" t="e">
        <f>VLOOKUP(CC79,$BV$5:BY$215,2,FALSE)</f>
        <v>#N/A</v>
      </c>
      <c r="CF79" s="103" t="e">
        <f>VLOOKUP(CC79,$BV$5:BY$215,4,FALSE)</f>
        <v>#N/A</v>
      </c>
      <c r="CL79" s="77">
        <v>1</v>
      </c>
    </row>
    <row r="80" spans="1:90" ht="17.45" customHeight="1">
      <c r="A80" s="58">
        <v>76</v>
      </c>
      <c r="B80" s="59" t="str">
        <f>'C Div'!A80 &amp; " " &amp; 'C Div'!B80</f>
        <v xml:space="preserve"> </v>
      </c>
      <c r="C80" s="59" t="str">
        <f>'C Div'!E80</f>
        <v>-</v>
      </c>
      <c r="D80" s="60"/>
      <c r="E80" s="60"/>
      <c r="F80" s="60"/>
      <c r="G80" s="60"/>
      <c r="H80" s="60"/>
      <c r="I80" s="60"/>
      <c r="J80" s="60"/>
      <c r="K80" s="60"/>
      <c r="L80" s="60"/>
      <c r="M80" s="74" t="str">
        <f t="shared" si="16"/>
        <v>-</v>
      </c>
      <c r="N80" s="60"/>
      <c r="O80" s="60"/>
      <c r="P80" s="60"/>
      <c r="Q80" s="60"/>
      <c r="R80" s="60"/>
      <c r="S80" s="60"/>
      <c r="T80" s="60"/>
      <c r="U80" s="60"/>
      <c r="V80" s="60"/>
      <c r="W80" s="74" t="str">
        <f t="shared" si="17"/>
        <v>-</v>
      </c>
      <c r="X80" s="155" t="str">
        <f t="shared" si="18"/>
        <v>-</v>
      </c>
      <c r="Y80" s="156" t="str">
        <f t="shared" si="19"/>
        <v>-</v>
      </c>
      <c r="AA80" s="60"/>
      <c r="AB80" s="60"/>
      <c r="AC80" s="60"/>
      <c r="AD80" s="60"/>
      <c r="AE80" s="60"/>
      <c r="AF80" s="60"/>
      <c r="AG80" s="60"/>
      <c r="AH80" s="60"/>
      <c r="AI80" s="60"/>
      <c r="AJ80" s="74" t="str">
        <f t="shared" si="20"/>
        <v>-</v>
      </c>
      <c r="AK80" s="60"/>
      <c r="AL80" s="60"/>
      <c r="AM80" s="60"/>
      <c r="AN80" s="60"/>
      <c r="AO80" s="60"/>
      <c r="AP80" s="60"/>
      <c r="AQ80" s="60"/>
      <c r="AR80" s="60"/>
      <c r="AS80" s="60"/>
      <c r="AT80" s="74" t="str">
        <f t="shared" si="21"/>
        <v>-</v>
      </c>
      <c r="AU80" s="155" t="str">
        <f t="shared" si="22"/>
        <v>-</v>
      </c>
      <c r="AV80" s="156" t="str">
        <f t="shared" si="23"/>
        <v>-</v>
      </c>
      <c r="AX80" s="59" t="str">
        <f>IF(AND(D80&gt;0,AA80&gt;0),MIN(D80,AA80),"-")</f>
        <v>-</v>
      </c>
      <c r="AY80" s="59" t="str">
        <f>IF(AND(E80&gt;0,AB80&gt;0),MIN(E80,AB80),"-")</f>
        <v>-</v>
      </c>
      <c r="AZ80" s="59" t="str">
        <f>IF(AND(F80&gt;0,AC80&gt;0),MIN(F80,AC80),"-")</f>
        <v>-</v>
      </c>
      <c r="BA80" s="59" t="str">
        <f>IF(AND(G80&gt;0,AD80&gt;0),MIN(G80,AD80),"-")</f>
        <v>-</v>
      </c>
      <c r="BB80" s="59" t="str">
        <f>IF(AND(H80&gt;0,AE80&gt;0),MIN(H80,AE80),"-")</f>
        <v>-</v>
      </c>
      <c r="BC80" s="59" t="str">
        <f>IF(AND(I80&gt;0,AF80&gt;0),MIN(I80,AF80),"-")</f>
        <v>-</v>
      </c>
      <c r="BD80" s="59" t="str">
        <f>IF(AND(J80&gt;0,AG80&gt;0),MIN(J80,AG80),"-")</f>
        <v>-</v>
      </c>
      <c r="BE80" s="59" t="str">
        <f>IF(AND(K80&gt;0,AH80&gt;0),MIN(K80,AH80),"-")</f>
        <v>-</v>
      </c>
      <c r="BF80" s="59" t="str">
        <f>IF(AND(L80&gt;0,AI80&gt;0),MIN(L80,AI80),"-")</f>
        <v>-</v>
      </c>
      <c r="BG80" s="59" t="str">
        <f t="shared" si="24"/>
        <v>-</v>
      </c>
      <c r="BH80" s="59" t="str">
        <f>IF(AND(N80&gt;0,AK80&gt;0),MIN(N80,AK80),"-")</f>
        <v>-</v>
      </c>
      <c r="BI80" s="59" t="str">
        <f>IF(AND(O80&gt;0,AL80&gt;0),MIN(O80,AL80),"-")</f>
        <v>-</v>
      </c>
      <c r="BJ80" s="59" t="str">
        <f>IF(AND(P80&gt;0,AM80&gt;0),MIN(P80,AM80),"-")</f>
        <v>-</v>
      </c>
      <c r="BK80" s="59" t="str">
        <f>IF(AND(Q80&gt;0,AN80&gt;0),MIN(Q80,AN80),"-")</f>
        <v>-</v>
      </c>
      <c r="BL80" s="59" t="str">
        <f>IF(AND(R80&gt;0,AO80&gt;0),MIN(R80,AO80),"-")</f>
        <v>-</v>
      </c>
      <c r="BM80" s="59" t="str">
        <f>IF(AND(S80&gt;0,AP80&gt;0),MIN(S80,AP80),"-")</f>
        <v>-</v>
      </c>
      <c r="BN80" s="59" t="str">
        <f>IF(AND(T80&gt;0,AQ80&gt;0),MIN(T80,AQ80),"-")</f>
        <v>-</v>
      </c>
      <c r="BO80" s="59" t="str">
        <f>IF(AND(U80&gt;0,AR80&gt;0),MIN(U80,AR80),"-")</f>
        <v>-</v>
      </c>
      <c r="BP80" s="59" t="str">
        <f>IF(AND(V80&gt;0,AS80&gt;0),MIN(V80,AS80),"-")</f>
        <v>-</v>
      </c>
      <c r="BQ80" s="59" t="str">
        <f t="shared" si="25"/>
        <v>-</v>
      </c>
      <c r="BR80" s="59" t="str">
        <f t="shared" si="26"/>
        <v>-</v>
      </c>
      <c r="BS80" s="59" t="str">
        <f t="shared" si="27"/>
        <v>-</v>
      </c>
      <c r="BT80" s="98" t="str">
        <f>IF(ISNUMBER(BS80),BS80-(C80*Rules!$P$9/100),"-")</f>
        <v>-</v>
      </c>
      <c r="BU80" s="59" t="e">
        <f>RANK($BT80,$BT$5:$BT$106,1)+COUNTIF(BT$5:BT80,BT80)-1</f>
        <v>#VALUE!</v>
      </c>
      <c r="BV80" s="59" t="e">
        <f t="shared" si="28"/>
        <v>#VALUE!</v>
      </c>
      <c r="BW80" s="59" t="str">
        <f t="shared" si="29"/>
        <v xml:space="preserve"> </v>
      </c>
      <c r="BX80" s="59" t="str">
        <f t="shared" si="29"/>
        <v>-</v>
      </c>
      <c r="BY80" s="59" t="str">
        <f t="shared" si="30"/>
        <v>-</v>
      </c>
      <c r="CC80" s="4">
        <v>76</v>
      </c>
      <c r="CD80" s="2" t="e">
        <f>VLOOKUP(CC80,$BV$5:BY$215,1,FALSE)</f>
        <v>#N/A</v>
      </c>
      <c r="CE80" s="6" t="e">
        <f>VLOOKUP(CC80,$BV$5:BY$215,2,FALSE)</f>
        <v>#N/A</v>
      </c>
      <c r="CF80" s="103" t="e">
        <f>VLOOKUP(CC80,$BV$5:BY$215,4,FALSE)</f>
        <v>#N/A</v>
      </c>
      <c r="CL80" s="77">
        <v>1</v>
      </c>
    </row>
    <row r="81" spans="1:90" ht="17.45" customHeight="1">
      <c r="A81" s="58">
        <v>77</v>
      </c>
      <c r="B81" s="59" t="str">
        <f>'C Div'!A81 &amp; " " &amp; 'C Div'!B81</f>
        <v xml:space="preserve"> </v>
      </c>
      <c r="C81" s="59" t="str">
        <f>'C Div'!E81</f>
        <v>-</v>
      </c>
      <c r="D81" s="60"/>
      <c r="E81" s="60"/>
      <c r="F81" s="60"/>
      <c r="G81" s="60"/>
      <c r="H81" s="60"/>
      <c r="I81" s="60"/>
      <c r="J81" s="60"/>
      <c r="K81" s="60"/>
      <c r="L81" s="60"/>
      <c r="M81" s="74" t="str">
        <f t="shared" si="16"/>
        <v>-</v>
      </c>
      <c r="N81" s="60"/>
      <c r="O81" s="60"/>
      <c r="P81" s="60"/>
      <c r="Q81" s="60"/>
      <c r="R81" s="60"/>
      <c r="S81" s="60"/>
      <c r="T81" s="60"/>
      <c r="U81" s="60"/>
      <c r="V81" s="60"/>
      <c r="W81" s="74" t="str">
        <f t="shared" si="17"/>
        <v>-</v>
      </c>
      <c r="X81" s="155" t="str">
        <f t="shared" si="18"/>
        <v>-</v>
      </c>
      <c r="Y81" s="156" t="str">
        <f t="shared" si="19"/>
        <v>-</v>
      </c>
      <c r="AA81" s="60"/>
      <c r="AB81" s="60"/>
      <c r="AC81" s="60"/>
      <c r="AD81" s="60"/>
      <c r="AE81" s="60"/>
      <c r="AF81" s="60"/>
      <c r="AG81" s="60"/>
      <c r="AH81" s="60"/>
      <c r="AI81" s="60"/>
      <c r="AJ81" s="74" t="str">
        <f t="shared" si="20"/>
        <v>-</v>
      </c>
      <c r="AK81" s="60"/>
      <c r="AL81" s="60"/>
      <c r="AM81" s="60"/>
      <c r="AN81" s="60"/>
      <c r="AO81" s="60"/>
      <c r="AP81" s="60"/>
      <c r="AQ81" s="60"/>
      <c r="AR81" s="60"/>
      <c r="AS81" s="60"/>
      <c r="AT81" s="74" t="str">
        <f t="shared" si="21"/>
        <v>-</v>
      </c>
      <c r="AU81" s="155" t="str">
        <f t="shared" si="22"/>
        <v>-</v>
      </c>
      <c r="AV81" s="156" t="str">
        <f t="shared" si="23"/>
        <v>-</v>
      </c>
      <c r="AX81" s="59" t="str">
        <f>IF(AND(D81&gt;0,AA81&gt;0),MIN(D81,AA81),"-")</f>
        <v>-</v>
      </c>
      <c r="AY81" s="59" t="str">
        <f>IF(AND(E81&gt;0,AB81&gt;0),MIN(E81,AB81),"-")</f>
        <v>-</v>
      </c>
      <c r="AZ81" s="59" t="str">
        <f>IF(AND(F81&gt;0,AC81&gt;0),MIN(F81,AC81),"-")</f>
        <v>-</v>
      </c>
      <c r="BA81" s="59" t="str">
        <f>IF(AND(G81&gt;0,AD81&gt;0),MIN(G81,AD81),"-")</f>
        <v>-</v>
      </c>
      <c r="BB81" s="59" t="str">
        <f>IF(AND(H81&gt;0,AE81&gt;0),MIN(H81,AE81),"-")</f>
        <v>-</v>
      </c>
      <c r="BC81" s="59" t="str">
        <f>IF(AND(I81&gt;0,AF81&gt;0),MIN(I81,AF81),"-")</f>
        <v>-</v>
      </c>
      <c r="BD81" s="59" t="str">
        <f>IF(AND(J81&gt;0,AG81&gt;0),MIN(J81,AG81),"-")</f>
        <v>-</v>
      </c>
      <c r="BE81" s="59" t="str">
        <f>IF(AND(K81&gt;0,AH81&gt;0),MIN(K81,AH81),"-")</f>
        <v>-</v>
      </c>
      <c r="BF81" s="59" t="str">
        <f>IF(AND(L81&gt;0,AI81&gt;0),MIN(L81,AI81),"-")</f>
        <v>-</v>
      </c>
      <c r="BG81" s="59" t="str">
        <f t="shared" si="24"/>
        <v>-</v>
      </c>
      <c r="BH81" s="59" t="str">
        <f>IF(AND(N81&gt;0,AK81&gt;0),MIN(N81,AK81),"-")</f>
        <v>-</v>
      </c>
      <c r="BI81" s="59" t="str">
        <f>IF(AND(O81&gt;0,AL81&gt;0),MIN(O81,AL81),"-")</f>
        <v>-</v>
      </c>
      <c r="BJ81" s="59" t="str">
        <f>IF(AND(P81&gt;0,AM81&gt;0),MIN(P81,AM81),"-")</f>
        <v>-</v>
      </c>
      <c r="BK81" s="59" t="str">
        <f>IF(AND(Q81&gt;0,AN81&gt;0),MIN(Q81,AN81),"-")</f>
        <v>-</v>
      </c>
      <c r="BL81" s="59" t="str">
        <f>IF(AND(R81&gt;0,AO81&gt;0),MIN(R81,AO81),"-")</f>
        <v>-</v>
      </c>
      <c r="BM81" s="59" t="str">
        <f>IF(AND(S81&gt;0,AP81&gt;0),MIN(S81,AP81),"-")</f>
        <v>-</v>
      </c>
      <c r="BN81" s="59" t="str">
        <f>IF(AND(T81&gt;0,AQ81&gt;0),MIN(T81,AQ81),"-")</f>
        <v>-</v>
      </c>
      <c r="BO81" s="59" t="str">
        <f>IF(AND(U81&gt;0,AR81&gt;0),MIN(U81,AR81),"-")</f>
        <v>-</v>
      </c>
      <c r="BP81" s="59" t="str">
        <f>IF(AND(V81&gt;0,AS81&gt;0),MIN(V81,AS81),"-")</f>
        <v>-</v>
      </c>
      <c r="BQ81" s="59" t="str">
        <f t="shared" si="25"/>
        <v>-</v>
      </c>
      <c r="BR81" s="59" t="str">
        <f t="shared" si="26"/>
        <v>-</v>
      </c>
      <c r="BS81" s="59" t="str">
        <f t="shared" si="27"/>
        <v>-</v>
      </c>
      <c r="BT81" s="98" t="str">
        <f>IF(ISNUMBER(BS81),BS81-(C81*Rules!$P$9/100),"-")</f>
        <v>-</v>
      </c>
      <c r="BU81" s="59" t="e">
        <f>RANK($BT81,$BT$5:$BT$106,1)+COUNTIF(BT$5:BT81,BT81)-1</f>
        <v>#VALUE!</v>
      </c>
      <c r="BV81" s="59" t="e">
        <f t="shared" si="28"/>
        <v>#VALUE!</v>
      </c>
      <c r="BW81" s="59" t="str">
        <f t="shared" si="29"/>
        <v xml:space="preserve"> </v>
      </c>
      <c r="BX81" s="59" t="str">
        <f t="shared" si="29"/>
        <v>-</v>
      </c>
      <c r="BY81" s="59" t="str">
        <f t="shared" si="30"/>
        <v>-</v>
      </c>
      <c r="CC81" s="4">
        <v>77</v>
      </c>
      <c r="CD81" s="2" t="e">
        <f>VLOOKUP(CC81,$BV$5:BY$215,1,FALSE)</f>
        <v>#N/A</v>
      </c>
      <c r="CE81" s="6" t="e">
        <f>VLOOKUP(CC81,$BV$5:BY$215,2,FALSE)</f>
        <v>#N/A</v>
      </c>
      <c r="CF81" s="103" t="e">
        <f>VLOOKUP(CC81,$BV$5:BY$215,4,FALSE)</f>
        <v>#N/A</v>
      </c>
      <c r="CL81" s="77">
        <v>1</v>
      </c>
    </row>
    <row r="82" spans="1:90" ht="17.45" customHeight="1">
      <c r="A82" s="58">
        <v>78</v>
      </c>
      <c r="B82" s="59" t="str">
        <f>'C Div'!A82 &amp; " " &amp; 'C Div'!B82</f>
        <v xml:space="preserve"> </v>
      </c>
      <c r="C82" s="59" t="str">
        <f>'C Div'!E82</f>
        <v>-</v>
      </c>
      <c r="D82" s="60"/>
      <c r="E82" s="60"/>
      <c r="F82" s="60"/>
      <c r="G82" s="60"/>
      <c r="H82" s="60"/>
      <c r="I82" s="60"/>
      <c r="J82" s="60"/>
      <c r="K82" s="60"/>
      <c r="L82" s="60"/>
      <c r="M82" s="74" t="str">
        <f t="shared" si="16"/>
        <v>-</v>
      </c>
      <c r="N82" s="60"/>
      <c r="O82" s="60"/>
      <c r="P82" s="60"/>
      <c r="Q82" s="60"/>
      <c r="R82" s="60"/>
      <c r="S82" s="60"/>
      <c r="T82" s="60"/>
      <c r="U82" s="60"/>
      <c r="V82" s="60"/>
      <c r="W82" s="74" t="str">
        <f t="shared" si="17"/>
        <v>-</v>
      </c>
      <c r="X82" s="155" t="str">
        <f t="shared" si="18"/>
        <v>-</v>
      </c>
      <c r="Y82" s="156" t="str">
        <f t="shared" si="19"/>
        <v>-</v>
      </c>
      <c r="AA82" s="60"/>
      <c r="AB82" s="60"/>
      <c r="AC82" s="60"/>
      <c r="AD82" s="60"/>
      <c r="AE82" s="60"/>
      <c r="AF82" s="60"/>
      <c r="AG82" s="60"/>
      <c r="AH82" s="60"/>
      <c r="AI82" s="60"/>
      <c r="AJ82" s="74" t="str">
        <f t="shared" si="20"/>
        <v>-</v>
      </c>
      <c r="AK82" s="60"/>
      <c r="AL82" s="60"/>
      <c r="AM82" s="60"/>
      <c r="AN82" s="60"/>
      <c r="AO82" s="60"/>
      <c r="AP82" s="60"/>
      <c r="AQ82" s="60"/>
      <c r="AR82" s="60"/>
      <c r="AS82" s="60"/>
      <c r="AT82" s="74" t="str">
        <f t="shared" si="21"/>
        <v>-</v>
      </c>
      <c r="AU82" s="155" t="str">
        <f t="shared" si="22"/>
        <v>-</v>
      </c>
      <c r="AV82" s="156" t="str">
        <f t="shared" si="23"/>
        <v>-</v>
      </c>
      <c r="AX82" s="59" t="str">
        <f>IF(AND(D82&gt;0,AA82&gt;0),MIN(D82,AA82),"-")</f>
        <v>-</v>
      </c>
      <c r="AY82" s="59" t="str">
        <f>IF(AND(E82&gt;0,AB82&gt;0),MIN(E82,AB82),"-")</f>
        <v>-</v>
      </c>
      <c r="AZ82" s="59" t="str">
        <f>IF(AND(F82&gt;0,AC82&gt;0),MIN(F82,AC82),"-")</f>
        <v>-</v>
      </c>
      <c r="BA82" s="59" t="str">
        <f>IF(AND(G82&gt;0,AD82&gt;0),MIN(G82,AD82),"-")</f>
        <v>-</v>
      </c>
      <c r="BB82" s="59" t="str">
        <f>IF(AND(H82&gt;0,AE82&gt;0),MIN(H82,AE82),"-")</f>
        <v>-</v>
      </c>
      <c r="BC82" s="59" t="str">
        <f>IF(AND(I82&gt;0,AF82&gt;0),MIN(I82,AF82),"-")</f>
        <v>-</v>
      </c>
      <c r="BD82" s="59" t="str">
        <f>IF(AND(J82&gt;0,AG82&gt;0),MIN(J82,AG82),"-")</f>
        <v>-</v>
      </c>
      <c r="BE82" s="59" t="str">
        <f>IF(AND(K82&gt;0,AH82&gt;0),MIN(K82,AH82),"-")</f>
        <v>-</v>
      </c>
      <c r="BF82" s="59" t="str">
        <f>IF(AND(L82&gt;0,AI82&gt;0),MIN(L82,AI82),"-")</f>
        <v>-</v>
      </c>
      <c r="BG82" s="59" t="str">
        <f t="shared" si="24"/>
        <v>-</v>
      </c>
      <c r="BH82" s="59" t="str">
        <f>IF(AND(N82&gt;0,AK82&gt;0),MIN(N82,AK82),"-")</f>
        <v>-</v>
      </c>
      <c r="BI82" s="59" t="str">
        <f>IF(AND(O82&gt;0,AL82&gt;0),MIN(O82,AL82),"-")</f>
        <v>-</v>
      </c>
      <c r="BJ82" s="59" t="str">
        <f>IF(AND(P82&gt;0,AM82&gt;0),MIN(P82,AM82),"-")</f>
        <v>-</v>
      </c>
      <c r="BK82" s="59" t="str">
        <f>IF(AND(Q82&gt;0,AN82&gt;0),MIN(Q82,AN82),"-")</f>
        <v>-</v>
      </c>
      <c r="BL82" s="59" t="str">
        <f>IF(AND(R82&gt;0,AO82&gt;0),MIN(R82,AO82),"-")</f>
        <v>-</v>
      </c>
      <c r="BM82" s="59" t="str">
        <f>IF(AND(S82&gt;0,AP82&gt;0),MIN(S82,AP82),"-")</f>
        <v>-</v>
      </c>
      <c r="BN82" s="59" t="str">
        <f>IF(AND(T82&gt;0,AQ82&gt;0),MIN(T82,AQ82),"-")</f>
        <v>-</v>
      </c>
      <c r="BO82" s="59" t="str">
        <f>IF(AND(U82&gt;0,AR82&gt;0),MIN(U82,AR82),"-")</f>
        <v>-</v>
      </c>
      <c r="BP82" s="59" t="str">
        <f>IF(AND(V82&gt;0,AS82&gt;0),MIN(V82,AS82),"-")</f>
        <v>-</v>
      </c>
      <c r="BQ82" s="59" t="str">
        <f t="shared" si="25"/>
        <v>-</v>
      </c>
      <c r="BR82" s="59" t="str">
        <f t="shared" si="26"/>
        <v>-</v>
      </c>
      <c r="BS82" s="59" t="str">
        <f t="shared" si="27"/>
        <v>-</v>
      </c>
      <c r="BT82" s="98" t="str">
        <f>IF(ISNUMBER(BS82),BS82-(C82*Rules!$P$9/100),"-")</f>
        <v>-</v>
      </c>
      <c r="BU82" s="59" t="e">
        <f>RANK($BT82,$BT$5:$BT$106,1)+COUNTIF(BT$5:BT82,BT82)-1</f>
        <v>#VALUE!</v>
      </c>
      <c r="BV82" s="59" t="e">
        <f t="shared" si="28"/>
        <v>#VALUE!</v>
      </c>
      <c r="BW82" s="59" t="str">
        <f t="shared" si="29"/>
        <v xml:space="preserve"> </v>
      </c>
      <c r="BX82" s="59" t="str">
        <f t="shared" si="29"/>
        <v>-</v>
      </c>
      <c r="BY82" s="59" t="str">
        <f t="shared" si="30"/>
        <v>-</v>
      </c>
      <c r="CC82" s="4">
        <v>78</v>
      </c>
      <c r="CD82" s="2" t="e">
        <f>VLOOKUP(CC82,$BV$5:BY$215,1,FALSE)</f>
        <v>#N/A</v>
      </c>
      <c r="CE82" s="6" t="e">
        <f>VLOOKUP(CC82,$BV$5:BY$215,2,FALSE)</f>
        <v>#N/A</v>
      </c>
      <c r="CF82" s="103" t="e">
        <f>VLOOKUP(CC82,$BV$5:BY$215,4,FALSE)</f>
        <v>#N/A</v>
      </c>
      <c r="CL82" s="77">
        <v>1</v>
      </c>
    </row>
    <row r="83" spans="1:90" ht="17.45" customHeight="1">
      <c r="A83" s="58">
        <v>79</v>
      </c>
      <c r="B83" s="59" t="str">
        <f>'C Div'!A83 &amp; " " &amp; 'C Div'!B83</f>
        <v xml:space="preserve"> </v>
      </c>
      <c r="C83" s="59" t="str">
        <f>'C Div'!E83</f>
        <v>-</v>
      </c>
      <c r="D83" s="60"/>
      <c r="E83" s="60"/>
      <c r="F83" s="60"/>
      <c r="G83" s="60"/>
      <c r="H83" s="60"/>
      <c r="I83" s="60"/>
      <c r="J83" s="60"/>
      <c r="K83" s="60"/>
      <c r="L83" s="60"/>
      <c r="M83" s="74" t="str">
        <f t="shared" si="16"/>
        <v>-</v>
      </c>
      <c r="N83" s="60"/>
      <c r="O83" s="60"/>
      <c r="P83" s="60"/>
      <c r="Q83" s="60"/>
      <c r="R83" s="60"/>
      <c r="S83" s="60"/>
      <c r="T83" s="60"/>
      <c r="U83" s="60"/>
      <c r="V83" s="60"/>
      <c r="W83" s="74" t="str">
        <f t="shared" si="17"/>
        <v>-</v>
      </c>
      <c r="X83" s="155" t="str">
        <f t="shared" si="18"/>
        <v>-</v>
      </c>
      <c r="Y83" s="156" t="str">
        <f t="shared" si="19"/>
        <v>-</v>
      </c>
      <c r="AA83" s="60"/>
      <c r="AB83" s="60"/>
      <c r="AC83" s="60"/>
      <c r="AD83" s="60"/>
      <c r="AE83" s="60"/>
      <c r="AF83" s="60"/>
      <c r="AG83" s="60"/>
      <c r="AH83" s="60"/>
      <c r="AI83" s="60"/>
      <c r="AJ83" s="74" t="str">
        <f t="shared" si="20"/>
        <v>-</v>
      </c>
      <c r="AK83" s="60"/>
      <c r="AL83" s="60"/>
      <c r="AM83" s="60"/>
      <c r="AN83" s="60"/>
      <c r="AO83" s="60"/>
      <c r="AP83" s="60"/>
      <c r="AQ83" s="60"/>
      <c r="AR83" s="60"/>
      <c r="AS83" s="60"/>
      <c r="AT83" s="74" t="str">
        <f t="shared" si="21"/>
        <v>-</v>
      </c>
      <c r="AU83" s="155" t="str">
        <f t="shared" si="22"/>
        <v>-</v>
      </c>
      <c r="AV83" s="156" t="str">
        <f t="shared" si="23"/>
        <v>-</v>
      </c>
      <c r="AX83" s="59" t="str">
        <f>IF(AND(D83&gt;0,AA83&gt;0),MIN(D83,AA83),"-")</f>
        <v>-</v>
      </c>
      <c r="AY83" s="59" t="str">
        <f>IF(AND(E83&gt;0,AB83&gt;0),MIN(E83,AB83),"-")</f>
        <v>-</v>
      </c>
      <c r="AZ83" s="59" t="str">
        <f>IF(AND(F83&gt;0,AC83&gt;0),MIN(F83,AC83),"-")</f>
        <v>-</v>
      </c>
      <c r="BA83" s="59" t="str">
        <f>IF(AND(G83&gt;0,AD83&gt;0),MIN(G83,AD83),"-")</f>
        <v>-</v>
      </c>
      <c r="BB83" s="59" t="str">
        <f>IF(AND(H83&gt;0,AE83&gt;0),MIN(H83,AE83),"-")</f>
        <v>-</v>
      </c>
      <c r="BC83" s="59" t="str">
        <f>IF(AND(I83&gt;0,AF83&gt;0),MIN(I83,AF83),"-")</f>
        <v>-</v>
      </c>
      <c r="BD83" s="59" t="str">
        <f>IF(AND(J83&gt;0,AG83&gt;0),MIN(J83,AG83),"-")</f>
        <v>-</v>
      </c>
      <c r="BE83" s="59" t="str">
        <f>IF(AND(K83&gt;0,AH83&gt;0),MIN(K83,AH83),"-")</f>
        <v>-</v>
      </c>
      <c r="BF83" s="59" t="str">
        <f>IF(AND(L83&gt;0,AI83&gt;0),MIN(L83,AI83),"-")</f>
        <v>-</v>
      </c>
      <c r="BG83" s="59" t="str">
        <f t="shared" si="24"/>
        <v>-</v>
      </c>
      <c r="BH83" s="59" t="str">
        <f>IF(AND(N83&gt;0,AK83&gt;0),MIN(N83,AK83),"-")</f>
        <v>-</v>
      </c>
      <c r="BI83" s="59" t="str">
        <f>IF(AND(O83&gt;0,AL83&gt;0),MIN(O83,AL83),"-")</f>
        <v>-</v>
      </c>
      <c r="BJ83" s="59" t="str">
        <f>IF(AND(P83&gt;0,AM83&gt;0),MIN(P83,AM83),"-")</f>
        <v>-</v>
      </c>
      <c r="BK83" s="59" t="str">
        <f>IF(AND(Q83&gt;0,AN83&gt;0),MIN(Q83,AN83),"-")</f>
        <v>-</v>
      </c>
      <c r="BL83" s="59" t="str">
        <f>IF(AND(R83&gt;0,AO83&gt;0),MIN(R83,AO83),"-")</f>
        <v>-</v>
      </c>
      <c r="BM83" s="59" t="str">
        <f>IF(AND(S83&gt;0,AP83&gt;0),MIN(S83,AP83),"-")</f>
        <v>-</v>
      </c>
      <c r="BN83" s="59" t="str">
        <f>IF(AND(T83&gt;0,AQ83&gt;0),MIN(T83,AQ83),"-")</f>
        <v>-</v>
      </c>
      <c r="BO83" s="59" t="str">
        <f>IF(AND(U83&gt;0,AR83&gt;0),MIN(U83,AR83),"-")</f>
        <v>-</v>
      </c>
      <c r="BP83" s="59" t="str">
        <f>IF(AND(V83&gt;0,AS83&gt;0),MIN(V83,AS83),"-")</f>
        <v>-</v>
      </c>
      <c r="BQ83" s="59" t="str">
        <f t="shared" si="25"/>
        <v>-</v>
      </c>
      <c r="BR83" s="59" t="str">
        <f t="shared" si="26"/>
        <v>-</v>
      </c>
      <c r="BS83" s="59" t="str">
        <f t="shared" si="27"/>
        <v>-</v>
      </c>
      <c r="BT83" s="98" t="str">
        <f>IF(ISNUMBER(BS83),BS83-(C83*Rules!$P$9/100),"-")</f>
        <v>-</v>
      </c>
      <c r="BU83" s="59" t="e">
        <f>RANK($BT83,$BT$5:$BT$106,1)+COUNTIF(BT$5:BT83,BT83)-1</f>
        <v>#VALUE!</v>
      </c>
      <c r="BV83" s="59" t="e">
        <f t="shared" si="28"/>
        <v>#VALUE!</v>
      </c>
      <c r="BW83" s="59" t="str">
        <f t="shared" si="29"/>
        <v xml:space="preserve"> </v>
      </c>
      <c r="BX83" s="59" t="str">
        <f t="shared" si="29"/>
        <v>-</v>
      </c>
      <c r="BY83" s="59" t="str">
        <f t="shared" si="30"/>
        <v>-</v>
      </c>
      <c r="CC83" s="4">
        <v>79</v>
      </c>
      <c r="CD83" s="2" t="e">
        <f>VLOOKUP(CC83,$BV$5:BY$215,1,FALSE)</f>
        <v>#N/A</v>
      </c>
      <c r="CE83" s="6" t="e">
        <f>VLOOKUP(CC83,$BV$5:BY$215,2,FALSE)</f>
        <v>#N/A</v>
      </c>
      <c r="CF83" s="103" t="e">
        <f>VLOOKUP(CC83,$BV$5:BY$215,4,FALSE)</f>
        <v>#N/A</v>
      </c>
      <c r="CL83" s="77">
        <v>1</v>
      </c>
    </row>
    <row r="84" spans="1:90" ht="17.45" customHeight="1">
      <c r="A84" s="58">
        <v>80</v>
      </c>
      <c r="B84" s="59" t="str">
        <f>'C Div'!A84 &amp; " " &amp; 'C Div'!B84</f>
        <v xml:space="preserve"> </v>
      </c>
      <c r="C84" s="59" t="str">
        <f>'C Div'!E84</f>
        <v>-</v>
      </c>
      <c r="D84" s="60"/>
      <c r="E84" s="60"/>
      <c r="F84" s="60"/>
      <c r="G84" s="60"/>
      <c r="H84" s="60"/>
      <c r="I84" s="60"/>
      <c r="J84" s="60"/>
      <c r="K84" s="60"/>
      <c r="L84" s="60"/>
      <c r="M84" s="74" t="str">
        <f t="shared" si="16"/>
        <v>-</v>
      </c>
      <c r="N84" s="60"/>
      <c r="O84" s="60"/>
      <c r="P84" s="60"/>
      <c r="Q84" s="60"/>
      <c r="R84" s="60"/>
      <c r="S84" s="60"/>
      <c r="T84" s="60"/>
      <c r="U84" s="60"/>
      <c r="V84" s="60"/>
      <c r="W84" s="74" t="str">
        <f t="shared" si="17"/>
        <v>-</v>
      </c>
      <c r="X84" s="155" t="str">
        <f t="shared" si="18"/>
        <v>-</v>
      </c>
      <c r="Y84" s="156" t="str">
        <f t="shared" si="19"/>
        <v>-</v>
      </c>
      <c r="AA84" s="60"/>
      <c r="AB84" s="60"/>
      <c r="AC84" s="60"/>
      <c r="AD84" s="60"/>
      <c r="AE84" s="60"/>
      <c r="AF84" s="60"/>
      <c r="AG84" s="60"/>
      <c r="AH84" s="60"/>
      <c r="AI84" s="60"/>
      <c r="AJ84" s="74" t="str">
        <f t="shared" si="20"/>
        <v>-</v>
      </c>
      <c r="AK84" s="60"/>
      <c r="AL84" s="60"/>
      <c r="AM84" s="60"/>
      <c r="AN84" s="60"/>
      <c r="AO84" s="60"/>
      <c r="AP84" s="60"/>
      <c r="AQ84" s="60"/>
      <c r="AR84" s="60"/>
      <c r="AS84" s="60"/>
      <c r="AT84" s="74" t="str">
        <f t="shared" si="21"/>
        <v>-</v>
      </c>
      <c r="AU84" s="155" t="str">
        <f t="shared" si="22"/>
        <v>-</v>
      </c>
      <c r="AV84" s="156" t="str">
        <f t="shared" si="23"/>
        <v>-</v>
      </c>
      <c r="AX84" s="59" t="str">
        <f>IF(AND(D84&gt;0,AA84&gt;0),MIN(D84,AA84),"-")</f>
        <v>-</v>
      </c>
      <c r="AY84" s="59" t="str">
        <f>IF(AND(E84&gt;0,AB84&gt;0),MIN(E84,AB84),"-")</f>
        <v>-</v>
      </c>
      <c r="AZ84" s="59" t="str">
        <f>IF(AND(F84&gt;0,AC84&gt;0),MIN(F84,AC84),"-")</f>
        <v>-</v>
      </c>
      <c r="BA84" s="59" t="str">
        <f>IF(AND(G84&gt;0,AD84&gt;0),MIN(G84,AD84),"-")</f>
        <v>-</v>
      </c>
      <c r="BB84" s="59" t="str">
        <f>IF(AND(H84&gt;0,AE84&gt;0),MIN(H84,AE84),"-")</f>
        <v>-</v>
      </c>
      <c r="BC84" s="59" t="str">
        <f>IF(AND(I84&gt;0,AF84&gt;0),MIN(I84,AF84),"-")</f>
        <v>-</v>
      </c>
      <c r="BD84" s="59" t="str">
        <f>IF(AND(J84&gt;0,AG84&gt;0),MIN(J84,AG84),"-")</f>
        <v>-</v>
      </c>
      <c r="BE84" s="59" t="str">
        <f>IF(AND(K84&gt;0,AH84&gt;0),MIN(K84,AH84),"-")</f>
        <v>-</v>
      </c>
      <c r="BF84" s="59" t="str">
        <f>IF(AND(L84&gt;0,AI84&gt;0),MIN(L84,AI84),"-")</f>
        <v>-</v>
      </c>
      <c r="BG84" s="59" t="str">
        <f t="shared" si="24"/>
        <v>-</v>
      </c>
      <c r="BH84" s="59" t="str">
        <f>IF(AND(N84&gt;0,AK84&gt;0),MIN(N84,AK84),"-")</f>
        <v>-</v>
      </c>
      <c r="BI84" s="59" t="str">
        <f>IF(AND(O84&gt;0,AL84&gt;0),MIN(O84,AL84),"-")</f>
        <v>-</v>
      </c>
      <c r="BJ84" s="59" t="str">
        <f>IF(AND(P84&gt;0,AM84&gt;0),MIN(P84,AM84),"-")</f>
        <v>-</v>
      </c>
      <c r="BK84" s="59" t="str">
        <f>IF(AND(Q84&gt;0,AN84&gt;0),MIN(Q84,AN84),"-")</f>
        <v>-</v>
      </c>
      <c r="BL84" s="59" t="str">
        <f>IF(AND(R84&gt;0,AO84&gt;0),MIN(R84,AO84),"-")</f>
        <v>-</v>
      </c>
      <c r="BM84" s="59" t="str">
        <f>IF(AND(S84&gt;0,AP84&gt;0),MIN(S84,AP84),"-")</f>
        <v>-</v>
      </c>
      <c r="BN84" s="59" t="str">
        <f>IF(AND(T84&gt;0,AQ84&gt;0),MIN(T84,AQ84),"-")</f>
        <v>-</v>
      </c>
      <c r="BO84" s="59" t="str">
        <f>IF(AND(U84&gt;0,AR84&gt;0),MIN(U84,AR84),"-")</f>
        <v>-</v>
      </c>
      <c r="BP84" s="59" t="str">
        <f>IF(AND(V84&gt;0,AS84&gt;0),MIN(V84,AS84),"-")</f>
        <v>-</v>
      </c>
      <c r="BQ84" s="59" t="str">
        <f t="shared" si="25"/>
        <v>-</v>
      </c>
      <c r="BR84" s="59" t="str">
        <f t="shared" si="26"/>
        <v>-</v>
      </c>
      <c r="BS84" s="59" t="str">
        <f t="shared" si="27"/>
        <v>-</v>
      </c>
      <c r="BT84" s="98" t="str">
        <f>IF(ISNUMBER(BS84),BS84-(C84*Rules!$P$9/100),"-")</f>
        <v>-</v>
      </c>
      <c r="BU84" s="59" t="e">
        <f>RANK($BT84,$BT$5:$BT$106,1)+COUNTIF(BT$5:BT84,BT84)-1</f>
        <v>#VALUE!</v>
      </c>
      <c r="BV84" s="59" t="e">
        <f t="shared" si="28"/>
        <v>#VALUE!</v>
      </c>
      <c r="BW84" s="59" t="str">
        <f t="shared" si="29"/>
        <v xml:space="preserve"> </v>
      </c>
      <c r="BX84" s="59" t="str">
        <f t="shared" si="29"/>
        <v>-</v>
      </c>
      <c r="BY84" s="59" t="str">
        <f t="shared" si="30"/>
        <v>-</v>
      </c>
      <c r="CC84" s="4">
        <v>80</v>
      </c>
      <c r="CD84" s="2" t="e">
        <f>VLOOKUP(CC84,$BV$5:BY$215,1,FALSE)</f>
        <v>#N/A</v>
      </c>
      <c r="CE84" s="6" t="e">
        <f>VLOOKUP(CC84,$BV$5:BY$215,2,FALSE)</f>
        <v>#N/A</v>
      </c>
      <c r="CF84" s="103" t="e">
        <f>VLOOKUP(CC84,$BV$5:BY$215,4,FALSE)</f>
        <v>#N/A</v>
      </c>
      <c r="CL84" s="77">
        <v>1</v>
      </c>
    </row>
    <row r="85" spans="1:90" ht="17.45" customHeight="1">
      <c r="A85" s="58">
        <v>81</v>
      </c>
      <c r="B85" s="59" t="str">
        <f>'C Div'!A85 &amp; " " &amp; 'C Div'!B85</f>
        <v xml:space="preserve"> </v>
      </c>
      <c r="C85" s="59" t="str">
        <f>'C Div'!E85</f>
        <v>-</v>
      </c>
      <c r="D85" s="60"/>
      <c r="E85" s="60"/>
      <c r="F85" s="60"/>
      <c r="G85" s="60"/>
      <c r="H85" s="60"/>
      <c r="I85" s="60"/>
      <c r="J85" s="60"/>
      <c r="K85" s="60"/>
      <c r="L85" s="60"/>
      <c r="M85" s="74" t="str">
        <f t="shared" si="16"/>
        <v>-</v>
      </c>
      <c r="N85" s="60"/>
      <c r="O85" s="60"/>
      <c r="P85" s="60"/>
      <c r="Q85" s="60"/>
      <c r="R85" s="60"/>
      <c r="S85" s="60"/>
      <c r="T85" s="60"/>
      <c r="U85" s="60"/>
      <c r="V85" s="60"/>
      <c r="W85" s="74" t="str">
        <f t="shared" si="17"/>
        <v>-</v>
      </c>
      <c r="X85" s="155" t="str">
        <f t="shared" si="18"/>
        <v>-</v>
      </c>
      <c r="Y85" s="156" t="str">
        <f t="shared" si="19"/>
        <v>-</v>
      </c>
      <c r="AA85" s="60"/>
      <c r="AB85" s="60"/>
      <c r="AC85" s="60"/>
      <c r="AD85" s="60"/>
      <c r="AE85" s="60"/>
      <c r="AF85" s="60"/>
      <c r="AG85" s="60"/>
      <c r="AH85" s="60"/>
      <c r="AI85" s="60"/>
      <c r="AJ85" s="74" t="str">
        <f t="shared" si="20"/>
        <v>-</v>
      </c>
      <c r="AK85" s="60"/>
      <c r="AL85" s="60"/>
      <c r="AM85" s="60"/>
      <c r="AN85" s="60"/>
      <c r="AO85" s="60"/>
      <c r="AP85" s="60"/>
      <c r="AQ85" s="60"/>
      <c r="AR85" s="60"/>
      <c r="AS85" s="60"/>
      <c r="AT85" s="74" t="str">
        <f t="shared" si="21"/>
        <v>-</v>
      </c>
      <c r="AU85" s="155" t="str">
        <f t="shared" si="22"/>
        <v>-</v>
      </c>
      <c r="AV85" s="156" t="str">
        <f t="shared" si="23"/>
        <v>-</v>
      </c>
      <c r="AX85" s="59" t="str">
        <f>IF(AND(D85&gt;0,AA85&gt;0),MIN(D85,AA85),"-")</f>
        <v>-</v>
      </c>
      <c r="AY85" s="59" t="str">
        <f>IF(AND(E85&gt;0,AB85&gt;0),MIN(E85,AB85),"-")</f>
        <v>-</v>
      </c>
      <c r="AZ85" s="59" t="str">
        <f>IF(AND(F85&gt;0,AC85&gt;0),MIN(F85,AC85),"-")</f>
        <v>-</v>
      </c>
      <c r="BA85" s="59" t="str">
        <f>IF(AND(G85&gt;0,AD85&gt;0),MIN(G85,AD85),"-")</f>
        <v>-</v>
      </c>
      <c r="BB85" s="59" t="str">
        <f>IF(AND(H85&gt;0,AE85&gt;0),MIN(H85,AE85),"-")</f>
        <v>-</v>
      </c>
      <c r="BC85" s="59" t="str">
        <f>IF(AND(I85&gt;0,AF85&gt;0),MIN(I85,AF85),"-")</f>
        <v>-</v>
      </c>
      <c r="BD85" s="59" t="str">
        <f>IF(AND(J85&gt;0,AG85&gt;0),MIN(J85,AG85),"-")</f>
        <v>-</v>
      </c>
      <c r="BE85" s="59" t="str">
        <f>IF(AND(K85&gt;0,AH85&gt;0),MIN(K85,AH85),"-")</f>
        <v>-</v>
      </c>
      <c r="BF85" s="59" t="str">
        <f>IF(AND(L85&gt;0,AI85&gt;0),MIN(L85,AI85),"-")</f>
        <v>-</v>
      </c>
      <c r="BG85" s="59" t="str">
        <f t="shared" si="24"/>
        <v>-</v>
      </c>
      <c r="BH85" s="59" t="str">
        <f>IF(AND(N85&gt;0,AK85&gt;0),MIN(N85,AK85),"-")</f>
        <v>-</v>
      </c>
      <c r="BI85" s="59" t="str">
        <f>IF(AND(O85&gt;0,AL85&gt;0),MIN(O85,AL85),"-")</f>
        <v>-</v>
      </c>
      <c r="BJ85" s="59" t="str">
        <f>IF(AND(P85&gt;0,AM85&gt;0),MIN(P85,AM85),"-")</f>
        <v>-</v>
      </c>
      <c r="BK85" s="59" t="str">
        <f>IF(AND(Q85&gt;0,AN85&gt;0),MIN(Q85,AN85),"-")</f>
        <v>-</v>
      </c>
      <c r="BL85" s="59" t="str">
        <f>IF(AND(R85&gt;0,AO85&gt;0),MIN(R85,AO85),"-")</f>
        <v>-</v>
      </c>
      <c r="BM85" s="59" t="str">
        <f>IF(AND(S85&gt;0,AP85&gt;0),MIN(S85,AP85),"-")</f>
        <v>-</v>
      </c>
      <c r="BN85" s="59" t="str">
        <f>IF(AND(T85&gt;0,AQ85&gt;0),MIN(T85,AQ85),"-")</f>
        <v>-</v>
      </c>
      <c r="BO85" s="59" t="str">
        <f>IF(AND(U85&gt;0,AR85&gt;0),MIN(U85,AR85),"-")</f>
        <v>-</v>
      </c>
      <c r="BP85" s="59" t="str">
        <f>IF(AND(V85&gt;0,AS85&gt;0),MIN(V85,AS85),"-")</f>
        <v>-</v>
      </c>
      <c r="BQ85" s="59" t="str">
        <f t="shared" si="25"/>
        <v>-</v>
      </c>
      <c r="BR85" s="59" t="str">
        <f t="shared" si="26"/>
        <v>-</v>
      </c>
      <c r="BS85" s="59" t="str">
        <f t="shared" si="27"/>
        <v>-</v>
      </c>
      <c r="BT85" s="98" t="str">
        <f>IF(ISNUMBER(BS85),BS85-(C85*Rules!$P$9/100),"-")</f>
        <v>-</v>
      </c>
      <c r="BU85" s="59" t="e">
        <f>RANK($BT85,$BT$5:$BT$106,1)+COUNTIF(BT$5:BT85,BT85)-1</f>
        <v>#VALUE!</v>
      </c>
      <c r="BV85" s="59" t="e">
        <f t="shared" si="28"/>
        <v>#VALUE!</v>
      </c>
      <c r="BW85" s="59" t="str">
        <f t="shared" si="29"/>
        <v xml:space="preserve"> </v>
      </c>
      <c r="BX85" s="59" t="str">
        <f t="shared" si="29"/>
        <v>-</v>
      </c>
      <c r="BY85" s="59" t="str">
        <f t="shared" si="30"/>
        <v>-</v>
      </c>
      <c r="CC85" s="4">
        <v>81</v>
      </c>
      <c r="CD85" s="2" t="e">
        <f>VLOOKUP(CC85,$BV$5:BY$215,1,FALSE)</f>
        <v>#N/A</v>
      </c>
      <c r="CE85" s="6" t="e">
        <f>VLOOKUP(CC85,$BV$5:BY$215,2,FALSE)</f>
        <v>#N/A</v>
      </c>
      <c r="CF85" s="103" t="e">
        <f>VLOOKUP(CC85,$BV$5:BY$215,4,FALSE)</f>
        <v>#N/A</v>
      </c>
      <c r="CL85" s="77">
        <v>1</v>
      </c>
    </row>
    <row r="86" spans="1:90" ht="17.45" customHeight="1">
      <c r="A86" s="58">
        <v>82</v>
      </c>
      <c r="B86" s="59" t="str">
        <f>'C Div'!A86 &amp; " " &amp; 'C Div'!B86</f>
        <v xml:space="preserve"> </v>
      </c>
      <c r="C86" s="59" t="str">
        <f>'C Div'!E86</f>
        <v>-</v>
      </c>
      <c r="D86" s="60"/>
      <c r="E86" s="60"/>
      <c r="F86" s="60"/>
      <c r="G86" s="60"/>
      <c r="H86" s="60"/>
      <c r="I86" s="60"/>
      <c r="J86" s="60"/>
      <c r="K86" s="60"/>
      <c r="L86" s="60"/>
      <c r="M86" s="74" t="str">
        <f t="shared" si="16"/>
        <v>-</v>
      </c>
      <c r="N86" s="60"/>
      <c r="O86" s="60"/>
      <c r="P86" s="60"/>
      <c r="Q86" s="60"/>
      <c r="R86" s="60"/>
      <c r="S86" s="60"/>
      <c r="T86" s="60"/>
      <c r="U86" s="60"/>
      <c r="V86" s="60"/>
      <c r="W86" s="74" t="str">
        <f t="shared" si="17"/>
        <v>-</v>
      </c>
      <c r="X86" s="155" t="str">
        <f t="shared" si="18"/>
        <v>-</v>
      </c>
      <c r="Y86" s="156" t="str">
        <f t="shared" si="19"/>
        <v>-</v>
      </c>
      <c r="AA86" s="60"/>
      <c r="AB86" s="60"/>
      <c r="AC86" s="60"/>
      <c r="AD86" s="60"/>
      <c r="AE86" s="60"/>
      <c r="AF86" s="60"/>
      <c r="AG86" s="60"/>
      <c r="AH86" s="60"/>
      <c r="AI86" s="60"/>
      <c r="AJ86" s="74" t="str">
        <f t="shared" si="20"/>
        <v>-</v>
      </c>
      <c r="AK86" s="60"/>
      <c r="AL86" s="60"/>
      <c r="AM86" s="60"/>
      <c r="AN86" s="60"/>
      <c r="AO86" s="60"/>
      <c r="AP86" s="60"/>
      <c r="AQ86" s="60"/>
      <c r="AR86" s="60"/>
      <c r="AS86" s="60"/>
      <c r="AT86" s="74" t="str">
        <f t="shared" si="21"/>
        <v>-</v>
      </c>
      <c r="AU86" s="155" t="str">
        <f t="shared" si="22"/>
        <v>-</v>
      </c>
      <c r="AV86" s="156" t="str">
        <f t="shared" si="23"/>
        <v>-</v>
      </c>
      <c r="AX86" s="59" t="str">
        <f>IF(AND(D86&gt;0,AA86&gt;0),MIN(D86,AA86),"-")</f>
        <v>-</v>
      </c>
      <c r="AY86" s="59" t="str">
        <f>IF(AND(E86&gt;0,AB86&gt;0),MIN(E86,AB86),"-")</f>
        <v>-</v>
      </c>
      <c r="AZ86" s="59" t="str">
        <f>IF(AND(F86&gt;0,AC86&gt;0),MIN(F86,AC86),"-")</f>
        <v>-</v>
      </c>
      <c r="BA86" s="59" t="str">
        <f>IF(AND(G86&gt;0,AD86&gt;0),MIN(G86,AD86),"-")</f>
        <v>-</v>
      </c>
      <c r="BB86" s="59" t="str">
        <f>IF(AND(H86&gt;0,AE86&gt;0),MIN(H86,AE86),"-")</f>
        <v>-</v>
      </c>
      <c r="BC86" s="59" t="str">
        <f>IF(AND(I86&gt;0,AF86&gt;0),MIN(I86,AF86),"-")</f>
        <v>-</v>
      </c>
      <c r="BD86" s="59" t="str">
        <f>IF(AND(J86&gt;0,AG86&gt;0),MIN(J86,AG86),"-")</f>
        <v>-</v>
      </c>
      <c r="BE86" s="59" t="str">
        <f>IF(AND(K86&gt;0,AH86&gt;0),MIN(K86,AH86),"-")</f>
        <v>-</v>
      </c>
      <c r="BF86" s="59" t="str">
        <f>IF(AND(L86&gt;0,AI86&gt;0),MIN(L86,AI86),"-")</f>
        <v>-</v>
      </c>
      <c r="BG86" s="59" t="str">
        <f t="shared" si="24"/>
        <v>-</v>
      </c>
      <c r="BH86" s="59" t="str">
        <f>IF(AND(N86&gt;0,AK86&gt;0),MIN(N86,AK86),"-")</f>
        <v>-</v>
      </c>
      <c r="BI86" s="59" t="str">
        <f>IF(AND(O86&gt;0,AL86&gt;0),MIN(O86,AL86),"-")</f>
        <v>-</v>
      </c>
      <c r="BJ86" s="59" t="str">
        <f>IF(AND(P86&gt;0,AM86&gt;0),MIN(P86,AM86),"-")</f>
        <v>-</v>
      </c>
      <c r="BK86" s="59" t="str">
        <f>IF(AND(Q86&gt;0,AN86&gt;0),MIN(Q86,AN86),"-")</f>
        <v>-</v>
      </c>
      <c r="BL86" s="59" t="str">
        <f>IF(AND(R86&gt;0,AO86&gt;0),MIN(R86,AO86),"-")</f>
        <v>-</v>
      </c>
      <c r="BM86" s="59" t="str">
        <f>IF(AND(S86&gt;0,AP86&gt;0),MIN(S86,AP86),"-")</f>
        <v>-</v>
      </c>
      <c r="BN86" s="59" t="str">
        <f>IF(AND(T86&gt;0,AQ86&gt;0),MIN(T86,AQ86),"-")</f>
        <v>-</v>
      </c>
      <c r="BO86" s="59" t="str">
        <f>IF(AND(U86&gt;0,AR86&gt;0),MIN(U86,AR86),"-")</f>
        <v>-</v>
      </c>
      <c r="BP86" s="59" t="str">
        <f>IF(AND(V86&gt;0,AS86&gt;0),MIN(V86,AS86),"-")</f>
        <v>-</v>
      </c>
      <c r="BQ86" s="59" t="str">
        <f t="shared" si="25"/>
        <v>-</v>
      </c>
      <c r="BR86" s="59" t="str">
        <f t="shared" si="26"/>
        <v>-</v>
      </c>
      <c r="BS86" s="59" t="str">
        <f t="shared" si="27"/>
        <v>-</v>
      </c>
      <c r="BT86" s="98" t="str">
        <f>IF(ISNUMBER(BS86),BS86-(C86*Rules!$P$9/100),"-")</f>
        <v>-</v>
      </c>
      <c r="BU86" s="59" t="e">
        <f>RANK($BT86,$BT$5:$BT$106,1)+COUNTIF(BT$5:BT86,BT86)-1</f>
        <v>#VALUE!</v>
      </c>
      <c r="BV86" s="59" t="e">
        <f t="shared" si="28"/>
        <v>#VALUE!</v>
      </c>
      <c r="BW86" s="59" t="str">
        <f t="shared" si="29"/>
        <v xml:space="preserve"> </v>
      </c>
      <c r="BX86" s="59" t="str">
        <f t="shared" si="29"/>
        <v>-</v>
      </c>
      <c r="BY86" s="59" t="str">
        <f t="shared" si="30"/>
        <v>-</v>
      </c>
      <c r="CC86" s="4">
        <v>82</v>
      </c>
      <c r="CD86" s="2" t="e">
        <f>VLOOKUP(CC86,$BV$5:BY$215,1,FALSE)</f>
        <v>#N/A</v>
      </c>
      <c r="CE86" s="6" t="e">
        <f>VLOOKUP(CC86,$BV$5:BY$215,2,FALSE)</f>
        <v>#N/A</v>
      </c>
      <c r="CF86" s="103" t="e">
        <f>VLOOKUP(CC86,$BV$5:BY$215,4,FALSE)</f>
        <v>#N/A</v>
      </c>
      <c r="CL86" s="77">
        <v>1</v>
      </c>
    </row>
    <row r="87" spans="1:90" ht="17.45" customHeight="1">
      <c r="A87" s="58">
        <v>83</v>
      </c>
      <c r="B87" s="59" t="str">
        <f>'C Div'!A87 &amp; " " &amp; 'C Div'!B87</f>
        <v xml:space="preserve"> </v>
      </c>
      <c r="C87" s="59" t="str">
        <f>'C Div'!E87</f>
        <v>-</v>
      </c>
      <c r="D87" s="60"/>
      <c r="E87" s="60"/>
      <c r="F87" s="60"/>
      <c r="G87" s="60"/>
      <c r="H87" s="60"/>
      <c r="I87" s="60"/>
      <c r="J87" s="60"/>
      <c r="K87" s="60"/>
      <c r="L87" s="60"/>
      <c r="M87" s="74" t="str">
        <f t="shared" si="16"/>
        <v>-</v>
      </c>
      <c r="N87" s="60"/>
      <c r="O87" s="60"/>
      <c r="P87" s="60"/>
      <c r="Q87" s="60"/>
      <c r="R87" s="60"/>
      <c r="S87" s="60"/>
      <c r="T87" s="60"/>
      <c r="U87" s="60"/>
      <c r="V87" s="60"/>
      <c r="W87" s="74" t="str">
        <f t="shared" si="17"/>
        <v>-</v>
      </c>
      <c r="X87" s="155" t="str">
        <f t="shared" si="18"/>
        <v>-</v>
      </c>
      <c r="Y87" s="156" t="str">
        <f t="shared" si="19"/>
        <v>-</v>
      </c>
      <c r="AA87" s="60"/>
      <c r="AB87" s="60"/>
      <c r="AC87" s="60"/>
      <c r="AD87" s="60"/>
      <c r="AE87" s="60"/>
      <c r="AF87" s="60"/>
      <c r="AG87" s="60"/>
      <c r="AH87" s="60"/>
      <c r="AI87" s="60"/>
      <c r="AJ87" s="74" t="str">
        <f t="shared" si="20"/>
        <v>-</v>
      </c>
      <c r="AK87" s="60"/>
      <c r="AL87" s="60"/>
      <c r="AM87" s="60"/>
      <c r="AN87" s="60"/>
      <c r="AO87" s="60"/>
      <c r="AP87" s="60"/>
      <c r="AQ87" s="60"/>
      <c r="AR87" s="60"/>
      <c r="AS87" s="60"/>
      <c r="AT87" s="74" t="str">
        <f t="shared" si="21"/>
        <v>-</v>
      </c>
      <c r="AU87" s="155" t="str">
        <f t="shared" si="22"/>
        <v>-</v>
      </c>
      <c r="AV87" s="156" t="str">
        <f t="shared" si="23"/>
        <v>-</v>
      </c>
      <c r="AX87" s="59" t="str">
        <f>IF(AND(D87&gt;0,AA87&gt;0),MIN(D87,AA87),"-")</f>
        <v>-</v>
      </c>
      <c r="AY87" s="59" t="str">
        <f>IF(AND(E87&gt;0,AB87&gt;0),MIN(E87,AB87),"-")</f>
        <v>-</v>
      </c>
      <c r="AZ87" s="59" t="str">
        <f>IF(AND(F87&gt;0,AC87&gt;0),MIN(F87,AC87),"-")</f>
        <v>-</v>
      </c>
      <c r="BA87" s="59" t="str">
        <f>IF(AND(G87&gt;0,AD87&gt;0),MIN(G87,AD87),"-")</f>
        <v>-</v>
      </c>
      <c r="BB87" s="59" t="str">
        <f>IF(AND(H87&gt;0,AE87&gt;0),MIN(H87,AE87),"-")</f>
        <v>-</v>
      </c>
      <c r="BC87" s="59" t="str">
        <f>IF(AND(I87&gt;0,AF87&gt;0),MIN(I87,AF87),"-")</f>
        <v>-</v>
      </c>
      <c r="BD87" s="59" t="str">
        <f>IF(AND(J87&gt;0,AG87&gt;0),MIN(J87,AG87),"-")</f>
        <v>-</v>
      </c>
      <c r="BE87" s="59" t="str">
        <f>IF(AND(K87&gt;0,AH87&gt;0),MIN(K87,AH87),"-")</f>
        <v>-</v>
      </c>
      <c r="BF87" s="59" t="str">
        <f>IF(AND(L87&gt;0,AI87&gt;0),MIN(L87,AI87),"-")</f>
        <v>-</v>
      </c>
      <c r="BG87" s="59" t="str">
        <f t="shared" si="24"/>
        <v>-</v>
      </c>
      <c r="BH87" s="59" t="str">
        <f>IF(AND(N87&gt;0,AK87&gt;0),MIN(N87,AK87),"-")</f>
        <v>-</v>
      </c>
      <c r="BI87" s="59" t="str">
        <f>IF(AND(O87&gt;0,AL87&gt;0),MIN(O87,AL87),"-")</f>
        <v>-</v>
      </c>
      <c r="BJ87" s="59" t="str">
        <f>IF(AND(P87&gt;0,AM87&gt;0),MIN(P87,AM87),"-")</f>
        <v>-</v>
      </c>
      <c r="BK87" s="59" t="str">
        <f>IF(AND(Q87&gt;0,AN87&gt;0),MIN(Q87,AN87),"-")</f>
        <v>-</v>
      </c>
      <c r="BL87" s="59" t="str">
        <f>IF(AND(R87&gt;0,AO87&gt;0),MIN(R87,AO87),"-")</f>
        <v>-</v>
      </c>
      <c r="BM87" s="59" t="str">
        <f>IF(AND(S87&gt;0,AP87&gt;0),MIN(S87,AP87),"-")</f>
        <v>-</v>
      </c>
      <c r="BN87" s="59" t="str">
        <f>IF(AND(T87&gt;0,AQ87&gt;0),MIN(T87,AQ87),"-")</f>
        <v>-</v>
      </c>
      <c r="BO87" s="59" t="str">
        <f>IF(AND(U87&gt;0,AR87&gt;0),MIN(U87,AR87),"-")</f>
        <v>-</v>
      </c>
      <c r="BP87" s="59" t="str">
        <f>IF(AND(V87&gt;0,AS87&gt;0),MIN(V87,AS87),"-")</f>
        <v>-</v>
      </c>
      <c r="BQ87" s="59" t="str">
        <f t="shared" si="25"/>
        <v>-</v>
      </c>
      <c r="BR87" s="59" t="str">
        <f t="shared" si="26"/>
        <v>-</v>
      </c>
      <c r="BS87" s="59" t="str">
        <f t="shared" si="27"/>
        <v>-</v>
      </c>
      <c r="BT87" s="98" t="str">
        <f>IF(ISNUMBER(BS87),BS87-(C87*Rules!$P$9/100),"-")</f>
        <v>-</v>
      </c>
      <c r="BU87" s="59" t="e">
        <f>RANK($BT87,$BT$5:$BT$106,1)+COUNTIF(BT$5:BT87,BT87)-1</f>
        <v>#VALUE!</v>
      </c>
      <c r="BV87" s="59" t="e">
        <f t="shared" si="28"/>
        <v>#VALUE!</v>
      </c>
      <c r="BW87" s="59" t="str">
        <f t="shared" si="29"/>
        <v xml:space="preserve"> </v>
      </c>
      <c r="BX87" s="59" t="str">
        <f t="shared" si="29"/>
        <v>-</v>
      </c>
      <c r="BY87" s="59" t="str">
        <f t="shared" si="30"/>
        <v>-</v>
      </c>
      <c r="CC87" s="4">
        <v>83</v>
      </c>
      <c r="CD87" s="2" t="e">
        <f>VLOOKUP(CC87,$BV$5:BY$215,1,FALSE)</f>
        <v>#N/A</v>
      </c>
      <c r="CE87" s="6" t="e">
        <f>VLOOKUP(CC87,$BV$5:BY$215,2,FALSE)</f>
        <v>#N/A</v>
      </c>
      <c r="CF87" s="103" t="e">
        <f>VLOOKUP(CC87,$BV$5:BY$215,4,FALSE)</f>
        <v>#N/A</v>
      </c>
      <c r="CL87" s="77">
        <v>1</v>
      </c>
    </row>
    <row r="88" spans="1:90" ht="17.45" customHeight="1">
      <c r="A88" s="58">
        <v>84</v>
      </c>
      <c r="B88" s="59" t="str">
        <f>'C Div'!A88 &amp; " " &amp; 'C Div'!B88</f>
        <v xml:space="preserve"> </v>
      </c>
      <c r="C88" s="59" t="str">
        <f>'C Div'!E88</f>
        <v>-</v>
      </c>
      <c r="D88" s="60"/>
      <c r="E88" s="60"/>
      <c r="F88" s="60"/>
      <c r="G88" s="60"/>
      <c r="H88" s="60"/>
      <c r="I88" s="60"/>
      <c r="J88" s="60"/>
      <c r="K88" s="60"/>
      <c r="L88" s="60"/>
      <c r="M88" s="74" t="str">
        <f t="shared" si="16"/>
        <v>-</v>
      </c>
      <c r="N88" s="60"/>
      <c r="O88" s="60"/>
      <c r="P88" s="60"/>
      <c r="Q88" s="60"/>
      <c r="R88" s="60"/>
      <c r="S88" s="60"/>
      <c r="T88" s="60"/>
      <c r="U88" s="60"/>
      <c r="V88" s="60"/>
      <c r="W88" s="74" t="str">
        <f t="shared" si="17"/>
        <v>-</v>
      </c>
      <c r="X88" s="155" t="str">
        <f t="shared" si="18"/>
        <v>-</v>
      </c>
      <c r="Y88" s="156" t="str">
        <f t="shared" si="19"/>
        <v>-</v>
      </c>
      <c r="AA88" s="60"/>
      <c r="AB88" s="60"/>
      <c r="AC88" s="60"/>
      <c r="AD88" s="60"/>
      <c r="AE88" s="60"/>
      <c r="AF88" s="60"/>
      <c r="AG88" s="60"/>
      <c r="AH88" s="60"/>
      <c r="AI88" s="60"/>
      <c r="AJ88" s="74" t="str">
        <f t="shared" si="20"/>
        <v>-</v>
      </c>
      <c r="AK88" s="60"/>
      <c r="AL88" s="60"/>
      <c r="AM88" s="60"/>
      <c r="AN88" s="60"/>
      <c r="AO88" s="60"/>
      <c r="AP88" s="60"/>
      <c r="AQ88" s="60"/>
      <c r="AR88" s="60"/>
      <c r="AS88" s="60"/>
      <c r="AT88" s="74" t="str">
        <f t="shared" si="21"/>
        <v>-</v>
      </c>
      <c r="AU88" s="155" t="str">
        <f t="shared" si="22"/>
        <v>-</v>
      </c>
      <c r="AV88" s="156" t="str">
        <f t="shared" si="23"/>
        <v>-</v>
      </c>
      <c r="AX88" s="59" t="str">
        <f>IF(AND(D88&gt;0,AA88&gt;0),MIN(D88,AA88),"-")</f>
        <v>-</v>
      </c>
      <c r="AY88" s="59" t="str">
        <f>IF(AND(E88&gt;0,AB88&gt;0),MIN(E88,AB88),"-")</f>
        <v>-</v>
      </c>
      <c r="AZ88" s="59" t="str">
        <f>IF(AND(F88&gt;0,AC88&gt;0),MIN(F88,AC88),"-")</f>
        <v>-</v>
      </c>
      <c r="BA88" s="59" t="str">
        <f>IF(AND(G88&gt;0,AD88&gt;0),MIN(G88,AD88),"-")</f>
        <v>-</v>
      </c>
      <c r="BB88" s="59" t="str">
        <f>IF(AND(H88&gt;0,AE88&gt;0),MIN(H88,AE88),"-")</f>
        <v>-</v>
      </c>
      <c r="BC88" s="59" t="str">
        <f>IF(AND(I88&gt;0,AF88&gt;0),MIN(I88,AF88),"-")</f>
        <v>-</v>
      </c>
      <c r="BD88" s="59" t="str">
        <f>IF(AND(J88&gt;0,AG88&gt;0),MIN(J88,AG88),"-")</f>
        <v>-</v>
      </c>
      <c r="BE88" s="59" t="str">
        <f>IF(AND(K88&gt;0,AH88&gt;0),MIN(K88,AH88),"-")</f>
        <v>-</v>
      </c>
      <c r="BF88" s="59" t="str">
        <f>IF(AND(L88&gt;0,AI88&gt;0),MIN(L88,AI88),"-")</f>
        <v>-</v>
      </c>
      <c r="BG88" s="59" t="str">
        <f t="shared" si="24"/>
        <v>-</v>
      </c>
      <c r="BH88" s="59" t="str">
        <f>IF(AND(N88&gt;0,AK88&gt;0),MIN(N88,AK88),"-")</f>
        <v>-</v>
      </c>
      <c r="BI88" s="59" t="str">
        <f>IF(AND(O88&gt;0,AL88&gt;0),MIN(O88,AL88),"-")</f>
        <v>-</v>
      </c>
      <c r="BJ88" s="59" t="str">
        <f>IF(AND(P88&gt;0,AM88&gt;0),MIN(P88,AM88),"-")</f>
        <v>-</v>
      </c>
      <c r="BK88" s="59" t="str">
        <f>IF(AND(Q88&gt;0,AN88&gt;0),MIN(Q88,AN88),"-")</f>
        <v>-</v>
      </c>
      <c r="BL88" s="59" t="str">
        <f>IF(AND(R88&gt;0,AO88&gt;0),MIN(R88,AO88),"-")</f>
        <v>-</v>
      </c>
      <c r="BM88" s="59" t="str">
        <f>IF(AND(S88&gt;0,AP88&gt;0),MIN(S88,AP88),"-")</f>
        <v>-</v>
      </c>
      <c r="BN88" s="59" t="str">
        <f>IF(AND(T88&gt;0,AQ88&gt;0),MIN(T88,AQ88),"-")</f>
        <v>-</v>
      </c>
      <c r="BO88" s="59" t="str">
        <f>IF(AND(U88&gt;0,AR88&gt;0),MIN(U88,AR88),"-")</f>
        <v>-</v>
      </c>
      <c r="BP88" s="59" t="str">
        <f>IF(AND(V88&gt;0,AS88&gt;0),MIN(V88,AS88),"-")</f>
        <v>-</v>
      </c>
      <c r="BQ88" s="59" t="str">
        <f t="shared" si="25"/>
        <v>-</v>
      </c>
      <c r="BR88" s="59" t="str">
        <f t="shared" si="26"/>
        <v>-</v>
      </c>
      <c r="BS88" s="59" t="str">
        <f t="shared" si="27"/>
        <v>-</v>
      </c>
      <c r="BT88" s="98" t="str">
        <f>IF(ISNUMBER(BS88),BS88-(C88*Rules!$P$9/100),"-")</f>
        <v>-</v>
      </c>
      <c r="BU88" s="59" t="e">
        <f>RANK($BT88,$BT$5:$BT$106,1)+COUNTIF(BT$5:BT88,BT88)-1</f>
        <v>#VALUE!</v>
      </c>
      <c r="BV88" s="59" t="e">
        <f t="shared" si="28"/>
        <v>#VALUE!</v>
      </c>
      <c r="BW88" s="59" t="str">
        <f t="shared" si="29"/>
        <v xml:space="preserve"> </v>
      </c>
      <c r="BX88" s="59" t="str">
        <f t="shared" si="29"/>
        <v>-</v>
      </c>
      <c r="BY88" s="59" t="str">
        <f t="shared" si="30"/>
        <v>-</v>
      </c>
      <c r="CC88" s="4">
        <v>84</v>
      </c>
      <c r="CD88" s="2" t="e">
        <f>VLOOKUP(CC88,$BV$5:BY$215,1,FALSE)</f>
        <v>#N/A</v>
      </c>
      <c r="CE88" s="6" t="e">
        <f>VLOOKUP(CC88,$BV$5:BY$215,2,FALSE)</f>
        <v>#N/A</v>
      </c>
      <c r="CF88" s="103" t="e">
        <f>VLOOKUP(CC88,$BV$5:BY$215,4,FALSE)</f>
        <v>#N/A</v>
      </c>
      <c r="CL88" s="77">
        <v>1</v>
      </c>
    </row>
    <row r="89" spans="1:90" ht="17.45" customHeight="1">
      <c r="A89" s="58">
        <v>85</v>
      </c>
      <c r="B89" s="59" t="str">
        <f>'C Div'!A89 &amp; " " &amp; 'C Div'!B89</f>
        <v xml:space="preserve"> </v>
      </c>
      <c r="C89" s="59" t="str">
        <f>'C Div'!E89</f>
        <v>-</v>
      </c>
      <c r="D89" s="60"/>
      <c r="E89" s="60"/>
      <c r="F89" s="60"/>
      <c r="G89" s="60"/>
      <c r="H89" s="60"/>
      <c r="I89" s="60"/>
      <c r="J89" s="60"/>
      <c r="K89" s="60"/>
      <c r="L89" s="60"/>
      <c r="M89" s="74" t="str">
        <f t="shared" si="16"/>
        <v>-</v>
      </c>
      <c r="N89" s="60"/>
      <c r="O89" s="60"/>
      <c r="P89" s="60"/>
      <c r="Q89" s="60"/>
      <c r="R89" s="60"/>
      <c r="S89" s="60"/>
      <c r="T89" s="60"/>
      <c r="U89" s="60"/>
      <c r="V89" s="60"/>
      <c r="W89" s="74" t="str">
        <f t="shared" si="17"/>
        <v>-</v>
      </c>
      <c r="X89" s="155" t="str">
        <f t="shared" si="18"/>
        <v>-</v>
      </c>
      <c r="Y89" s="156" t="str">
        <f t="shared" si="19"/>
        <v>-</v>
      </c>
      <c r="AA89" s="60"/>
      <c r="AB89" s="60"/>
      <c r="AC89" s="60"/>
      <c r="AD89" s="60"/>
      <c r="AE89" s="60"/>
      <c r="AF89" s="60"/>
      <c r="AG89" s="60"/>
      <c r="AH89" s="60"/>
      <c r="AI89" s="60"/>
      <c r="AJ89" s="74" t="str">
        <f t="shared" si="20"/>
        <v>-</v>
      </c>
      <c r="AK89" s="60"/>
      <c r="AL89" s="60"/>
      <c r="AM89" s="60"/>
      <c r="AN89" s="60"/>
      <c r="AO89" s="60"/>
      <c r="AP89" s="60"/>
      <c r="AQ89" s="60"/>
      <c r="AR89" s="60"/>
      <c r="AS89" s="60"/>
      <c r="AT89" s="74" t="str">
        <f t="shared" si="21"/>
        <v>-</v>
      </c>
      <c r="AU89" s="155" t="str">
        <f t="shared" si="22"/>
        <v>-</v>
      </c>
      <c r="AV89" s="156" t="str">
        <f t="shared" si="23"/>
        <v>-</v>
      </c>
      <c r="AX89" s="59" t="str">
        <f>IF(AND(D89&gt;0,AA89&gt;0),MIN(D89,AA89),"-")</f>
        <v>-</v>
      </c>
      <c r="AY89" s="59" t="str">
        <f>IF(AND(E89&gt;0,AB89&gt;0),MIN(E89,AB89),"-")</f>
        <v>-</v>
      </c>
      <c r="AZ89" s="59" t="str">
        <f>IF(AND(F89&gt;0,AC89&gt;0),MIN(F89,AC89),"-")</f>
        <v>-</v>
      </c>
      <c r="BA89" s="59" t="str">
        <f>IF(AND(G89&gt;0,AD89&gt;0),MIN(G89,AD89),"-")</f>
        <v>-</v>
      </c>
      <c r="BB89" s="59" t="str">
        <f>IF(AND(H89&gt;0,AE89&gt;0),MIN(H89,AE89),"-")</f>
        <v>-</v>
      </c>
      <c r="BC89" s="59" t="str">
        <f>IF(AND(I89&gt;0,AF89&gt;0),MIN(I89,AF89),"-")</f>
        <v>-</v>
      </c>
      <c r="BD89" s="59" t="str">
        <f>IF(AND(J89&gt;0,AG89&gt;0),MIN(J89,AG89),"-")</f>
        <v>-</v>
      </c>
      <c r="BE89" s="59" t="str">
        <f>IF(AND(K89&gt;0,AH89&gt;0),MIN(K89,AH89),"-")</f>
        <v>-</v>
      </c>
      <c r="BF89" s="59" t="str">
        <f>IF(AND(L89&gt;0,AI89&gt;0),MIN(L89,AI89),"-")</f>
        <v>-</v>
      </c>
      <c r="BG89" s="59" t="str">
        <f t="shared" si="24"/>
        <v>-</v>
      </c>
      <c r="BH89" s="59" t="str">
        <f>IF(AND(N89&gt;0,AK89&gt;0),MIN(N89,AK89),"-")</f>
        <v>-</v>
      </c>
      <c r="BI89" s="59" t="str">
        <f>IF(AND(O89&gt;0,AL89&gt;0),MIN(O89,AL89),"-")</f>
        <v>-</v>
      </c>
      <c r="BJ89" s="59" t="str">
        <f>IF(AND(P89&gt;0,AM89&gt;0),MIN(P89,AM89),"-")</f>
        <v>-</v>
      </c>
      <c r="BK89" s="59" t="str">
        <f>IF(AND(Q89&gt;0,AN89&gt;0),MIN(Q89,AN89),"-")</f>
        <v>-</v>
      </c>
      <c r="BL89" s="59" t="str">
        <f>IF(AND(R89&gt;0,AO89&gt;0),MIN(R89,AO89),"-")</f>
        <v>-</v>
      </c>
      <c r="BM89" s="59" t="str">
        <f>IF(AND(S89&gt;0,AP89&gt;0),MIN(S89,AP89),"-")</f>
        <v>-</v>
      </c>
      <c r="BN89" s="59" t="str">
        <f>IF(AND(T89&gt;0,AQ89&gt;0),MIN(T89,AQ89),"-")</f>
        <v>-</v>
      </c>
      <c r="BO89" s="59" t="str">
        <f>IF(AND(U89&gt;0,AR89&gt;0),MIN(U89,AR89),"-")</f>
        <v>-</v>
      </c>
      <c r="BP89" s="59" t="str">
        <f>IF(AND(V89&gt;0,AS89&gt;0),MIN(V89,AS89),"-")</f>
        <v>-</v>
      </c>
      <c r="BQ89" s="59" t="str">
        <f t="shared" si="25"/>
        <v>-</v>
      </c>
      <c r="BR89" s="59" t="str">
        <f t="shared" si="26"/>
        <v>-</v>
      </c>
      <c r="BS89" s="59" t="str">
        <f t="shared" si="27"/>
        <v>-</v>
      </c>
      <c r="BT89" s="98" t="str">
        <f>IF(ISNUMBER(BS89),BS89-(C89*Rules!$P$9/100),"-")</f>
        <v>-</v>
      </c>
      <c r="BU89" s="59" t="e">
        <f>RANK($BT89,$BT$5:$BT$106,1)+COUNTIF(BT$5:BT89,BT89)-1</f>
        <v>#VALUE!</v>
      </c>
      <c r="BV89" s="59" t="e">
        <f t="shared" si="28"/>
        <v>#VALUE!</v>
      </c>
      <c r="BW89" s="59" t="str">
        <f t="shared" si="29"/>
        <v xml:space="preserve"> </v>
      </c>
      <c r="BX89" s="59" t="str">
        <f t="shared" si="29"/>
        <v>-</v>
      </c>
      <c r="BY89" s="59" t="str">
        <f t="shared" si="30"/>
        <v>-</v>
      </c>
      <c r="CC89" s="4">
        <v>85</v>
      </c>
      <c r="CD89" s="2" t="e">
        <f>VLOOKUP(CC89,$BV$5:BY$215,1,FALSE)</f>
        <v>#N/A</v>
      </c>
      <c r="CE89" s="6" t="e">
        <f>VLOOKUP(CC89,$BV$5:BY$215,2,FALSE)</f>
        <v>#N/A</v>
      </c>
      <c r="CF89" s="103" t="e">
        <f>VLOOKUP(CC89,$BV$5:BY$215,4,FALSE)</f>
        <v>#N/A</v>
      </c>
      <c r="CL89" s="77">
        <v>1</v>
      </c>
    </row>
    <row r="90" spans="1:90" ht="17.45" customHeight="1">
      <c r="A90" s="58">
        <v>86</v>
      </c>
      <c r="B90" s="59" t="str">
        <f>'C Div'!A90 &amp; " " &amp; 'C Div'!B90</f>
        <v xml:space="preserve"> </v>
      </c>
      <c r="C90" s="59" t="str">
        <f>'C Div'!E90</f>
        <v>-</v>
      </c>
      <c r="D90" s="60"/>
      <c r="E90" s="60"/>
      <c r="F90" s="60"/>
      <c r="G90" s="60"/>
      <c r="H90" s="60"/>
      <c r="I90" s="60"/>
      <c r="J90" s="60"/>
      <c r="K90" s="60"/>
      <c r="L90" s="60"/>
      <c r="M90" s="74" t="str">
        <f t="shared" si="16"/>
        <v>-</v>
      </c>
      <c r="N90" s="60"/>
      <c r="O90" s="60"/>
      <c r="P90" s="60"/>
      <c r="Q90" s="60"/>
      <c r="R90" s="60"/>
      <c r="S90" s="60"/>
      <c r="T90" s="60"/>
      <c r="U90" s="60"/>
      <c r="V90" s="60"/>
      <c r="W90" s="74" t="str">
        <f t="shared" si="17"/>
        <v>-</v>
      </c>
      <c r="X90" s="155" t="str">
        <f t="shared" si="18"/>
        <v>-</v>
      </c>
      <c r="Y90" s="156" t="str">
        <f t="shared" si="19"/>
        <v>-</v>
      </c>
      <c r="AA90" s="60"/>
      <c r="AB90" s="60"/>
      <c r="AC90" s="60"/>
      <c r="AD90" s="60"/>
      <c r="AE90" s="60"/>
      <c r="AF90" s="60"/>
      <c r="AG90" s="60"/>
      <c r="AH90" s="60"/>
      <c r="AI90" s="60"/>
      <c r="AJ90" s="74" t="str">
        <f t="shared" si="20"/>
        <v>-</v>
      </c>
      <c r="AK90" s="60"/>
      <c r="AL90" s="60"/>
      <c r="AM90" s="60"/>
      <c r="AN90" s="60"/>
      <c r="AO90" s="60"/>
      <c r="AP90" s="60"/>
      <c r="AQ90" s="60"/>
      <c r="AR90" s="60"/>
      <c r="AS90" s="60"/>
      <c r="AT90" s="74" t="str">
        <f t="shared" si="21"/>
        <v>-</v>
      </c>
      <c r="AU90" s="155" t="str">
        <f t="shared" si="22"/>
        <v>-</v>
      </c>
      <c r="AV90" s="156" t="str">
        <f t="shared" si="23"/>
        <v>-</v>
      </c>
      <c r="AX90" s="59" t="str">
        <f>IF(AND(D90&gt;0,AA90&gt;0),MIN(D90,AA90),"-")</f>
        <v>-</v>
      </c>
      <c r="AY90" s="59" t="str">
        <f>IF(AND(E90&gt;0,AB90&gt;0),MIN(E90,AB90),"-")</f>
        <v>-</v>
      </c>
      <c r="AZ90" s="59" t="str">
        <f>IF(AND(F90&gt;0,AC90&gt;0),MIN(F90,AC90),"-")</f>
        <v>-</v>
      </c>
      <c r="BA90" s="59" t="str">
        <f>IF(AND(G90&gt;0,AD90&gt;0),MIN(G90,AD90),"-")</f>
        <v>-</v>
      </c>
      <c r="BB90" s="59" t="str">
        <f>IF(AND(H90&gt;0,AE90&gt;0),MIN(H90,AE90),"-")</f>
        <v>-</v>
      </c>
      <c r="BC90" s="59" t="str">
        <f>IF(AND(I90&gt;0,AF90&gt;0),MIN(I90,AF90),"-")</f>
        <v>-</v>
      </c>
      <c r="BD90" s="59" t="str">
        <f>IF(AND(J90&gt;0,AG90&gt;0),MIN(J90,AG90),"-")</f>
        <v>-</v>
      </c>
      <c r="BE90" s="59" t="str">
        <f>IF(AND(K90&gt;0,AH90&gt;0),MIN(K90,AH90),"-")</f>
        <v>-</v>
      </c>
      <c r="BF90" s="59" t="str">
        <f>IF(AND(L90&gt;0,AI90&gt;0),MIN(L90,AI90),"-")</f>
        <v>-</v>
      </c>
      <c r="BG90" s="59" t="str">
        <f t="shared" si="24"/>
        <v>-</v>
      </c>
      <c r="BH90" s="59" t="str">
        <f>IF(AND(N90&gt;0,AK90&gt;0),MIN(N90,AK90),"-")</f>
        <v>-</v>
      </c>
      <c r="BI90" s="59" t="str">
        <f>IF(AND(O90&gt;0,AL90&gt;0),MIN(O90,AL90),"-")</f>
        <v>-</v>
      </c>
      <c r="BJ90" s="59" t="str">
        <f>IF(AND(P90&gt;0,AM90&gt;0),MIN(P90,AM90),"-")</f>
        <v>-</v>
      </c>
      <c r="BK90" s="59" t="str">
        <f>IF(AND(Q90&gt;0,AN90&gt;0),MIN(Q90,AN90),"-")</f>
        <v>-</v>
      </c>
      <c r="BL90" s="59" t="str">
        <f>IF(AND(R90&gt;0,AO90&gt;0),MIN(R90,AO90),"-")</f>
        <v>-</v>
      </c>
      <c r="BM90" s="59" t="str">
        <f>IF(AND(S90&gt;0,AP90&gt;0),MIN(S90,AP90),"-")</f>
        <v>-</v>
      </c>
      <c r="BN90" s="59" t="str">
        <f>IF(AND(T90&gt;0,AQ90&gt;0),MIN(T90,AQ90),"-")</f>
        <v>-</v>
      </c>
      <c r="BO90" s="59" t="str">
        <f>IF(AND(U90&gt;0,AR90&gt;0),MIN(U90,AR90),"-")</f>
        <v>-</v>
      </c>
      <c r="BP90" s="59" t="str">
        <f>IF(AND(V90&gt;0,AS90&gt;0),MIN(V90,AS90),"-")</f>
        <v>-</v>
      </c>
      <c r="BQ90" s="59" t="str">
        <f t="shared" si="25"/>
        <v>-</v>
      </c>
      <c r="BR90" s="59" t="str">
        <f t="shared" si="26"/>
        <v>-</v>
      </c>
      <c r="BS90" s="59" t="str">
        <f t="shared" si="27"/>
        <v>-</v>
      </c>
      <c r="BT90" s="98" t="str">
        <f>IF(ISNUMBER(BS90),BS90-(C90*Rules!$P$9/100),"-")</f>
        <v>-</v>
      </c>
      <c r="BU90" s="59" t="e">
        <f>RANK($BT90,$BT$5:$BT$106,1)+COUNTIF(BT$5:BT90,BT90)-1</f>
        <v>#VALUE!</v>
      </c>
      <c r="BV90" s="59" t="e">
        <f t="shared" si="28"/>
        <v>#VALUE!</v>
      </c>
      <c r="BW90" s="59" t="str">
        <f t="shared" si="29"/>
        <v xml:space="preserve"> </v>
      </c>
      <c r="BX90" s="59" t="str">
        <f t="shared" si="29"/>
        <v>-</v>
      </c>
      <c r="BY90" s="59" t="str">
        <f t="shared" si="30"/>
        <v>-</v>
      </c>
      <c r="CC90" s="4">
        <v>86</v>
      </c>
      <c r="CD90" s="2" t="e">
        <f>VLOOKUP(CC90,$BV$5:BY$215,1,FALSE)</f>
        <v>#N/A</v>
      </c>
      <c r="CE90" s="6" t="e">
        <f>VLOOKUP(CC90,$BV$5:BY$215,2,FALSE)</f>
        <v>#N/A</v>
      </c>
      <c r="CF90" s="103" t="e">
        <f>VLOOKUP(CC90,$BV$5:BY$215,4,FALSE)</f>
        <v>#N/A</v>
      </c>
      <c r="CL90" s="77">
        <v>1</v>
      </c>
    </row>
    <row r="91" spans="1:90" ht="17.45" customHeight="1">
      <c r="A91" s="58">
        <v>87</v>
      </c>
      <c r="B91" s="59" t="str">
        <f>'C Div'!A91 &amp; " " &amp; 'C Div'!B91</f>
        <v xml:space="preserve"> </v>
      </c>
      <c r="C91" s="59" t="str">
        <f>'C Div'!E91</f>
        <v>-</v>
      </c>
      <c r="D91" s="60"/>
      <c r="E91" s="60"/>
      <c r="F91" s="60"/>
      <c r="G91" s="60"/>
      <c r="H91" s="60"/>
      <c r="I91" s="60"/>
      <c r="J91" s="60"/>
      <c r="K91" s="60"/>
      <c r="L91" s="60"/>
      <c r="M91" s="74" t="str">
        <f t="shared" si="16"/>
        <v>-</v>
      </c>
      <c r="N91" s="60"/>
      <c r="O91" s="60"/>
      <c r="P91" s="60"/>
      <c r="Q91" s="60"/>
      <c r="R91" s="60"/>
      <c r="S91" s="60"/>
      <c r="T91" s="60"/>
      <c r="U91" s="60"/>
      <c r="V91" s="60"/>
      <c r="W91" s="74" t="str">
        <f t="shared" si="17"/>
        <v>-</v>
      </c>
      <c r="X91" s="155" t="str">
        <f t="shared" si="18"/>
        <v>-</v>
      </c>
      <c r="Y91" s="156" t="str">
        <f t="shared" si="19"/>
        <v>-</v>
      </c>
      <c r="AA91" s="60"/>
      <c r="AB91" s="60"/>
      <c r="AC91" s="60"/>
      <c r="AD91" s="60"/>
      <c r="AE91" s="60"/>
      <c r="AF91" s="60"/>
      <c r="AG91" s="60"/>
      <c r="AH91" s="60"/>
      <c r="AI91" s="60"/>
      <c r="AJ91" s="74" t="str">
        <f t="shared" si="20"/>
        <v>-</v>
      </c>
      <c r="AK91" s="60"/>
      <c r="AL91" s="60"/>
      <c r="AM91" s="60"/>
      <c r="AN91" s="60"/>
      <c r="AO91" s="60"/>
      <c r="AP91" s="60"/>
      <c r="AQ91" s="60"/>
      <c r="AR91" s="60"/>
      <c r="AS91" s="60"/>
      <c r="AT91" s="74" t="str">
        <f t="shared" si="21"/>
        <v>-</v>
      </c>
      <c r="AU91" s="155" t="str">
        <f t="shared" si="22"/>
        <v>-</v>
      </c>
      <c r="AV91" s="156" t="str">
        <f t="shared" si="23"/>
        <v>-</v>
      </c>
      <c r="AX91" s="59" t="str">
        <f>IF(AND(D91&gt;0,AA91&gt;0),MIN(D91,AA91),"-")</f>
        <v>-</v>
      </c>
      <c r="AY91" s="59" t="str">
        <f>IF(AND(E91&gt;0,AB91&gt;0),MIN(E91,AB91),"-")</f>
        <v>-</v>
      </c>
      <c r="AZ91" s="59" t="str">
        <f>IF(AND(F91&gt;0,AC91&gt;0),MIN(F91,AC91),"-")</f>
        <v>-</v>
      </c>
      <c r="BA91" s="59" t="str">
        <f>IF(AND(G91&gt;0,AD91&gt;0),MIN(G91,AD91),"-")</f>
        <v>-</v>
      </c>
      <c r="BB91" s="59" t="str">
        <f>IF(AND(H91&gt;0,AE91&gt;0),MIN(H91,AE91),"-")</f>
        <v>-</v>
      </c>
      <c r="BC91" s="59" t="str">
        <f>IF(AND(I91&gt;0,AF91&gt;0),MIN(I91,AF91),"-")</f>
        <v>-</v>
      </c>
      <c r="BD91" s="59" t="str">
        <f>IF(AND(J91&gt;0,AG91&gt;0),MIN(J91,AG91),"-")</f>
        <v>-</v>
      </c>
      <c r="BE91" s="59" t="str">
        <f>IF(AND(K91&gt;0,AH91&gt;0),MIN(K91,AH91),"-")</f>
        <v>-</v>
      </c>
      <c r="BF91" s="59" t="str">
        <f>IF(AND(L91&gt;0,AI91&gt;0),MIN(L91,AI91),"-")</f>
        <v>-</v>
      </c>
      <c r="BG91" s="59" t="str">
        <f t="shared" si="24"/>
        <v>-</v>
      </c>
      <c r="BH91" s="59" t="str">
        <f>IF(AND(N91&gt;0,AK91&gt;0),MIN(N91,AK91),"-")</f>
        <v>-</v>
      </c>
      <c r="BI91" s="59" t="str">
        <f>IF(AND(O91&gt;0,AL91&gt;0),MIN(O91,AL91),"-")</f>
        <v>-</v>
      </c>
      <c r="BJ91" s="59" t="str">
        <f>IF(AND(P91&gt;0,AM91&gt;0),MIN(P91,AM91),"-")</f>
        <v>-</v>
      </c>
      <c r="BK91" s="59" t="str">
        <f>IF(AND(Q91&gt;0,AN91&gt;0),MIN(Q91,AN91),"-")</f>
        <v>-</v>
      </c>
      <c r="BL91" s="59" t="str">
        <f>IF(AND(R91&gt;0,AO91&gt;0),MIN(R91,AO91),"-")</f>
        <v>-</v>
      </c>
      <c r="BM91" s="59" t="str">
        <f>IF(AND(S91&gt;0,AP91&gt;0),MIN(S91,AP91),"-")</f>
        <v>-</v>
      </c>
      <c r="BN91" s="59" t="str">
        <f>IF(AND(T91&gt;0,AQ91&gt;0),MIN(T91,AQ91),"-")</f>
        <v>-</v>
      </c>
      <c r="BO91" s="59" t="str">
        <f>IF(AND(U91&gt;0,AR91&gt;0),MIN(U91,AR91),"-")</f>
        <v>-</v>
      </c>
      <c r="BP91" s="59" t="str">
        <f>IF(AND(V91&gt;0,AS91&gt;0),MIN(V91,AS91),"-")</f>
        <v>-</v>
      </c>
      <c r="BQ91" s="59" t="str">
        <f t="shared" si="25"/>
        <v>-</v>
      </c>
      <c r="BR91" s="59" t="str">
        <f t="shared" si="26"/>
        <v>-</v>
      </c>
      <c r="BS91" s="59" t="str">
        <f t="shared" si="27"/>
        <v>-</v>
      </c>
      <c r="BT91" s="98" t="str">
        <f>IF(ISNUMBER(BS91),BS91-(C91*Rules!$P$9/100),"-")</f>
        <v>-</v>
      </c>
      <c r="BU91" s="59" t="e">
        <f>RANK($BT91,$BT$5:$BT$106,1)+COUNTIF(BT$5:BT91,BT91)-1</f>
        <v>#VALUE!</v>
      </c>
      <c r="BV91" s="59" t="e">
        <f t="shared" si="28"/>
        <v>#VALUE!</v>
      </c>
      <c r="BW91" s="59" t="str">
        <f t="shared" si="29"/>
        <v xml:space="preserve"> </v>
      </c>
      <c r="BX91" s="59" t="str">
        <f t="shared" si="29"/>
        <v>-</v>
      </c>
      <c r="BY91" s="59" t="str">
        <f t="shared" si="30"/>
        <v>-</v>
      </c>
      <c r="CC91" s="4">
        <v>87</v>
      </c>
      <c r="CD91" s="2" t="e">
        <f>VLOOKUP(CC91,$BV$5:BY$215,1,FALSE)</f>
        <v>#N/A</v>
      </c>
      <c r="CE91" s="6" t="e">
        <f>VLOOKUP(CC91,$BV$5:BY$215,2,FALSE)</f>
        <v>#N/A</v>
      </c>
      <c r="CF91" s="103" t="e">
        <f>VLOOKUP(CC91,$BV$5:BY$215,4,FALSE)</f>
        <v>#N/A</v>
      </c>
      <c r="CL91" s="77">
        <v>1</v>
      </c>
    </row>
    <row r="92" spans="1:90" ht="17.45" customHeight="1">
      <c r="A92" s="58">
        <v>88</v>
      </c>
      <c r="B92" s="59" t="str">
        <f>'C Div'!A92 &amp; " " &amp; 'C Div'!B92</f>
        <v xml:space="preserve"> </v>
      </c>
      <c r="C92" s="59" t="str">
        <f>'C Div'!E92</f>
        <v>-</v>
      </c>
      <c r="D92" s="60"/>
      <c r="E92" s="60"/>
      <c r="F92" s="60"/>
      <c r="G92" s="60"/>
      <c r="H92" s="60"/>
      <c r="I92" s="60"/>
      <c r="J92" s="60"/>
      <c r="K92" s="60"/>
      <c r="L92" s="60"/>
      <c r="M92" s="74" t="str">
        <f t="shared" si="16"/>
        <v>-</v>
      </c>
      <c r="N92" s="60"/>
      <c r="O92" s="60"/>
      <c r="P92" s="60"/>
      <c r="Q92" s="60"/>
      <c r="R92" s="60"/>
      <c r="S92" s="60"/>
      <c r="T92" s="60"/>
      <c r="U92" s="60"/>
      <c r="V92" s="60"/>
      <c r="W92" s="74" t="str">
        <f t="shared" si="17"/>
        <v>-</v>
      </c>
      <c r="X92" s="155" t="str">
        <f t="shared" si="18"/>
        <v>-</v>
      </c>
      <c r="Y92" s="156" t="str">
        <f t="shared" si="19"/>
        <v>-</v>
      </c>
      <c r="AA92" s="60"/>
      <c r="AB92" s="60"/>
      <c r="AC92" s="60"/>
      <c r="AD92" s="60"/>
      <c r="AE92" s="60"/>
      <c r="AF92" s="60"/>
      <c r="AG92" s="60"/>
      <c r="AH92" s="60"/>
      <c r="AI92" s="60"/>
      <c r="AJ92" s="74" t="str">
        <f t="shared" si="20"/>
        <v>-</v>
      </c>
      <c r="AK92" s="60"/>
      <c r="AL92" s="60"/>
      <c r="AM92" s="60"/>
      <c r="AN92" s="60"/>
      <c r="AO92" s="60"/>
      <c r="AP92" s="60"/>
      <c r="AQ92" s="60"/>
      <c r="AR92" s="60"/>
      <c r="AS92" s="60"/>
      <c r="AT92" s="74" t="str">
        <f t="shared" si="21"/>
        <v>-</v>
      </c>
      <c r="AU92" s="155" t="str">
        <f t="shared" si="22"/>
        <v>-</v>
      </c>
      <c r="AV92" s="156" t="str">
        <f t="shared" si="23"/>
        <v>-</v>
      </c>
      <c r="AX92" s="59" t="str">
        <f>IF(AND(D92&gt;0,AA92&gt;0),MIN(D92,AA92),"-")</f>
        <v>-</v>
      </c>
      <c r="AY92" s="59" t="str">
        <f>IF(AND(E92&gt;0,AB92&gt;0),MIN(E92,AB92),"-")</f>
        <v>-</v>
      </c>
      <c r="AZ92" s="59" t="str">
        <f>IF(AND(F92&gt;0,AC92&gt;0),MIN(F92,AC92),"-")</f>
        <v>-</v>
      </c>
      <c r="BA92" s="59" t="str">
        <f>IF(AND(G92&gt;0,AD92&gt;0),MIN(G92,AD92),"-")</f>
        <v>-</v>
      </c>
      <c r="BB92" s="59" t="str">
        <f>IF(AND(H92&gt;0,AE92&gt;0),MIN(H92,AE92),"-")</f>
        <v>-</v>
      </c>
      <c r="BC92" s="59" t="str">
        <f>IF(AND(I92&gt;0,AF92&gt;0),MIN(I92,AF92),"-")</f>
        <v>-</v>
      </c>
      <c r="BD92" s="59" t="str">
        <f>IF(AND(J92&gt;0,AG92&gt;0),MIN(J92,AG92),"-")</f>
        <v>-</v>
      </c>
      <c r="BE92" s="59" t="str">
        <f>IF(AND(K92&gt;0,AH92&gt;0),MIN(K92,AH92),"-")</f>
        <v>-</v>
      </c>
      <c r="BF92" s="59" t="str">
        <f>IF(AND(L92&gt;0,AI92&gt;0),MIN(L92,AI92),"-")</f>
        <v>-</v>
      </c>
      <c r="BG92" s="59" t="str">
        <f t="shared" si="24"/>
        <v>-</v>
      </c>
      <c r="BH92" s="59" t="str">
        <f>IF(AND(N92&gt;0,AK92&gt;0),MIN(N92,AK92),"-")</f>
        <v>-</v>
      </c>
      <c r="BI92" s="59" t="str">
        <f>IF(AND(O92&gt;0,AL92&gt;0),MIN(O92,AL92),"-")</f>
        <v>-</v>
      </c>
      <c r="BJ92" s="59" t="str">
        <f>IF(AND(P92&gt;0,AM92&gt;0),MIN(P92,AM92),"-")</f>
        <v>-</v>
      </c>
      <c r="BK92" s="59" t="str">
        <f>IF(AND(Q92&gt;0,AN92&gt;0),MIN(Q92,AN92),"-")</f>
        <v>-</v>
      </c>
      <c r="BL92" s="59" t="str">
        <f>IF(AND(R92&gt;0,AO92&gt;0),MIN(R92,AO92),"-")</f>
        <v>-</v>
      </c>
      <c r="BM92" s="59" t="str">
        <f>IF(AND(S92&gt;0,AP92&gt;0),MIN(S92,AP92),"-")</f>
        <v>-</v>
      </c>
      <c r="BN92" s="59" t="str">
        <f>IF(AND(T92&gt;0,AQ92&gt;0),MIN(T92,AQ92),"-")</f>
        <v>-</v>
      </c>
      <c r="BO92" s="59" t="str">
        <f>IF(AND(U92&gt;0,AR92&gt;0),MIN(U92,AR92),"-")</f>
        <v>-</v>
      </c>
      <c r="BP92" s="59" t="str">
        <f>IF(AND(V92&gt;0,AS92&gt;0),MIN(V92,AS92),"-")</f>
        <v>-</v>
      </c>
      <c r="BQ92" s="59" t="str">
        <f t="shared" si="25"/>
        <v>-</v>
      </c>
      <c r="BR92" s="59" t="str">
        <f t="shared" si="26"/>
        <v>-</v>
      </c>
      <c r="BS92" s="59" t="str">
        <f t="shared" si="27"/>
        <v>-</v>
      </c>
      <c r="BT92" s="98" t="str">
        <f>IF(ISNUMBER(BS92),BS92-(C92*Rules!$P$9/100),"-")</f>
        <v>-</v>
      </c>
      <c r="BU92" s="59" t="e">
        <f>RANK($BT92,$BT$5:$BT$106,1)+COUNTIF(BT$5:BT92,BT92)-1</f>
        <v>#VALUE!</v>
      </c>
      <c r="BV92" s="59" t="e">
        <f t="shared" si="28"/>
        <v>#VALUE!</v>
      </c>
      <c r="BW92" s="59" t="str">
        <f t="shared" si="29"/>
        <v xml:space="preserve"> </v>
      </c>
      <c r="BX92" s="59" t="str">
        <f t="shared" si="29"/>
        <v>-</v>
      </c>
      <c r="BY92" s="59" t="str">
        <f t="shared" si="30"/>
        <v>-</v>
      </c>
      <c r="CC92" s="4">
        <v>88</v>
      </c>
      <c r="CD92" s="2" t="e">
        <f>VLOOKUP(CC92,$BV$5:BY$215,1,FALSE)</f>
        <v>#N/A</v>
      </c>
      <c r="CE92" s="6" t="e">
        <f>VLOOKUP(CC92,$BV$5:BY$215,2,FALSE)</f>
        <v>#N/A</v>
      </c>
      <c r="CF92" s="103" t="e">
        <f>VLOOKUP(CC92,$BV$5:BY$215,4,FALSE)</f>
        <v>#N/A</v>
      </c>
      <c r="CL92" s="77">
        <v>1</v>
      </c>
    </row>
    <row r="93" spans="1:90" ht="17.45" customHeight="1">
      <c r="A93" s="58">
        <v>89</v>
      </c>
      <c r="B93" s="59" t="str">
        <f>'C Div'!A93 &amp; " " &amp; 'C Div'!B93</f>
        <v xml:space="preserve"> </v>
      </c>
      <c r="C93" s="59" t="str">
        <f>'C Div'!E93</f>
        <v>-</v>
      </c>
      <c r="D93" s="60"/>
      <c r="E93" s="60"/>
      <c r="F93" s="60"/>
      <c r="G93" s="60"/>
      <c r="H93" s="60"/>
      <c r="I93" s="60"/>
      <c r="J93" s="60"/>
      <c r="K93" s="60"/>
      <c r="L93" s="60"/>
      <c r="M93" s="74" t="str">
        <f t="shared" si="16"/>
        <v>-</v>
      </c>
      <c r="N93" s="60"/>
      <c r="O93" s="60"/>
      <c r="P93" s="60"/>
      <c r="Q93" s="60"/>
      <c r="R93" s="60"/>
      <c r="S93" s="60"/>
      <c r="T93" s="60"/>
      <c r="U93" s="60"/>
      <c r="V93" s="60"/>
      <c r="W93" s="74" t="str">
        <f t="shared" si="17"/>
        <v>-</v>
      </c>
      <c r="X93" s="155" t="str">
        <f t="shared" si="18"/>
        <v>-</v>
      </c>
      <c r="Y93" s="156" t="str">
        <f t="shared" si="19"/>
        <v>-</v>
      </c>
      <c r="AA93" s="60"/>
      <c r="AB93" s="60"/>
      <c r="AC93" s="60"/>
      <c r="AD93" s="60"/>
      <c r="AE93" s="60"/>
      <c r="AF93" s="60"/>
      <c r="AG93" s="60"/>
      <c r="AH93" s="60"/>
      <c r="AI93" s="60"/>
      <c r="AJ93" s="74" t="str">
        <f t="shared" si="20"/>
        <v>-</v>
      </c>
      <c r="AK93" s="60"/>
      <c r="AL93" s="60"/>
      <c r="AM93" s="60"/>
      <c r="AN93" s="60"/>
      <c r="AO93" s="60"/>
      <c r="AP93" s="60"/>
      <c r="AQ93" s="60"/>
      <c r="AR93" s="60"/>
      <c r="AS93" s="60"/>
      <c r="AT93" s="74" t="str">
        <f t="shared" si="21"/>
        <v>-</v>
      </c>
      <c r="AU93" s="155" t="str">
        <f t="shared" si="22"/>
        <v>-</v>
      </c>
      <c r="AV93" s="156" t="str">
        <f t="shared" si="23"/>
        <v>-</v>
      </c>
      <c r="AX93" s="59" t="str">
        <f>IF(AND(D93&gt;0,AA93&gt;0),MIN(D93,AA93),"-")</f>
        <v>-</v>
      </c>
      <c r="AY93" s="59" t="str">
        <f>IF(AND(E93&gt;0,AB93&gt;0),MIN(E93,AB93),"-")</f>
        <v>-</v>
      </c>
      <c r="AZ93" s="59" t="str">
        <f>IF(AND(F93&gt;0,AC93&gt;0),MIN(F93,AC93),"-")</f>
        <v>-</v>
      </c>
      <c r="BA93" s="59" t="str">
        <f>IF(AND(G93&gt;0,AD93&gt;0),MIN(G93,AD93),"-")</f>
        <v>-</v>
      </c>
      <c r="BB93" s="59" t="str">
        <f>IF(AND(H93&gt;0,AE93&gt;0),MIN(H93,AE93),"-")</f>
        <v>-</v>
      </c>
      <c r="BC93" s="59" t="str">
        <f>IF(AND(I93&gt;0,AF93&gt;0),MIN(I93,AF93),"-")</f>
        <v>-</v>
      </c>
      <c r="BD93" s="59" t="str">
        <f>IF(AND(J93&gt;0,AG93&gt;0),MIN(J93,AG93),"-")</f>
        <v>-</v>
      </c>
      <c r="BE93" s="59" t="str">
        <f>IF(AND(K93&gt;0,AH93&gt;0),MIN(K93,AH93),"-")</f>
        <v>-</v>
      </c>
      <c r="BF93" s="59" t="str">
        <f>IF(AND(L93&gt;0,AI93&gt;0),MIN(L93,AI93),"-")</f>
        <v>-</v>
      </c>
      <c r="BG93" s="59" t="str">
        <f t="shared" si="24"/>
        <v>-</v>
      </c>
      <c r="BH93" s="59" t="str">
        <f>IF(AND(N93&gt;0,AK93&gt;0),MIN(N93,AK93),"-")</f>
        <v>-</v>
      </c>
      <c r="BI93" s="59" t="str">
        <f>IF(AND(O93&gt;0,AL93&gt;0),MIN(O93,AL93),"-")</f>
        <v>-</v>
      </c>
      <c r="BJ93" s="59" t="str">
        <f>IF(AND(P93&gt;0,AM93&gt;0),MIN(P93,AM93),"-")</f>
        <v>-</v>
      </c>
      <c r="BK93" s="59" t="str">
        <f>IF(AND(Q93&gt;0,AN93&gt;0),MIN(Q93,AN93),"-")</f>
        <v>-</v>
      </c>
      <c r="BL93" s="59" t="str">
        <f>IF(AND(R93&gt;0,AO93&gt;0),MIN(R93,AO93),"-")</f>
        <v>-</v>
      </c>
      <c r="BM93" s="59" t="str">
        <f>IF(AND(S93&gt;0,AP93&gt;0),MIN(S93,AP93),"-")</f>
        <v>-</v>
      </c>
      <c r="BN93" s="59" t="str">
        <f>IF(AND(T93&gt;0,AQ93&gt;0),MIN(T93,AQ93),"-")</f>
        <v>-</v>
      </c>
      <c r="BO93" s="59" t="str">
        <f>IF(AND(U93&gt;0,AR93&gt;0),MIN(U93,AR93),"-")</f>
        <v>-</v>
      </c>
      <c r="BP93" s="59" t="str">
        <f>IF(AND(V93&gt;0,AS93&gt;0),MIN(V93,AS93),"-")</f>
        <v>-</v>
      </c>
      <c r="BQ93" s="59" t="str">
        <f t="shared" si="25"/>
        <v>-</v>
      </c>
      <c r="BR93" s="59" t="str">
        <f t="shared" si="26"/>
        <v>-</v>
      </c>
      <c r="BS93" s="59" t="str">
        <f t="shared" si="27"/>
        <v>-</v>
      </c>
      <c r="BT93" s="98" t="str">
        <f>IF(ISNUMBER(BS93),BS93-(C93*Rules!$P$9/100),"-")</f>
        <v>-</v>
      </c>
      <c r="BU93" s="59" t="e">
        <f>RANK($BT93,$BT$5:$BT$106,1)+COUNTIF(BT$5:BT93,BT93)-1</f>
        <v>#VALUE!</v>
      </c>
      <c r="BV93" s="59" t="e">
        <f t="shared" si="28"/>
        <v>#VALUE!</v>
      </c>
      <c r="BW93" s="59" t="str">
        <f t="shared" si="29"/>
        <v xml:space="preserve"> </v>
      </c>
      <c r="BX93" s="59" t="str">
        <f t="shared" si="29"/>
        <v>-</v>
      </c>
      <c r="BY93" s="59" t="str">
        <f t="shared" si="30"/>
        <v>-</v>
      </c>
      <c r="CC93" s="4">
        <v>89</v>
      </c>
      <c r="CD93" s="2" t="e">
        <f>VLOOKUP(CC93,$BV$5:BY$215,1,FALSE)</f>
        <v>#N/A</v>
      </c>
      <c r="CE93" s="6" t="e">
        <f>VLOOKUP(CC93,$BV$5:BY$215,2,FALSE)</f>
        <v>#N/A</v>
      </c>
      <c r="CF93" s="103" t="e">
        <f>VLOOKUP(CC93,$BV$5:BY$215,4,FALSE)</f>
        <v>#N/A</v>
      </c>
      <c r="CL93" s="77">
        <v>1</v>
      </c>
    </row>
    <row r="94" spans="1:90" ht="17.45" customHeight="1">
      <c r="A94" s="58">
        <v>90</v>
      </c>
      <c r="B94" s="59" t="str">
        <f>'C Div'!A94 &amp; " " &amp; 'C Div'!B94</f>
        <v xml:space="preserve"> </v>
      </c>
      <c r="C94" s="59" t="str">
        <f>'C Div'!E94</f>
        <v>-</v>
      </c>
      <c r="D94" s="60"/>
      <c r="E94" s="60"/>
      <c r="F94" s="60"/>
      <c r="G94" s="60"/>
      <c r="H94" s="60"/>
      <c r="I94" s="60"/>
      <c r="J94" s="60"/>
      <c r="K94" s="60"/>
      <c r="L94" s="60"/>
      <c r="M94" s="74" t="str">
        <f t="shared" si="16"/>
        <v>-</v>
      </c>
      <c r="N94" s="60"/>
      <c r="O94" s="60"/>
      <c r="P94" s="60"/>
      <c r="Q94" s="60"/>
      <c r="R94" s="60"/>
      <c r="S94" s="60"/>
      <c r="T94" s="60"/>
      <c r="U94" s="60"/>
      <c r="V94" s="60"/>
      <c r="W94" s="74" t="str">
        <f t="shared" si="17"/>
        <v>-</v>
      </c>
      <c r="X94" s="155" t="str">
        <f t="shared" si="18"/>
        <v>-</v>
      </c>
      <c r="Y94" s="156" t="str">
        <f t="shared" si="19"/>
        <v>-</v>
      </c>
      <c r="AA94" s="60"/>
      <c r="AB94" s="60"/>
      <c r="AC94" s="60"/>
      <c r="AD94" s="60"/>
      <c r="AE94" s="60"/>
      <c r="AF94" s="60"/>
      <c r="AG94" s="60"/>
      <c r="AH94" s="60"/>
      <c r="AI94" s="60"/>
      <c r="AJ94" s="74" t="str">
        <f t="shared" si="20"/>
        <v>-</v>
      </c>
      <c r="AK94" s="60"/>
      <c r="AL94" s="60"/>
      <c r="AM94" s="60"/>
      <c r="AN94" s="60"/>
      <c r="AO94" s="60"/>
      <c r="AP94" s="60"/>
      <c r="AQ94" s="60"/>
      <c r="AR94" s="60"/>
      <c r="AS94" s="60"/>
      <c r="AT94" s="74" t="str">
        <f t="shared" si="21"/>
        <v>-</v>
      </c>
      <c r="AU94" s="155" t="str">
        <f t="shared" si="22"/>
        <v>-</v>
      </c>
      <c r="AV94" s="156" t="str">
        <f t="shared" si="23"/>
        <v>-</v>
      </c>
      <c r="AX94" s="59" t="str">
        <f>IF(AND(D94&gt;0,AA94&gt;0),MIN(D94,AA94),"-")</f>
        <v>-</v>
      </c>
      <c r="AY94" s="59" t="str">
        <f>IF(AND(E94&gt;0,AB94&gt;0),MIN(E94,AB94),"-")</f>
        <v>-</v>
      </c>
      <c r="AZ94" s="59" t="str">
        <f>IF(AND(F94&gt;0,AC94&gt;0),MIN(F94,AC94),"-")</f>
        <v>-</v>
      </c>
      <c r="BA94" s="59" t="str">
        <f>IF(AND(G94&gt;0,AD94&gt;0),MIN(G94,AD94),"-")</f>
        <v>-</v>
      </c>
      <c r="BB94" s="59" t="str">
        <f>IF(AND(H94&gt;0,AE94&gt;0),MIN(H94,AE94),"-")</f>
        <v>-</v>
      </c>
      <c r="BC94" s="59" t="str">
        <f>IF(AND(I94&gt;0,AF94&gt;0),MIN(I94,AF94),"-")</f>
        <v>-</v>
      </c>
      <c r="BD94" s="59" t="str">
        <f>IF(AND(J94&gt;0,AG94&gt;0),MIN(J94,AG94),"-")</f>
        <v>-</v>
      </c>
      <c r="BE94" s="59" t="str">
        <f>IF(AND(K94&gt;0,AH94&gt;0),MIN(K94,AH94),"-")</f>
        <v>-</v>
      </c>
      <c r="BF94" s="59" t="str">
        <f>IF(AND(L94&gt;0,AI94&gt;0),MIN(L94,AI94),"-")</f>
        <v>-</v>
      </c>
      <c r="BG94" s="59" t="str">
        <f t="shared" si="24"/>
        <v>-</v>
      </c>
      <c r="BH94" s="59" t="str">
        <f>IF(AND(N94&gt;0,AK94&gt;0),MIN(N94,AK94),"-")</f>
        <v>-</v>
      </c>
      <c r="BI94" s="59" t="str">
        <f>IF(AND(O94&gt;0,AL94&gt;0),MIN(O94,AL94),"-")</f>
        <v>-</v>
      </c>
      <c r="BJ94" s="59" t="str">
        <f>IF(AND(P94&gt;0,AM94&gt;0),MIN(P94,AM94),"-")</f>
        <v>-</v>
      </c>
      <c r="BK94" s="59" t="str">
        <f>IF(AND(Q94&gt;0,AN94&gt;0),MIN(Q94,AN94),"-")</f>
        <v>-</v>
      </c>
      <c r="BL94" s="59" t="str">
        <f>IF(AND(R94&gt;0,AO94&gt;0),MIN(R94,AO94),"-")</f>
        <v>-</v>
      </c>
      <c r="BM94" s="59" t="str">
        <f>IF(AND(S94&gt;0,AP94&gt;0),MIN(S94,AP94),"-")</f>
        <v>-</v>
      </c>
      <c r="BN94" s="59" t="str">
        <f>IF(AND(T94&gt;0,AQ94&gt;0),MIN(T94,AQ94),"-")</f>
        <v>-</v>
      </c>
      <c r="BO94" s="59" t="str">
        <f>IF(AND(U94&gt;0,AR94&gt;0),MIN(U94,AR94),"-")</f>
        <v>-</v>
      </c>
      <c r="BP94" s="59" t="str">
        <f>IF(AND(V94&gt;0,AS94&gt;0),MIN(V94,AS94),"-")</f>
        <v>-</v>
      </c>
      <c r="BQ94" s="59" t="str">
        <f t="shared" si="25"/>
        <v>-</v>
      </c>
      <c r="BR94" s="59" t="str">
        <f t="shared" si="26"/>
        <v>-</v>
      </c>
      <c r="BS94" s="59" t="str">
        <f t="shared" si="27"/>
        <v>-</v>
      </c>
      <c r="BT94" s="98" t="str">
        <f>IF(ISNUMBER(BS94),BS94-(C94*Rules!$P$9/100),"-")</f>
        <v>-</v>
      </c>
      <c r="BU94" s="59" t="e">
        <f>RANK($BT94,$BT$5:$BT$106,1)+COUNTIF(BT$5:BT94,BT94)-1</f>
        <v>#VALUE!</v>
      </c>
      <c r="BV94" s="59" t="e">
        <f t="shared" si="28"/>
        <v>#VALUE!</v>
      </c>
      <c r="BW94" s="59" t="str">
        <f t="shared" si="29"/>
        <v xml:space="preserve"> </v>
      </c>
      <c r="BX94" s="59" t="str">
        <f t="shared" si="29"/>
        <v>-</v>
      </c>
      <c r="BY94" s="59" t="str">
        <f t="shared" si="30"/>
        <v>-</v>
      </c>
      <c r="CC94" s="4">
        <v>90</v>
      </c>
      <c r="CD94" s="2" t="e">
        <f>VLOOKUP(CC94,$BV$5:BY$215,1,FALSE)</f>
        <v>#N/A</v>
      </c>
      <c r="CE94" s="6" t="e">
        <f>VLOOKUP(CC94,$BV$5:BY$215,2,FALSE)</f>
        <v>#N/A</v>
      </c>
      <c r="CF94" s="103" t="e">
        <f>VLOOKUP(CC94,$BV$5:BY$215,4,FALSE)</f>
        <v>#N/A</v>
      </c>
      <c r="CL94" s="77">
        <v>1</v>
      </c>
    </row>
    <row r="95" spans="1:90" ht="17.45" customHeight="1">
      <c r="A95" s="58">
        <v>91</v>
      </c>
      <c r="B95" s="59" t="str">
        <f>'C Div'!A95 &amp; " " &amp; 'C Div'!B95</f>
        <v xml:space="preserve"> </v>
      </c>
      <c r="C95" s="59" t="str">
        <f>'C Div'!E95</f>
        <v>-</v>
      </c>
      <c r="D95" s="60"/>
      <c r="E95" s="60"/>
      <c r="F95" s="60"/>
      <c r="G95" s="60"/>
      <c r="H95" s="60"/>
      <c r="I95" s="60"/>
      <c r="J95" s="60"/>
      <c r="K95" s="60"/>
      <c r="L95" s="60"/>
      <c r="M95" s="74" t="str">
        <f t="shared" si="16"/>
        <v>-</v>
      </c>
      <c r="N95" s="60"/>
      <c r="O95" s="60"/>
      <c r="P95" s="60"/>
      <c r="Q95" s="60"/>
      <c r="R95" s="60"/>
      <c r="S95" s="60"/>
      <c r="T95" s="60"/>
      <c r="U95" s="60"/>
      <c r="V95" s="60"/>
      <c r="W95" s="74" t="str">
        <f t="shared" si="17"/>
        <v>-</v>
      </c>
      <c r="X95" s="155" t="str">
        <f t="shared" si="18"/>
        <v>-</v>
      </c>
      <c r="Y95" s="156" t="str">
        <f t="shared" si="19"/>
        <v>-</v>
      </c>
      <c r="AA95" s="60"/>
      <c r="AB95" s="60"/>
      <c r="AC95" s="60"/>
      <c r="AD95" s="60"/>
      <c r="AE95" s="60"/>
      <c r="AF95" s="60"/>
      <c r="AG95" s="60"/>
      <c r="AH95" s="60"/>
      <c r="AI95" s="60"/>
      <c r="AJ95" s="74" t="str">
        <f t="shared" si="20"/>
        <v>-</v>
      </c>
      <c r="AK95" s="60"/>
      <c r="AL95" s="60"/>
      <c r="AM95" s="60"/>
      <c r="AN95" s="60"/>
      <c r="AO95" s="60"/>
      <c r="AP95" s="60"/>
      <c r="AQ95" s="60"/>
      <c r="AR95" s="60"/>
      <c r="AS95" s="60"/>
      <c r="AT95" s="74" t="str">
        <f t="shared" si="21"/>
        <v>-</v>
      </c>
      <c r="AU95" s="155" t="str">
        <f t="shared" si="22"/>
        <v>-</v>
      </c>
      <c r="AV95" s="156" t="str">
        <f t="shared" si="23"/>
        <v>-</v>
      </c>
      <c r="AX95" s="59" t="str">
        <f>IF(AND(D95&gt;0,AA95&gt;0),MIN(D95,AA95),"-")</f>
        <v>-</v>
      </c>
      <c r="AY95" s="59" t="str">
        <f>IF(AND(E95&gt;0,AB95&gt;0),MIN(E95,AB95),"-")</f>
        <v>-</v>
      </c>
      <c r="AZ95" s="59" t="str">
        <f>IF(AND(F95&gt;0,AC95&gt;0),MIN(F95,AC95),"-")</f>
        <v>-</v>
      </c>
      <c r="BA95" s="59" t="str">
        <f>IF(AND(G95&gt;0,AD95&gt;0),MIN(G95,AD95),"-")</f>
        <v>-</v>
      </c>
      <c r="BB95" s="59" t="str">
        <f>IF(AND(H95&gt;0,AE95&gt;0),MIN(H95,AE95),"-")</f>
        <v>-</v>
      </c>
      <c r="BC95" s="59" t="str">
        <f>IF(AND(I95&gt;0,AF95&gt;0),MIN(I95,AF95),"-")</f>
        <v>-</v>
      </c>
      <c r="BD95" s="59" t="str">
        <f>IF(AND(J95&gt;0,AG95&gt;0),MIN(J95,AG95),"-")</f>
        <v>-</v>
      </c>
      <c r="BE95" s="59" t="str">
        <f>IF(AND(K95&gt;0,AH95&gt;0),MIN(K95,AH95),"-")</f>
        <v>-</v>
      </c>
      <c r="BF95" s="59" t="str">
        <f>IF(AND(L95&gt;0,AI95&gt;0),MIN(L95,AI95),"-")</f>
        <v>-</v>
      </c>
      <c r="BG95" s="59" t="str">
        <f t="shared" si="24"/>
        <v>-</v>
      </c>
      <c r="BH95" s="59" t="str">
        <f>IF(AND(N95&gt;0,AK95&gt;0),MIN(N95,AK95),"-")</f>
        <v>-</v>
      </c>
      <c r="BI95" s="59" t="str">
        <f>IF(AND(O95&gt;0,AL95&gt;0),MIN(O95,AL95),"-")</f>
        <v>-</v>
      </c>
      <c r="BJ95" s="59" t="str">
        <f>IF(AND(P95&gt;0,AM95&gt;0),MIN(P95,AM95),"-")</f>
        <v>-</v>
      </c>
      <c r="BK95" s="59" t="str">
        <f>IF(AND(Q95&gt;0,AN95&gt;0),MIN(Q95,AN95),"-")</f>
        <v>-</v>
      </c>
      <c r="BL95" s="59" t="str">
        <f>IF(AND(R95&gt;0,AO95&gt;0),MIN(R95,AO95),"-")</f>
        <v>-</v>
      </c>
      <c r="BM95" s="59" t="str">
        <f>IF(AND(S95&gt;0,AP95&gt;0),MIN(S95,AP95),"-")</f>
        <v>-</v>
      </c>
      <c r="BN95" s="59" t="str">
        <f>IF(AND(T95&gt;0,AQ95&gt;0),MIN(T95,AQ95),"-")</f>
        <v>-</v>
      </c>
      <c r="BO95" s="59" t="str">
        <f>IF(AND(U95&gt;0,AR95&gt;0),MIN(U95,AR95),"-")</f>
        <v>-</v>
      </c>
      <c r="BP95" s="59" t="str">
        <f>IF(AND(V95&gt;0,AS95&gt;0),MIN(V95,AS95),"-")</f>
        <v>-</v>
      </c>
      <c r="BQ95" s="59" t="str">
        <f t="shared" si="25"/>
        <v>-</v>
      </c>
      <c r="BR95" s="59" t="str">
        <f t="shared" si="26"/>
        <v>-</v>
      </c>
      <c r="BS95" s="59" t="str">
        <f t="shared" si="27"/>
        <v>-</v>
      </c>
      <c r="BT95" s="98" t="str">
        <f>IF(ISNUMBER(BS95),BS95-(C95*Rules!$P$9/100),"-")</f>
        <v>-</v>
      </c>
      <c r="BU95" s="59" t="e">
        <f>RANK($BT95,$BT$5:$BT$106,1)+COUNTIF(BT$5:BT95,BT95)-1</f>
        <v>#VALUE!</v>
      </c>
      <c r="BV95" s="59" t="e">
        <f t="shared" si="28"/>
        <v>#VALUE!</v>
      </c>
      <c r="BW95" s="59" t="str">
        <f t="shared" si="29"/>
        <v xml:space="preserve"> </v>
      </c>
      <c r="BX95" s="59" t="str">
        <f t="shared" si="29"/>
        <v>-</v>
      </c>
      <c r="BY95" s="59" t="str">
        <f t="shared" si="30"/>
        <v>-</v>
      </c>
      <c r="CC95" s="4">
        <v>91</v>
      </c>
      <c r="CD95" s="2" t="e">
        <f>VLOOKUP(CC95,$BV$5:BY$215,1,FALSE)</f>
        <v>#N/A</v>
      </c>
      <c r="CE95" s="6" t="e">
        <f>VLOOKUP(CC95,$BV$5:BY$215,2,FALSE)</f>
        <v>#N/A</v>
      </c>
      <c r="CF95" s="103" t="e">
        <f>VLOOKUP(CC95,$BV$5:BY$215,4,FALSE)</f>
        <v>#N/A</v>
      </c>
      <c r="CL95" s="77">
        <v>1</v>
      </c>
    </row>
    <row r="96" spans="1:90" ht="17.45" customHeight="1">
      <c r="A96" s="58">
        <v>92</v>
      </c>
      <c r="B96" s="59" t="str">
        <f>'C Div'!A96 &amp; " " &amp; 'C Div'!B96</f>
        <v xml:space="preserve"> </v>
      </c>
      <c r="C96" s="59" t="str">
        <f>'C Div'!E96</f>
        <v>-</v>
      </c>
      <c r="D96" s="60"/>
      <c r="E96" s="60"/>
      <c r="F96" s="60"/>
      <c r="G96" s="60"/>
      <c r="H96" s="60"/>
      <c r="I96" s="60"/>
      <c r="J96" s="60"/>
      <c r="K96" s="60"/>
      <c r="L96" s="60"/>
      <c r="M96" s="74" t="str">
        <f t="shared" si="16"/>
        <v>-</v>
      </c>
      <c r="N96" s="60"/>
      <c r="O96" s="60"/>
      <c r="P96" s="60"/>
      <c r="Q96" s="60"/>
      <c r="R96" s="60"/>
      <c r="S96" s="60"/>
      <c r="T96" s="60"/>
      <c r="U96" s="60"/>
      <c r="V96" s="60"/>
      <c r="W96" s="74" t="str">
        <f t="shared" si="17"/>
        <v>-</v>
      </c>
      <c r="X96" s="155" t="str">
        <f t="shared" si="18"/>
        <v>-</v>
      </c>
      <c r="Y96" s="156" t="str">
        <f t="shared" si="19"/>
        <v>-</v>
      </c>
      <c r="AA96" s="60"/>
      <c r="AB96" s="60"/>
      <c r="AC96" s="60"/>
      <c r="AD96" s="60"/>
      <c r="AE96" s="60"/>
      <c r="AF96" s="60"/>
      <c r="AG96" s="60"/>
      <c r="AH96" s="60"/>
      <c r="AI96" s="60"/>
      <c r="AJ96" s="74" t="str">
        <f t="shared" si="20"/>
        <v>-</v>
      </c>
      <c r="AK96" s="60"/>
      <c r="AL96" s="60"/>
      <c r="AM96" s="60"/>
      <c r="AN96" s="60"/>
      <c r="AO96" s="60"/>
      <c r="AP96" s="60"/>
      <c r="AQ96" s="60"/>
      <c r="AR96" s="60"/>
      <c r="AS96" s="60"/>
      <c r="AT96" s="74" t="str">
        <f t="shared" si="21"/>
        <v>-</v>
      </c>
      <c r="AU96" s="155" t="str">
        <f t="shared" si="22"/>
        <v>-</v>
      </c>
      <c r="AV96" s="156" t="str">
        <f t="shared" si="23"/>
        <v>-</v>
      </c>
      <c r="AX96" s="59" t="str">
        <f>IF(AND(D96&gt;0,AA96&gt;0),MIN(D96,AA96),"-")</f>
        <v>-</v>
      </c>
      <c r="AY96" s="59" t="str">
        <f>IF(AND(E96&gt;0,AB96&gt;0),MIN(E96,AB96),"-")</f>
        <v>-</v>
      </c>
      <c r="AZ96" s="59" t="str">
        <f>IF(AND(F96&gt;0,AC96&gt;0),MIN(F96,AC96),"-")</f>
        <v>-</v>
      </c>
      <c r="BA96" s="59" t="str">
        <f>IF(AND(G96&gt;0,AD96&gt;0),MIN(G96,AD96),"-")</f>
        <v>-</v>
      </c>
      <c r="BB96" s="59" t="str">
        <f>IF(AND(H96&gt;0,AE96&gt;0),MIN(H96,AE96),"-")</f>
        <v>-</v>
      </c>
      <c r="BC96" s="59" t="str">
        <f>IF(AND(I96&gt;0,AF96&gt;0),MIN(I96,AF96),"-")</f>
        <v>-</v>
      </c>
      <c r="BD96" s="59" t="str">
        <f>IF(AND(J96&gt;0,AG96&gt;0),MIN(J96,AG96),"-")</f>
        <v>-</v>
      </c>
      <c r="BE96" s="59" t="str">
        <f>IF(AND(K96&gt;0,AH96&gt;0),MIN(K96,AH96),"-")</f>
        <v>-</v>
      </c>
      <c r="BF96" s="59" t="str">
        <f>IF(AND(L96&gt;0,AI96&gt;0),MIN(L96,AI96),"-")</f>
        <v>-</v>
      </c>
      <c r="BG96" s="59" t="str">
        <f t="shared" si="24"/>
        <v>-</v>
      </c>
      <c r="BH96" s="59" t="str">
        <f>IF(AND(N96&gt;0,AK96&gt;0),MIN(N96,AK96),"-")</f>
        <v>-</v>
      </c>
      <c r="BI96" s="59" t="str">
        <f>IF(AND(O96&gt;0,AL96&gt;0),MIN(O96,AL96),"-")</f>
        <v>-</v>
      </c>
      <c r="BJ96" s="59" t="str">
        <f>IF(AND(P96&gt;0,AM96&gt;0),MIN(P96,AM96),"-")</f>
        <v>-</v>
      </c>
      <c r="BK96" s="59" t="str">
        <f>IF(AND(Q96&gt;0,AN96&gt;0),MIN(Q96,AN96),"-")</f>
        <v>-</v>
      </c>
      <c r="BL96" s="59" t="str">
        <f>IF(AND(R96&gt;0,AO96&gt;0),MIN(R96,AO96),"-")</f>
        <v>-</v>
      </c>
      <c r="BM96" s="59" t="str">
        <f>IF(AND(S96&gt;0,AP96&gt;0),MIN(S96,AP96),"-")</f>
        <v>-</v>
      </c>
      <c r="BN96" s="59" t="str">
        <f>IF(AND(T96&gt;0,AQ96&gt;0),MIN(T96,AQ96),"-")</f>
        <v>-</v>
      </c>
      <c r="BO96" s="59" t="str">
        <f>IF(AND(U96&gt;0,AR96&gt;0),MIN(U96,AR96),"-")</f>
        <v>-</v>
      </c>
      <c r="BP96" s="59" t="str">
        <f>IF(AND(V96&gt;0,AS96&gt;0),MIN(V96,AS96),"-")</f>
        <v>-</v>
      </c>
      <c r="BQ96" s="59" t="str">
        <f t="shared" si="25"/>
        <v>-</v>
      </c>
      <c r="BR96" s="59" t="str">
        <f t="shared" si="26"/>
        <v>-</v>
      </c>
      <c r="BS96" s="59" t="str">
        <f t="shared" si="27"/>
        <v>-</v>
      </c>
      <c r="BT96" s="98" t="str">
        <f>IF(ISNUMBER(BS96),BS96-(C96*Rules!$P$9/100),"-")</f>
        <v>-</v>
      </c>
      <c r="BU96" s="59" t="e">
        <f>RANK($BT96,$BT$5:$BT$106,1)+COUNTIF(BT$5:BT96,BT96)-1</f>
        <v>#VALUE!</v>
      </c>
      <c r="BV96" s="59" t="e">
        <f t="shared" si="28"/>
        <v>#VALUE!</v>
      </c>
      <c r="BW96" s="59" t="str">
        <f t="shared" si="29"/>
        <v xml:space="preserve"> </v>
      </c>
      <c r="BX96" s="59" t="str">
        <f t="shared" si="29"/>
        <v>-</v>
      </c>
      <c r="BY96" s="59" t="str">
        <f t="shared" si="30"/>
        <v>-</v>
      </c>
      <c r="CC96" s="4">
        <v>92</v>
      </c>
      <c r="CD96" s="2" t="e">
        <f>VLOOKUP(CC96,$BV$5:BY$215,1,FALSE)</f>
        <v>#N/A</v>
      </c>
      <c r="CE96" s="6" t="e">
        <f>VLOOKUP(CC96,$BV$5:BY$215,2,FALSE)</f>
        <v>#N/A</v>
      </c>
      <c r="CF96" s="103" t="e">
        <f>VLOOKUP(CC96,$BV$5:BY$215,4,FALSE)</f>
        <v>#N/A</v>
      </c>
      <c r="CL96" s="77">
        <v>1</v>
      </c>
    </row>
    <row r="97" spans="1:90" ht="17.45" customHeight="1">
      <c r="A97" s="58">
        <v>93</v>
      </c>
      <c r="B97" s="59" t="str">
        <f>'C Div'!A97 &amp; " " &amp; 'C Div'!B97</f>
        <v xml:space="preserve"> </v>
      </c>
      <c r="C97" s="59" t="str">
        <f>'C Div'!E97</f>
        <v>-</v>
      </c>
      <c r="D97" s="60"/>
      <c r="E97" s="60"/>
      <c r="F97" s="60"/>
      <c r="G97" s="60"/>
      <c r="H97" s="60"/>
      <c r="I97" s="60"/>
      <c r="J97" s="60"/>
      <c r="K97" s="60"/>
      <c r="L97" s="60"/>
      <c r="M97" s="74" t="str">
        <f t="shared" si="16"/>
        <v>-</v>
      </c>
      <c r="N97" s="60"/>
      <c r="O97" s="60"/>
      <c r="P97" s="60"/>
      <c r="Q97" s="60"/>
      <c r="R97" s="60"/>
      <c r="S97" s="60"/>
      <c r="T97" s="60"/>
      <c r="U97" s="60"/>
      <c r="V97" s="60"/>
      <c r="W97" s="74" t="str">
        <f t="shared" si="17"/>
        <v>-</v>
      </c>
      <c r="X97" s="155" t="str">
        <f t="shared" si="18"/>
        <v>-</v>
      </c>
      <c r="Y97" s="156" t="str">
        <f t="shared" si="19"/>
        <v>-</v>
      </c>
      <c r="AA97" s="60"/>
      <c r="AB97" s="60"/>
      <c r="AC97" s="60"/>
      <c r="AD97" s="60"/>
      <c r="AE97" s="60"/>
      <c r="AF97" s="60"/>
      <c r="AG97" s="60"/>
      <c r="AH97" s="60"/>
      <c r="AI97" s="60"/>
      <c r="AJ97" s="74" t="str">
        <f t="shared" si="20"/>
        <v>-</v>
      </c>
      <c r="AK97" s="60"/>
      <c r="AL97" s="60"/>
      <c r="AM97" s="60"/>
      <c r="AN97" s="60"/>
      <c r="AO97" s="60"/>
      <c r="AP97" s="60"/>
      <c r="AQ97" s="60"/>
      <c r="AR97" s="60"/>
      <c r="AS97" s="60"/>
      <c r="AT97" s="74" t="str">
        <f t="shared" si="21"/>
        <v>-</v>
      </c>
      <c r="AU97" s="155" t="str">
        <f t="shared" si="22"/>
        <v>-</v>
      </c>
      <c r="AV97" s="156" t="str">
        <f t="shared" si="23"/>
        <v>-</v>
      </c>
      <c r="AX97" s="59" t="str">
        <f>IF(AND(D97&gt;0,AA97&gt;0),MIN(D97,AA97),"-")</f>
        <v>-</v>
      </c>
      <c r="AY97" s="59" t="str">
        <f>IF(AND(E97&gt;0,AB97&gt;0),MIN(E97,AB97),"-")</f>
        <v>-</v>
      </c>
      <c r="AZ97" s="59" t="str">
        <f>IF(AND(F97&gt;0,AC97&gt;0),MIN(F97,AC97),"-")</f>
        <v>-</v>
      </c>
      <c r="BA97" s="59" t="str">
        <f>IF(AND(G97&gt;0,AD97&gt;0),MIN(G97,AD97),"-")</f>
        <v>-</v>
      </c>
      <c r="BB97" s="59" t="str">
        <f>IF(AND(H97&gt;0,AE97&gt;0),MIN(H97,AE97),"-")</f>
        <v>-</v>
      </c>
      <c r="BC97" s="59" t="str">
        <f>IF(AND(I97&gt;0,AF97&gt;0),MIN(I97,AF97),"-")</f>
        <v>-</v>
      </c>
      <c r="BD97" s="59" t="str">
        <f>IF(AND(J97&gt;0,AG97&gt;0),MIN(J97,AG97),"-")</f>
        <v>-</v>
      </c>
      <c r="BE97" s="59" t="str">
        <f>IF(AND(K97&gt;0,AH97&gt;0),MIN(K97,AH97),"-")</f>
        <v>-</v>
      </c>
      <c r="BF97" s="59" t="str">
        <f>IF(AND(L97&gt;0,AI97&gt;0),MIN(L97,AI97),"-")</f>
        <v>-</v>
      </c>
      <c r="BG97" s="59" t="str">
        <f t="shared" si="24"/>
        <v>-</v>
      </c>
      <c r="BH97" s="59" t="str">
        <f>IF(AND(N97&gt;0,AK97&gt;0),MIN(N97,AK97),"-")</f>
        <v>-</v>
      </c>
      <c r="BI97" s="59" t="str">
        <f>IF(AND(O97&gt;0,AL97&gt;0),MIN(O97,AL97),"-")</f>
        <v>-</v>
      </c>
      <c r="BJ97" s="59" t="str">
        <f>IF(AND(P97&gt;0,AM97&gt;0),MIN(P97,AM97),"-")</f>
        <v>-</v>
      </c>
      <c r="BK97" s="59" t="str">
        <f>IF(AND(Q97&gt;0,AN97&gt;0),MIN(Q97,AN97),"-")</f>
        <v>-</v>
      </c>
      <c r="BL97" s="59" t="str">
        <f>IF(AND(R97&gt;0,AO97&gt;0),MIN(R97,AO97),"-")</f>
        <v>-</v>
      </c>
      <c r="BM97" s="59" t="str">
        <f>IF(AND(S97&gt;0,AP97&gt;0),MIN(S97,AP97),"-")</f>
        <v>-</v>
      </c>
      <c r="BN97" s="59" t="str">
        <f>IF(AND(T97&gt;0,AQ97&gt;0),MIN(T97,AQ97),"-")</f>
        <v>-</v>
      </c>
      <c r="BO97" s="59" t="str">
        <f>IF(AND(U97&gt;0,AR97&gt;0),MIN(U97,AR97),"-")</f>
        <v>-</v>
      </c>
      <c r="BP97" s="59" t="str">
        <f>IF(AND(V97&gt;0,AS97&gt;0),MIN(V97,AS97),"-")</f>
        <v>-</v>
      </c>
      <c r="BQ97" s="59" t="str">
        <f t="shared" si="25"/>
        <v>-</v>
      </c>
      <c r="BR97" s="59" t="str">
        <f t="shared" si="26"/>
        <v>-</v>
      </c>
      <c r="BS97" s="59" t="str">
        <f t="shared" si="27"/>
        <v>-</v>
      </c>
      <c r="BT97" s="98" t="str">
        <f>IF(ISNUMBER(BS97),BS97-(C97*Rules!$P$9/100),"-")</f>
        <v>-</v>
      </c>
      <c r="BU97" s="59" t="e">
        <f>RANK($BT97,$BT$5:$BT$106,1)+COUNTIF(BT$5:BT97,BT97)-1</f>
        <v>#VALUE!</v>
      </c>
      <c r="BV97" s="59" t="e">
        <f t="shared" si="28"/>
        <v>#VALUE!</v>
      </c>
      <c r="BW97" s="59" t="str">
        <f t="shared" si="29"/>
        <v xml:space="preserve"> </v>
      </c>
      <c r="BX97" s="59" t="str">
        <f t="shared" si="29"/>
        <v>-</v>
      </c>
      <c r="BY97" s="59" t="str">
        <f t="shared" si="30"/>
        <v>-</v>
      </c>
      <c r="CC97" s="4">
        <v>93</v>
      </c>
      <c r="CD97" s="2" t="e">
        <f>VLOOKUP(CC97,$BV$5:BY$215,1,FALSE)</f>
        <v>#N/A</v>
      </c>
      <c r="CE97" s="6" t="e">
        <f>VLOOKUP(CC97,$BV$5:BY$215,2,FALSE)</f>
        <v>#N/A</v>
      </c>
      <c r="CF97" s="103" t="e">
        <f>VLOOKUP(CC97,$BV$5:BY$215,4,FALSE)</f>
        <v>#N/A</v>
      </c>
      <c r="CL97" s="77">
        <v>1</v>
      </c>
    </row>
    <row r="98" spans="1:90" ht="17.45" customHeight="1">
      <c r="A98" s="58">
        <v>94</v>
      </c>
      <c r="B98" s="59" t="str">
        <f>'C Div'!A98 &amp; " " &amp; 'C Div'!B98</f>
        <v xml:space="preserve"> </v>
      </c>
      <c r="C98" s="59" t="str">
        <f>'C Div'!E98</f>
        <v>-</v>
      </c>
      <c r="D98" s="60"/>
      <c r="E98" s="60"/>
      <c r="F98" s="60"/>
      <c r="G98" s="60"/>
      <c r="H98" s="60"/>
      <c r="I98" s="60"/>
      <c r="J98" s="60"/>
      <c r="K98" s="60"/>
      <c r="L98" s="60"/>
      <c r="M98" s="74" t="str">
        <f t="shared" si="16"/>
        <v>-</v>
      </c>
      <c r="N98" s="60"/>
      <c r="O98" s="60"/>
      <c r="P98" s="60"/>
      <c r="Q98" s="60"/>
      <c r="R98" s="60"/>
      <c r="S98" s="60"/>
      <c r="T98" s="60"/>
      <c r="U98" s="60"/>
      <c r="V98" s="60"/>
      <c r="W98" s="74" t="str">
        <f t="shared" si="17"/>
        <v>-</v>
      </c>
      <c r="X98" s="155" t="str">
        <f t="shared" si="18"/>
        <v>-</v>
      </c>
      <c r="Y98" s="156" t="str">
        <f t="shared" si="19"/>
        <v>-</v>
      </c>
      <c r="AA98" s="60"/>
      <c r="AB98" s="60"/>
      <c r="AC98" s="60"/>
      <c r="AD98" s="60"/>
      <c r="AE98" s="60"/>
      <c r="AF98" s="60"/>
      <c r="AG98" s="60"/>
      <c r="AH98" s="60"/>
      <c r="AI98" s="60"/>
      <c r="AJ98" s="74" t="str">
        <f t="shared" si="20"/>
        <v>-</v>
      </c>
      <c r="AK98" s="60"/>
      <c r="AL98" s="60"/>
      <c r="AM98" s="60"/>
      <c r="AN98" s="60"/>
      <c r="AO98" s="60"/>
      <c r="AP98" s="60"/>
      <c r="AQ98" s="60"/>
      <c r="AR98" s="60"/>
      <c r="AS98" s="60"/>
      <c r="AT98" s="74" t="str">
        <f t="shared" si="21"/>
        <v>-</v>
      </c>
      <c r="AU98" s="155" t="str">
        <f t="shared" si="22"/>
        <v>-</v>
      </c>
      <c r="AV98" s="156" t="str">
        <f t="shared" si="23"/>
        <v>-</v>
      </c>
      <c r="AX98" s="59" t="str">
        <f>IF(AND(D98&gt;0,AA98&gt;0),MIN(D98,AA98),"-")</f>
        <v>-</v>
      </c>
      <c r="AY98" s="59" t="str">
        <f>IF(AND(E98&gt;0,AB98&gt;0),MIN(E98,AB98),"-")</f>
        <v>-</v>
      </c>
      <c r="AZ98" s="59" t="str">
        <f>IF(AND(F98&gt;0,AC98&gt;0),MIN(F98,AC98),"-")</f>
        <v>-</v>
      </c>
      <c r="BA98" s="59" t="str">
        <f>IF(AND(G98&gt;0,AD98&gt;0),MIN(G98,AD98),"-")</f>
        <v>-</v>
      </c>
      <c r="BB98" s="59" t="str">
        <f>IF(AND(H98&gt;0,AE98&gt;0),MIN(H98,AE98),"-")</f>
        <v>-</v>
      </c>
      <c r="BC98" s="59" t="str">
        <f>IF(AND(I98&gt;0,AF98&gt;0),MIN(I98,AF98),"-")</f>
        <v>-</v>
      </c>
      <c r="BD98" s="59" t="str">
        <f>IF(AND(J98&gt;0,AG98&gt;0),MIN(J98,AG98),"-")</f>
        <v>-</v>
      </c>
      <c r="BE98" s="59" t="str">
        <f>IF(AND(K98&gt;0,AH98&gt;0),MIN(K98,AH98),"-")</f>
        <v>-</v>
      </c>
      <c r="BF98" s="59" t="str">
        <f>IF(AND(L98&gt;0,AI98&gt;0),MIN(L98,AI98),"-")</f>
        <v>-</v>
      </c>
      <c r="BG98" s="59" t="str">
        <f t="shared" si="24"/>
        <v>-</v>
      </c>
      <c r="BH98" s="59" t="str">
        <f>IF(AND(N98&gt;0,AK98&gt;0),MIN(N98,AK98),"-")</f>
        <v>-</v>
      </c>
      <c r="BI98" s="59" t="str">
        <f>IF(AND(O98&gt;0,AL98&gt;0),MIN(O98,AL98),"-")</f>
        <v>-</v>
      </c>
      <c r="BJ98" s="59" t="str">
        <f>IF(AND(P98&gt;0,AM98&gt;0),MIN(P98,AM98),"-")</f>
        <v>-</v>
      </c>
      <c r="BK98" s="59" t="str">
        <f>IF(AND(Q98&gt;0,AN98&gt;0),MIN(Q98,AN98),"-")</f>
        <v>-</v>
      </c>
      <c r="BL98" s="59" t="str">
        <f>IF(AND(R98&gt;0,AO98&gt;0),MIN(R98,AO98),"-")</f>
        <v>-</v>
      </c>
      <c r="BM98" s="59" t="str">
        <f>IF(AND(S98&gt;0,AP98&gt;0),MIN(S98,AP98),"-")</f>
        <v>-</v>
      </c>
      <c r="BN98" s="59" t="str">
        <f>IF(AND(T98&gt;0,AQ98&gt;0),MIN(T98,AQ98),"-")</f>
        <v>-</v>
      </c>
      <c r="BO98" s="59" t="str">
        <f>IF(AND(U98&gt;0,AR98&gt;0),MIN(U98,AR98),"-")</f>
        <v>-</v>
      </c>
      <c r="BP98" s="59" t="str">
        <f>IF(AND(V98&gt;0,AS98&gt;0),MIN(V98,AS98),"-")</f>
        <v>-</v>
      </c>
      <c r="BQ98" s="59" t="str">
        <f t="shared" si="25"/>
        <v>-</v>
      </c>
      <c r="BR98" s="59" t="str">
        <f t="shared" si="26"/>
        <v>-</v>
      </c>
      <c r="BS98" s="59" t="str">
        <f t="shared" si="27"/>
        <v>-</v>
      </c>
      <c r="BT98" s="98" t="str">
        <f>IF(ISNUMBER(BS98),BS98-(C98*Rules!$P$9/100),"-")</f>
        <v>-</v>
      </c>
      <c r="BU98" s="59" t="e">
        <f>RANK($BT98,$BT$5:$BT$106,1)+COUNTIF(BT$5:BT98,BT98)-1</f>
        <v>#VALUE!</v>
      </c>
      <c r="BV98" s="59" t="e">
        <f t="shared" si="28"/>
        <v>#VALUE!</v>
      </c>
      <c r="BW98" s="59" t="str">
        <f t="shared" si="29"/>
        <v xml:space="preserve"> </v>
      </c>
      <c r="BX98" s="59" t="str">
        <f t="shared" si="29"/>
        <v>-</v>
      </c>
      <c r="BY98" s="59" t="str">
        <f t="shared" si="30"/>
        <v>-</v>
      </c>
      <c r="CC98" s="4">
        <v>94</v>
      </c>
      <c r="CD98" s="2" t="e">
        <f>VLOOKUP(CC98,$BV$5:BY$215,1,FALSE)</f>
        <v>#N/A</v>
      </c>
      <c r="CE98" s="6" t="e">
        <f>VLOOKUP(CC98,$BV$5:BY$215,2,FALSE)</f>
        <v>#N/A</v>
      </c>
      <c r="CF98" s="103" t="e">
        <f>VLOOKUP(CC98,$BV$5:BY$215,4,FALSE)</f>
        <v>#N/A</v>
      </c>
      <c r="CL98" s="77">
        <v>1</v>
      </c>
    </row>
    <row r="99" spans="1:90" ht="17.45" customHeight="1">
      <c r="A99" s="58">
        <v>95</v>
      </c>
      <c r="B99" s="59" t="str">
        <f>'C Div'!A99 &amp; " " &amp; 'C Div'!B99</f>
        <v xml:space="preserve"> </v>
      </c>
      <c r="C99" s="59" t="str">
        <f>'C Div'!E99</f>
        <v>-</v>
      </c>
      <c r="D99" s="60"/>
      <c r="E99" s="60"/>
      <c r="F99" s="60"/>
      <c r="G99" s="60"/>
      <c r="H99" s="60"/>
      <c r="I99" s="60"/>
      <c r="J99" s="60"/>
      <c r="K99" s="60"/>
      <c r="L99" s="60"/>
      <c r="M99" s="74" t="str">
        <f t="shared" si="16"/>
        <v>-</v>
      </c>
      <c r="N99" s="60"/>
      <c r="O99" s="60"/>
      <c r="P99" s="60"/>
      <c r="Q99" s="60"/>
      <c r="R99" s="60"/>
      <c r="S99" s="60"/>
      <c r="T99" s="60"/>
      <c r="U99" s="60"/>
      <c r="V99" s="60"/>
      <c r="W99" s="74" t="str">
        <f t="shared" si="17"/>
        <v>-</v>
      </c>
      <c r="X99" s="155" t="str">
        <f t="shared" si="18"/>
        <v>-</v>
      </c>
      <c r="Y99" s="156" t="str">
        <f t="shared" si="19"/>
        <v>-</v>
      </c>
      <c r="AA99" s="60"/>
      <c r="AB99" s="60"/>
      <c r="AC99" s="60"/>
      <c r="AD99" s="60"/>
      <c r="AE99" s="60"/>
      <c r="AF99" s="60"/>
      <c r="AG99" s="60"/>
      <c r="AH99" s="60"/>
      <c r="AI99" s="60"/>
      <c r="AJ99" s="74" t="str">
        <f t="shared" si="20"/>
        <v>-</v>
      </c>
      <c r="AK99" s="60"/>
      <c r="AL99" s="60"/>
      <c r="AM99" s="60"/>
      <c r="AN99" s="60"/>
      <c r="AO99" s="60"/>
      <c r="AP99" s="60"/>
      <c r="AQ99" s="60"/>
      <c r="AR99" s="60"/>
      <c r="AS99" s="60"/>
      <c r="AT99" s="74" t="str">
        <f t="shared" si="21"/>
        <v>-</v>
      </c>
      <c r="AU99" s="155" t="str">
        <f t="shared" si="22"/>
        <v>-</v>
      </c>
      <c r="AV99" s="156" t="str">
        <f t="shared" si="23"/>
        <v>-</v>
      </c>
      <c r="AX99" s="59" t="str">
        <f>IF(AND(D99&gt;0,AA99&gt;0),MIN(D99,AA99),"-")</f>
        <v>-</v>
      </c>
      <c r="AY99" s="59" t="str">
        <f>IF(AND(E99&gt;0,AB99&gt;0),MIN(E99,AB99),"-")</f>
        <v>-</v>
      </c>
      <c r="AZ99" s="59" t="str">
        <f>IF(AND(F99&gt;0,AC99&gt;0),MIN(F99,AC99),"-")</f>
        <v>-</v>
      </c>
      <c r="BA99" s="59" t="str">
        <f>IF(AND(G99&gt;0,AD99&gt;0),MIN(G99,AD99),"-")</f>
        <v>-</v>
      </c>
      <c r="BB99" s="59" t="str">
        <f>IF(AND(H99&gt;0,AE99&gt;0),MIN(H99,AE99),"-")</f>
        <v>-</v>
      </c>
      <c r="BC99" s="59" t="str">
        <f>IF(AND(I99&gt;0,AF99&gt;0),MIN(I99,AF99),"-")</f>
        <v>-</v>
      </c>
      <c r="BD99" s="59" t="str">
        <f>IF(AND(J99&gt;0,AG99&gt;0),MIN(J99,AG99),"-")</f>
        <v>-</v>
      </c>
      <c r="BE99" s="59" t="str">
        <f>IF(AND(K99&gt;0,AH99&gt;0),MIN(K99,AH99),"-")</f>
        <v>-</v>
      </c>
      <c r="BF99" s="59" t="str">
        <f>IF(AND(L99&gt;0,AI99&gt;0),MIN(L99,AI99),"-")</f>
        <v>-</v>
      </c>
      <c r="BG99" s="59" t="str">
        <f t="shared" si="24"/>
        <v>-</v>
      </c>
      <c r="BH99" s="59" t="str">
        <f>IF(AND(N99&gt;0,AK99&gt;0),MIN(N99,AK99),"-")</f>
        <v>-</v>
      </c>
      <c r="BI99" s="59" t="str">
        <f>IF(AND(O99&gt;0,AL99&gt;0),MIN(O99,AL99),"-")</f>
        <v>-</v>
      </c>
      <c r="BJ99" s="59" t="str">
        <f>IF(AND(P99&gt;0,AM99&gt;0),MIN(P99,AM99),"-")</f>
        <v>-</v>
      </c>
      <c r="BK99" s="59" t="str">
        <f>IF(AND(Q99&gt;0,AN99&gt;0),MIN(Q99,AN99),"-")</f>
        <v>-</v>
      </c>
      <c r="BL99" s="59" t="str">
        <f>IF(AND(R99&gt;0,AO99&gt;0),MIN(R99,AO99),"-")</f>
        <v>-</v>
      </c>
      <c r="BM99" s="59" t="str">
        <f>IF(AND(S99&gt;0,AP99&gt;0),MIN(S99,AP99),"-")</f>
        <v>-</v>
      </c>
      <c r="BN99" s="59" t="str">
        <f>IF(AND(T99&gt;0,AQ99&gt;0),MIN(T99,AQ99),"-")</f>
        <v>-</v>
      </c>
      <c r="BO99" s="59" t="str">
        <f>IF(AND(U99&gt;0,AR99&gt;0),MIN(U99,AR99),"-")</f>
        <v>-</v>
      </c>
      <c r="BP99" s="59" t="str">
        <f>IF(AND(V99&gt;0,AS99&gt;0),MIN(V99,AS99),"-")</f>
        <v>-</v>
      </c>
      <c r="BQ99" s="59" t="str">
        <f t="shared" si="25"/>
        <v>-</v>
      </c>
      <c r="BR99" s="59" t="str">
        <f t="shared" si="26"/>
        <v>-</v>
      </c>
      <c r="BS99" s="59" t="str">
        <f t="shared" si="27"/>
        <v>-</v>
      </c>
      <c r="BT99" s="98" t="str">
        <f>IF(ISNUMBER(BS99),BS99-(C99*Rules!$P$9/100),"-")</f>
        <v>-</v>
      </c>
      <c r="BU99" s="59" t="e">
        <f>RANK($BT99,$BT$5:$BT$106,1)+COUNTIF(BT$5:BT99,BT99)-1</f>
        <v>#VALUE!</v>
      </c>
      <c r="BV99" s="59" t="e">
        <f t="shared" si="28"/>
        <v>#VALUE!</v>
      </c>
      <c r="BW99" s="59" t="str">
        <f t="shared" si="29"/>
        <v xml:space="preserve"> </v>
      </c>
      <c r="BX99" s="59" t="str">
        <f t="shared" si="29"/>
        <v>-</v>
      </c>
      <c r="BY99" s="59" t="str">
        <f t="shared" si="30"/>
        <v>-</v>
      </c>
      <c r="CC99" s="4">
        <v>95</v>
      </c>
      <c r="CD99" s="2" t="e">
        <f>VLOOKUP(CC99,$BV$5:BY$215,1,FALSE)</f>
        <v>#N/A</v>
      </c>
      <c r="CE99" s="6" t="e">
        <f>VLOOKUP(CC99,$BV$5:BY$215,2,FALSE)</f>
        <v>#N/A</v>
      </c>
      <c r="CF99" s="103" t="e">
        <f>VLOOKUP(CC99,$BV$5:BY$215,4,FALSE)</f>
        <v>#N/A</v>
      </c>
      <c r="CL99" s="77">
        <v>1</v>
      </c>
    </row>
    <row r="100" spans="1:90" ht="17.45" customHeight="1">
      <c r="A100" s="58">
        <v>96</v>
      </c>
      <c r="B100" s="59" t="str">
        <f>'C Div'!A100 &amp; " " &amp; 'C Div'!B100</f>
        <v xml:space="preserve"> </v>
      </c>
      <c r="C100" s="59" t="str">
        <f>'C Div'!E100</f>
        <v>-</v>
      </c>
      <c r="D100" s="60"/>
      <c r="E100" s="60"/>
      <c r="F100" s="60"/>
      <c r="G100" s="60"/>
      <c r="H100" s="60"/>
      <c r="I100" s="60"/>
      <c r="J100" s="60"/>
      <c r="K100" s="60"/>
      <c r="L100" s="60"/>
      <c r="M100" s="74" t="str">
        <f t="shared" si="16"/>
        <v>-</v>
      </c>
      <c r="N100" s="60"/>
      <c r="O100" s="60"/>
      <c r="P100" s="60"/>
      <c r="Q100" s="60"/>
      <c r="R100" s="60"/>
      <c r="S100" s="60"/>
      <c r="T100" s="60"/>
      <c r="U100" s="60"/>
      <c r="V100" s="60"/>
      <c r="W100" s="74" t="str">
        <f t="shared" si="17"/>
        <v>-</v>
      </c>
      <c r="X100" s="155" t="str">
        <f t="shared" si="18"/>
        <v>-</v>
      </c>
      <c r="Y100" s="156" t="str">
        <f t="shared" si="19"/>
        <v>-</v>
      </c>
      <c r="AA100" s="60"/>
      <c r="AB100" s="60"/>
      <c r="AC100" s="60"/>
      <c r="AD100" s="60"/>
      <c r="AE100" s="60"/>
      <c r="AF100" s="60"/>
      <c r="AG100" s="60"/>
      <c r="AH100" s="60"/>
      <c r="AI100" s="60"/>
      <c r="AJ100" s="74" t="str">
        <f t="shared" si="20"/>
        <v>-</v>
      </c>
      <c r="AK100" s="60"/>
      <c r="AL100" s="60"/>
      <c r="AM100" s="60"/>
      <c r="AN100" s="60"/>
      <c r="AO100" s="60"/>
      <c r="AP100" s="60"/>
      <c r="AQ100" s="60"/>
      <c r="AR100" s="60"/>
      <c r="AS100" s="60"/>
      <c r="AT100" s="74" t="str">
        <f t="shared" si="21"/>
        <v>-</v>
      </c>
      <c r="AU100" s="155" t="str">
        <f t="shared" si="22"/>
        <v>-</v>
      </c>
      <c r="AV100" s="156" t="str">
        <f t="shared" si="23"/>
        <v>-</v>
      </c>
      <c r="AX100" s="59" t="str">
        <f>IF(AND(D100&gt;0,AA100&gt;0),MIN(D100,AA100),"-")</f>
        <v>-</v>
      </c>
      <c r="AY100" s="59" t="str">
        <f>IF(AND(E100&gt;0,AB100&gt;0),MIN(E100,AB100),"-")</f>
        <v>-</v>
      </c>
      <c r="AZ100" s="59" t="str">
        <f>IF(AND(F100&gt;0,AC100&gt;0),MIN(F100,AC100),"-")</f>
        <v>-</v>
      </c>
      <c r="BA100" s="59" t="str">
        <f>IF(AND(G100&gt;0,AD100&gt;0),MIN(G100,AD100),"-")</f>
        <v>-</v>
      </c>
      <c r="BB100" s="59" t="str">
        <f>IF(AND(H100&gt;0,AE100&gt;0),MIN(H100,AE100),"-")</f>
        <v>-</v>
      </c>
      <c r="BC100" s="59" t="str">
        <f>IF(AND(I100&gt;0,AF100&gt;0),MIN(I100,AF100),"-")</f>
        <v>-</v>
      </c>
      <c r="BD100" s="59" t="str">
        <f>IF(AND(J100&gt;0,AG100&gt;0),MIN(J100,AG100),"-")</f>
        <v>-</v>
      </c>
      <c r="BE100" s="59" t="str">
        <f>IF(AND(K100&gt;0,AH100&gt;0),MIN(K100,AH100),"-")</f>
        <v>-</v>
      </c>
      <c r="BF100" s="59" t="str">
        <f>IF(AND(L100&gt;0,AI100&gt;0),MIN(L100,AI100),"-")</f>
        <v>-</v>
      </c>
      <c r="BG100" s="59" t="str">
        <f t="shared" si="24"/>
        <v>-</v>
      </c>
      <c r="BH100" s="59" t="str">
        <f>IF(AND(N100&gt;0,AK100&gt;0),MIN(N100,AK100),"-")</f>
        <v>-</v>
      </c>
      <c r="BI100" s="59" t="str">
        <f>IF(AND(O100&gt;0,AL100&gt;0),MIN(O100,AL100),"-")</f>
        <v>-</v>
      </c>
      <c r="BJ100" s="59" t="str">
        <f>IF(AND(P100&gt;0,AM100&gt;0),MIN(P100,AM100),"-")</f>
        <v>-</v>
      </c>
      <c r="BK100" s="59" t="str">
        <f>IF(AND(Q100&gt;0,AN100&gt;0),MIN(Q100,AN100),"-")</f>
        <v>-</v>
      </c>
      <c r="BL100" s="59" t="str">
        <f>IF(AND(R100&gt;0,AO100&gt;0),MIN(R100,AO100),"-")</f>
        <v>-</v>
      </c>
      <c r="BM100" s="59" t="str">
        <f>IF(AND(S100&gt;0,AP100&gt;0),MIN(S100,AP100),"-")</f>
        <v>-</v>
      </c>
      <c r="BN100" s="59" t="str">
        <f>IF(AND(T100&gt;0,AQ100&gt;0),MIN(T100,AQ100),"-")</f>
        <v>-</v>
      </c>
      <c r="BO100" s="59" t="str">
        <f>IF(AND(U100&gt;0,AR100&gt;0),MIN(U100,AR100),"-")</f>
        <v>-</v>
      </c>
      <c r="BP100" s="59" t="str">
        <f>IF(AND(V100&gt;0,AS100&gt;0),MIN(V100,AS100),"-")</f>
        <v>-</v>
      </c>
      <c r="BQ100" s="59" t="str">
        <f t="shared" si="25"/>
        <v>-</v>
      </c>
      <c r="BR100" s="59" t="str">
        <f t="shared" si="26"/>
        <v>-</v>
      </c>
      <c r="BS100" s="59" t="str">
        <f t="shared" si="27"/>
        <v>-</v>
      </c>
      <c r="BT100" s="98" t="str">
        <f>IF(ISNUMBER(BS100),BS100-(C100*Rules!$P$9/100),"-")</f>
        <v>-</v>
      </c>
      <c r="BU100" s="59" t="e">
        <f>RANK($BT100,$BT$5:$BT$106,1)+COUNTIF(BT$5:BT100,BT100)-1</f>
        <v>#VALUE!</v>
      </c>
      <c r="BV100" s="59" t="e">
        <f t="shared" si="28"/>
        <v>#VALUE!</v>
      </c>
      <c r="BW100" s="59" t="str">
        <f t="shared" si="29"/>
        <v xml:space="preserve"> </v>
      </c>
      <c r="BX100" s="59" t="str">
        <f t="shared" si="29"/>
        <v>-</v>
      </c>
      <c r="BY100" s="59" t="str">
        <f t="shared" si="30"/>
        <v>-</v>
      </c>
      <c r="CC100" s="4">
        <v>96</v>
      </c>
      <c r="CD100" s="2" t="e">
        <f>VLOOKUP(CC100,$BV$5:BY$215,1,FALSE)</f>
        <v>#N/A</v>
      </c>
      <c r="CE100" s="6" t="e">
        <f>VLOOKUP(CC100,$BV$5:BY$215,2,FALSE)</f>
        <v>#N/A</v>
      </c>
      <c r="CF100" s="103" t="e">
        <f>VLOOKUP(CC100,$BV$5:BY$215,4,FALSE)</f>
        <v>#N/A</v>
      </c>
      <c r="CL100" s="77">
        <v>1</v>
      </c>
    </row>
    <row r="101" spans="1:90" ht="17.45" customHeight="1">
      <c r="A101" s="58">
        <v>97</v>
      </c>
      <c r="B101" s="59" t="str">
        <f>'C Div'!A101 &amp; " " &amp; 'C Div'!B101</f>
        <v xml:space="preserve"> </v>
      </c>
      <c r="C101" s="59" t="str">
        <f>'C Div'!E101</f>
        <v>-</v>
      </c>
      <c r="D101" s="60"/>
      <c r="E101" s="60"/>
      <c r="F101" s="60"/>
      <c r="G101" s="60"/>
      <c r="H101" s="60"/>
      <c r="I101" s="60"/>
      <c r="J101" s="60"/>
      <c r="K101" s="60"/>
      <c r="L101" s="60"/>
      <c r="M101" s="74" t="str">
        <f t="shared" si="16"/>
        <v>-</v>
      </c>
      <c r="N101" s="60"/>
      <c r="O101" s="60"/>
      <c r="P101" s="60"/>
      <c r="Q101" s="60"/>
      <c r="R101" s="60"/>
      <c r="S101" s="60"/>
      <c r="T101" s="60"/>
      <c r="U101" s="60"/>
      <c r="V101" s="60"/>
      <c r="W101" s="74" t="str">
        <f t="shared" si="17"/>
        <v>-</v>
      </c>
      <c r="X101" s="155" t="str">
        <f t="shared" si="18"/>
        <v>-</v>
      </c>
      <c r="Y101" s="156" t="str">
        <f t="shared" si="19"/>
        <v>-</v>
      </c>
      <c r="AA101" s="60"/>
      <c r="AB101" s="60"/>
      <c r="AC101" s="60"/>
      <c r="AD101" s="60"/>
      <c r="AE101" s="60"/>
      <c r="AF101" s="60"/>
      <c r="AG101" s="60"/>
      <c r="AH101" s="60"/>
      <c r="AI101" s="60"/>
      <c r="AJ101" s="74" t="str">
        <f t="shared" si="20"/>
        <v>-</v>
      </c>
      <c r="AK101" s="60"/>
      <c r="AL101" s="60"/>
      <c r="AM101" s="60"/>
      <c r="AN101" s="60"/>
      <c r="AO101" s="60"/>
      <c r="AP101" s="60"/>
      <c r="AQ101" s="60"/>
      <c r="AR101" s="60"/>
      <c r="AS101" s="60"/>
      <c r="AT101" s="74" t="str">
        <f t="shared" si="21"/>
        <v>-</v>
      </c>
      <c r="AU101" s="155" t="str">
        <f t="shared" si="22"/>
        <v>-</v>
      </c>
      <c r="AV101" s="156" t="str">
        <f t="shared" si="23"/>
        <v>-</v>
      </c>
      <c r="AX101" s="59" t="str">
        <f>IF(AND(D101&gt;0,AA101&gt;0),MIN(D101,AA101),"-")</f>
        <v>-</v>
      </c>
      <c r="AY101" s="59" t="str">
        <f>IF(AND(E101&gt;0,AB101&gt;0),MIN(E101,AB101),"-")</f>
        <v>-</v>
      </c>
      <c r="AZ101" s="59" t="str">
        <f>IF(AND(F101&gt;0,AC101&gt;0),MIN(F101,AC101),"-")</f>
        <v>-</v>
      </c>
      <c r="BA101" s="59" t="str">
        <f>IF(AND(G101&gt;0,AD101&gt;0),MIN(G101,AD101),"-")</f>
        <v>-</v>
      </c>
      <c r="BB101" s="59" t="str">
        <f>IF(AND(H101&gt;0,AE101&gt;0),MIN(H101,AE101),"-")</f>
        <v>-</v>
      </c>
      <c r="BC101" s="59" t="str">
        <f>IF(AND(I101&gt;0,AF101&gt;0),MIN(I101,AF101),"-")</f>
        <v>-</v>
      </c>
      <c r="BD101" s="59" t="str">
        <f>IF(AND(J101&gt;0,AG101&gt;0),MIN(J101,AG101),"-")</f>
        <v>-</v>
      </c>
      <c r="BE101" s="59" t="str">
        <f>IF(AND(K101&gt;0,AH101&gt;0),MIN(K101,AH101),"-")</f>
        <v>-</v>
      </c>
      <c r="BF101" s="59" t="str">
        <f>IF(AND(L101&gt;0,AI101&gt;0),MIN(L101,AI101),"-")</f>
        <v>-</v>
      </c>
      <c r="BG101" s="59" t="str">
        <f t="shared" si="24"/>
        <v>-</v>
      </c>
      <c r="BH101" s="59" t="str">
        <f>IF(AND(N101&gt;0,AK101&gt;0),MIN(N101,AK101),"-")</f>
        <v>-</v>
      </c>
      <c r="BI101" s="59" t="str">
        <f>IF(AND(O101&gt;0,AL101&gt;0),MIN(O101,AL101),"-")</f>
        <v>-</v>
      </c>
      <c r="BJ101" s="59" t="str">
        <f>IF(AND(P101&gt;0,AM101&gt;0),MIN(P101,AM101),"-")</f>
        <v>-</v>
      </c>
      <c r="BK101" s="59" t="str">
        <f>IF(AND(Q101&gt;0,AN101&gt;0),MIN(Q101,AN101),"-")</f>
        <v>-</v>
      </c>
      <c r="BL101" s="59" t="str">
        <f>IF(AND(R101&gt;0,AO101&gt;0),MIN(R101,AO101),"-")</f>
        <v>-</v>
      </c>
      <c r="BM101" s="59" t="str">
        <f>IF(AND(S101&gt;0,AP101&gt;0),MIN(S101,AP101),"-")</f>
        <v>-</v>
      </c>
      <c r="BN101" s="59" t="str">
        <f>IF(AND(T101&gt;0,AQ101&gt;0),MIN(T101,AQ101),"-")</f>
        <v>-</v>
      </c>
      <c r="BO101" s="59" t="str">
        <f>IF(AND(U101&gt;0,AR101&gt;0),MIN(U101,AR101),"-")</f>
        <v>-</v>
      </c>
      <c r="BP101" s="59" t="str">
        <f>IF(AND(V101&gt;0,AS101&gt;0),MIN(V101,AS101),"-")</f>
        <v>-</v>
      </c>
      <c r="BQ101" s="59" t="str">
        <f t="shared" si="25"/>
        <v>-</v>
      </c>
      <c r="BR101" s="59" t="str">
        <f t="shared" si="26"/>
        <v>-</v>
      </c>
      <c r="BS101" s="59" t="str">
        <f t="shared" si="27"/>
        <v>-</v>
      </c>
      <c r="BT101" s="98" t="str">
        <f>IF(ISNUMBER(BS101),BS101-(C101*Rules!$P$9/100),"-")</f>
        <v>-</v>
      </c>
      <c r="BU101" s="59" t="e">
        <f>RANK($BT101,$BT$5:$BT$106,1)+COUNTIF(BT$5:BT101,BT101)-1</f>
        <v>#VALUE!</v>
      </c>
      <c r="BV101" s="59" t="e">
        <f t="shared" si="28"/>
        <v>#VALUE!</v>
      </c>
      <c r="BW101" s="59" t="str">
        <f t="shared" si="29"/>
        <v xml:space="preserve"> </v>
      </c>
      <c r="BX101" s="59" t="str">
        <f t="shared" si="29"/>
        <v>-</v>
      </c>
      <c r="BY101" s="59" t="str">
        <f t="shared" si="30"/>
        <v>-</v>
      </c>
      <c r="CC101" s="4">
        <v>97</v>
      </c>
      <c r="CD101" s="2" t="e">
        <f>VLOOKUP(CC101,$BV$5:BY$215,1,FALSE)</f>
        <v>#N/A</v>
      </c>
      <c r="CE101" s="6" t="e">
        <f>VLOOKUP(CC101,$BV$5:BY$215,2,FALSE)</f>
        <v>#N/A</v>
      </c>
      <c r="CF101" s="103" t="e">
        <f>VLOOKUP(CC101,$BV$5:BY$215,4,FALSE)</f>
        <v>#N/A</v>
      </c>
      <c r="CL101" s="77">
        <v>1</v>
      </c>
    </row>
    <row r="102" spans="1:90" ht="17.45" customHeight="1">
      <c r="A102" s="58">
        <v>98</v>
      </c>
      <c r="B102" s="59" t="str">
        <f>'C Div'!A102 &amp; " " &amp; 'C Div'!B102</f>
        <v xml:space="preserve"> </v>
      </c>
      <c r="C102" s="59" t="str">
        <f>'C Div'!E102</f>
        <v>-</v>
      </c>
      <c r="D102" s="60"/>
      <c r="E102" s="60"/>
      <c r="F102" s="60"/>
      <c r="G102" s="60"/>
      <c r="H102" s="60"/>
      <c r="I102" s="60"/>
      <c r="J102" s="60"/>
      <c r="K102" s="60"/>
      <c r="L102" s="60"/>
      <c r="M102" s="74" t="str">
        <f t="shared" si="16"/>
        <v>-</v>
      </c>
      <c r="N102" s="60"/>
      <c r="O102" s="60"/>
      <c r="P102" s="60"/>
      <c r="Q102" s="60"/>
      <c r="R102" s="60"/>
      <c r="S102" s="60"/>
      <c r="T102" s="60"/>
      <c r="U102" s="60"/>
      <c r="V102" s="60"/>
      <c r="W102" s="74" t="str">
        <f t="shared" si="17"/>
        <v>-</v>
      </c>
      <c r="X102" s="155" t="str">
        <f t="shared" si="18"/>
        <v>-</v>
      </c>
      <c r="Y102" s="156" t="str">
        <f t="shared" si="19"/>
        <v>-</v>
      </c>
      <c r="AA102" s="60"/>
      <c r="AB102" s="60"/>
      <c r="AC102" s="60"/>
      <c r="AD102" s="60"/>
      <c r="AE102" s="60"/>
      <c r="AF102" s="60"/>
      <c r="AG102" s="60"/>
      <c r="AH102" s="60"/>
      <c r="AI102" s="60"/>
      <c r="AJ102" s="74" t="str">
        <f t="shared" si="20"/>
        <v>-</v>
      </c>
      <c r="AK102" s="60"/>
      <c r="AL102" s="60"/>
      <c r="AM102" s="60"/>
      <c r="AN102" s="60"/>
      <c r="AO102" s="60"/>
      <c r="AP102" s="60"/>
      <c r="AQ102" s="60"/>
      <c r="AR102" s="60"/>
      <c r="AS102" s="60"/>
      <c r="AT102" s="74" t="str">
        <f t="shared" si="21"/>
        <v>-</v>
      </c>
      <c r="AU102" s="155" t="str">
        <f t="shared" si="22"/>
        <v>-</v>
      </c>
      <c r="AV102" s="156" t="str">
        <f t="shared" si="23"/>
        <v>-</v>
      </c>
      <c r="AX102" s="59" t="str">
        <f>IF(AND(D102&gt;0,AA102&gt;0),MIN(D102,AA102),"-")</f>
        <v>-</v>
      </c>
      <c r="AY102" s="59" t="str">
        <f>IF(AND(E102&gt;0,AB102&gt;0),MIN(E102,AB102),"-")</f>
        <v>-</v>
      </c>
      <c r="AZ102" s="59" t="str">
        <f>IF(AND(F102&gt;0,AC102&gt;0),MIN(F102,AC102),"-")</f>
        <v>-</v>
      </c>
      <c r="BA102" s="59" t="str">
        <f>IF(AND(G102&gt;0,AD102&gt;0),MIN(G102,AD102),"-")</f>
        <v>-</v>
      </c>
      <c r="BB102" s="59" t="str">
        <f>IF(AND(H102&gt;0,AE102&gt;0),MIN(H102,AE102),"-")</f>
        <v>-</v>
      </c>
      <c r="BC102" s="59" t="str">
        <f>IF(AND(I102&gt;0,AF102&gt;0),MIN(I102,AF102),"-")</f>
        <v>-</v>
      </c>
      <c r="BD102" s="59" t="str">
        <f>IF(AND(J102&gt;0,AG102&gt;0),MIN(J102,AG102),"-")</f>
        <v>-</v>
      </c>
      <c r="BE102" s="59" t="str">
        <f>IF(AND(K102&gt;0,AH102&gt;0),MIN(K102,AH102),"-")</f>
        <v>-</v>
      </c>
      <c r="BF102" s="59" t="str">
        <f>IF(AND(L102&gt;0,AI102&gt;0),MIN(L102,AI102),"-")</f>
        <v>-</v>
      </c>
      <c r="BG102" s="59" t="str">
        <f t="shared" si="24"/>
        <v>-</v>
      </c>
      <c r="BH102" s="59" t="str">
        <f>IF(AND(N102&gt;0,AK102&gt;0),MIN(N102,AK102),"-")</f>
        <v>-</v>
      </c>
      <c r="BI102" s="59" t="str">
        <f>IF(AND(O102&gt;0,AL102&gt;0),MIN(O102,AL102),"-")</f>
        <v>-</v>
      </c>
      <c r="BJ102" s="59" t="str">
        <f>IF(AND(P102&gt;0,AM102&gt;0),MIN(P102,AM102),"-")</f>
        <v>-</v>
      </c>
      <c r="BK102" s="59" t="str">
        <f>IF(AND(Q102&gt;0,AN102&gt;0),MIN(Q102,AN102),"-")</f>
        <v>-</v>
      </c>
      <c r="BL102" s="59" t="str">
        <f>IF(AND(R102&gt;0,AO102&gt;0),MIN(R102,AO102),"-")</f>
        <v>-</v>
      </c>
      <c r="BM102" s="59" t="str">
        <f>IF(AND(S102&gt;0,AP102&gt;0),MIN(S102,AP102),"-")</f>
        <v>-</v>
      </c>
      <c r="BN102" s="59" t="str">
        <f>IF(AND(T102&gt;0,AQ102&gt;0),MIN(T102,AQ102),"-")</f>
        <v>-</v>
      </c>
      <c r="BO102" s="59" t="str">
        <f>IF(AND(U102&gt;0,AR102&gt;0),MIN(U102,AR102),"-")</f>
        <v>-</v>
      </c>
      <c r="BP102" s="59" t="str">
        <f>IF(AND(V102&gt;0,AS102&gt;0),MIN(V102,AS102),"-")</f>
        <v>-</v>
      </c>
      <c r="BQ102" s="59" t="str">
        <f t="shared" si="25"/>
        <v>-</v>
      </c>
      <c r="BR102" s="59" t="str">
        <f t="shared" si="26"/>
        <v>-</v>
      </c>
      <c r="BS102" s="59" t="str">
        <f t="shared" si="27"/>
        <v>-</v>
      </c>
      <c r="BT102" s="98" t="str">
        <f>IF(ISNUMBER(BS102),BS102-(C102*Rules!$P$9/100),"-")</f>
        <v>-</v>
      </c>
      <c r="BU102" s="59" t="e">
        <f>RANK($BT102,$BT$5:$BT$106,1)+COUNTIF(BT$5:BT102,BT102)-1</f>
        <v>#VALUE!</v>
      </c>
      <c r="BV102" s="59" t="e">
        <f t="shared" si="28"/>
        <v>#VALUE!</v>
      </c>
      <c r="BW102" s="59" t="str">
        <f t="shared" si="29"/>
        <v xml:space="preserve"> </v>
      </c>
      <c r="BX102" s="59" t="str">
        <f t="shared" si="29"/>
        <v>-</v>
      </c>
      <c r="BY102" s="59" t="str">
        <f t="shared" si="30"/>
        <v>-</v>
      </c>
      <c r="CC102" s="4">
        <v>98</v>
      </c>
      <c r="CD102" s="2" t="e">
        <f>VLOOKUP(CC102,$BV$5:BY$215,1,FALSE)</f>
        <v>#N/A</v>
      </c>
      <c r="CE102" s="6" t="e">
        <f>VLOOKUP(CC102,$BV$5:BY$215,2,FALSE)</f>
        <v>#N/A</v>
      </c>
      <c r="CF102" s="103" t="e">
        <f>VLOOKUP(CC102,$BV$5:BY$215,4,FALSE)</f>
        <v>#N/A</v>
      </c>
      <c r="CL102" s="77">
        <v>1</v>
      </c>
    </row>
    <row r="103" spans="1:90" ht="17.45" customHeight="1">
      <c r="A103" s="58">
        <v>99</v>
      </c>
      <c r="B103" s="59" t="str">
        <f>'C Div'!A103 &amp; " " &amp; 'C Div'!B103</f>
        <v xml:space="preserve"> </v>
      </c>
      <c r="C103" s="59" t="str">
        <f>'C Div'!E103</f>
        <v>-</v>
      </c>
      <c r="D103" s="60"/>
      <c r="E103" s="60"/>
      <c r="F103" s="60"/>
      <c r="G103" s="60"/>
      <c r="H103" s="60"/>
      <c r="I103" s="60"/>
      <c r="J103" s="60"/>
      <c r="K103" s="60"/>
      <c r="L103" s="60"/>
      <c r="M103" s="74" t="str">
        <f t="shared" si="16"/>
        <v>-</v>
      </c>
      <c r="N103" s="60"/>
      <c r="O103" s="60"/>
      <c r="P103" s="60"/>
      <c r="Q103" s="60"/>
      <c r="R103" s="60"/>
      <c r="S103" s="60"/>
      <c r="T103" s="60"/>
      <c r="U103" s="60"/>
      <c r="V103" s="60"/>
      <c r="W103" s="74" t="str">
        <f t="shared" si="17"/>
        <v>-</v>
      </c>
      <c r="X103" s="155" t="str">
        <f t="shared" si="18"/>
        <v>-</v>
      </c>
      <c r="Y103" s="156" t="str">
        <f t="shared" si="19"/>
        <v>-</v>
      </c>
      <c r="AA103" s="60"/>
      <c r="AB103" s="60"/>
      <c r="AC103" s="60"/>
      <c r="AD103" s="60"/>
      <c r="AE103" s="60"/>
      <c r="AF103" s="60"/>
      <c r="AG103" s="60"/>
      <c r="AH103" s="60"/>
      <c r="AI103" s="60"/>
      <c r="AJ103" s="74" t="str">
        <f t="shared" si="20"/>
        <v>-</v>
      </c>
      <c r="AK103" s="60"/>
      <c r="AL103" s="60"/>
      <c r="AM103" s="60"/>
      <c r="AN103" s="60"/>
      <c r="AO103" s="60"/>
      <c r="AP103" s="60"/>
      <c r="AQ103" s="60"/>
      <c r="AR103" s="60"/>
      <c r="AS103" s="60"/>
      <c r="AT103" s="74" t="str">
        <f t="shared" si="21"/>
        <v>-</v>
      </c>
      <c r="AU103" s="155" t="str">
        <f t="shared" si="22"/>
        <v>-</v>
      </c>
      <c r="AV103" s="156" t="str">
        <f t="shared" si="23"/>
        <v>-</v>
      </c>
      <c r="AX103" s="59" t="str">
        <f>IF(AND(D103&gt;0,AA103&gt;0),MIN(D103,AA103),"-")</f>
        <v>-</v>
      </c>
      <c r="AY103" s="59" t="str">
        <f>IF(AND(E103&gt;0,AB103&gt;0),MIN(E103,AB103),"-")</f>
        <v>-</v>
      </c>
      <c r="AZ103" s="59" t="str">
        <f>IF(AND(F103&gt;0,AC103&gt;0),MIN(F103,AC103),"-")</f>
        <v>-</v>
      </c>
      <c r="BA103" s="59" t="str">
        <f>IF(AND(G103&gt;0,AD103&gt;0),MIN(G103,AD103),"-")</f>
        <v>-</v>
      </c>
      <c r="BB103" s="59" t="str">
        <f>IF(AND(H103&gt;0,AE103&gt;0),MIN(H103,AE103),"-")</f>
        <v>-</v>
      </c>
      <c r="BC103" s="59" t="str">
        <f>IF(AND(I103&gt;0,AF103&gt;0),MIN(I103,AF103),"-")</f>
        <v>-</v>
      </c>
      <c r="BD103" s="59" t="str">
        <f>IF(AND(J103&gt;0,AG103&gt;0),MIN(J103,AG103),"-")</f>
        <v>-</v>
      </c>
      <c r="BE103" s="59" t="str">
        <f>IF(AND(K103&gt;0,AH103&gt;0),MIN(K103,AH103),"-")</f>
        <v>-</v>
      </c>
      <c r="BF103" s="59" t="str">
        <f>IF(AND(L103&gt;0,AI103&gt;0),MIN(L103,AI103),"-")</f>
        <v>-</v>
      </c>
      <c r="BG103" s="59" t="str">
        <f t="shared" si="24"/>
        <v>-</v>
      </c>
      <c r="BH103" s="59" t="str">
        <f>IF(AND(N103&gt;0,AK103&gt;0),MIN(N103,AK103),"-")</f>
        <v>-</v>
      </c>
      <c r="BI103" s="59" t="str">
        <f>IF(AND(O103&gt;0,AL103&gt;0),MIN(O103,AL103),"-")</f>
        <v>-</v>
      </c>
      <c r="BJ103" s="59" t="str">
        <f>IF(AND(P103&gt;0,AM103&gt;0),MIN(P103,AM103),"-")</f>
        <v>-</v>
      </c>
      <c r="BK103" s="59" t="str">
        <f>IF(AND(Q103&gt;0,AN103&gt;0),MIN(Q103,AN103),"-")</f>
        <v>-</v>
      </c>
      <c r="BL103" s="59" t="str">
        <f>IF(AND(R103&gt;0,AO103&gt;0),MIN(R103,AO103),"-")</f>
        <v>-</v>
      </c>
      <c r="BM103" s="59" t="str">
        <f>IF(AND(S103&gt;0,AP103&gt;0),MIN(S103,AP103),"-")</f>
        <v>-</v>
      </c>
      <c r="BN103" s="59" t="str">
        <f>IF(AND(T103&gt;0,AQ103&gt;0),MIN(T103,AQ103),"-")</f>
        <v>-</v>
      </c>
      <c r="BO103" s="59" t="str">
        <f>IF(AND(U103&gt;0,AR103&gt;0),MIN(U103,AR103),"-")</f>
        <v>-</v>
      </c>
      <c r="BP103" s="59" t="str">
        <f>IF(AND(V103&gt;0,AS103&gt;0),MIN(V103,AS103),"-")</f>
        <v>-</v>
      </c>
      <c r="BQ103" s="59" t="str">
        <f t="shared" si="25"/>
        <v>-</v>
      </c>
      <c r="BR103" s="59" t="str">
        <f t="shared" si="26"/>
        <v>-</v>
      </c>
      <c r="BS103" s="59" t="str">
        <f t="shared" si="27"/>
        <v>-</v>
      </c>
      <c r="BT103" s="98" t="str">
        <f>IF(ISNUMBER(BS103),BS103-(C103*Rules!$P$9/100),"-")</f>
        <v>-</v>
      </c>
      <c r="BU103" s="59" t="e">
        <f>RANK($BT103,$BT$5:$BT$106,1)+COUNTIF(BT$5:BT103,BT103)-1</f>
        <v>#VALUE!</v>
      </c>
      <c r="BV103" s="59" t="e">
        <f t="shared" si="28"/>
        <v>#VALUE!</v>
      </c>
      <c r="BW103" s="59" t="str">
        <f t="shared" si="29"/>
        <v xml:space="preserve"> </v>
      </c>
      <c r="BX103" s="59" t="str">
        <f t="shared" si="29"/>
        <v>-</v>
      </c>
      <c r="BY103" s="59" t="str">
        <f t="shared" si="30"/>
        <v>-</v>
      </c>
      <c r="CC103" s="4">
        <v>99</v>
      </c>
      <c r="CD103" s="2" t="e">
        <f>VLOOKUP(CC103,$BV$5:BY$215,1,FALSE)</f>
        <v>#N/A</v>
      </c>
      <c r="CE103" s="6" t="e">
        <f>VLOOKUP(CC103,$BV$5:BY$215,2,FALSE)</f>
        <v>#N/A</v>
      </c>
      <c r="CF103" s="103" t="e">
        <f>VLOOKUP(CC103,$BV$5:BY$215,4,FALSE)</f>
        <v>#N/A</v>
      </c>
      <c r="CL103" s="77">
        <v>1</v>
      </c>
    </row>
    <row r="104" spans="1:90" ht="17.45" customHeight="1">
      <c r="A104" s="58">
        <v>100</v>
      </c>
      <c r="B104" s="59" t="str">
        <f>'C Div'!A104 &amp; " " &amp; 'C Div'!B104</f>
        <v xml:space="preserve"> </v>
      </c>
      <c r="C104" s="59" t="str">
        <f>'C Div'!E104</f>
        <v>-</v>
      </c>
      <c r="D104" s="60"/>
      <c r="E104" s="60"/>
      <c r="F104" s="60"/>
      <c r="G104" s="60"/>
      <c r="H104" s="60"/>
      <c r="I104" s="60"/>
      <c r="J104" s="60"/>
      <c r="K104" s="60"/>
      <c r="L104" s="60"/>
      <c r="M104" s="74" t="str">
        <f t="shared" si="16"/>
        <v>-</v>
      </c>
      <c r="N104" s="60"/>
      <c r="O104" s="60"/>
      <c r="P104" s="60"/>
      <c r="Q104" s="60"/>
      <c r="R104" s="60"/>
      <c r="S104" s="60"/>
      <c r="T104" s="60"/>
      <c r="U104" s="60"/>
      <c r="V104" s="60"/>
      <c r="W104" s="74" t="str">
        <f t="shared" si="17"/>
        <v>-</v>
      </c>
      <c r="X104" s="155" t="str">
        <f t="shared" si="18"/>
        <v>-</v>
      </c>
      <c r="Y104" s="156" t="str">
        <f t="shared" si="19"/>
        <v>-</v>
      </c>
      <c r="AA104" s="60"/>
      <c r="AB104" s="60"/>
      <c r="AC104" s="60"/>
      <c r="AD104" s="60"/>
      <c r="AE104" s="60"/>
      <c r="AF104" s="60"/>
      <c r="AG104" s="60"/>
      <c r="AH104" s="60"/>
      <c r="AI104" s="60"/>
      <c r="AJ104" s="74" t="str">
        <f t="shared" si="20"/>
        <v>-</v>
      </c>
      <c r="AK104" s="60"/>
      <c r="AL104" s="60"/>
      <c r="AM104" s="60"/>
      <c r="AN104" s="60"/>
      <c r="AO104" s="60"/>
      <c r="AP104" s="60"/>
      <c r="AQ104" s="60"/>
      <c r="AR104" s="60"/>
      <c r="AS104" s="60"/>
      <c r="AT104" s="74" t="str">
        <f t="shared" si="21"/>
        <v>-</v>
      </c>
      <c r="AU104" s="155" t="str">
        <f t="shared" si="22"/>
        <v>-</v>
      </c>
      <c r="AV104" s="156" t="str">
        <f t="shared" si="23"/>
        <v>-</v>
      </c>
      <c r="AX104" s="59" t="str">
        <f>IF(AND(D104&gt;0,AA104&gt;0),MIN(D104,AA104),"-")</f>
        <v>-</v>
      </c>
      <c r="AY104" s="59" t="str">
        <f>IF(AND(E104&gt;0,AB104&gt;0),MIN(E104,AB104),"-")</f>
        <v>-</v>
      </c>
      <c r="AZ104" s="59" t="str">
        <f>IF(AND(F104&gt;0,AC104&gt;0),MIN(F104,AC104),"-")</f>
        <v>-</v>
      </c>
      <c r="BA104" s="59" t="str">
        <f>IF(AND(G104&gt;0,AD104&gt;0),MIN(G104,AD104),"-")</f>
        <v>-</v>
      </c>
      <c r="BB104" s="59" t="str">
        <f>IF(AND(H104&gt;0,AE104&gt;0),MIN(H104,AE104),"-")</f>
        <v>-</v>
      </c>
      <c r="BC104" s="59" t="str">
        <f>IF(AND(I104&gt;0,AF104&gt;0),MIN(I104,AF104),"-")</f>
        <v>-</v>
      </c>
      <c r="BD104" s="59" t="str">
        <f>IF(AND(J104&gt;0,AG104&gt;0),MIN(J104,AG104),"-")</f>
        <v>-</v>
      </c>
      <c r="BE104" s="59" t="str">
        <f>IF(AND(K104&gt;0,AH104&gt;0),MIN(K104,AH104),"-")</f>
        <v>-</v>
      </c>
      <c r="BF104" s="59" t="str">
        <f>IF(AND(L104&gt;0,AI104&gt;0),MIN(L104,AI104),"-")</f>
        <v>-</v>
      </c>
      <c r="BG104" s="59" t="str">
        <f t="shared" si="24"/>
        <v>-</v>
      </c>
      <c r="BH104" s="59" t="str">
        <f>IF(AND(N104&gt;0,AK104&gt;0),MIN(N104,AK104),"-")</f>
        <v>-</v>
      </c>
      <c r="BI104" s="59" t="str">
        <f>IF(AND(O104&gt;0,AL104&gt;0),MIN(O104,AL104),"-")</f>
        <v>-</v>
      </c>
      <c r="BJ104" s="59" t="str">
        <f>IF(AND(P104&gt;0,AM104&gt;0),MIN(P104,AM104),"-")</f>
        <v>-</v>
      </c>
      <c r="BK104" s="59" t="str">
        <f>IF(AND(Q104&gt;0,AN104&gt;0),MIN(Q104,AN104),"-")</f>
        <v>-</v>
      </c>
      <c r="BL104" s="59" t="str">
        <f>IF(AND(R104&gt;0,AO104&gt;0),MIN(R104,AO104),"-")</f>
        <v>-</v>
      </c>
      <c r="BM104" s="59" t="str">
        <f>IF(AND(S104&gt;0,AP104&gt;0),MIN(S104,AP104),"-")</f>
        <v>-</v>
      </c>
      <c r="BN104" s="59" t="str">
        <f>IF(AND(T104&gt;0,AQ104&gt;0),MIN(T104,AQ104),"-")</f>
        <v>-</v>
      </c>
      <c r="BO104" s="59" t="str">
        <f>IF(AND(U104&gt;0,AR104&gt;0),MIN(U104,AR104),"-")</f>
        <v>-</v>
      </c>
      <c r="BP104" s="59" t="str">
        <f>IF(AND(V104&gt;0,AS104&gt;0),MIN(V104,AS104),"-")</f>
        <v>-</v>
      </c>
      <c r="BQ104" s="59" t="str">
        <f t="shared" si="25"/>
        <v>-</v>
      </c>
      <c r="BR104" s="59" t="str">
        <f t="shared" si="26"/>
        <v>-</v>
      </c>
      <c r="BS104" s="59" t="str">
        <f t="shared" si="27"/>
        <v>-</v>
      </c>
      <c r="BT104" s="98" t="str">
        <f>IF(ISNUMBER(BS104),BS104-(C104*Rules!$P$9/100),"-")</f>
        <v>-</v>
      </c>
      <c r="BU104" s="59" t="e">
        <f>RANK($BT104,$BT$5:$BT$106,1)+COUNTIF(BT$5:BT104,BT104)-1</f>
        <v>#VALUE!</v>
      </c>
      <c r="BV104" s="59" t="e">
        <f t="shared" si="28"/>
        <v>#VALUE!</v>
      </c>
      <c r="BW104" s="59" t="str">
        <f t="shared" si="29"/>
        <v xml:space="preserve"> </v>
      </c>
      <c r="BX104" s="59" t="str">
        <f t="shared" si="29"/>
        <v>-</v>
      </c>
      <c r="BY104" s="59" t="str">
        <f t="shared" si="30"/>
        <v>-</v>
      </c>
      <c r="CC104" s="78">
        <v>100</v>
      </c>
      <c r="CD104" s="2" t="e">
        <f>VLOOKUP(CC104,$BV$5:BY$215,1,FALSE)</f>
        <v>#N/A</v>
      </c>
      <c r="CE104" s="6" t="e">
        <f>VLOOKUP(CC104,$BV$5:BY$215,2,FALSE)</f>
        <v>#N/A</v>
      </c>
      <c r="CF104" s="103" t="e">
        <f>VLOOKUP(CC104,$BV$5:BY$215,4,FALSE)</f>
        <v>#N/A</v>
      </c>
      <c r="CL104" s="77">
        <v>1</v>
      </c>
    </row>
    <row r="105" spans="1:90" ht="17.45" customHeight="1">
      <c r="A105" s="58">
        <v>101</v>
      </c>
      <c r="B105" s="59" t="str">
        <f>'C Div'!A105 &amp; " " &amp; 'C Div'!B105</f>
        <v xml:space="preserve"> </v>
      </c>
      <c r="C105" s="59">
        <f>'C Div'!E105</f>
        <v>0</v>
      </c>
      <c r="D105" s="60"/>
      <c r="E105" s="60"/>
      <c r="F105" s="60"/>
      <c r="G105" s="60"/>
      <c r="H105" s="60"/>
      <c r="I105" s="60"/>
      <c r="J105" s="60"/>
      <c r="K105" s="60"/>
      <c r="L105" s="60"/>
      <c r="M105" s="74" t="str">
        <f t="shared" si="16"/>
        <v>-</v>
      </c>
      <c r="N105" s="60"/>
      <c r="O105" s="60"/>
      <c r="P105" s="60"/>
      <c r="Q105" s="60"/>
      <c r="R105" s="60"/>
      <c r="S105" s="60"/>
      <c r="T105" s="60"/>
      <c r="U105" s="60"/>
      <c r="V105" s="60"/>
      <c r="W105" s="74" t="str">
        <f t="shared" si="17"/>
        <v>-</v>
      </c>
      <c r="X105" s="155" t="str">
        <f t="shared" si="18"/>
        <v>-</v>
      </c>
      <c r="Y105" s="156" t="str">
        <f t="shared" si="19"/>
        <v>-</v>
      </c>
      <c r="AA105" s="60"/>
      <c r="AB105" s="60"/>
      <c r="AC105" s="60"/>
      <c r="AD105" s="60"/>
      <c r="AE105" s="60"/>
      <c r="AF105" s="60"/>
      <c r="AG105" s="60"/>
      <c r="AH105" s="60"/>
      <c r="AI105" s="60"/>
      <c r="AJ105" s="74" t="str">
        <f t="shared" si="20"/>
        <v>-</v>
      </c>
      <c r="AK105" s="60"/>
      <c r="AL105" s="60"/>
      <c r="AM105" s="60"/>
      <c r="AN105" s="60"/>
      <c r="AO105" s="60"/>
      <c r="AP105" s="60"/>
      <c r="AQ105" s="60"/>
      <c r="AR105" s="60"/>
      <c r="AS105" s="60"/>
      <c r="AT105" s="74" t="str">
        <f t="shared" si="21"/>
        <v>-</v>
      </c>
      <c r="AU105" s="155" t="str">
        <f t="shared" si="22"/>
        <v>-</v>
      </c>
      <c r="AV105" s="156" t="str">
        <f t="shared" si="23"/>
        <v>-</v>
      </c>
      <c r="AX105" s="59" t="str">
        <f>IF(AND(D105&gt;0,AA105&gt;0),MIN(D105,AA105),"-")</f>
        <v>-</v>
      </c>
      <c r="AY105" s="59" t="str">
        <f>IF(AND(E105&gt;0,AB105&gt;0),MIN(E105,AB105),"-")</f>
        <v>-</v>
      </c>
      <c r="AZ105" s="59" t="str">
        <f>IF(AND(F105&gt;0,AC105&gt;0),MIN(F105,AC105),"-")</f>
        <v>-</v>
      </c>
      <c r="BA105" s="59" t="str">
        <f>IF(AND(G105&gt;0,AD105&gt;0),MIN(G105,AD105),"-")</f>
        <v>-</v>
      </c>
      <c r="BB105" s="59" t="str">
        <f>IF(AND(H105&gt;0,AE105&gt;0),MIN(H105,AE105),"-")</f>
        <v>-</v>
      </c>
      <c r="BC105" s="59" t="str">
        <f>IF(AND(I105&gt;0,AF105&gt;0),MIN(I105,AF105),"-")</f>
        <v>-</v>
      </c>
      <c r="BD105" s="59" t="str">
        <f>IF(AND(J105&gt;0,AG105&gt;0),MIN(J105,AG105),"-")</f>
        <v>-</v>
      </c>
      <c r="BE105" s="59" t="str">
        <f>IF(AND(K105&gt;0,AH105&gt;0),MIN(K105,AH105),"-")</f>
        <v>-</v>
      </c>
      <c r="BF105" s="59" t="str">
        <f>IF(AND(L105&gt;0,AI105&gt;0),MIN(L105,AI105),"-")</f>
        <v>-</v>
      </c>
      <c r="BG105" s="59" t="str">
        <f t="shared" si="24"/>
        <v>-</v>
      </c>
      <c r="BH105" s="59" t="str">
        <f>IF(AND(N105&gt;0,AK105&gt;0),MIN(N105,AK105),"-")</f>
        <v>-</v>
      </c>
      <c r="BI105" s="59" t="str">
        <f>IF(AND(O105&gt;0,AL105&gt;0),MIN(O105,AL105),"-")</f>
        <v>-</v>
      </c>
      <c r="BJ105" s="59" t="str">
        <f>IF(AND(P105&gt;0,AM105&gt;0),MIN(P105,AM105),"-")</f>
        <v>-</v>
      </c>
      <c r="BK105" s="59" t="str">
        <f>IF(AND(Q105&gt;0,AN105&gt;0),MIN(Q105,AN105),"-")</f>
        <v>-</v>
      </c>
      <c r="BL105" s="59" t="str">
        <f>IF(AND(R105&gt;0,AO105&gt;0),MIN(R105,AO105),"-")</f>
        <v>-</v>
      </c>
      <c r="BM105" s="59" t="str">
        <f>IF(AND(S105&gt;0,AP105&gt;0),MIN(S105,AP105),"-")</f>
        <v>-</v>
      </c>
      <c r="BN105" s="59" t="str">
        <f>IF(AND(T105&gt;0,AQ105&gt;0),MIN(T105,AQ105),"-")</f>
        <v>-</v>
      </c>
      <c r="BO105" s="59" t="str">
        <f>IF(AND(U105&gt;0,AR105&gt;0),MIN(U105,AR105),"-")</f>
        <v>-</v>
      </c>
      <c r="BP105" s="59" t="str">
        <f>IF(AND(V105&gt;0,AS105&gt;0),MIN(V105,AS105),"-")</f>
        <v>-</v>
      </c>
      <c r="BQ105" s="59" t="str">
        <f t="shared" si="25"/>
        <v>-</v>
      </c>
      <c r="BR105" s="59" t="str">
        <f t="shared" si="26"/>
        <v>-</v>
      </c>
      <c r="BS105" s="59" t="str">
        <f t="shared" si="27"/>
        <v>-</v>
      </c>
      <c r="BT105" s="98" t="str">
        <f>IF(ISNUMBER(BS105),BS105-(C105*Rules!$P$9/100),"-")</f>
        <v>-</v>
      </c>
      <c r="BU105" s="59" t="e">
        <f>RANK($BT105,$BT$5:$BT$106,1)+COUNTIF(BT$5:BT105,BT105)-1</f>
        <v>#VALUE!</v>
      </c>
      <c r="BV105" s="59" t="e">
        <f t="shared" si="28"/>
        <v>#VALUE!</v>
      </c>
      <c r="BW105" s="59" t="str">
        <f t="shared" si="29"/>
        <v xml:space="preserve"> </v>
      </c>
      <c r="BX105" s="59">
        <f t="shared" si="29"/>
        <v>0</v>
      </c>
      <c r="BY105" s="59" t="str">
        <f t="shared" si="30"/>
        <v>-</v>
      </c>
      <c r="CD105" s="79"/>
      <c r="CE105" s="80"/>
      <c r="CF105" s="104"/>
      <c r="CL105" s="77">
        <v>1</v>
      </c>
    </row>
    <row r="106" spans="1:90" ht="17.45" customHeight="1">
      <c r="A106" s="58">
        <v>102</v>
      </c>
      <c r="B106" s="59" t="str">
        <f>'C Div'!A106 &amp; " " &amp; 'C Div'!B106</f>
        <v xml:space="preserve"> </v>
      </c>
      <c r="C106" s="59">
        <f>'C Div'!E106</f>
        <v>0</v>
      </c>
      <c r="D106" s="60"/>
      <c r="E106" s="60"/>
      <c r="F106" s="60"/>
      <c r="G106" s="60"/>
      <c r="H106" s="60"/>
      <c r="I106" s="60"/>
      <c r="J106" s="60"/>
      <c r="K106" s="60"/>
      <c r="L106" s="60"/>
      <c r="M106" s="74" t="str">
        <f t="shared" si="16"/>
        <v>-</v>
      </c>
      <c r="N106" s="60"/>
      <c r="O106" s="60"/>
      <c r="P106" s="60"/>
      <c r="Q106" s="60"/>
      <c r="R106" s="60"/>
      <c r="S106" s="60"/>
      <c r="T106" s="60"/>
      <c r="U106" s="60"/>
      <c r="V106" s="60"/>
      <c r="W106" s="74" t="str">
        <f t="shared" si="17"/>
        <v>-</v>
      </c>
      <c r="X106" s="155" t="str">
        <f t="shared" si="18"/>
        <v>-</v>
      </c>
      <c r="Y106" s="156" t="str">
        <f t="shared" si="19"/>
        <v>-</v>
      </c>
      <c r="AA106" s="60"/>
      <c r="AB106" s="60"/>
      <c r="AC106" s="60"/>
      <c r="AD106" s="60"/>
      <c r="AE106" s="60"/>
      <c r="AF106" s="60"/>
      <c r="AG106" s="60"/>
      <c r="AH106" s="60"/>
      <c r="AI106" s="60"/>
      <c r="AJ106" s="74" t="str">
        <f t="shared" si="20"/>
        <v>-</v>
      </c>
      <c r="AK106" s="60"/>
      <c r="AL106" s="60"/>
      <c r="AM106" s="60"/>
      <c r="AN106" s="60"/>
      <c r="AO106" s="60"/>
      <c r="AP106" s="60"/>
      <c r="AQ106" s="60"/>
      <c r="AR106" s="60"/>
      <c r="AS106" s="60"/>
      <c r="AT106" s="74" t="str">
        <f t="shared" si="21"/>
        <v>-</v>
      </c>
      <c r="AU106" s="155" t="str">
        <f t="shared" si="22"/>
        <v>-</v>
      </c>
      <c r="AV106" s="156" t="str">
        <f t="shared" si="23"/>
        <v>-</v>
      </c>
      <c r="AX106" s="59" t="str">
        <f>IF(AND(D106&gt;0,AA106&gt;0),MIN(D106,AA106),"-")</f>
        <v>-</v>
      </c>
      <c r="AY106" s="59" t="str">
        <f>IF(AND(E106&gt;0,AB106&gt;0),MIN(E106,AB106),"-")</f>
        <v>-</v>
      </c>
      <c r="AZ106" s="59" t="str">
        <f>IF(AND(F106&gt;0,AC106&gt;0),MIN(F106,AC106),"-")</f>
        <v>-</v>
      </c>
      <c r="BA106" s="59" t="str">
        <f>IF(AND(G106&gt;0,AD106&gt;0),MIN(G106,AD106),"-")</f>
        <v>-</v>
      </c>
      <c r="BB106" s="59" t="str">
        <f>IF(AND(H106&gt;0,AE106&gt;0),MIN(H106,AE106),"-")</f>
        <v>-</v>
      </c>
      <c r="BC106" s="59" t="str">
        <f>IF(AND(I106&gt;0,AF106&gt;0),MIN(I106,AF106),"-")</f>
        <v>-</v>
      </c>
      <c r="BD106" s="59" t="str">
        <f>IF(AND(J106&gt;0,AG106&gt;0),MIN(J106,AG106),"-")</f>
        <v>-</v>
      </c>
      <c r="BE106" s="59" t="str">
        <f>IF(AND(K106&gt;0,AH106&gt;0),MIN(K106,AH106),"-")</f>
        <v>-</v>
      </c>
      <c r="BF106" s="59" t="str">
        <f>IF(AND(L106&gt;0,AI106&gt;0),MIN(L106,AI106),"-")</f>
        <v>-</v>
      </c>
      <c r="BG106" s="59" t="str">
        <f t="shared" si="24"/>
        <v>-</v>
      </c>
      <c r="BH106" s="59" t="str">
        <f>IF(AND(N106&gt;0,AK106&gt;0),MIN(N106,AK106),"-")</f>
        <v>-</v>
      </c>
      <c r="BI106" s="59" t="str">
        <f>IF(AND(O106&gt;0,AL106&gt;0),MIN(O106,AL106),"-")</f>
        <v>-</v>
      </c>
      <c r="BJ106" s="59" t="str">
        <f>IF(AND(P106&gt;0,AM106&gt;0),MIN(P106,AM106),"-")</f>
        <v>-</v>
      </c>
      <c r="BK106" s="59" t="str">
        <f>IF(AND(Q106&gt;0,AN106&gt;0),MIN(Q106,AN106),"-")</f>
        <v>-</v>
      </c>
      <c r="BL106" s="59" t="str">
        <f>IF(AND(R106&gt;0,AO106&gt;0),MIN(R106,AO106),"-")</f>
        <v>-</v>
      </c>
      <c r="BM106" s="59" t="str">
        <f>IF(AND(S106&gt;0,AP106&gt;0),MIN(S106,AP106),"-")</f>
        <v>-</v>
      </c>
      <c r="BN106" s="59" t="str">
        <f>IF(AND(T106&gt;0,AQ106&gt;0),MIN(T106,AQ106),"-")</f>
        <v>-</v>
      </c>
      <c r="BO106" s="59" t="str">
        <f>IF(AND(U106&gt;0,AR106&gt;0),MIN(U106,AR106),"-")</f>
        <v>-</v>
      </c>
      <c r="BP106" s="59" t="str">
        <f>IF(AND(V106&gt;0,AS106&gt;0),MIN(V106,AS106),"-")</f>
        <v>-</v>
      </c>
      <c r="BQ106" s="59" t="str">
        <f t="shared" si="25"/>
        <v>-</v>
      </c>
      <c r="BR106" s="59" t="str">
        <f t="shared" si="26"/>
        <v>-</v>
      </c>
      <c r="BS106" s="59" t="str">
        <f t="shared" si="27"/>
        <v>-</v>
      </c>
      <c r="BT106" s="98" t="str">
        <f>IF(ISNUMBER(BS106),BS106-(C106*Rules!$P$9/100),"-")</f>
        <v>-</v>
      </c>
      <c r="BU106" s="59" t="e">
        <f>RANK($BT106,$BT$5:$BT$106,1)+COUNTIF(BT$5:BT106,BT106)-1</f>
        <v>#VALUE!</v>
      </c>
      <c r="BV106" s="59" t="e">
        <f t="shared" si="28"/>
        <v>#VALUE!</v>
      </c>
      <c r="BW106" s="59" t="str">
        <f t="shared" si="29"/>
        <v xml:space="preserve"> </v>
      </c>
      <c r="BX106" s="59">
        <f t="shared" si="29"/>
        <v>0</v>
      </c>
      <c r="BY106" s="59" t="str">
        <f t="shared" si="30"/>
        <v>-</v>
      </c>
      <c r="CD106" s="79"/>
      <c r="CE106" s="80"/>
      <c r="CF106" s="104"/>
      <c r="CL106" s="77">
        <v>1</v>
      </c>
    </row>
    <row r="107" spans="1:90" ht="17.45" customHeight="1">
      <c r="A107" s="58">
        <v>103</v>
      </c>
      <c r="B107" s="59" t="str">
        <f>'C Div'!A107 &amp; " " &amp; 'C Div'!B107</f>
        <v xml:space="preserve"> </v>
      </c>
      <c r="C107" s="59">
        <f>'C Div'!E107</f>
        <v>0</v>
      </c>
      <c r="D107" s="60"/>
      <c r="E107" s="60"/>
      <c r="F107" s="60"/>
      <c r="G107" s="60"/>
      <c r="H107" s="60"/>
      <c r="I107" s="60"/>
      <c r="J107" s="60"/>
      <c r="K107" s="60"/>
      <c r="L107" s="60"/>
      <c r="M107" s="74" t="str">
        <f t="shared" si="16"/>
        <v>-</v>
      </c>
      <c r="N107" s="60"/>
      <c r="O107" s="60"/>
      <c r="P107" s="60"/>
      <c r="Q107" s="60"/>
      <c r="R107" s="60"/>
      <c r="S107" s="60"/>
      <c r="T107" s="60"/>
      <c r="U107" s="60"/>
      <c r="V107" s="60"/>
      <c r="W107" s="74" t="str">
        <f t="shared" si="17"/>
        <v>-</v>
      </c>
      <c r="X107" s="155" t="str">
        <f t="shared" si="18"/>
        <v>-</v>
      </c>
      <c r="Y107" s="156" t="str">
        <f t="shared" si="19"/>
        <v>-</v>
      </c>
      <c r="AA107" s="60"/>
      <c r="AB107" s="60"/>
      <c r="AC107" s="60"/>
      <c r="AD107" s="60"/>
      <c r="AE107" s="60"/>
      <c r="AF107" s="60"/>
      <c r="AG107" s="60"/>
      <c r="AH107" s="60"/>
      <c r="AI107" s="60"/>
      <c r="AJ107" s="74" t="str">
        <f t="shared" si="20"/>
        <v>-</v>
      </c>
      <c r="AK107" s="60"/>
      <c r="AL107" s="60"/>
      <c r="AM107" s="60"/>
      <c r="AN107" s="60"/>
      <c r="AO107" s="60"/>
      <c r="AP107" s="60"/>
      <c r="AQ107" s="60"/>
      <c r="AR107" s="60"/>
      <c r="AS107" s="60"/>
      <c r="AT107" s="74" t="str">
        <f t="shared" si="21"/>
        <v>-</v>
      </c>
      <c r="AU107" s="155" t="str">
        <f t="shared" si="22"/>
        <v>-</v>
      </c>
      <c r="AV107" s="156" t="str">
        <f t="shared" si="23"/>
        <v>-</v>
      </c>
      <c r="AX107" s="59" t="str">
        <f>IF(AND(D107&gt;0,AA107&gt;0),MIN(D107,AA107),"-")</f>
        <v>-</v>
      </c>
      <c r="AY107" s="59" t="str">
        <f>IF(AND(E107&gt;0,AB107&gt;0),MIN(E107,AB107),"-")</f>
        <v>-</v>
      </c>
      <c r="AZ107" s="59" t="str">
        <f>IF(AND(F107&gt;0,AC107&gt;0),MIN(F107,AC107),"-")</f>
        <v>-</v>
      </c>
      <c r="BA107" s="59" t="str">
        <f>IF(AND(G107&gt;0,AD107&gt;0),MIN(G107,AD107),"-")</f>
        <v>-</v>
      </c>
      <c r="BB107" s="59" t="str">
        <f>IF(AND(H107&gt;0,AE107&gt;0),MIN(H107,AE107),"-")</f>
        <v>-</v>
      </c>
      <c r="BC107" s="59" t="str">
        <f>IF(AND(I107&gt;0,AF107&gt;0),MIN(I107,AF107),"-")</f>
        <v>-</v>
      </c>
      <c r="BD107" s="59" t="str">
        <f>IF(AND(J107&gt;0,AG107&gt;0),MIN(J107,AG107),"-")</f>
        <v>-</v>
      </c>
      <c r="BE107" s="59" t="str">
        <f>IF(AND(K107&gt;0,AH107&gt;0),MIN(K107,AH107),"-")</f>
        <v>-</v>
      </c>
      <c r="BF107" s="59" t="str">
        <f>IF(AND(L107&gt;0,AI107&gt;0),MIN(L107,AI107),"-")</f>
        <v>-</v>
      </c>
      <c r="BG107" s="59" t="str">
        <f t="shared" si="24"/>
        <v>-</v>
      </c>
      <c r="BH107" s="59" t="str">
        <f>IF(AND(N107&gt;0,AK107&gt;0),MIN(N107,AK107),"-")</f>
        <v>-</v>
      </c>
      <c r="BI107" s="59" t="str">
        <f>IF(AND(O107&gt;0,AL107&gt;0),MIN(O107,AL107),"-")</f>
        <v>-</v>
      </c>
      <c r="BJ107" s="59" t="str">
        <f>IF(AND(P107&gt;0,AM107&gt;0),MIN(P107,AM107),"-")</f>
        <v>-</v>
      </c>
      <c r="BK107" s="59" t="str">
        <f>IF(AND(Q107&gt;0,AN107&gt;0),MIN(Q107,AN107),"-")</f>
        <v>-</v>
      </c>
      <c r="BL107" s="59" t="str">
        <f>IF(AND(R107&gt;0,AO107&gt;0),MIN(R107,AO107),"-")</f>
        <v>-</v>
      </c>
      <c r="BM107" s="59" t="str">
        <f>IF(AND(S107&gt;0,AP107&gt;0),MIN(S107,AP107),"-")</f>
        <v>-</v>
      </c>
      <c r="BN107" s="59" t="str">
        <f>IF(AND(T107&gt;0,AQ107&gt;0),MIN(T107,AQ107),"-")</f>
        <v>-</v>
      </c>
      <c r="BO107" s="59" t="str">
        <f>IF(AND(U107&gt;0,AR107&gt;0),MIN(U107,AR107),"-")</f>
        <v>-</v>
      </c>
      <c r="BP107" s="59" t="str">
        <f>IF(AND(V107&gt;0,AS107&gt;0),MIN(V107,AS107),"-")</f>
        <v>-</v>
      </c>
      <c r="BQ107" s="59" t="str">
        <f t="shared" si="25"/>
        <v>-</v>
      </c>
      <c r="BR107" s="59" t="str">
        <f t="shared" si="26"/>
        <v>-</v>
      </c>
      <c r="BS107" s="59" t="str">
        <f t="shared" si="27"/>
        <v>-</v>
      </c>
      <c r="BT107" s="98" t="str">
        <f>IF(ISNUMBER(BS107),BS107-(C107*Rules!$P$9/100),"-")</f>
        <v>-</v>
      </c>
      <c r="BU107" s="59" t="e">
        <f>RANK($BT107,$BT$5:$BT$106,1)+COUNTIF(BT$5:BT107,BT107)-1</f>
        <v>#VALUE!</v>
      </c>
      <c r="BV107" s="59" t="e">
        <f t="shared" si="28"/>
        <v>#VALUE!</v>
      </c>
      <c r="BW107" s="59" t="str">
        <f t="shared" si="29"/>
        <v xml:space="preserve"> </v>
      </c>
      <c r="BX107" s="59">
        <f t="shared" si="29"/>
        <v>0</v>
      </c>
      <c r="BY107" s="59" t="str">
        <f t="shared" si="30"/>
        <v>-</v>
      </c>
      <c r="CD107" s="79"/>
      <c r="CE107" s="80"/>
      <c r="CF107" s="104"/>
      <c r="CL107" s="77">
        <v>1</v>
      </c>
    </row>
    <row r="108" spans="1:90" ht="17.45" customHeight="1">
      <c r="A108" s="58">
        <v>104</v>
      </c>
      <c r="B108" s="59" t="str">
        <f>'C Div'!A108 &amp; " " &amp; 'C Div'!B108</f>
        <v xml:space="preserve"> </v>
      </c>
      <c r="C108" s="59">
        <f>'C Div'!E108</f>
        <v>0</v>
      </c>
      <c r="D108" s="60"/>
      <c r="E108" s="60"/>
      <c r="F108" s="60"/>
      <c r="G108" s="60"/>
      <c r="H108" s="60"/>
      <c r="I108" s="60"/>
      <c r="J108" s="60"/>
      <c r="K108" s="60"/>
      <c r="L108" s="60"/>
      <c r="M108" s="74" t="str">
        <f t="shared" si="16"/>
        <v>-</v>
      </c>
      <c r="N108" s="60"/>
      <c r="O108" s="60"/>
      <c r="P108" s="60"/>
      <c r="Q108" s="60"/>
      <c r="R108" s="60"/>
      <c r="S108" s="60"/>
      <c r="T108" s="60"/>
      <c r="U108" s="60"/>
      <c r="V108" s="60"/>
      <c r="W108" s="74" t="str">
        <f t="shared" si="17"/>
        <v>-</v>
      </c>
      <c r="X108" s="155" t="str">
        <f t="shared" si="18"/>
        <v>-</v>
      </c>
      <c r="Y108" s="156" t="str">
        <f t="shared" si="19"/>
        <v>-</v>
      </c>
      <c r="AA108" s="60"/>
      <c r="AB108" s="60"/>
      <c r="AC108" s="60"/>
      <c r="AD108" s="60"/>
      <c r="AE108" s="60"/>
      <c r="AF108" s="60"/>
      <c r="AG108" s="60"/>
      <c r="AH108" s="60"/>
      <c r="AI108" s="60"/>
      <c r="AJ108" s="74" t="str">
        <f t="shared" si="20"/>
        <v>-</v>
      </c>
      <c r="AK108" s="60"/>
      <c r="AL108" s="60"/>
      <c r="AM108" s="60"/>
      <c r="AN108" s="60"/>
      <c r="AO108" s="60"/>
      <c r="AP108" s="60"/>
      <c r="AQ108" s="60"/>
      <c r="AR108" s="60"/>
      <c r="AS108" s="60"/>
      <c r="AT108" s="74" t="str">
        <f t="shared" si="21"/>
        <v>-</v>
      </c>
      <c r="AU108" s="155" t="str">
        <f t="shared" si="22"/>
        <v>-</v>
      </c>
      <c r="AV108" s="156" t="str">
        <f t="shared" si="23"/>
        <v>-</v>
      </c>
      <c r="AX108" s="59" t="str">
        <f>IF(AND(D108&gt;0,AA108&gt;0),MIN(D108,AA108),"-")</f>
        <v>-</v>
      </c>
      <c r="AY108" s="59" t="str">
        <f>IF(AND(E108&gt;0,AB108&gt;0),MIN(E108,AB108),"-")</f>
        <v>-</v>
      </c>
      <c r="AZ108" s="59" t="str">
        <f>IF(AND(F108&gt;0,AC108&gt;0),MIN(F108,AC108),"-")</f>
        <v>-</v>
      </c>
      <c r="BA108" s="59" t="str">
        <f>IF(AND(G108&gt;0,AD108&gt;0),MIN(G108,AD108),"-")</f>
        <v>-</v>
      </c>
      <c r="BB108" s="59" t="str">
        <f>IF(AND(H108&gt;0,AE108&gt;0),MIN(H108,AE108),"-")</f>
        <v>-</v>
      </c>
      <c r="BC108" s="59" t="str">
        <f>IF(AND(I108&gt;0,AF108&gt;0),MIN(I108,AF108),"-")</f>
        <v>-</v>
      </c>
      <c r="BD108" s="59" t="str">
        <f>IF(AND(J108&gt;0,AG108&gt;0),MIN(J108,AG108),"-")</f>
        <v>-</v>
      </c>
      <c r="BE108" s="59" t="str">
        <f>IF(AND(K108&gt;0,AH108&gt;0),MIN(K108,AH108),"-")</f>
        <v>-</v>
      </c>
      <c r="BF108" s="59" t="str">
        <f>IF(AND(L108&gt;0,AI108&gt;0),MIN(L108,AI108),"-")</f>
        <v>-</v>
      </c>
      <c r="BG108" s="59" t="str">
        <f t="shared" si="24"/>
        <v>-</v>
      </c>
      <c r="BH108" s="59" t="str">
        <f>IF(AND(N108&gt;0,AK108&gt;0),MIN(N108,AK108),"-")</f>
        <v>-</v>
      </c>
      <c r="BI108" s="59" t="str">
        <f>IF(AND(O108&gt;0,AL108&gt;0),MIN(O108,AL108),"-")</f>
        <v>-</v>
      </c>
      <c r="BJ108" s="59" t="str">
        <f>IF(AND(P108&gt;0,AM108&gt;0),MIN(P108,AM108),"-")</f>
        <v>-</v>
      </c>
      <c r="BK108" s="59" t="str">
        <f>IF(AND(Q108&gt;0,AN108&gt;0),MIN(Q108,AN108),"-")</f>
        <v>-</v>
      </c>
      <c r="BL108" s="59" t="str">
        <f>IF(AND(R108&gt;0,AO108&gt;0),MIN(R108,AO108),"-")</f>
        <v>-</v>
      </c>
      <c r="BM108" s="59" t="str">
        <f>IF(AND(S108&gt;0,AP108&gt;0),MIN(S108,AP108),"-")</f>
        <v>-</v>
      </c>
      <c r="BN108" s="59" t="str">
        <f>IF(AND(T108&gt;0,AQ108&gt;0),MIN(T108,AQ108),"-")</f>
        <v>-</v>
      </c>
      <c r="BO108" s="59" t="str">
        <f>IF(AND(U108&gt;0,AR108&gt;0),MIN(U108,AR108),"-")</f>
        <v>-</v>
      </c>
      <c r="BP108" s="59" t="str">
        <f>IF(AND(V108&gt;0,AS108&gt;0),MIN(V108,AS108),"-")</f>
        <v>-</v>
      </c>
      <c r="BQ108" s="59" t="str">
        <f t="shared" si="25"/>
        <v>-</v>
      </c>
      <c r="BR108" s="59" t="str">
        <f t="shared" si="26"/>
        <v>-</v>
      </c>
      <c r="BS108" s="59" t="str">
        <f t="shared" si="27"/>
        <v>-</v>
      </c>
      <c r="BT108" s="98" t="str">
        <f>IF(ISNUMBER(BS108),BS108-(C108*Rules!$P$9/100),"-")</f>
        <v>-</v>
      </c>
      <c r="BU108" s="59" t="e">
        <f>RANK($BT108,$BT$5:$BT$106,1)+COUNTIF(BT$5:BT108,BT108)-1</f>
        <v>#VALUE!</v>
      </c>
      <c r="BV108" s="59" t="e">
        <f t="shared" si="28"/>
        <v>#VALUE!</v>
      </c>
      <c r="BW108" s="59" t="str">
        <f t="shared" si="29"/>
        <v xml:space="preserve"> </v>
      </c>
      <c r="BX108" s="59">
        <f t="shared" si="29"/>
        <v>0</v>
      </c>
      <c r="BY108" s="59" t="str">
        <f t="shared" si="30"/>
        <v>-</v>
      </c>
      <c r="CD108" s="79"/>
      <c r="CE108" s="80"/>
      <c r="CF108" s="104"/>
      <c r="CL108" s="77">
        <v>1</v>
      </c>
    </row>
    <row r="109" spans="1:90" ht="17.45" customHeight="1">
      <c r="A109" s="58">
        <v>105</v>
      </c>
      <c r="B109" s="59" t="str">
        <f>'C Div'!A109 &amp; " " &amp; 'C Div'!B109</f>
        <v xml:space="preserve"> </v>
      </c>
      <c r="C109" s="59">
        <f>'C Div'!E109</f>
        <v>0</v>
      </c>
      <c r="D109" s="60"/>
      <c r="E109" s="60"/>
      <c r="F109" s="60"/>
      <c r="G109" s="60"/>
      <c r="H109" s="60"/>
      <c r="I109" s="60"/>
      <c r="J109" s="60"/>
      <c r="K109" s="60"/>
      <c r="L109" s="60"/>
      <c r="M109" s="74" t="str">
        <f t="shared" si="16"/>
        <v>-</v>
      </c>
      <c r="N109" s="60"/>
      <c r="O109" s="60"/>
      <c r="P109" s="60"/>
      <c r="Q109" s="60"/>
      <c r="R109" s="60"/>
      <c r="S109" s="60"/>
      <c r="T109" s="60"/>
      <c r="U109" s="60"/>
      <c r="V109" s="60"/>
      <c r="W109" s="74" t="str">
        <f t="shared" si="17"/>
        <v>-</v>
      </c>
      <c r="X109" s="155" t="str">
        <f t="shared" si="18"/>
        <v>-</v>
      </c>
      <c r="Y109" s="156" t="str">
        <f t="shared" si="19"/>
        <v>-</v>
      </c>
      <c r="AA109" s="60"/>
      <c r="AB109" s="60"/>
      <c r="AC109" s="60"/>
      <c r="AD109" s="60"/>
      <c r="AE109" s="60"/>
      <c r="AF109" s="60"/>
      <c r="AG109" s="60"/>
      <c r="AH109" s="60"/>
      <c r="AI109" s="60"/>
      <c r="AJ109" s="74" t="str">
        <f t="shared" si="20"/>
        <v>-</v>
      </c>
      <c r="AK109" s="60"/>
      <c r="AL109" s="60"/>
      <c r="AM109" s="60"/>
      <c r="AN109" s="60"/>
      <c r="AO109" s="60"/>
      <c r="AP109" s="60"/>
      <c r="AQ109" s="60"/>
      <c r="AR109" s="60"/>
      <c r="AS109" s="60"/>
      <c r="AT109" s="74" t="str">
        <f t="shared" si="21"/>
        <v>-</v>
      </c>
      <c r="AU109" s="155" t="str">
        <f t="shared" si="22"/>
        <v>-</v>
      </c>
      <c r="AV109" s="156" t="str">
        <f t="shared" si="23"/>
        <v>-</v>
      </c>
      <c r="AX109" s="59" t="str">
        <f>IF(AND(D109&gt;0,AA109&gt;0),MIN(D109,AA109),"-")</f>
        <v>-</v>
      </c>
      <c r="AY109" s="59" t="str">
        <f>IF(AND(E109&gt;0,AB109&gt;0),MIN(E109,AB109),"-")</f>
        <v>-</v>
      </c>
      <c r="AZ109" s="59" t="str">
        <f>IF(AND(F109&gt;0,AC109&gt;0),MIN(F109,AC109),"-")</f>
        <v>-</v>
      </c>
      <c r="BA109" s="59" t="str">
        <f>IF(AND(G109&gt;0,AD109&gt;0),MIN(G109,AD109),"-")</f>
        <v>-</v>
      </c>
      <c r="BB109" s="59" t="str">
        <f>IF(AND(H109&gt;0,AE109&gt;0),MIN(H109,AE109),"-")</f>
        <v>-</v>
      </c>
      <c r="BC109" s="59" t="str">
        <f>IF(AND(I109&gt;0,AF109&gt;0),MIN(I109,AF109),"-")</f>
        <v>-</v>
      </c>
      <c r="BD109" s="59" t="str">
        <f>IF(AND(J109&gt;0,AG109&gt;0),MIN(J109,AG109),"-")</f>
        <v>-</v>
      </c>
      <c r="BE109" s="59" t="str">
        <f>IF(AND(K109&gt;0,AH109&gt;0),MIN(K109,AH109),"-")</f>
        <v>-</v>
      </c>
      <c r="BF109" s="59" t="str">
        <f>IF(AND(L109&gt;0,AI109&gt;0),MIN(L109,AI109),"-")</f>
        <v>-</v>
      </c>
      <c r="BG109" s="59" t="str">
        <f t="shared" si="24"/>
        <v>-</v>
      </c>
      <c r="BH109" s="59" t="str">
        <f>IF(AND(N109&gt;0,AK109&gt;0),MIN(N109,AK109),"-")</f>
        <v>-</v>
      </c>
      <c r="BI109" s="59" t="str">
        <f>IF(AND(O109&gt;0,AL109&gt;0),MIN(O109,AL109),"-")</f>
        <v>-</v>
      </c>
      <c r="BJ109" s="59" t="str">
        <f>IF(AND(P109&gt;0,AM109&gt;0),MIN(P109,AM109),"-")</f>
        <v>-</v>
      </c>
      <c r="BK109" s="59" t="str">
        <f>IF(AND(Q109&gt;0,AN109&gt;0),MIN(Q109,AN109),"-")</f>
        <v>-</v>
      </c>
      <c r="BL109" s="59" t="str">
        <f>IF(AND(R109&gt;0,AO109&gt;0),MIN(R109,AO109),"-")</f>
        <v>-</v>
      </c>
      <c r="BM109" s="59" t="str">
        <f>IF(AND(S109&gt;0,AP109&gt;0),MIN(S109,AP109),"-")</f>
        <v>-</v>
      </c>
      <c r="BN109" s="59" t="str">
        <f>IF(AND(T109&gt;0,AQ109&gt;0),MIN(T109,AQ109),"-")</f>
        <v>-</v>
      </c>
      <c r="BO109" s="59" t="str">
        <f>IF(AND(U109&gt;0,AR109&gt;0),MIN(U109,AR109),"-")</f>
        <v>-</v>
      </c>
      <c r="BP109" s="59" t="str">
        <f>IF(AND(V109&gt;0,AS109&gt;0),MIN(V109,AS109),"-")</f>
        <v>-</v>
      </c>
      <c r="BQ109" s="59" t="str">
        <f t="shared" si="25"/>
        <v>-</v>
      </c>
      <c r="BR109" s="59" t="str">
        <f t="shared" si="26"/>
        <v>-</v>
      </c>
      <c r="BS109" s="59" t="str">
        <f t="shared" si="27"/>
        <v>-</v>
      </c>
      <c r="BT109" s="98" t="str">
        <f>IF(ISNUMBER(BS109),BS109-(C109*Rules!$P$9/100),"-")</f>
        <v>-</v>
      </c>
      <c r="BU109" s="59" t="e">
        <f>RANK($BT109,$BT$5:$BT$106,1)+COUNTIF(BT$5:BT109,BT109)-1</f>
        <v>#VALUE!</v>
      </c>
      <c r="BV109" s="59" t="e">
        <f t="shared" si="28"/>
        <v>#VALUE!</v>
      </c>
      <c r="BW109" s="59" t="str">
        <f t="shared" si="29"/>
        <v xml:space="preserve"> </v>
      </c>
      <c r="BX109" s="59">
        <f t="shared" si="29"/>
        <v>0</v>
      </c>
      <c r="BY109" s="59" t="str">
        <f t="shared" si="30"/>
        <v>-</v>
      </c>
      <c r="CD109" s="79"/>
      <c r="CE109" s="80"/>
      <c r="CF109" s="104"/>
      <c r="CL109" s="77">
        <v>1</v>
      </c>
    </row>
    <row r="110" spans="1:90" ht="17.45" customHeight="1">
      <c r="A110" s="58">
        <v>106</v>
      </c>
      <c r="B110" s="59" t="str">
        <f>'C Div'!A110 &amp; " " &amp; 'C Div'!B110</f>
        <v xml:space="preserve"> </v>
      </c>
      <c r="C110" s="59">
        <f>'C Div'!E110</f>
        <v>0</v>
      </c>
      <c r="D110" s="60"/>
      <c r="E110" s="60"/>
      <c r="F110" s="60"/>
      <c r="G110" s="60"/>
      <c r="H110" s="60"/>
      <c r="I110" s="60"/>
      <c r="J110" s="60"/>
      <c r="K110" s="60"/>
      <c r="L110" s="60"/>
      <c r="M110" s="74" t="str">
        <f t="shared" si="16"/>
        <v>-</v>
      </c>
      <c r="N110" s="60"/>
      <c r="O110" s="60"/>
      <c r="P110" s="60"/>
      <c r="Q110" s="60"/>
      <c r="R110" s="60"/>
      <c r="S110" s="60"/>
      <c r="T110" s="60"/>
      <c r="U110" s="60"/>
      <c r="V110" s="60"/>
      <c r="W110" s="74" t="str">
        <f t="shared" si="17"/>
        <v>-</v>
      </c>
      <c r="X110" s="155" t="str">
        <f t="shared" si="18"/>
        <v>-</v>
      </c>
      <c r="Y110" s="156" t="str">
        <f t="shared" si="19"/>
        <v>-</v>
      </c>
      <c r="AA110" s="60"/>
      <c r="AB110" s="60"/>
      <c r="AC110" s="60"/>
      <c r="AD110" s="60"/>
      <c r="AE110" s="60"/>
      <c r="AF110" s="60"/>
      <c r="AG110" s="60"/>
      <c r="AH110" s="60"/>
      <c r="AI110" s="60"/>
      <c r="AJ110" s="74" t="str">
        <f t="shared" si="20"/>
        <v>-</v>
      </c>
      <c r="AK110" s="60"/>
      <c r="AL110" s="60"/>
      <c r="AM110" s="60"/>
      <c r="AN110" s="60"/>
      <c r="AO110" s="60"/>
      <c r="AP110" s="60"/>
      <c r="AQ110" s="60"/>
      <c r="AR110" s="60"/>
      <c r="AS110" s="60"/>
      <c r="AT110" s="74" t="str">
        <f t="shared" si="21"/>
        <v>-</v>
      </c>
      <c r="AU110" s="155" t="str">
        <f t="shared" si="22"/>
        <v>-</v>
      </c>
      <c r="AV110" s="156" t="str">
        <f t="shared" si="23"/>
        <v>-</v>
      </c>
      <c r="AX110" s="59" t="str">
        <f>IF(AND(D110&gt;0,AA110&gt;0),MIN(D110,AA110),"-")</f>
        <v>-</v>
      </c>
      <c r="AY110" s="59" t="str">
        <f>IF(AND(E110&gt;0,AB110&gt;0),MIN(E110,AB110),"-")</f>
        <v>-</v>
      </c>
      <c r="AZ110" s="59" t="str">
        <f>IF(AND(F110&gt;0,AC110&gt;0),MIN(F110,AC110),"-")</f>
        <v>-</v>
      </c>
      <c r="BA110" s="59" t="str">
        <f>IF(AND(G110&gt;0,AD110&gt;0),MIN(G110,AD110),"-")</f>
        <v>-</v>
      </c>
      <c r="BB110" s="59" t="str">
        <f>IF(AND(H110&gt;0,AE110&gt;0),MIN(H110,AE110),"-")</f>
        <v>-</v>
      </c>
      <c r="BC110" s="59" t="str">
        <f>IF(AND(I110&gt;0,AF110&gt;0),MIN(I110,AF110),"-")</f>
        <v>-</v>
      </c>
      <c r="BD110" s="59" t="str">
        <f>IF(AND(J110&gt;0,AG110&gt;0),MIN(J110,AG110),"-")</f>
        <v>-</v>
      </c>
      <c r="BE110" s="59" t="str">
        <f>IF(AND(K110&gt;0,AH110&gt;0),MIN(K110,AH110),"-")</f>
        <v>-</v>
      </c>
      <c r="BF110" s="59" t="str">
        <f>IF(AND(L110&gt;0,AI110&gt;0),MIN(L110,AI110),"-")</f>
        <v>-</v>
      </c>
      <c r="BG110" s="59" t="str">
        <f t="shared" si="24"/>
        <v>-</v>
      </c>
      <c r="BH110" s="59" t="str">
        <f>IF(AND(N110&gt;0,AK110&gt;0),MIN(N110,AK110),"-")</f>
        <v>-</v>
      </c>
      <c r="BI110" s="59" t="str">
        <f>IF(AND(O110&gt;0,AL110&gt;0),MIN(O110,AL110),"-")</f>
        <v>-</v>
      </c>
      <c r="BJ110" s="59" t="str">
        <f>IF(AND(P110&gt;0,AM110&gt;0),MIN(P110,AM110),"-")</f>
        <v>-</v>
      </c>
      <c r="BK110" s="59" t="str">
        <f>IF(AND(Q110&gt;0,AN110&gt;0),MIN(Q110,AN110),"-")</f>
        <v>-</v>
      </c>
      <c r="BL110" s="59" t="str">
        <f>IF(AND(R110&gt;0,AO110&gt;0),MIN(R110,AO110),"-")</f>
        <v>-</v>
      </c>
      <c r="BM110" s="59" t="str">
        <f>IF(AND(S110&gt;0,AP110&gt;0),MIN(S110,AP110),"-")</f>
        <v>-</v>
      </c>
      <c r="BN110" s="59" t="str">
        <f>IF(AND(T110&gt;0,AQ110&gt;0),MIN(T110,AQ110),"-")</f>
        <v>-</v>
      </c>
      <c r="BO110" s="59" t="str">
        <f>IF(AND(U110&gt;0,AR110&gt;0),MIN(U110,AR110),"-")</f>
        <v>-</v>
      </c>
      <c r="BP110" s="59" t="str">
        <f>IF(AND(V110&gt;0,AS110&gt;0),MIN(V110,AS110),"-")</f>
        <v>-</v>
      </c>
      <c r="BQ110" s="59" t="str">
        <f t="shared" si="25"/>
        <v>-</v>
      </c>
      <c r="BR110" s="59" t="str">
        <f t="shared" si="26"/>
        <v>-</v>
      </c>
      <c r="BS110" s="59" t="str">
        <f t="shared" si="27"/>
        <v>-</v>
      </c>
      <c r="BT110" s="98" t="str">
        <f>IF(ISNUMBER(BS110),BS110-(C110*Rules!$P$9/100),"-")</f>
        <v>-</v>
      </c>
      <c r="BU110" s="59" t="e">
        <f>RANK($BT110,$BT$5:$BT$106,1)+COUNTIF(BT$5:BT110,BT110)-1</f>
        <v>#VALUE!</v>
      </c>
      <c r="BV110" s="59" t="e">
        <f t="shared" si="28"/>
        <v>#VALUE!</v>
      </c>
      <c r="BW110" s="59" t="str">
        <f t="shared" si="29"/>
        <v xml:space="preserve"> </v>
      </c>
      <c r="BX110" s="59">
        <f t="shared" si="29"/>
        <v>0</v>
      </c>
      <c r="BY110" s="59" t="str">
        <f t="shared" si="30"/>
        <v>-</v>
      </c>
      <c r="CD110" s="79"/>
      <c r="CE110" s="80"/>
      <c r="CF110" s="104"/>
      <c r="CL110" s="77">
        <v>1</v>
      </c>
    </row>
    <row r="111" spans="1:90" ht="17.45" customHeight="1">
      <c r="A111" s="58">
        <v>107</v>
      </c>
      <c r="B111" s="59" t="str">
        <f>'C Div'!A111 &amp; " " &amp; 'C Div'!B111</f>
        <v xml:space="preserve"> </v>
      </c>
      <c r="C111" s="59">
        <f>'C Div'!E111</f>
        <v>0</v>
      </c>
      <c r="D111" s="60"/>
      <c r="E111" s="60"/>
      <c r="F111" s="60"/>
      <c r="G111" s="60"/>
      <c r="H111" s="60"/>
      <c r="I111" s="60"/>
      <c r="J111" s="60"/>
      <c r="K111" s="60"/>
      <c r="L111" s="60"/>
      <c r="M111" s="74" t="str">
        <f t="shared" si="16"/>
        <v>-</v>
      </c>
      <c r="N111" s="60"/>
      <c r="O111" s="60"/>
      <c r="P111" s="60"/>
      <c r="Q111" s="60"/>
      <c r="R111" s="60"/>
      <c r="S111" s="60"/>
      <c r="T111" s="60"/>
      <c r="U111" s="60"/>
      <c r="V111" s="60"/>
      <c r="W111" s="74" t="str">
        <f t="shared" si="17"/>
        <v>-</v>
      </c>
      <c r="X111" s="155" t="str">
        <f t="shared" si="18"/>
        <v>-</v>
      </c>
      <c r="Y111" s="156" t="str">
        <f t="shared" si="19"/>
        <v>-</v>
      </c>
      <c r="AA111" s="60"/>
      <c r="AB111" s="60"/>
      <c r="AC111" s="60"/>
      <c r="AD111" s="60"/>
      <c r="AE111" s="60"/>
      <c r="AF111" s="60"/>
      <c r="AG111" s="60"/>
      <c r="AH111" s="60"/>
      <c r="AI111" s="60"/>
      <c r="AJ111" s="74" t="str">
        <f t="shared" si="20"/>
        <v>-</v>
      </c>
      <c r="AK111" s="60"/>
      <c r="AL111" s="60"/>
      <c r="AM111" s="60"/>
      <c r="AN111" s="60"/>
      <c r="AO111" s="60"/>
      <c r="AP111" s="60"/>
      <c r="AQ111" s="60"/>
      <c r="AR111" s="60"/>
      <c r="AS111" s="60"/>
      <c r="AT111" s="74" t="str">
        <f t="shared" si="21"/>
        <v>-</v>
      </c>
      <c r="AU111" s="155" t="str">
        <f t="shared" si="22"/>
        <v>-</v>
      </c>
      <c r="AV111" s="156" t="str">
        <f t="shared" si="23"/>
        <v>-</v>
      </c>
      <c r="AX111" s="59" t="str">
        <f>IF(AND(D111&gt;0,AA111&gt;0),MIN(D111,AA111),"-")</f>
        <v>-</v>
      </c>
      <c r="AY111" s="59" t="str">
        <f>IF(AND(E111&gt;0,AB111&gt;0),MIN(E111,AB111),"-")</f>
        <v>-</v>
      </c>
      <c r="AZ111" s="59" t="str">
        <f>IF(AND(F111&gt;0,AC111&gt;0),MIN(F111,AC111),"-")</f>
        <v>-</v>
      </c>
      <c r="BA111" s="59" t="str">
        <f>IF(AND(G111&gt;0,AD111&gt;0),MIN(G111,AD111),"-")</f>
        <v>-</v>
      </c>
      <c r="BB111" s="59" t="str">
        <f>IF(AND(H111&gt;0,AE111&gt;0),MIN(H111,AE111),"-")</f>
        <v>-</v>
      </c>
      <c r="BC111" s="59" t="str">
        <f>IF(AND(I111&gt;0,AF111&gt;0),MIN(I111,AF111),"-")</f>
        <v>-</v>
      </c>
      <c r="BD111" s="59" t="str">
        <f>IF(AND(J111&gt;0,AG111&gt;0),MIN(J111,AG111),"-")</f>
        <v>-</v>
      </c>
      <c r="BE111" s="59" t="str">
        <f>IF(AND(K111&gt;0,AH111&gt;0),MIN(K111,AH111),"-")</f>
        <v>-</v>
      </c>
      <c r="BF111" s="59" t="str">
        <f>IF(AND(L111&gt;0,AI111&gt;0),MIN(L111,AI111),"-")</f>
        <v>-</v>
      </c>
      <c r="BG111" s="59" t="str">
        <f t="shared" si="24"/>
        <v>-</v>
      </c>
      <c r="BH111" s="59" t="str">
        <f>IF(AND(N111&gt;0,AK111&gt;0),MIN(N111,AK111),"-")</f>
        <v>-</v>
      </c>
      <c r="BI111" s="59" t="str">
        <f>IF(AND(O111&gt;0,AL111&gt;0),MIN(O111,AL111),"-")</f>
        <v>-</v>
      </c>
      <c r="BJ111" s="59" t="str">
        <f>IF(AND(P111&gt;0,AM111&gt;0),MIN(P111,AM111),"-")</f>
        <v>-</v>
      </c>
      <c r="BK111" s="59" t="str">
        <f>IF(AND(Q111&gt;0,AN111&gt;0),MIN(Q111,AN111),"-")</f>
        <v>-</v>
      </c>
      <c r="BL111" s="59" t="str">
        <f>IF(AND(R111&gt;0,AO111&gt;0),MIN(R111,AO111),"-")</f>
        <v>-</v>
      </c>
      <c r="BM111" s="59" t="str">
        <f>IF(AND(S111&gt;0,AP111&gt;0),MIN(S111,AP111),"-")</f>
        <v>-</v>
      </c>
      <c r="BN111" s="59" t="str">
        <f>IF(AND(T111&gt;0,AQ111&gt;0),MIN(T111,AQ111),"-")</f>
        <v>-</v>
      </c>
      <c r="BO111" s="59" t="str">
        <f>IF(AND(U111&gt;0,AR111&gt;0),MIN(U111,AR111),"-")</f>
        <v>-</v>
      </c>
      <c r="BP111" s="59" t="str">
        <f>IF(AND(V111&gt;0,AS111&gt;0),MIN(V111,AS111),"-")</f>
        <v>-</v>
      </c>
      <c r="BQ111" s="59" t="str">
        <f t="shared" si="25"/>
        <v>-</v>
      </c>
      <c r="BR111" s="59" t="str">
        <f t="shared" si="26"/>
        <v>-</v>
      </c>
      <c r="BS111" s="59" t="str">
        <f t="shared" si="27"/>
        <v>-</v>
      </c>
      <c r="BT111" s="98" t="str">
        <f>IF(ISNUMBER(BS111),BS111-(C111*Rules!$P$9/100),"-")</f>
        <v>-</v>
      </c>
      <c r="BU111" s="59" t="e">
        <f>RANK($BT111,$BT$5:$BT$106,1)+COUNTIF(BT$5:BT111,BT111)-1</f>
        <v>#VALUE!</v>
      </c>
      <c r="BV111" s="59" t="e">
        <f t="shared" si="28"/>
        <v>#VALUE!</v>
      </c>
      <c r="BW111" s="59" t="str">
        <f t="shared" si="29"/>
        <v xml:space="preserve"> </v>
      </c>
      <c r="BX111" s="59">
        <f t="shared" si="29"/>
        <v>0</v>
      </c>
      <c r="BY111" s="59" t="str">
        <f t="shared" si="30"/>
        <v>-</v>
      </c>
      <c r="CD111" s="79"/>
      <c r="CE111" s="80"/>
      <c r="CF111" s="104"/>
      <c r="CL111" s="77">
        <v>1</v>
      </c>
    </row>
    <row r="112" spans="1:90" ht="17.45" customHeight="1">
      <c r="A112" s="58">
        <v>108</v>
      </c>
      <c r="B112" s="59" t="str">
        <f>'C Div'!A112 &amp; " " &amp; 'C Div'!B112</f>
        <v xml:space="preserve"> </v>
      </c>
      <c r="C112" s="59">
        <f>'C Div'!E112</f>
        <v>0</v>
      </c>
      <c r="D112" s="60"/>
      <c r="E112" s="60"/>
      <c r="F112" s="60"/>
      <c r="G112" s="60"/>
      <c r="H112" s="60"/>
      <c r="I112" s="60"/>
      <c r="J112" s="60"/>
      <c r="K112" s="60"/>
      <c r="L112" s="60"/>
      <c r="M112" s="74" t="str">
        <f t="shared" si="16"/>
        <v>-</v>
      </c>
      <c r="N112" s="60"/>
      <c r="O112" s="60"/>
      <c r="P112" s="60"/>
      <c r="Q112" s="60"/>
      <c r="R112" s="60"/>
      <c r="S112" s="60"/>
      <c r="T112" s="60"/>
      <c r="U112" s="60"/>
      <c r="V112" s="60"/>
      <c r="W112" s="74" t="str">
        <f t="shared" si="17"/>
        <v>-</v>
      </c>
      <c r="X112" s="155" t="str">
        <f t="shared" si="18"/>
        <v>-</v>
      </c>
      <c r="Y112" s="156" t="str">
        <f t="shared" si="19"/>
        <v>-</v>
      </c>
      <c r="AA112" s="60"/>
      <c r="AB112" s="60"/>
      <c r="AC112" s="60"/>
      <c r="AD112" s="60"/>
      <c r="AE112" s="60"/>
      <c r="AF112" s="60"/>
      <c r="AG112" s="60"/>
      <c r="AH112" s="60"/>
      <c r="AI112" s="60"/>
      <c r="AJ112" s="74" t="str">
        <f t="shared" si="20"/>
        <v>-</v>
      </c>
      <c r="AK112" s="60"/>
      <c r="AL112" s="60"/>
      <c r="AM112" s="60"/>
      <c r="AN112" s="60"/>
      <c r="AO112" s="60"/>
      <c r="AP112" s="60"/>
      <c r="AQ112" s="60"/>
      <c r="AR112" s="60"/>
      <c r="AS112" s="60"/>
      <c r="AT112" s="74" t="str">
        <f t="shared" si="21"/>
        <v>-</v>
      </c>
      <c r="AU112" s="155" t="str">
        <f t="shared" si="22"/>
        <v>-</v>
      </c>
      <c r="AV112" s="156" t="str">
        <f t="shared" si="23"/>
        <v>-</v>
      </c>
      <c r="AX112" s="59" t="str">
        <f>IF(AND(D112&gt;0,AA112&gt;0),MIN(D112,AA112),"-")</f>
        <v>-</v>
      </c>
      <c r="AY112" s="59" t="str">
        <f>IF(AND(E112&gt;0,AB112&gt;0),MIN(E112,AB112),"-")</f>
        <v>-</v>
      </c>
      <c r="AZ112" s="59" t="str">
        <f>IF(AND(F112&gt;0,AC112&gt;0),MIN(F112,AC112),"-")</f>
        <v>-</v>
      </c>
      <c r="BA112" s="59" t="str">
        <f>IF(AND(G112&gt;0,AD112&gt;0),MIN(G112,AD112),"-")</f>
        <v>-</v>
      </c>
      <c r="BB112" s="59" t="str">
        <f>IF(AND(H112&gt;0,AE112&gt;0),MIN(H112,AE112),"-")</f>
        <v>-</v>
      </c>
      <c r="BC112" s="59" t="str">
        <f>IF(AND(I112&gt;0,AF112&gt;0),MIN(I112,AF112),"-")</f>
        <v>-</v>
      </c>
      <c r="BD112" s="59" t="str">
        <f>IF(AND(J112&gt;0,AG112&gt;0),MIN(J112,AG112),"-")</f>
        <v>-</v>
      </c>
      <c r="BE112" s="59" t="str">
        <f>IF(AND(K112&gt;0,AH112&gt;0),MIN(K112,AH112),"-")</f>
        <v>-</v>
      </c>
      <c r="BF112" s="59" t="str">
        <f>IF(AND(L112&gt;0,AI112&gt;0),MIN(L112,AI112),"-")</f>
        <v>-</v>
      </c>
      <c r="BG112" s="59" t="str">
        <f t="shared" si="24"/>
        <v>-</v>
      </c>
      <c r="BH112" s="59" t="str">
        <f>IF(AND(N112&gt;0,AK112&gt;0),MIN(N112,AK112),"-")</f>
        <v>-</v>
      </c>
      <c r="BI112" s="59" t="str">
        <f>IF(AND(O112&gt;0,AL112&gt;0),MIN(O112,AL112),"-")</f>
        <v>-</v>
      </c>
      <c r="BJ112" s="59" t="str">
        <f>IF(AND(P112&gt;0,AM112&gt;0),MIN(P112,AM112),"-")</f>
        <v>-</v>
      </c>
      <c r="BK112" s="59" t="str">
        <f>IF(AND(Q112&gt;0,AN112&gt;0),MIN(Q112,AN112),"-")</f>
        <v>-</v>
      </c>
      <c r="BL112" s="59" t="str">
        <f>IF(AND(R112&gt;0,AO112&gt;0),MIN(R112,AO112),"-")</f>
        <v>-</v>
      </c>
      <c r="BM112" s="59" t="str">
        <f>IF(AND(S112&gt;0,AP112&gt;0),MIN(S112,AP112),"-")</f>
        <v>-</v>
      </c>
      <c r="BN112" s="59" t="str">
        <f>IF(AND(T112&gt;0,AQ112&gt;0),MIN(T112,AQ112),"-")</f>
        <v>-</v>
      </c>
      <c r="BO112" s="59" t="str">
        <f>IF(AND(U112&gt;0,AR112&gt;0),MIN(U112,AR112),"-")</f>
        <v>-</v>
      </c>
      <c r="BP112" s="59" t="str">
        <f>IF(AND(V112&gt;0,AS112&gt;0),MIN(V112,AS112),"-")</f>
        <v>-</v>
      </c>
      <c r="BQ112" s="59" t="str">
        <f t="shared" si="25"/>
        <v>-</v>
      </c>
      <c r="BR112" s="59" t="str">
        <f t="shared" si="26"/>
        <v>-</v>
      </c>
      <c r="BS112" s="59" t="str">
        <f t="shared" si="27"/>
        <v>-</v>
      </c>
      <c r="BT112" s="98" t="str">
        <f>IF(ISNUMBER(BS112),BS112-(C112*Rules!$P$9/100),"-")</f>
        <v>-</v>
      </c>
      <c r="BU112" s="59" t="e">
        <f>RANK($BT112,$BT$5:$BT$106,1)+COUNTIF(BT$5:BT112,BT112)-1</f>
        <v>#VALUE!</v>
      </c>
      <c r="BV112" s="59" t="e">
        <f t="shared" si="28"/>
        <v>#VALUE!</v>
      </c>
      <c r="BW112" s="59" t="str">
        <f t="shared" si="29"/>
        <v xml:space="preserve"> </v>
      </c>
      <c r="BX112" s="59">
        <f t="shared" si="29"/>
        <v>0</v>
      </c>
      <c r="BY112" s="59" t="str">
        <f t="shared" si="30"/>
        <v>-</v>
      </c>
      <c r="CD112" s="79"/>
      <c r="CE112" s="80"/>
      <c r="CF112" s="104"/>
      <c r="CL112" s="77">
        <v>1</v>
      </c>
    </row>
    <row r="113" spans="1:90" ht="17.45" customHeight="1">
      <c r="A113" s="58">
        <v>109</v>
      </c>
      <c r="B113" s="59" t="str">
        <f>'C Div'!A113 &amp; " " &amp; 'C Div'!B113</f>
        <v xml:space="preserve"> </v>
      </c>
      <c r="C113" s="59">
        <f>'C Div'!E113</f>
        <v>0</v>
      </c>
      <c r="D113" s="60"/>
      <c r="E113" s="60"/>
      <c r="F113" s="60"/>
      <c r="G113" s="60"/>
      <c r="H113" s="60"/>
      <c r="I113" s="60"/>
      <c r="J113" s="60"/>
      <c r="K113" s="60"/>
      <c r="L113" s="60"/>
      <c r="M113" s="74" t="str">
        <f t="shared" si="16"/>
        <v>-</v>
      </c>
      <c r="N113" s="60"/>
      <c r="O113" s="60"/>
      <c r="P113" s="60"/>
      <c r="Q113" s="60"/>
      <c r="R113" s="60"/>
      <c r="S113" s="60"/>
      <c r="T113" s="60"/>
      <c r="U113" s="60"/>
      <c r="V113" s="60"/>
      <c r="W113" s="74" t="str">
        <f t="shared" si="17"/>
        <v>-</v>
      </c>
      <c r="X113" s="155" t="str">
        <f t="shared" si="18"/>
        <v>-</v>
      </c>
      <c r="Y113" s="156" t="str">
        <f t="shared" si="19"/>
        <v>-</v>
      </c>
      <c r="AA113" s="60"/>
      <c r="AB113" s="60"/>
      <c r="AC113" s="60"/>
      <c r="AD113" s="60"/>
      <c r="AE113" s="60"/>
      <c r="AF113" s="60"/>
      <c r="AG113" s="60"/>
      <c r="AH113" s="60"/>
      <c r="AI113" s="60"/>
      <c r="AJ113" s="74" t="str">
        <f t="shared" si="20"/>
        <v>-</v>
      </c>
      <c r="AK113" s="60"/>
      <c r="AL113" s="60"/>
      <c r="AM113" s="60"/>
      <c r="AN113" s="60"/>
      <c r="AO113" s="60"/>
      <c r="AP113" s="60"/>
      <c r="AQ113" s="60"/>
      <c r="AR113" s="60"/>
      <c r="AS113" s="60"/>
      <c r="AT113" s="74" t="str">
        <f t="shared" si="21"/>
        <v>-</v>
      </c>
      <c r="AU113" s="155" t="str">
        <f t="shared" si="22"/>
        <v>-</v>
      </c>
      <c r="AV113" s="156" t="str">
        <f t="shared" si="23"/>
        <v>-</v>
      </c>
      <c r="AX113" s="59" t="str">
        <f>IF(AND(D113&gt;0,AA113&gt;0),MIN(D113,AA113),"-")</f>
        <v>-</v>
      </c>
      <c r="AY113" s="59" t="str">
        <f>IF(AND(E113&gt;0,AB113&gt;0),MIN(E113,AB113),"-")</f>
        <v>-</v>
      </c>
      <c r="AZ113" s="59" t="str">
        <f>IF(AND(F113&gt;0,AC113&gt;0),MIN(F113,AC113),"-")</f>
        <v>-</v>
      </c>
      <c r="BA113" s="59" t="str">
        <f>IF(AND(G113&gt;0,AD113&gt;0),MIN(G113,AD113),"-")</f>
        <v>-</v>
      </c>
      <c r="BB113" s="59" t="str">
        <f>IF(AND(H113&gt;0,AE113&gt;0),MIN(H113,AE113),"-")</f>
        <v>-</v>
      </c>
      <c r="BC113" s="59" t="str">
        <f>IF(AND(I113&gt;0,AF113&gt;0),MIN(I113,AF113),"-")</f>
        <v>-</v>
      </c>
      <c r="BD113" s="59" t="str">
        <f>IF(AND(J113&gt;0,AG113&gt;0),MIN(J113,AG113),"-")</f>
        <v>-</v>
      </c>
      <c r="BE113" s="59" t="str">
        <f>IF(AND(K113&gt;0,AH113&gt;0),MIN(K113,AH113),"-")</f>
        <v>-</v>
      </c>
      <c r="BF113" s="59" t="str">
        <f>IF(AND(L113&gt;0,AI113&gt;0),MIN(L113,AI113),"-")</f>
        <v>-</v>
      </c>
      <c r="BG113" s="59" t="str">
        <f t="shared" si="24"/>
        <v>-</v>
      </c>
      <c r="BH113" s="59" t="str">
        <f>IF(AND(N113&gt;0,AK113&gt;0),MIN(N113,AK113),"-")</f>
        <v>-</v>
      </c>
      <c r="BI113" s="59" t="str">
        <f>IF(AND(O113&gt;0,AL113&gt;0),MIN(O113,AL113),"-")</f>
        <v>-</v>
      </c>
      <c r="BJ113" s="59" t="str">
        <f>IF(AND(P113&gt;0,AM113&gt;0),MIN(P113,AM113),"-")</f>
        <v>-</v>
      </c>
      <c r="BK113" s="59" t="str">
        <f>IF(AND(Q113&gt;0,AN113&gt;0),MIN(Q113,AN113),"-")</f>
        <v>-</v>
      </c>
      <c r="BL113" s="59" t="str">
        <f>IF(AND(R113&gt;0,AO113&gt;0),MIN(R113,AO113),"-")</f>
        <v>-</v>
      </c>
      <c r="BM113" s="59" t="str">
        <f>IF(AND(S113&gt;0,AP113&gt;0),MIN(S113,AP113),"-")</f>
        <v>-</v>
      </c>
      <c r="BN113" s="59" t="str">
        <f>IF(AND(T113&gt;0,AQ113&gt;0),MIN(T113,AQ113),"-")</f>
        <v>-</v>
      </c>
      <c r="BO113" s="59" t="str">
        <f>IF(AND(U113&gt;0,AR113&gt;0),MIN(U113,AR113),"-")</f>
        <v>-</v>
      </c>
      <c r="BP113" s="59" t="str">
        <f>IF(AND(V113&gt;0,AS113&gt;0),MIN(V113,AS113),"-")</f>
        <v>-</v>
      </c>
      <c r="BQ113" s="59" t="str">
        <f t="shared" si="25"/>
        <v>-</v>
      </c>
      <c r="BR113" s="59" t="str">
        <f t="shared" si="26"/>
        <v>-</v>
      </c>
      <c r="BS113" s="59" t="str">
        <f t="shared" si="27"/>
        <v>-</v>
      </c>
      <c r="BT113" s="98" t="str">
        <f>IF(ISNUMBER(BS113),BS113-(C113*Rules!$P$9/100),"-")</f>
        <v>-</v>
      </c>
      <c r="BU113" s="59" t="e">
        <f>RANK($BT113,$BT$5:$BT$106,1)+COUNTIF(BT$5:BT113,BT113)-1</f>
        <v>#VALUE!</v>
      </c>
      <c r="BV113" s="59" t="e">
        <f t="shared" si="28"/>
        <v>#VALUE!</v>
      </c>
      <c r="BW113" s="59" t="str">
        <f t="shared" si="29"/>
        <v xml:space="preserve"> </v>
      </c>
      <c r="BX113" s="59">
        <f t="shared" si="29"/>
        <v>0</v>
      </c>
      <c r="BY113" s="59" t="str">
        <f t="shared" si="30"/>
        <v>-</v>
      </c>
      <c r="CD113" s="79"/>
      <c r="CE113" s="80"/>
      <c r="CF113" s="104"/>
      <c r="CL113" s="77">
        <v>1</v>
      </c>
    </row>
    <row r="114" spans="1:90" ht="17.45" customHeight="1">
      <c r="A114" s="58">
        <v>110</v>
      </c>
      <c r="B114" s="59" t="str">
        <f>'C Div'!A114 &amp; " " &amp; 'C Div'!B114</f>
        <v xml:space="preserve"> </v>
      </c>
      <c r="C114" s="59">
        <f>'C Div'!E114</f>
        <v>0</v>
      </c>
      <c r="D114" s="60"/>
      <c r="E114" s="60"/>
      <c r="F114" s="60"/>
      <c r="G114" s="60"/>
      <c r="H114" s="60"/>
      <c r="I114" s="60"/>
      <c r="J114" s="60"/>
      <c r="K114" s="60"/>
      <c r="L114" s="60"/>
      <c r="M114" s="74" t="str">
        <f t="shared" si="16"/>
        <v>-</v>
      </c>
      <c r="N114" s="60"/>
      <c r="O114" s="60"/>
      <c r="P114" s="60"/>
      <c r="Q114" s="60"/>
      <c r="R114" s="60"/>
      <c r="S114" s="60"/>
      <c r="T114" s="60"/>
      <c r="U114" s="60"/>
      <c r="V114" s="60"/>
      <c r="W114" s="74" t="str">
        <f t="shared" si="17"/>
        <v>-</v>
      </c>
      <c r="X114" s="155" t="str">
        <f t="shared" si="18"/>
        <v>-</v>
      </c>
      <c r="Y114" s="156" t="str">
        <f t="shared" si="19"/>
        <v>-</v>
      </c>
      <c r="AA114" s="60"/>
      <c r="AB114" s="60"/>
      <c r="AC114" s="60"/>
      <c r="AD114" s="60"/>
      <c r="AE114" s="60"/>
      <c r="AF114" s="60"/>
      <c r="AG114" s="60"/>
      <c r="AH114" s="60"/>
      <c r="AI114" s="60"/>
      <c r="AJ114" s="74" t="str">
        <f t="shared" si="20"/>
        <v>-</v>
      </c>
      <c r="AK114" s="60"/>
      <c r="AL114" s="60"/>
      <c r="AM114" s="60"/>
      <c r="AN114" s="60"/>
      <c r="AO114" s="60"/>
      <c r="AP114" s="60"/>
      <c r="AQ114" s="60"/>
      <c r="AR114" s="60"/>
      <c r="AS114" s="60"/>
      <c r="AT114" s="74" t="str">
        <f t="shared" si="21"/>
        <v>-</v>
      </c>
      <c r="AU114" s="155" t="str">
        <f t="shared" si="22"/>
        <v>-</v>
      </c>
      <c r="AV114" s="156" t="str">
        <f t="shared" si="23"/>
        <v>-</v>
      </c>
      <c r="AX114" s="59" t="str">
        <f>IF(AND(D114&gt;0,AA114&gt;0),MIN(D114,AA114),"-")</f>
        <v>-</v>
      </c>
      <c r="AY114" s="59" t="str">
        <f>IF(AND(E114&gt;0,AB114&gt;0),MIN(E114,AB114),"-")</f>
        <v>-</v>
      </c>
      <c r="AZ114" s="59" t="str">
        <f>IF(AND(F114&gt;0,AC114&gt;0),MIN(F114,AC114),"-")</f>
        <v>-</v>
      </c>
      <c r="BA114" s="59" t="str">
        <f>IF(AND(G114&gt;0,AD114&gt;0),MIN(G114,AD114),"-")</f>
        <v>-</v>
      </c>
      <c r="BB114" s="59" t="str">
        <f>IF(AND(H114&gt;0,AE114&gt;0),MIN(H114,AE114),"-")</f>
        <v>-</v>
      </c>
      <c r="BC114" s="59" t="str">
        <f>IF(AND(I114&gt;0,AF114&gt;0),MIN(I114,AF114),"-")</f>
        <v>-</v>
      </c>
      <c r="BD114" s="59" t="str">
        <f>IF(AND(J114&gt;0,AG114&gt;0),MIN(J114,AG114),"-")</f>
        <v>-</v>
      </c>
      <c r="BE114" s="59" t="str">
        <f>IF(AND(K114&gt;0,AH114&gt;0),MIN(K114,AH114),"-")</f>
        <v>-</v>
      </c>
      <c r="BF114" s="59" t="str">
        <f>IF(AND(L114&gt;0,AI114&gt;0),MIN(L114,AI114),"-")</f>
        <v>-</v>
      </c>
      <c r="BG114" s="59" t="str">
        <f t="shared" si="24"/>
        <v>-</v>
      </c>
      <c r="BH114" s="59" t="str">
        <f>IF(AND(N114&gt;0,AK114&gt;0),MIN(N114,AK114),"-")</f>
        <v>-</v>
      </c>
      <c r="BI114" s="59" t="str">
        <f>IF(AND(O114&gt;0,AL114&gt;0),MIN(O114,AL114),"-")</f>
        <v>-</v>
      </c>
      <c r="BJ114" s="59" t="str">
        <f>IF(AND(P114&gt;0,AM114&gt;0),MIN(P114,AM114),"-")</f>
        <v>-</v>
      </c>
      <c r="BK114" s="59" t="str">
        <f>IF(AND(Q114&gt;0,AN114&gt;0),MIN(Q114,AN114),"-")</f>
        <v>-</v>
      </c>
      <c r="BL114" s="59" t="str">
        <f>IF(AND(R114&gt;0,AO114&gt;0),MIN(R114,AO114),"-")</f>
        <v>-</v>
      </c>
      <c r="BM114" s="59" t="str">
        <f>IF(AND(S114&gt;0,AP114&gt;0),MIN(S114,AP114),"-")</f>
        <v>-</v>
      </c>
      <c r="BN114" s="59" t="str">
        <f>IF(AND(T114&gt;0,AQ114&gt;0),MIN(T114,AQ114),"-")</f>
        <v>-</v>
      </c>
      <c r="BO114" s="59" t="str">
        <f>IF(AND(U114&gt;0,AR114&gt;0),MIN(U114,AR114),"-")</f>
        <v>-</v>
      </c>
      <c r="BP114" s="59" t="str">
        <f>IF(AND(V114&gt;0,AS114&gt;0),MIN(V114,AS114),"-")</f>
        <v>-</v>
      </c>
      <c r="BQ114" s="59" t="str">
        <f t="shared" si="25"/>
        <v>-</v>
      </c>
      <c r="BR114" s="59" t="str">
        <f t="shared" si="26"/>
        <v>-</v>
      </c>
      <c r="BS114" s="59" t="str">
        <f t="shared" si="27"/>
        <v>-</v>
      </c>
      <c r="BT114" s="98" t="str">
        <f>IF(ISNUMBER(BS114),BS114-(C114*Rules!$P$9/100),"-")</f>
        <v>-</v>
      </c>
      <c r="BU114" s="59" t="e">
        <f>RANK($BT114,$BT$5:$BT$106,1)+COUNTIF(BT$5:BT114,BT114)-1</f>
        <v>#VALUE!</v>
      </c>
      <c r="BV114" s="59" t="e">
        <f t="shared" si="28"/>
        <v>#VALUE!</v>
      </c>
      <c r="BW114" s="59" t="str">
        <f t="shared" si="29"/>
        <v xml:space="preserve"> </v>
      </c>
      <c r="BX114" s="59">
        <f t="shared" si="29"/>
        <v>0</v>
      </c>
      <c r="BY114" s="59" t="str">
        <f t="shared" si="30"/>
        <v>-</v>
      </c>
      <c r="CD114" s="79"/>
      <c r="CE114" s="80"/>
      <c r="CF114" s="104"/>
      <c r="CL114" s="77">
        <v>1</v>
      </c>
    </row>
    <row r="115" spans="1:90" ht="17.45" customHeight="1">
      <c r="A115" s="58">
        <v>111</v>
      </c>
      <c r="B115" s="59" t="str">
        <f>'C Div'!A115 &amp; " " &amp; 'C Div'!B115</f>
        <v xml:space="preserve"> </v>
      </c>
      <c r="C115" s="59">
        <f>'C Div'!E115</f>
        <v>0</v>
      </c>
      <c r="D115" s="60"/>
      <c r="E115" s="60"/>
      <c r="F115" s="60"/>
      <c r="G115" s="60"/>
      <c r="H115" s="60"/>
      <c r="I115" s="60"/>
      <c r="J115" s="60"/>
      <c r="K115" s="60"/>
      <c r="L115" s="60"/>
      <c r="M115" s="74" t="str">
        <f t="shared" si="16"/>
        <v>-</v>
      </c>
      <c r="N115" s="60"/>
      <c r="O115" s="60"/>
      <c r="P115" s="60"/>
      <c r="Q115" s="60"/>
      <c r="R115" s="60"/>
      <c r="S115" s="60"/>
      <c r="T115" s="60"/>
      <c r="U115" s="60"/>
      <c r="V115" s="60"/>
      <c r="W115" s="74" t="str">
        <f t="shared" si="17"/>
        <v>-</v>
      </c>
      <c r="X115" s="155" t="str">
        <f t="shared" si="18"/>
        <v>-</v>
      </c>
      <c r="Y115" s="156" t="str">
        <f t="shared" si="19"/>
        <v>-</v>
      </c>
      <c r="AA115" s="60"/>
      <c r="AB115" s="60"/>
      <c r="AC115" s="60"/>
      <c r="AD115" s="60"/>
      <c r="AE115" s="60"/>
      <c r="AF115" s="60"/>
      <c r="AG115" s="60"/>
      <c r="AH115" s="60"/>
      <c r="AI115" s="60"/>
      <c r="AJ115" s="74" t="str">
        <f t="shared" si="20"/>
        <v>-</v>
      </c>
      <c r="AK115" s="60"/>
      <c r="AL115" s="60"/>
      <c r="AM115" s="60"/>
      <c r="AN115" s="60"/>
      <c r="AO115" s="60"/>
      <c r="AP115" s="60"/>
      <c r="AQ115" s="60"/>
      <c r="AR115" s="60"/>
      <c r="AS115" s="60"/>
      <c r="AT115" s="74" t="str">
        <f t="shared" si="21"/>
        <v>-</v>
      </c>
      <c r="AU115" s="155" t="str">
        <f t="shared" si="22"/>
        <v>-</v>
      </c>
      <c r="AV115" s="156" t="str">
        <f t="shared" si="23"/>
        <v>-</v>
      </c>
      <c r="AX115" s="59" t="str">
        <f>IF(AND(D115&gt;0,AA115&gt;0),MIN(D115,AA115),"-")</f>
        <v>-</v>
      </c>
      <c r="AY115" s="59" t="str">
        <f>IF(AND(E115&gt;0,AB115&gt;0),MIN(E115,AB115),"-")</f>
        <v>-</v>
      </c>
      <c r="AZ115" s="59" t="str">
        <f>IF(AND(F115&gt;0,AC115&gt;0),MIN(F115,AC115),"-")</f>
        <v>-</v>
      </c>
      <c r="BA115" s="59" t="str">
        <f>IF(AND(G115&gt;0,AD115&gt;0),MIN(G115,AD115),"-")</f>
        <v>-</v>
      </c>
      <c r="BB115" s="59" t="str">
        <f>IF(AND(H115&gt;0,AE115&gt;0),MIN(H115,AE115),"-")</f>
        <v>-</v>
      </c>
      <c r="BC115" s="59" t="str">
        <f>IF(AND(I115&gt;0,AF115&gt;0),MIN(I115,AF115),"-")</f>
        <v>-</v>
      </c>
      <c r="BD115" s="59" t="str">
        <f>IF(AND(J115&gt;0,AG115&gt;0),MIN(J115,AG115),"-")</f>
        <v>-</v>
      </c>
      <c r="BE115" s="59" t="str">
        <f>IF(AND(K115&gt;0,AH115&gt;0),MIN(K115,AH115),"-")</f>
        <v>-</v>
      </c>
      <c r="BF115" s="59" t="str">
        <f>IF(AND(L115&gt;0,AI115&gt;0),MIN(L115,AI115),"-")</f>
        <v>-</v>
      </c>
      <c r="BG115" s="59" t="str">
        <f t="shared" si="24"/>
        <v>-</v>
      </c>
      <c r="BH115" s="59" t="str">
        <f>IF(AND(N115&gt;0,AK115&gt;0),MIN(N115,AK115),"-")</f>
        <v>-</v>
      </c>
      <c r="BI115" s="59" t="str">
        <f>IF(AND(O115&gt;0,AL115&gt;0),MIN(O115,AL115),"-")</f>
        <v>-</v>
      </c>
      <c r="BJ115" s="59" t="str">
        <f>IF(AND(P115&gt;0,AM115&gt;0),MIN(P115,AM115),"-")</f>
        <v>-</v>
      </c>
      <c r="BK115" s="59" t="str">
        <f>IF(AND(Q115&gt;0,AN115&gt;0),MIN(Q115,AN115),"-")</f>
        <v>-</v>
      </c>
      <c r="BL115" s="59" t="str">
        <f>IF(AND(R115&gt;0,AO115&gt;0),MIN(R115,AO115),"-")</f>
        <v>-</v>
      </c>
      <c r="BM115" s="59" t="str">
        <f>IF(AND(S115&gt;0,AP115&gt;0),MIN(S115,AP115),"-")</f>
        <v>-</v>
      </c>
      <c r="BN115" s="59" t="str">
        <f>IF(AND(T115&gt;0,AQ115&gt;0),MIN(T115,AQ115),"-")</f>
        <v>-</v>
      </c>
      <c r="BO115" s="59" t="str">
        <f>IF(AND(U115&gt;0,AR115&gt;0),MIN(U115,AR115),"-")</f>
        <v>-</v>
      </c>
      <c r="BP115" s="59" t="str">
        <f>IF(AND(V115&gt;0,AS115&gt;0),MIN(V115,AS115),"-")</f>
        <v>-</v>
      </c>
      <c r="BQ115" s="59" t="str">
        <f t="shared" si="25"/>
        <v>-</v>
      </c>
      <c r="BR115" s="59" t="str">
        <f t="shared" si="26"/>
        <v>-</v>
      </c>
      <c r="BS115" s="59" t="str">
        <f t="shared" si="27"/>
        <v>-</v>
      </c>
      <c r="BT115" s="98" t="str">
        <f>IF(ISNUMBER(BS115),BS115-(C115*Rules!$P$9/100),"-")</f>
        <v>-</v>
      </c>
      <c r="BU115" s="59" t="e">
        <f>RANK($BT115,$BT$5:$BT$106,1)+COUNTIF(BT$5:BT115,BT115)-1</f>
        <v>#VALUE!</v>
      </c>
      <c r="BV115" s="59" t="e">
        <f t="shared" si="28"/>
        <v>#VALUE!</v>
      </c>
      <c r="BW115" s="59" t="str">
        <f t="shared" si="29"/>
        <v xml:space="preserve"> </v>
      </c>
      <c r="BX115" s="59">
        <f t="shared" si="29"/>
        <v>0</v>
      </c>
      <c r="BY115" s="59" t="str">
        <f t="shared" si="30"/>
        <v>-</v>
      </c>
      <c r="CD115" s="79"/>
      <c r="CE115" s="80"/>
      <c r="CF115" s="104"/>
      <c r="CL115" s="77">
        <v>1</v>
      </c>
    </row>
    <row r="116" spans="1:90" ht="17.45" customHeight="1">
      <c r="A116" s="58">
        <v>112</v>
      </c>
      <c r="B116" s="59" t="str">
        <f>'C Div'!A116 &amp; " " &amp; 'C Div'!B116</f>
        <v xml:space="preserve"> </v>
      </c>
      <c r="C116" s="59">
        <f>'C Div'!E116</f>
        <v>0</v>
      </c>
      <c r="D116" s="60"/>
      <c r="E116" s="60"/>
      <c r="F116" s="60"/>
      <c r="G116" s="60"/>
      <c r="H116" s="60"/>
      <c r="I116" s="60"/>
      <c r="J116" s="60"/>
      <c r="K116" s="60"/>
      <c r="L116" s="60"/>
      <c r="M116" s="74" t="str">
        <f t="shared" si="16"/>
        <v>-</v>
      </c>
      <c r="N116" s="60"/>
      <c r="O116" s="60"/>
      <c r="P116" s="60"/>
      <c r="Q116" s="60"/>
      <c r="R116" s="60"/>
      <c r="S116" s="60"/>
      <c r="T116" s="60"/>
      <c r="U116" s="60"/>
      <c r="V116" s="60"/>
      <c r="W116" s="74" t="str">
        <f t="shared" si="17"/>
        <v>-</v>
      </c>
      <c r="X116" s="155" t="str">
        <f t="shared" si="18"/>
        <v>-</v>
      </c>
      <c r="Y116" s="156" t="str">
        <f t="shared" si="19"/>
        <v>-</v>
      </c>
      <c r="AA116" s="60"/>
      <c r="AB116" s="60"/>
      <c r="AC116" s="60"/>
      <c r="AD116" s="60"/>
      <c r="AE116" s="60"/>
      <c r="AF116" s="60"/>
      <c r="AG116" s="60"/>
      <c r="AH116" s="60"/>
      <c r="AI116" s="60"/>
      <c r="AJ116" s="74" t="str">
        <f t="shared" si="20"/>
        <v>-</v>
      </c>
      <c r="AK116" s="60"/>
      <c r="AL116" s="60"/>
      <c r="AM116" s="60"/>
      <c r="AN116" s="60"/>
      <c r="AO116" s="60"/>
      <c r="AP116" s="60"/>
      <c r="AQ116" s="60"/>
      <c r="AR116" s="60"/>
      <c r="AS116" s="60"/>
      <c r="AT116" s="74" t="str">
        <f t="shared" si="21"/>
        <v>-</v>
      </c>
      <c r="AU116" s="155" t="str">
        <f t="shared" si="22"/>
        <v>-</v>
      </c>
      <c r="AV116" s="156" t="str">
        <f t="shared" si="23"/>
        <v>-</v>
      </c>
      <c r="AX116" s="59" t="str">
        <f>IF(AND(D116&gt;0,AA116&gt;0),MIN(D116,AA116),"-")</f>
        <v>-</v>
      </c>
      <c r="AY116" s="59" t="str">
        <f>IF(AND(E116&gt;0,AB116&gt;0),MIN(E116,AB116),"-")</f>
        <v>-</v>
      </c>
      <c r="AZ116" s="59" t="str">
        <f>IF(AND(F116&gt;0,AC116&gt;0),MIN(F116,AC116),"-")</f>
        <v>-</v>
      </c>
      <c r="BA116" s="59" t="str">
        <f>IF(AND(G116&gt;0,AD116&gt;0),MIN(G116,AD116),"-")</f>
        <v>-</v>
      </c>
      <c r="BB116" s="59" t="str">
        <f>IF(AND(H116&gt;0,AE116&gt;0),MIN(H116,AE116),"-")</f>
        <v>-</v>
      </c>
      <c r="BC116" s="59" t="str">
        <f>IF(AND(I116&gt;0,AF116&gt;0),MIN(I116,AF116),"-")</f>
        <v>-</v>
      </c>
      <c r="BD116" s="59" t="str">
        <f>IF(AND(J116&gt;0,AG116&gt;0),MIN(J116,AG116),"-")</f>
        <v>-</v>
      </c>
      <c r="BE116" s="59" t="str">
        <f>IF(AND(K116&gt;0,AH116&gt;0),MIN(K116,AH116),"-")</f>
        <v>-</v>
      </c>
      <c r="BF116" s="59" t="str">
        <f>IF(AND(L116&gt;0,AI116&gt;0),MIN(L116,AI116),"-")</f>
        <v>-</v>
      </c>
      <c r="BG116" s="59" t="str">
        <f t="shared" si="24"/>
        <v>-</v>
      </c>
      <c r="BH116" s="59" t="str">
        <f>IF(AND(N116&gt;0,AK116&gt;0),MIN(N116,AK116),"-")</f>
        <v>-</v>
      </c>
      <c r="BI116" s="59" t="str">
        <f>IF(AND(O116&gt;0,AL116&gt;0),MIN(O116,AL116),"-")</f>
        <v>-</v>
      </c>
      <c r="BJ116" s="59" t="str">
        <f>IF(AND(P116&gt;0,AM116&gt;0),MIN(P116,AM116),"-")</f>
        <v>-</v>
      </c>
      <c r="BK116" s="59" t="str">
        <f>IF(AND(Q116&gt;0,AN116&gt;0),MIN(Q116,AN116),"-")</f>
        <v>-</v>
      </c>
      <c r="BL116" s="59" t="str">
        <f>IF(AND(R116&gt;0,AO116&gt;0),MIN(R116,AO116),"-")</f>
        <v>-</v>
      </c>
      <c r="BM116" s="59" t="str">
        <f>IF(AND(S116&gt;0,AP116&gt;0),MIN(S116,AP116),"-")</f>
        <v>-</v>
      </c>
      <c r="BN116" s="59" t="str">
        <f>IF(AND(T116&gt;0,AQ116&gt;0),MIN(T116,AQ116),"-")</f>
        <v>-</v>
      </c>
      <c r="BO116" s="59" t="str">
        <f>IF(AND(U116&gt;0,AR116&gt;0),MIN(U116,AR116),"-")</f>
        <v>-</v>
      </c>
      <c r="BP116" s="59" t="str">
        <f>IF(AND(V116&gt;0,AS116&gt;0),MIN(V116,AS116),"-")</f>
        <v>-</v>
      </c>
      <c r="BQ116" s="59" t="str">
        <f t="shared" si="25"/>
        <v>-</v>
      </c>
      <c r="BR116" s="59" t="str">
        <f t="shared" si="26"/>
        <v>-</v>
      </c>
      <c r="BS116" s="59" t="str">
        <f t="shared" si="27"/>
        <v>-</v>
      </c>
      <c r="BT116" s="98" t="str">
        <f>IF(ISNUMBER(BS116),BS116-(C116*Rules!$P$9/100),"-")</f>
        <v>-</v>
      </c>
      <c r="BU116" s="59" t="e">
        <f>RANK($BT116,$BT$5:$BT$106,1)+COUNTIF(BT$5:BT116,BT116)-1</f>
        <v>#VALUE!</v>
      </c>
      <c r="BV116" s="59" t="e">
        <f t="shared" si="28"/>
        <v>#VALUE!</v>
      </c>
      <c r="BW116" s="59" t="str">
        <f t="shared" si="29"/>
        <v xml:space="preserve"> </v>
      </c>
      <c r="BX116" s="59">
        <f t="shared" si="29"/>
        <v>0</v>
      </c>
      <c r="BY116" s="59" t="str">
        <f t="shared" si="30"/>
        <v>-</v>
      </c>
      <c r="CD116" s="79"/>
      <c r="CE116" s="80"/>
      <c r="CF116" s="104"/>
      <c r="CL116" s="77">
        <v>1</v>
      </c>
    </row>
    <row r="117" spans="1:90" ht="17.45" customHeight="1">
      <c r="A117" s="58">
        <v>113</v>
      </c>
      <c r="B117" s="59" t="str">
        <f>'C Div'!A117 &amp; " " &amp; 'C Div'!B117</f>
        <v xml:space="preserve"> </v>
      </c>
      <c r="C117" s="59">
        <f>'C Div'!E117</f>
        <v>0</v>
      </c>
      <c r="D117" s="60"/>
      <c r="E117" s="60"/>
      <c r="F117" s="60"/>
      <c r="G117" s="60"/>
      <c r="H117" s="60"/>
      <c r="I117" s="60"/>
      <c r="J117" s="60"/>
      <c r="K117" s="60"/>
      <c r="L117" s="60"/>
      <c r="M117" s="74" t="str">
        <f t="shared" si="16"/>
        <v>-</v>
      </c>
      <c r="N117" s="60"/>
      <c r="O117" s="60"/>
      <c r="P117" s="60"/>
      <c r="Q117" s="60"/>
      <c r="R117" s="60"/>
      <c r="S117" s="60"/>
      <c r="T117" s="60"/>
      <c r="U117" s="60"/>
      <c r="V117" s="60"/>
      <c r="W117" s="74" t="str">
        <f t="shared" si="17"/>
        <v>-</v>
      </c>
      <c r="X117" s="155" t="str">
        <f t="shared" si="18"/>
        <v>-</v>
      </c>
      <c r="Y117" s="156" t="str">
        <f t="shared" si="19"/>
        <v>-</v>
      </c>
      <c r="AA117" s="60"/>
      <c r="AB117" s="60"/>
      <c r="AC117" s="60"/>
      <c r="AD117" s="60"/>
      <c r="AE117" s="60"/>
      <c r="AF117" s="60"/>
      <c r="AG117" s="60"/>
      <c r="AH117" s="60"/>
      <c r="AI117" s="60"/>
      <c r="AJ117" s="74" t="str">
        <f t="shared" si="20"/>
        <v>-</v>
      </c>
      <c r="AK117" s="60"/>
      <c r="AL117" s="60"/>
      <c r="AM117" s="60"/>
      <c r="AN117" s="60"/>
      <c r="AO117" s="60"/>
      <c r="AP117" s="60"/>
      <c r="AQ117" s="60"/>
      <c r="AR117" s="60"/>
      <c r="AS117" s="60"/>
      <c r="AT117" s="74" t="str">
        <f t="shared" si="21"/>
        <v>-</v>
      </c>
      <c r="AU117" s="155" t="str">
        <f t="shared" si="22"/>
        <v>-</v>
      </c>
      <c r="AV117" s="156" t="str">
        <f t="shared" si="23"/>
        <v>-</v>
      </c>
      <c r="AX117" s="59" t="str">
        <f>IF(AND(D117&gt;0,AA117&gt;0),MIN(D117,AA117),"-")</f>
        <v>-</v>
      </c>
      <c r="AY117" s="59" t="str">
        <f>IF(AND(E117&gt;0,AB117&gt;0),MIN(E117,AB117),"-")</f>
        <v>-</v>
      </c>
      <c r="AZ117" s="59" t="str">
        <f>IF(AND(F117&gt;0,AC117&gt;0),MIN(F117,AC117),"-")</f>
        <v>-</v>
      </c>
      <c r="BA117" s="59" t="str">
        <f>IF(AND(G117&gt;0,AD117&gt;0),MIN(G117,AD117),"-")</f>
        <v>-</v>
      </c>
      <c r="BB117" s="59" t="str">
        <f>IF(AND(H117&gt;0,AE117&gt;0),MIN(H117,AE117),"-")</f>
        <v>-</v>
      </c>
      <c r="BC117" s="59" t="str">
        <f>IF(AND(I117&gt;0,AF117&gt;0),MIN(I117,AF117),"-")</f>
        <v>-</v>
      </c>
      <c r="BD117" s="59" t="str">
        <f>IF(AND(J117&gt;0,AG117&gt;0),MIN(J117,AG117),"-")</f>
        <v>-</v>
      </c>
      <c r="BE117" s="59" t="str">
        <f>IF(AND(K117&gt;0,AH117&gt;0),MIN(K117,AH117),"-")</f>
        <v>-</v>
      </c>
      <c r="BF117" s="59" t="str">
        <f>IF(AND(L117&gt;0,AI117&gt;0),MIN(L117,AI117),"-")</f>
        <v>-</v>
      </c>
      <c r="BG117" s="59" t="str">
        <f t="shared" si="24"/>
        <v>-</v>
      </c>
      <c r="BH117" s="59" t="str">
        <f>IF(AND(N117&gt;0,AK117&gt;0),MIN(N117,AK117),"-")</f>
        <v>-</v>
      </c>
      <c r="BI117" s="59" t="str">
        <f>IF(AND(O117&gt;0,AL117&gt;0),MIN(O117,AL117),"-")</f>
        <v>-</v>
      </c>
      <c r="BJ117" s="59" t="str">
        <f>IF(AND(P117&gt;0,AM117&gt;0),MIN(P117,AM117),"-")</f>
        <v>-</v>
      </c>
      <c r="BK117" s="59" t="str">
        <f>IF(AND(Q117&gt;0,AN117&gt;0),MIN(Q117,AN117),"-")</f>
        <v>-</v>
      </c>
      <c r="BL117" s="59" t="str">
        <f>IF(AND(R117&gt;0,AO117&gt;0),MIN(R117,AO117),"-")</f>
        <v>-</v>
      </c>
      <c r="BM117" s="59" t="str">
        <f>IF(AND(S117&gt;0,AP117&gt;0),MIN(S117,AP117),"-")</f>
        <v>-</v>
      </c>
      <c r="BN117" s="59" t="str">
        <f>IF(AND(T117&gt;0,AQ117&gt;0),MIN(T117,AQ117),"-")</f>
        <v>-</v>
      </c>
      <c r="BO117" s="59" t="str">
        <f>IF(AND(U117&gt;0,AR117&gt;0),MIN(U117,AR117),"-")</f>
        <v>-</v>
      </c>
      <c r="BP117" s="59" t="str">
        <f>IF(AND(V117&gt;0,AS117&gt;0),MIN(V117,AS117),"-")</f>
        <v>-</v>
      </c>
      <c r="BQ117" s="59" t="str">
        <f t="shared" si="25"/>
        <v>-</v>
      </c>
      <c r="BR117" s="59" t="str">
        <f t="shared" si="26"/>
        <v>-</v>
      </c>
      <c r="BS117" s="59" t="str">
        <f t="shared" si="27"/>
        <v>-</v>
      </c>
      <c r="BT117" s="98" t="str">
        <f>IF(ISNUMBER(BS117),BS117-(C117*Rules!$P$9/100),"-")</f>
        <v>-</v>
      </c>
      <c r="BU117" s="59" t="e">
        <f>RANK($BT117,$BT$5:$BT$106,1)+COUNTIF(BT$5:BT117,BT117)-1</f>
        <v>#VALUE!</v>
      </c>
      <c r="BV117" s="59" t="e">
        <f t="shared" si="28"/>
        <v>#VALUE!</v>
      </c>
      <c r="BW117" s="59" t="str">
        <f t="shared" si="29"/>
        <v xml:space="preserve"> </v>
      </c>
      <c r="BX117" s="59">
        <f t="shared" si="29"/>
        <v>0</v>
      </c>
      <c r="BY117" s="59" t="str">
        <f t="shared" si="30"/>
        <v>-</v>
      </c>
      <c r="CD117" s="79"/>
      <c r="CE117" s="80"/>
      <c r="CF117" s="104"/>
      <c r="CL117" s="77">
        <v>1</v>
      </c>
    </row>
    <row r="118" spans="1:90" ht="17.45" customHeight="1">
      <c r="A118" s="58">
        <v>114</v>
      </c>
      <c r="B118" s="59" t="str">
        <f>'C Div'!A118 &amp; " " &amp; 'C Div'!B118</f>
        <v xml:space="preserve"> </v>
      </c>
      <c r="C118" s="59">
        <f>'C Div'!E118</f>
        <v>0</v>
      </c>
      <c r="D118" s="60"/>
      <c r="E118" s="60"/>
      <c r="F118" s="60"/>
      <c r="G118" s="60"/>
      <c r="H118" s="60"/>
      <c r="I118" s="60"/>
      <c r="J118" s="60"/>
      <c r="K118" s="60"/>
      <c r="L118" s="60"/>
      <c r="M118" s="74" t="str">
        <f t="shared" si="16"/>
        <v>-</v>
      </c>
      <c r="N118" s="60"/>
      <c r="O118" s="60"/>
      <c r="P118" s="60"/>
      <c r="Q118" s="60"/>
      <c r="R118" s="60"/>
      <c r="S118" s="60"/>
      <c r="T118" s="60"/>
      <c r="U118" s="60"/>
      <c r="V118" s="60"/>
      <c r="W118" s="74" t="str">
        <f t="shared" si="17"/>
        <v>-</v>
      </c>
      <c r="X118" s="155" t="str">
        <f t="shared" si="18"/>
        <v>-</v>
      </c>
      <c r="Y118" s="156" t="str">
        <f t="shared" si="19"/>
        <v>-</v>
      </c>
      <c r="AA118" s="60"/>
      <c r="AB118" s="60"/>
      <c r="AC118" s="60"/>
      <c r="AD118" s="60"/>
      <c r="AE118" s="60"/>
      <c r="AF118" s="60"/>
      <c r="AG118" s="60"/>
      <c r="AH118" s="60"/>
      <c r="AI118" s="60"/>
      <c r="AJ118" s="74" t="str">
        <f t="shared" si="20"/>
        <v>-</v>
      </c>
      <c r="AK118" s="60"/>
      <c r="AL118" s="60"/>
      <c r="AM118" s="60"/>
      <c r="AN118" s="60"/>
      <c r="AO118" s="60"/>
      <c r="AP118" s="60"/>
      <c r="AQ118" s="60"/>
      <c r="AR118" s="60"/>
      <c r="AS118" s="60"/>
      <c r="AT118" s="74" t="str">
        <f t="shared" si="21"/>
        <v>-</v>
      </c>
      <c r="AU118" s="155" t="str">
        <f t="shared" si="22"/>
        <v>-</v>
      </c>
      <c r="AV118" s="156" t="str">
        <f t="shared" si="23"/>
        <v>-</v>
      </c>
      <c r="AX118" s="59" t="str">
        <f>IF(AND(D118&gt;0,AA118&gt;0),MIN(D118,AA118),"-")</f>
        <v>-</v>
      </c>
      <c r="AY118" s="59" t="str">
        <f>IF(AND(E118&gt;0,AB118&gt;0),MIN(E118,AB118),"-")</f>
        <v>-</v>
      </c>
      <c r="AZ118" s="59" t="str">
        <f>IF(AND(F118&gt;0,AC118&gt;0),MIN(F118,AC118),"-")</f>
        <v>-</v>
      </c>
      <c r="BA118" s="59" t="str">
        <f>IF(AND(G118&gt;0,AD118&gt;0),MIN(G118,AD118),"-")</f>
        <v>-</v>
      </c>
      <c r="BB118" s="59" t="str">
        <f>IF(AND(H118&gt;0,AE118&gt;0),MIN(H118,AE118),"-")</f>
        <v>-</v>
      </c>
      <c r="BC118" s="59" t="str">
        <f>IF(AND(I118&gt;0,AF118&gt;0),MIN(I118,AF118),"-")</f>
        <v>-</v>
      </c>
      <c r="BD118" s="59" t="str">
        <f>IF(AND(J118&gt;0,AG118&gt;0),MIN(J118,AG118),"-")</f>
        <v>-</v>
      </c>
      <c r="BE118" s="59" t="str">
        <f>IF(AND(K118&gt;0,AH118&gt;0),MIN(K118,AH118),"-")</f>
        <v>-</v>
      </c>
      <c r="BF118" s="59" t="str">
        <f>IF(AND(L118&gt;0,AI118&gt;0),MIN(L118,AI118),"-")</f>
        <v>-</v>
      </c>
      <c r="BG118" s="59" t="str">
        <f t="shared" si="24"/>
        <v>-</v>
      </c>
      <c r="BH118" s="59" t="str">
        <f>IF(AND(N118&gt;0,AK118&gt;0),MIN(N118,AK118),"-")</f>
        <v>-</v>
      </c>
      <c r="BI118" s="59" t="str">
        <f>IF(AND(O118&gt;0,AL118&gt;0),MIN(O118,AL118),"-")</f>
        <v>-</v>
      </c>
      <c r="BJ118" s="59" t="str">
        <f>IF(AND(P118&gt;0,AM118&gt;0),MIN(P118,AM118),"-")</f>
        <v>-</v>
      </c>
      <c r="BK118" s="59" t="str">
        <f>IF(AND(Q118&gt;0,AN118&gt;0),MIN(Q118,AN118),"-")</f>
        <v>-</v>
      </c>
      <c r="BL118" s="59" t="str">
        <f>IF(AND(R118&gt;0,AO118&gt;0),MIN(R118,AO118),"-")</f>
        <v>-</v>
      </c>
      <c r="BM118" s="59" t="str">
        <f>IF(AND(S118&gt;0,AP118&gt;0),MIN(S118,AP118),"-")</f>
        <v>-</v>
      </c>
      <c r="BN118" s="59" t="str">
        <f>IF(AND(T118&gt;0,AQ118&gt;0),MIN(T118,AQ118),"-")</f>
        <v>-</v>
      </c>
      <c r="BO118" s="59" t="str">
        <f>IF(AND(U118&gt;0,AR118&gt;0),MIN(U118,AR118),"-")</f>
        <v>-</v>
      </c>
      <c r="BP118" s="59" t="str">
        <f>IF(AND(V118&gt;0,AS118&gt;0),MIN(V118,AS118),"-")</f>
        <v>-</v>
      </c>
      <c r="BQ118" s="59" t="str">
        <f t="shared" si="25"/>
        <v>-</v>
      </c>
      <c r="BR118" s="59" t="str">
        <f t="shared" si="26"/>
        <v>-</v>
      </c>
      <c r="BS118" s="59" t="str">
        <f t="shared" si="27"/>
        <v>-</v>
      </c>
      <c r="BT118" s="98" t="str">
        <f>IF(ISNUMBER(BS118),BS118-(C118*Rules!$P$9/100),"-")</f>
        <v>-</v>
      </c>
      <c r="BU118" s="59" t="e">
        <f>RANK($BT118,$BT$5:$BT$106,1)+COUNTIF(BT$5:BT118,BT118)-1</f>
        <v>#VALUE!</v>
      </c>
      <c r="BV118" s="59" t="e">
        <f t="shared" si="28"/>
        <v>#VALUE!</v>
      </c>
      <c r="BW118" s="59" t="str">
        <f t="shared" si="29"/>
        <v xml:space="preserve"> </v>
      </c>
      <c r="BX118" s="59">
        <f t="shared" si="29"/>
        <v>0</v>
      </c>
      <c r="BY118" s="59" t="str">
        <f t="shared" si="30"/>
        <v>-</v>
      </c>
      <c r="CD118" s="79"/>
      <c r="CE118" s="80"/>
      <c r="CF118" s="104"/>
      <c r="CL118" s="77">
        <v>1</v>
      </c>
    </row>
    <row r="119" spans="1:90" ht="17.45" customHeight="1">
      <c r="A119" s="58">
        <v>115</v>
      </c>
      <c r="B119" s="59" t="str">
        <f>'C Div'!A119 &amp; " " &amp; 'C Div'!B119</f>
        <v xml:space="preserve"> </v>
      </c>
      <c r="C119" s="59">
        <f>'C Div'!E119</f>
        <v>0</v>
      </c>
      <c r="D119" s="60"/>
      <c r="E119" s="60"/>
      <c r="F119" s="60"/>
      <c r="G119" s="60"/>
      <c r="H119" s="60"/>
      <c r="I119" s="60"/>
      <c r="J119" s="60"/>
      <c r="K119" s="60"/>
      <c r="L119" s="60"/>
      <c r="M119" s="74" t="str">
        <f t="shared" si="16"/>
        <v>-</v>
      </c>
      <c r="N119" s="60"/>
      <c r="O119" s="60"/>
      <c r="P119" s="60"/>
      <c r="Q119" s="60"/>
      <c r="R119" s="60"/>
      <c r="S119" s="60"/>
      <c r="T119" s="60"/>
      <c r="U119" s="60"/>
      <c r="V119" s="60"/>
      <c r="W119" s="74" t="str">
        <f t="shared" si="17"/>
        <v>-</v>
      </c>
      <c r="X119" s="155" t="str">
        <f t="shared" si="18"/>
        <v>-</v>
      </c>
      <c r="Y119" s="156" t="str">
        <f t="shared" si="19"/>
        <v>-</v>
      </c>
      <c r="AA119" s="60"/>
      <c r="AB119" s="60"/>
      <c r="AC119" s="60"/>
      <c r="AD119" s="60"/>
      <c r="AE119" s="60"/>
      <c r="AF119" s="60"/>
      <c r="AG119" s="60"/>
      <c r="AH119" s="60"/>
      <c r="AI119" s="60"/>
      <c r="AJ119" s="74" t="str">
        <f t="shared" si="20"/>
        <v>-</v>
      </c>
      <c r="AK119" s="60"/>
      <c r="AL119" s="60"/>
      <c r="AM119" s="60"/>
      <c r="AN119" s="60"/>
      <c r="AO119" s="60"/>
      <c r="AP119" s="60"/>
      <c r="AQ119" s="60"/>
      <c r="AR119" s="60"/>
      <c r="AS119" s="60"/>
      <c r="AT119" s="74" t="str">
        <f t="shared" si="21"/>
        <v>-</v>
      </c>
      <c r="AU119" s="155" t="str">
        <f t="shared" si="22"/>
        <v>-</v>
      </c>
      <c r="AV119" s="156" t="str">
        <f t="shared" si="23"/>
        <v>-</v>
      </c>
      <c r="AX119" s="59" t="str">
        <f>IF(AND(D119&gt;0,AA119&gt;0),MIN(D119,AA119),"-")</f>
        <v>-</v>
      </c>
      <c r="AY119" s="59" t="str">
        <f>IF(AND(E119&gt;0,AB119&gt;0),MIN(E119,AB119),"-")</f>
        <v>-</v>
      </c>
      <c r="AZ119" s="59" t="str">
        <f>IF(AND(F119&gt;0,AC119&gt;0),MIN(F119,AC119),"-")</f>
        <v>-</v>
      </c>
      <c r="BA119" s="59" t="str">
        <f>IF(AND(G119&gt;0,AD119&gt;0),MIN(G119,AD119),"-")</f>
        <v>-</v>
      </c>
      <c r="BB119" s="59" t="str">
        <f>IF(AND(H119&gt;0,AE119&gt;0),MIN(H119,AE119),"-")</f>
        <v>-</v>
      </c>
      <c r="BC119" s="59" t="str">
        <f>IF(AND(I119&gt;0,AF119&gt;0),MIN(I119,AF119),"-")</f>
        <v>-</v>
      </c>
      <c r="BD119" s="59" t="str">
        <f>IF(AND(J119&gt;0,AG119&gt;0),MIN(J119,AG119),"-")</f>
        <v>-</v>
      </c>
      <c r="BE119" s="59" t="str">
        <f>IF(AND(K119&gt;0,AH119&gt;0),MIN(K119,AH119),"-")</f>
        <v>-</v>
      </c>
      <c r="BF119" s="59" t="str">
        <f>IF(AND(L119&gt;0,AI119&gt;0),MIN(L119,AI119),"-")</f>
        <v>-</v>
      </c>
      <c r="BG119" s="59" t="str">
        <f t="shared" si="24"/>
        <v>-</v>
      </c>
      <c r="BH119" s="59" t="str">
        <f>IF(AND(N119&gt;0,AK119&gt;0),MIN(N119,AK119),"-")</f>
        <v>-</v>
      </c>
      <c r="BI119" s="59" t="str">
        <f>IF(AND(O119&gt;0,AL119&gt;0),MIN(O119,AL119),"-")</f>
        <v>-</v>
      </c>
      <c r="BJ119" s="59" t="str">
        <f>IF(AND(P119&gt;0,AM119&gt;0),MIN(P119,AM119),"-")</f>
        <v>-</v>
      </c>
      <c r="BK119" s="59" t="str">
        <f>IF(AND(Q119&gt;0,AN119&gt;0),MIN(Q119,AN119),"-")</f>
        <v>-</v>
      </c>
      <c r="BL119" s="59" t="str">
        <f>IF(AND(R119&gt;0,AO119&gt;0),MIN(R119,AO119),"-")</f>
        <v>-</v>
      </c>
      <c r="BM119" s="59" t="str">
        <f>IF(AND(S119&gt;0,AP119&gt;0),MIN(S119,AP119),"-")</f>
        <v>-</v>
      </c>
      <c r="BN119" s="59" t="str">
        <f>IF(AND(T119&gt;0,AQ119&gt;0),MIN(T119,AQ119),"-")</f>
        <v>-</v>
      </c>
      <c r="BO119" s="59" t="str">
        <f>IF(AND(U119&gt;0,AR119&gt;0),MIN(U119,AR119),"-")</f>
        <v>-</v>
      </c>
      <c r="BP119" s="59" t="str">
        <f>IF(AND(V119&gt;0,AS119&gt;0),MIN(V119,AS119),"-")</f>
        <v>-</v>
      </c>
      <c r="BQ119" s="59" t="str">
        <f t="shared" si="25"/>
        <v>-</v>
      </c>
      <c r="BR119" s="59" t="str">
        <f t="shared" si="26"/>
        <v>-</v>
      </c>
      <c r="BS119" s="59" t="str">
        <f t="shared" si="27"/>
        <v>-</v>
      </c>
      <c r="BT119" s="98" t="str">
        <f>IF(ISNUMBER(BS119),BS119-(C119*Rules!$P$9/100),"-")</f>
        <v>-</v>
      </c>
      <c r="BU119" s="59" t="e">
        <f>RANK($BT119,$BT$5:$BT$106,1)+COUNTIF(BT$5:BT119,BT119)-1</f>
        <v>#VALUE!</v>
      </c>
      <c r="BV119" s="59" t="e">
        <f t="shared" si="28"/>
        <v>#VALUE!</v>
      </c>
      <c r="BW119" s="59" t="str">
        <f t="shared" si="29"/>
        <v xml:space="preserve"> </v>
      </c>
      <c r="BX119" s="59">
        <f t="shared" si="29"/>
        <v>0</v>
      </c>
      <c r="BY119" s="59" t="str">
        <f t="shared" si="30"/>
        <v>-</v>
      </c>
      <c r="CD119" s="79"/>
      <c r="CE119" s="80"/>
      <c r="CF119" s="104"/>
      <c r="CL119" s="77">
        <v>1</v>
      </c>
    </row>
    <row r="120" spans="1:90" ht="17.45" customHeight="1">
      <c r="A120" s="58">
        <v>116</v>
      </c>
      <c r="B120" s="59" t="str">
        <f>'C Div'!A120 &amp; " " &amp; 'C Div'!B120</f>
        <v xml:space="preserve"> </v>
      </c>
      <c r="C120" s="59">
        <f>'C Div'!E120</f>
        <v>0</v>
      </c>
      <c r="D120" s="60"/>
      <c r="E120" s="60"/>
      <c r="F120" s="60"/>
      <c r="G120" s="60"/>
      <c r="H120" s="60"/>
      <c r="I120" s="60"/>
      <c r="J120" s="60"/>
      <c r="K120" s="60"/>
      <c r="L120" s="60"/>
      <c r="M120" s="74" t="str">
        <f t="shared" si="16"/>
        <v>-</v>
      </c>
      <c r="N120" s="60"/>
      <c r="O120" s="60"/>
      <c r="P120" s="60"/>
      <c r="Q120" s="60"/>
      <c r="R120" s="60"/>
      <c r="S120" s="60"/>
      <c r="T120" s="60"/>
      <c r="U120" s="60"/>
      <c r="V120" s="60"/>
      <c r="W120" s="74" t="str">
        <f t="shared" si="17"/>
        <v>-</v>
      </c>
      <c r="X120" s="155" t="str">
        <f t="shared" si="18"/>
        <v>-</v>
      </c>
      <c r="Y120" s="156" t="str">
        <f t="shared" si="19"/>
        <v>-</v>
      </c>
      <c r="AA120" s="60"/>
      <c r="AB120" s="60"/>
      <c r="AC120" s="60"/>
      <c r="AD120" s="60"/>
      <c r="AE120" s="60"/>
      <c r="AF120" s="60"/>
      <c r="AG120" s="60"/>
      <c r="AH120" s="60"/>
      <c r="AI120" s="60"/>
      <c r="AJ120" s="74" t="str">
        <f t="shared" si="20"/>
        <v>-</v>
      </c>
      <c r="AK120" s="60"/>
      <c r="AL120" s="60"/>
      <c r="AM120" s="60"/>
      <c r="AN120" s="60"/>
      <c r="AO120" s="60"/>
      <c r="AP120" s="60"/>
      <c r="AQ120" s="60"/>
      <c r="AR120" s="60"/>
      <c r="AS120" s="60"/>
      <c r="AT120" s="74" t="str">
        <f t="shared" si="21"/>
        <v>-</v>
      </c>
      <c r="AU120" s="155" t="str">
        <f t="shared" si="22"/>
        <v>-</v>
      </c>
      <c r="AV120" s="156" t="str">
        <f t="shared" si="23"/>
        <v>-</v>
      </c>
      <c r="AX120" s="59" t="str">
        <f>IF(AND(D120&gt;0,AA120&gt;0),MIN(D120,AA120),"-")</f>
        <v>-</v>
      </c>
      <c r="AY120" s="59" t="str">
        <f>IF(AND(E120&gt;0,AB120&gt;0),MIN(E120,AB120),"-")</f>
        <v>-</v>
      </c>
      <c r="AZ120" s="59" t="str">
        <f>IF(AND(F120&gt;0,AC120&gt;0),MIN(F120,AC120),"-")</f>
        <v>-</v>
      </c>
      <c r="BA120" s="59" t="str">
        <f>IF(AND(G120&gt;0,AD120&gt;0),MIN(G120,AD120),"-")</f>
        <v>-</v>
      </c>
      <c r="BB120" s="59" t="str">
        <f>IF(AND(H120&gt;0,AE120&gt;0),MIN(H120,AE120),"-")</f>
        <v>-</v>
      </c>
      <c r="BC120" s="59" t="str">
        <f>IF(AND(I120&gt;0,AF120&gt;0),MIN(I120,AF120),"-")</f>
        <v>-</v>
      </c>
      <c r="BD120" s="59" t="str">
        <f>IF(AND(J120&gt;0,AG120&gt;0),MIN(J120,AG120),"-")</f>
        <v>-</v>
      </c>
      <c r="BE120" s="59" t="str">
        <f>IF(AND(K120&gt;0,AH120&gt;0),MIN(K120,AH120),"-")</f>
        <v>-</v>
      </c>
      <c r="BF120" s="59" t="str">
        <f>IF(AND(L120&gt;0,AI120&gt;0),MIN(L120,AI120),"-")</f>
        <v>-</v>
      </c>
      <c r="BG120" s="59" t="str">
        <f t="shared" si="24"/>
        <v>-</v>
      </c>
      <c r="BH120" s="59" t="str">
        <f>IF(AND(N120&gt;0,AK120&gt;0),MIN(N120,AK120),"-")</f>
        <v>-</v>
      </c>
      <c r="BI120" s="59" t="str">
        <f>IF(AND(O120&gt;0,AL120&gt;0),MIN(O120,AL120),"-")</f>
        <v>-</v>
      </c>
      <c r="BJ120" s="59" t="str">
        <f>IF(AND(P120&gt;0,AM120&gt;0),MIN(P120,AM120),"-")</f>
        <v>-</v>
      </c>
      <c r="BK120" s="59" t="str">
        <f>IF(AND(Q120&gt;0,AN120&gt;0),MIN(Q120,AN120),"-")</f>
        <v>-</v>
      </c>
      <c r="BL120" s="59" t="str">
        <f>IF(AND(R120&gt;0,AO120&gt;0),MIN(R120,AO120),"-")</f>
        <v>-</v>
      </c>
      <c r="BM120" s="59" t="str">
        <f>IF(AND(S120&gt;0,AP120&gt;0),MIN(S120,AP120),"-")</f>
        <v>-</v>
      </c>
      <c r="BN120" s="59" t="str">
        <f>IF(AND(T120&gt;0,AQ120&gt;0),MIN(T120,AQ120),"-")</f>
        <v>-</v>
      </c>
      <c r="BO120" s="59" t="str">
        <f>IF(AND(U120&gt;0,AR120&gt;0),MIN(U120,AR120),"-")</f>
        <v>-</v>
      </c>
      <c r="BP120" s="59" t="str">
        <f>IF(AND(V120&gt;0,AS120&gt;0),MIN(V120,AS120),"-")</f>
        <v>-</v>
      </c>
      <c r="BQ120" s="59" t="str">
        <f t="shared" si="25"/>
        <v>-</v>
      </c>
      <c r="BR120" s="59" t="str">
        <f t="shared" si="26"/>
        <v>-</v>
      </c>
      <c r="BS120" s="59" t="str">
        <f t="shared" si="27"/>
        <v>-</v>
      </c>
      <c r="BT120" s="98" t="str">
        <f>IF(ISNUMBER(BS120),BS120-(C120*Rules!$P$9/100),"-")</f>
        <v>-</v>
      </c>
      <c r="BU120" s="59" t="e">
        <f>RANK($BT120,$BT$5:$BT$106,1)+COUNTIF(BT$5:BT120,BT120)-1</f>
        <v>#VALUE!</v>
      </c>
      <c r="BV120" s="59" t="e">
        <f t="shared" si="28"/>
        <v>#VALUE!</v>
      </c>
      <c r="BW120" s="59" t="str">
        <f t="shared" si="29"/>
        <v xml:space="preserve"> </v>
      </c>
      <c r="BX120" s="59">
        <f t="shared" si="29"/>
        <v>0</v>
      </c>
      <c r="BY120" s="59" t="str">
        <f t="shared" si="30"/>
        <v>-</v>
      </c>
      <c r="CD120" s="79"/>
      <c r="CE120" s="80"/>
      <c r="CF120" s="104"/>
      <c r="CL120" s="77">
        <v>1</v>
      </c>
    </row>
    <row r="121" spans="1:90" ht="17.45" customHeight="1">
      <c r="A121" s="58">
        <v>117</v>
      </c>
      <c r="B121" s="59" t="str">
        <f>'C Div'!A121 &amp; " " &amp; 'C Div'!B121</f>
        <v xml:space="preserve"> </v>
      </c>
      <c r="C121" s="59">
        <f>'C Div'!E121</f>
        <v>0</v>
      </c>
      <c r="D121" s="60"/>
      <c r="E121" s="60"/>
      <c r="F121" s="60"/>
      <c r="G121" s="60"/>
      <c r="H121" s="60"/>
      <c r="I121" s="60"/>
      <c r="J121" s="60"/>
      <c r="K121" s="60"/>
      <c r="L121" s="60"/>
      <c r="M121" s="74" t="str">
        <f t="shared" si="16"/>
        <v>-</v>
      </c>
      <c r="N121" s="60"/>
      <c r="O121" s="60"/>
      <c r="P121" s="60"/>
      <c r="Q121" s="60"/>
      <c r="R121" s="60"/>
      <c r="S121" s="60"/>
      <c r="T121" s="60"/>
      <c r="U121" s="60"/>
      <c r="V121" s="60"/>
      <c r="W121" s="74" t="str">
        <f t="shared" si="17"/>
        <v>-</v>
      </c>
      <c r="X121" s="155" t="str">
        <f t="shared" si="18"/>
        <v>-</v>
      </c>
      <c r="Y121" s="156" t="str">
        <f t="shared" si="19"/>
        <v>-</v>
      </c>
      <c r="AA121" s="60"/>
      <c r="AB121" s="60"/>
      <c r="AC121" s="60"/>
      <c r="AD121" s="60"/>
      <c r="AE121" s="60"/>
      <c r="AF121" s="60"/>
      <c r="AG121" s="60"/>
      <c r="AH121" s="60"/>
      <c r="AI121" s="60"/>
      <c r="AJ121" s="74" t="str">
        <f t="shared" si="20"/>
        <v>-</v>
      </c>
      <c r="AK121" s="60"/>
      <c r="AL121" s="60"/>
      <c r="AM121" s="60"/>
      <c r="AN121" s="60"/>
      <c r="AO121" s="60"/>
      <c r="AP121" s="60"/>
      <c r="AQ121" s="60"/>
      <c r="AR121" s="60"/>
      <c r="AS121" s="60"/>
      <c r="AT121" s="74" t="str">
        <f t="shared" si="21"/>
        <v>-</v>
      </c>
      <c r="AU121" s="155" t="str">
        <f t="shared" si="22"/>
        <v>-</v>
      </c>
      <c r="AV121" s="156" t="str">
        <f t="shared" si="23"/>
        <v>-</v>
      </c>
      <c r="AX121" s="59" t="str">
        <f>IF(AND(D121&gt;0,AA121&gt;0),MIN(D121,AA121),"-")</f>
        <v>-</v>
      </c>
      <c r="AY121" s="59" t="str">
        <f>IF(AND(E121&gt;0,AB121&gt;0),MIN(E121,AB121),"-")</f>
        <v>-</v>
      </c>
      <c r="AZ121" s="59" t="str">
        <f>IF(AND(F121&gt;0,AC121&gt;0),MIN(F121,AC121),"-")</f>
        <v>-</v>
      </c>
      <c r="BA121" s="59" t="str">
        <f>IF(AND(G121&gt;0,AD121&gt;0),MIN(G121,AD121),"-")</f>
        <v>-</v>
      </c>
      <c r="BB121" s="59" t="str">
        <f>IF(AND(H121&gt;0,AE121&gt;0),MIN(H121,AE121),"-")</f>
        <v>-</v>
      </c>
      <c r="BC121" s="59" t="str">
        <f>IF(AND(I121&gt;0,AF121&gt;0),MIN(I121,AF121),"-")</f>
        <v>-</v>
      </c>
      <c r="BD121" s="59" t="str">
        <f>IF(AND(J121&gt;0,AG121&gt;0),MIN(J121,AG121),"-")</f>
        <v>-</v>
      </c>
      <c r="BE121" s="59" t="str">
        <f>IF(AND(K121&gt;0,AH121&gt;0),MIN(K121,AH121),"-")</f>
        <v>-</v>
      </c>
      <c r="BF121" s="59" t="str">
        <f>IF(AND(L121&gt;0,AI121&gt;0),MIN(L121,AI121),"-")</f>
        <v>-</v>
      </c>
      <c r="BG121" s="59" t="str">
        <f t="shared" si="24"/>
        <v>-</v>
      </c>
      <c r="BH121" s="59" t="str">
        <f>IF(AND(N121&gt;0,AK121&gt;0),MIN(N121,AK121),"-")</f>
        <v>-</v>
      </c>
      <c r="BI121" s="59" t="str">
        <f>IF(AND(O121&gt;0,AL121&gt;0),MIN(O121,AL121),"-")</f>
        <v>-</v>
      </c>
      <c r="BJ121" s="59" t="str">
        <f>IF(AND(P121&gt;0,AM121&gt;0),MIN(P121,AM121),"-")</f>
        <v>-</v>
      </c>
      <c r="BK121" s="59" t="str">
        <f>IF(AND(Q121&gt;0,AN121&gt;0),MIN(Q121,AN121),"-")</f>
        <v>-</v>
      </c>
      <c r="BL121" s="59" t="str">
        <f>IF(AND(R121&gt;0,AO121&gt;0),MIN(R121,AO121),"-")</f>
        <v>-</v>
      </c>
      <c r="BM121" s="59" t="str">
        <f>IF(AND(S121&gt;0,AP121&gt;0),MIN(S121,AP121),"-")</f>
        <v>-</v>
      </c>
      <c r="BN121" s="59" t="str">
        <f>IF(AND(T121&gt;0,AQ121&gt;0),MIN(T121,AQ121),"-")</f>
        <v>-</v>
      </c>
      <c r="BO121" s="59" t="str">
        <f>IF(AND(U121&gt;0,AR121&gt;0),MIN(U121,AR121),"-")</f>
        <v>-</v>
      </c>
      <c r="BP121" s="59" t="str">
        <f>IF(AND(V121&gt;0,AS121&gt;0),MIN(V121,AS121),"-")</f>
        <v>-</v>
      </c>
      <c r="BQ121" s="59" t="str">
        <f t="shared" si="25"/>
        <v>-</v>
      </c>
      <c r="BR121" s="59" t="str">
        <f t="shared" si="26"/>
        <v>-</v>
      </c>
      <c r="BS121" s="59" t="str">
        <f t="shared" si="27"/>
        <v>-</v>
      </c>
      <c r="BT121" s="98" t="str">
        <f>IF(ISNUMBER(BS121),BS121-(C121*Rules!$P$9/100),"-")</f>
        <v>-</v>
      </c>
      <c r="BU121" s="59" t="e">
        <f>RANK($BT121,$BT$5:$BT$106,1)+COUNTIF(BT$5:BT121,BT121)-1</f>
        <v>#VALUE!</v>
      </c>
      <c r="BV121" s="59" t="e">
        <f t="shared" si="28"/>
        <v>#VALUE!</v>
      </c>
      <c r="BW121" s="59" t="str">
        <f t="shared" si="29"/>
        <v xml:space="preserve"> </v>
      </c>
      <c r="BX121" s="59">
        <f t="shared" si="29"/>
        <v>0</v>
      </c>
      <c r="BY121" s="59" t="str">
        <f t="shared" si="30"/>
        <v>-</v>
      </c>
      <c r="CD121" s="79"/>
      <c r="CE121" s="80"/>
      <c r="CF121" s="104"/>
      <c r="CL121" s="77">
        <v>1</v>
      </c>
    </row>
    <row r="122" spans="1:90" ht="17.45" customHeight="1">
      <c r="A122" s="58">
        <v>118</v>
      </c>
      <c r="B122" s="59" t="str">
        <f>'C Div'!A122 &amp; " " &amp; 'C Div'!B122</f>
        <v xml:space="preserve"> </v>
      </c>
      <c r="C122" s="59">
        <f>'C Div'!E122</f>
        <v>0</v>
      </c>
      <c r="D122" s="60"/>
      <c r="E122" s="60"/>
      <c r="F122" s="60"/>
      <c r="G122" s="60"/>
      <c r="H122" s="60"/>
      <c r="I122" s="60"/>
      <c r="J122" s="60"/>
      <c r="K122" s="60"/>
      <c r="L122" s="60"/>
      <c r="M122" s="74" t="str">
        <f t="shared" si="16"/>
        <v>-</v>
      </c>
      <c r="N122" s="60"/>
      <c r="O122" s="60"/>
      <c r="P122" s="60"/>
      <c r="Q122" s="60"/>
      <c r="R122" s="60"/>
      <c r="S122" s="60"/>
      <c r="T122" s="60"/>
      <c r="U122" s="60"/>
      <c r="V122" s="60"/>
      <c r="W122" s="74" t="str">
        <f t="shared" si="17"/>
        <v>-</v>
      </c>
      <c r="X122" s="155" t="str">
        <f t="shared" si="18"/>
        <v>-</v>
      </c>
      <c r="Y122" s="156" t="str">
        <f t="shared" si="19"/>
        <v>-</v>
      </c>
      <c r="AA122" s="60"/>
      <c r="AB122" s="60"/>
      <c r="AC122" s="60"/>
      <c r="AD122" s="60"/>
      <c r="AE122" s="60"/>
      <c r="AF122" s="60"/>
      <c r="AG122" s="60"/>
      <c r="AH122" s="60"/>
      <c r="AI122" s="60"/>
      <c r="AJ122" s="74" t="str">
        <f t="shared" si="20"/>
        <v>-</v>
      </c>
      <c r="AK122" s="60"/>
      <c r="AL122" s="60"/>
      <c r="AM122" s="60"/>
      <c r="AN122" s="60"/>
      <c r="AO122" s="60"/>
      <c r="AP122" s="60"/>
      <c r="AQ122" s="60"/>
      <c r="AR122" s="60"/>
      <c r="AS122" s="60"/>
      <c r="AT122" s="74" t="str">
        <f t="shared" si="21"/>
        <v>-</v>
      </c>
      <c r="AU122" s="155" t="str">
        <f t="shared" si="22"/>
        <v>-</v>
      </c>
      <c r="AV122" s="156" t="str">
        <f t="shared" si="23"/>
        <v>-</v>
      </c>
      <c r="AX122" s="59" t="str">
        <f>IF(AND(D122&gt;0,AA122&gt;0),MIN(D122,AA122),"-")</f>
        <v>-</v>
      </c>
      <c r="AY122" s="59" t="str">
        <f>IF(AND(E122&gt;0,AB122&gt;0),MIN(E122,AB122),"-")</f>
        <v>-</v>
      </c>
      <c r="AZ122" s="59" t="str">
        <f>IF(AND(F122&gt;0,AC122&gt;0),MIN(F122,AC122),"-")</f>
        <v>-</v>
      </c>
      <c r="BA122" s="59" t="str">
        <f>IF(AND(G122&gt;0,AD122&gt;0),MIN(G122,AD122),"-")</f>
        <v>-</v>
      </c>
      <c r="BB122" s="59" t="str">
        <f>IF(AND(H122&gt;0,AE122&gt;0),MIN(H122,AE122),"-")</f>
        <v>-</v>
      </c>
      <c r="BC122" s="59" t="str">
        <f>IF(AND(I122&gt;0,AF122&gt;0),MIN(I122,AF122),"-")</f>
        <v>-</v>
      </c>
      <c r="BD122" s="59" t="str">
        <f>IF(AND(J122&gt;0,AG122&gt;0),MIN(J122,AG122),"-")</f>
        <v>-</v>
      </c>
      <c r="BE122" s="59" t="str">
        <f>IF(AND(K122&gt;0,AH122&gt;0),MIN(K122,AH122),"-")</f>
        <v>-</v>
      </c>
      <c r="BF122" s="59" t="str">
        <f>IF(AND(L122&gt;0,AI122&gt;0),MIN(L122,AI122),"-")</f>
        <v>-</v>
      </c>
      <c r="BG122" s="59" t="str">
        <f t="shared" si="24"/>
        <v>-</v>
      </c>
      <c r="BH122" s="59" t="str">
        <f>IF(AND(N122&gt;0,AK122&gt;0),MIN(N122,AK122),"-")</f>
        <v>-</v>
      </c>
      <c r="BI122" s="59" t="str">
        <f>IF(AND(O122&gt;0,AL122&gt;0),MIN(O122,AL122),"-")</f>
        <v>-</v>
      </c>
      <c r="BJ122" s="59" t="str">
        <f>IF(AND(P122&gt;0,AM122&gt;0),MIN(P122,AM122),"-")</f>
        <v>-</v>
      </c>
      <c r="BK122" s="59" t="str">
        <f>IF(AND(Q122&gt;0,AN122&gt;0),MIN(Q122,AN122),"-")</f>
        <v>-</v>
      </c>
      <c r="BL122" s="59" t="str">
        <f>IF(AND(R122&gt;0,AO122&gt;0),MIN(R122,AO122),"-")</f>
        <v>-</v>
      </c>
      <c r="BM122" s="59" t="str">
        <f>IF(AND(S122&gt;0,AP122&gt;0),MIN(S122,AP122),"-")</f>
        <v>-</v>
      </c>
      <c r="BN122" s="59" t="str">
        <f>IF(AND(T122&gt;0,AQ122&gt;0),MIN(T122,AQ122),"-")</f>
        <v>-</v>
      </c>
      <c r="BO122" s="59" t="str">
        <f>IF(AND(U122&gt;0,AR122&gt;0),MIN(U122,AR122),"-")</f>
        <v>-</v>
      </c>
      <c r="BP122" s="59" t="str">
        <f>IF(AND(V122&gt;0,AS122&gt;0),MIN(V122,AS122),"-")</f>
        <v>-</v>
      </c>
      <c r="BQ122" s="59" t="str">
        <f t="shared" si="25"/>
        <v>-</v>
      </c>
      <c r="BR122" s="59" t="str">
        <f t="shared" si="26"/>
        <v>-</v>
      </c>
      <c r="BS122" s="59" t="str">
        <f t="shared" si="27"/>
        <v>-</v>
      </c>
      <c r="BT122" s="98" t="str">
        <f>IF(ISNUMBER(BS122),BS122-(C122*Rules!$P$9/100),"-")</f>
        <v>-</v>
      </c>
      <c r="BU122" s="59" t="e">
        <f>RANK($BT122,$BT$5:$BT$106,1)+COUNTIF(BT$5:BT122,BT122)-1</f>
        <v>#VALUE!</v>
      </c>
      <c r="BV122" s="59" t="e">
        <f t="shared" si="28"/>
        <v>#VALUE!</v>
      </c>
      <c r="BW122" s="59" t="str">
        <f t="shared" si="29"/>
        <v xml:space="preserve"> </v>
      </c>
      <c r="BX122" s="59">
        <f t="shared" si="29"/>
        <v>0</v>
      </c>
      <c r="BY122" s="59" t="str">
        <f t="shared" si="30"/>
        <v>-</v>
      </c>
      <c r="CD122" s="79"/>
      <c r="CE122" s="80"/>
      <c r="CF122" s="104"/>
      <c r="CL122" s="77">
        <v>1</v>
      </c>
    </row>
    <row r="123" spans="1:90" ht="17.45" customHeight="1">
      <c r="A123" s="58">
        <v>119</v>
      </c>
      <c r="B123" s="59" t="str">
        <f>'C Div'!A123 &amp; " " &amp; 'C Div'!B123</f>
        <v xml:space="preserve"> </v>
      </c>
      <c r="C123" s="59">
        <f>'C Div'!E123</f>
        <v>0</v>
      </c>
      <c r="D123" s="60"/>
      <c r="E123" s="60"/>
      <c r="F123" s="60"/>
      <c r="G123" s="60"/>
      <c r="H123" s="60"/>
      <c r="I123" s="60"/>
      <c r="J123" s="60"/>
      <c r="K123" s="60"/>
      <c r="L123" s="60"/>
      <c r="M123" s="74" t="str">
        <f t="shared" si="16"/>
        <v>-</v>
      </c>
      <c r="N123" s="60"/>
      <c r="O123" s="60"/>
      <c r="P123" s="60"/>
      <c r="Q123" s="60"/>
      <c r="R123" s="60"/>
      <c r="S123" s="60"/>
      <c r="T123" s="60"/>
      <c r="U123" s="60"/>
      <c r="V123" s="60"/>
      <c r="W123" s="74" t="str">
        <f t="shared" si="17"/>
        <v>-</v>
      </c>
      <c r="X123" s="155" t="str">
        <f t="shared" si="18"/>
        <v>-</v>
      </c>
      <c r="Y123" s="156" t="str">
        <f t="shared" si="19"/>
        <v>-</v>
      </c>
      <c r="AA123" s="60"/>
      <c r="AB123" s="60"/>
      <c r="AC123" s="60"/>
      <c r="AD123" s="60"/>
      <c r="AE123" s="60"/>
      <c r="AF123" s="60"/>
      <c r="AG123" s="60"/>
      <c r="AH123" s="60"/>
      <c r="AI123" s="60"/>
      <c r="AJ123" s="74" t="str">
        <f t="shared" si="20"/>
        <v>-</v>
      </c>
      <c r="AK123" s="60"/>
      <c r="AL123" s="60"/>
      <c r="AM123" s="60"/>
      <c r="AN123" s="60"/>
      <c r="AO123" s="60"/>
      <c r="AP123" s="60"/>
      <c r="AQ123" s="60"/>
      <c r="AR123" s="60"/>
      <c r="AS123" s="60"/>
      <c r="AT123" s="74" t="str">
        <f t="shared" si="21"/>
        <v>-</v>
      </c>
      <c r="AU123" s="155" t="str">
        <f t="shared" si="22"/>
        <v>-</v>
      </c>
      <c r="AV123" s="156" t="str">
        <f t="shared" si="23"/>
        <v>-</v>
      </c>
      <c r="AX123" s="59" t="str">
        <f>IF(AND(D123&gt;0,AA123&gt;0),MIN(D123,AA123),"-")</f>
        <v>-</v>
      </c>
      <c r="AY123" s="59" t="str">
        <f>IF(AND(E123&gt;0,AB123&gt;0),MIN(E123,AB123),"-")</f>
        <v>-</v>
      </c>
      <c r="AZ123" s="59" t="str">
        <f>IF(AND(F123&gt;0,AC123&gt;0),MIN(F123,AC123),"-")</f>
        <v>-</v>
      </c>
      <c r="BA123" s="59" t="str">
        <f>IF(AND(G123&gt;0,AD123&gt;0),MIN(G123,AD123),"-")</f>
        <v>-</v>
      </c>
      <c r="BB123" s="59" t="str">
        <f>IF(AND(H123&gt;0,AE123&gt;0),MIN(H123,AE123),"-")</f>
        <v>-</v>
      </c>
      <c r="BC123" s="59" t="str">
        <f>IF(AND(I123&gt;0,AF123&gt;0),MIN(I123,AF123),"-")</f>
        <v>-</v>
      </c>
      <c r="BD123" s="59" t="str">
        <f>IF(AND(J123&gt;0,AG123&gt;0),MIN(J123,AG123),"-")</f>
        <v>-</v>
      </c>
      <c r="BE123" s="59" t="str">
        <f>IF(AND(K123&gt;0,AH123&gt;0),MIN(K123,AH123),"-")</f>
        <v>-</v>
      </c>
      <c r="BF123" s="59" t="str">
        <f>IF(AND(L123&gt;0,AI123&gt;0),MIN(L123,AI123),"-")</f>
        <v>-</v>
      </c>
      <c r="BG123" s="59" t="str">
        <f t="shared" si="24"/>
        <v>-</v>
      </c>
      <c r="BH123" s="59" t="str">
        <f>IF(AND(N123&gt;0,AK123&gt;0),MIN(N123,AK123),"-")</f>
        <v>-</v>
      </c>
      <c r="BI123" s="59" t="str">
        <f>IF(AND(O123&gt;0,AL123&gt;0),MIN(O123,AL123),"-")</f>
        <v>-</v>
      </c>
      <c r="BJ123" s="59" t="str">
        <f>IF(AND(P123&gt;0,AM123&gt;0),MIN(P123,AM123),"-")</f>
        <v>-</v>
      </c>
      <c r="BK123" s="59" t="str">
        <f>IF(AND(Q123&gt;0,AN123&gt;0),MIN(Q123,AN123),"-")</f>
        <v>-</v>
      </c>
      <c r="BL123" s="59" t="str">
        <f>IF(AND(R123&gt;0,AO123&gt;0),MIN(R123,AO123),"-")</f>
        <v>-</v>
      </c>
      <c r="BM123" s="59" t="str">
        <f>IF(AND(S123&gt;0,AP123&gt;0),MIN(S123,AP123),"-")</f>
        <v>-</v>
      </c>
      <c r="BN123" s="59" t="str">
        <f>IF(AND(T123&gt;0,AQ123&gt;0),MIN(T123,AQ123),"-")</f>
        <v>-</v>
      </c>
      <c r="BO123" s="59" t="str">
        <f>IF(AND(U123&gt;0,AR123&gt;0),MIN(U123,AR123),"-")</f>
        <v>-</v>
      </c>
      <c r="BP123" s="59" t="str">
        <f>IF(AND(V123&gt;0,AS123&gt;0),MIN(V123,AS123),"-")</f>
        <v>-</v>
      </c>
      <c r="BQ123" s="59" t="str">
        <f t="shared" si="25"/>
        <v>-</v>
      </c>
      <c r="BR123" s="59" t="str">
        <f t="shared" si="26"/>
        <v>-</v>
      </c>
      <c r="BS123" s="59" t="str">
        <f t="shared" si="27"/>
        <v>-</v>
      </c>
      <c r="BT123" s="98" t="str">
        <f>IF(ISNUMBER(BS123),BS123-(C123*Rules!$P$9/100),"-")</f>
        <v>-</v>
      </c>
      <c r="BU123" s="59" t="e">
        <f>RANK($BT123,$BT$5:$BT$106,1)+COUNTIF(BT$5:BT123,BT123)-1</f>
        <v>#VALUE!</v>
      </c>
      <c r="BV123" s="59" t="e">
        <f t="shared" si="28"/>
        <v>#VALUE!</v>
      </c>
      <c r="BW123" s="59" t="str">
        <f t="shared" si="29"/>
        <v xml:space="preserve"> </v>
      </c>
      <c r="BX123" s="59">
        <f t="shared" si="29"/>
        <v>0</v>
      </c>
      <c r="BY123" s="59" t="str">
        <f t="shared" si="30"/>
        <v>-</v>
      </c>
      <c r="CD123" s="79"/>
      <c r="CE123" s="80"/>
      <c r="CF123" s="104"/>
      <c r="CL123" s="77">
        <v>1</v>
      </c>
    </row>
    <row r="124" spans="1:90" ht="17.45" customHeight="1">
      <c r="A124" s="58">
        <v>120</v>
      </c>
      <c r="B124" s="59" t="str">
        <f>'C Div'!A124 &amp; " " &amp; 'C Div'!B124</f>
        <v xml:space="preserve"> </v>
      </c>
      <c r="C124" s="59">
        <f>'C Div'!E124</f>
        <v>0</v>
      </c>
      <c r="D124" s="60"/>
      <c r="E124" s="60"/>
      <c r="F124" s="60"/>
      <c r="G124" s="60"/>
      <c r="H124" s="60"/>
      <c r="I124" s="60"/>
      <c r="J124" s="60"/>
      <c r="K124" s="60"/>
      <c r="L124" s="60"/>
      <c r="M124" s="74" t="str">
        <f t="shared" si="16"/>
        <v>-</v>
      </c>
      <c r="N124" s="60"/>
      <c r="O124" s="60"/>
      <c r="P124" s="60"/>
      <c r="Q124" s="60"/>
      <c r="R124" s="60"/>
      <c r="S124" s="60"/>
      <c r="T124" s="60"/>
      <c r="U124" s="60"/>
      <c r="V124" s="60"/>
      <c r="W124" s="74" t="str">
        <f t="shared" si="17"/>
        <v>-</v>
      </c>
      <c r="X124" s="155" t="str">
        <f t="shared" si="18"/>
        <v>-</v>
      </c>
      <c r="Y124" s="156" t="str">
        <f t="shared" si="19"/>
        <v>-</v>
      </c>
      <c r="AA124" s="60"/>
      <c r="AB124" s="60"/>
      <c r="AC124" s="60"/>
      <c r="AD124" s="60"/>
      <c r="AE124" s="60"/>
      <c r="AF124" s="60"/>
      <c r="AG124" s="60"/>
      <c r="AH124" s="60"/>
      <c r="AI124" s="60"/>
      <c r="AJ124" s="74" t="str">
        <f t="shared" si="20"/>
        <v>-</v>
      </c>
      <c r="AK124" s="60"/>
      <c r="AL124" s="60"/>
      <c r="AM124" s="60"/>
      <c r="AN124" s="60"/>
      <c r="AO124" s="60"/>
      <c r="AP124" s="60"/>
      <c r="AQ124" s="60"/>
      <c r="AR124" s="60"/>
      <c r="AS124" s="60"/>
      <c r="AT124" s="74" t="str">
        <f t="shared" si="21"/>
        <v>-</v>
      </c>
      <c r="AU124" s="155" t="str">
        <f t="shared" si="22"/>
        <v>-</v>
      </c>
      <c r="AV124" s="156" t="str">
        <f t="shared" si="23"/>
        <v>-</v>
      </c>
      <c r="AX124" s="59" t="str">
        <f>IF(AND(D124&gt;0,AA124&gt;0),MIN(D124,AA124),"-")</f>
        <v>-</v>
      </c>
      <c r="AY124" s="59" t="str">
        <f>IF(AND(E124&gt;0,AB124&gt;0),MIN(E124,AB124),"-")</f>
        <v>-</v>
      </c>
      <c r="AZ124" s="59" t="str">
        <f>IF(AND(F124&gt;0,AC124&gt;0),MIN(F124,AC124),"-")</f>
        <v>-</v>
      </c>
      <c r="BA124" s="59" t="str">
        <f>IF(AND(G124&gt;0,AD124&gt;0),MIN(G124,AD124),"-")</f>
        <v>-</v>
      </c>
      <c r="BB124" s="59" t="str">
        <f>IF(AND(H124&gt;0,AE124&gt;0),MIN(H124,AE124),"-")</f>
        <v>-</v>
      </c>
      <c r="BC124" s="59" t="str">
        <f>IF(AND(I124&gt;0,AF124&gt;0),MIN(I124,AF124),"-")</f>
        <v>-</v>
      </c>
      <c r="BD124" s="59" t="str">
        <f>IF(AND(J124&gt;0,AG124&gt;0),MIN(J124,AG124),"-")</f>
        <v>-</v>
      </c>
      <c r="BE124" s="59" t="str">
        <f>IF(AND(K124&gt;0,AH124&gt;0),MIN(K124,AH124),"-")</f>
        <v>-</v>
      </c>
      <c r="BF124" s="59" t="str">
        <f>IF(AND(L124&gt;0,AI124&gt;0),MIN(L124,AI124),"-")</f>
        <v>-</v>
      </c>
      <c r="BG124" s="59" t="str">
        <f t="shared" si="24"/>
        <v>-</v>
      </c>
      <c r="BH124" s="59" t="str">
        <f>IF(AND(N124&gt;0,AK124&gt;0),MIN(N124,AK124),"-")</f>
        <v>-</v>
      </c>
      <c r="BI124" s="59" t="str">
        <f>IF(AND(O124&gt;0,AL124&gt;0),MIN(O124,AL124),"-")</f>
        <v>-</v>
      </c>
      <c r="BJ124" s="59" t="str">
        <f>IF(AND(P124&gt;0,AM124&gt;0),MIN(P124,AM124),"-")</f>
        <v>-</v>
      </c>
      <c r="BK124" s="59" t="str">
        <f>IF(AND(Q124&gt;0,AN124&gt;0),MIN(Q124,AN124),"-")</f>
        <v>-</v>
      </c>
      <c r="BL124" s="59" t="str">
        <f>IF(AND(R124&gt;0,AO124&gt;0),MIN(R124,AO124),"-")</f>
        <v>-</v>
      </c>
      <c r="BM124" s="59" t="str">
        <f>IF(AND(S124&gt;0,AP124&gt;0),MIN(S124,AP124),"-")</f>
        <v>-</v>
      </c>
      <c r="BN124" s="59" t="str">
        <f>IF(AND(T124&gt;0,AQ124&gt;0),MIN(T124,AQ124),"-")</f>
        <v>-</v>
      </c>
      <c r="BO124" s="59" t="str">
        <f>IF(AND(U124&gt;0,AR124&gt;0),MIN(U124,AR124),"-")</f>
        <v>-</v>
      </c>
      <c r="BP124" s="59" t="str">
        <f>IF(AND(V124&gt;0,AS124&gt;0),MIN(V124,AS124),"-")</f>
        <v>-</v>
      </c>
      <c r="BQ124" s="59" t="str">
        <f t="shared" si="25"/>
        <v>-</v>
      </c>
      <c r="BR124" s="59" t="str">
        <f t="shared" si="26"/>
        <v>-</v>
      </c>
      <c r="BS124" s="59" t="str">
        <f t="shared" si="27"/>
        <v>-</v>
      </c>
      <c r="BT124" s="98" t="str">
        <f>IF(ISNUMBER(BS124),BS124-(C124*Rules!$P$9/100),"-")</f>
        <v>-</v>
      </c>
      <c r="BU124" s="59" t="e">
        <f>RANK($BT124,$BT$5:$BT$106,1)+COUNTIF(BT$5:BT124,BT124)-1</f>
        <v>#VALUE!</v>
      </c>
      <c r="BV124" s="59" t="e">
        <f t="shared" si="28"/>
        <v>#VALUE!</v>
      </c>
      <c r="BW124" s="59" t="str">
        <f t="shared" si="29"/>
        <v xml:space="preserve"> </v>
      </c>
      <c r="BX124" s="59">
        <f t="shared" si="29"/>
        <v>0</v>
      </c>
      <c r="BY124" s="59" t="str">
        <f t="shared" si="30"/>
        <v>-</v>
      </c>
      <c r="CD124" s="79"/>
      <c r="CE124" s="80"/>
      <c r="CF124" s="104"/>
      <c r="CL124" s="77">
        <v>1</v>
      </c>
    </row>
    <row r="125" spans="1:90" ht="17.45" customHeight="1">
      <c r="A125" s="58">
        <v>121</v>
      </c>
      <c r="B125" s="59" t="str">
        <f>'C Div'!A125 &amp; " " &amp; 'C Div'!B125</f>
        <v xml:space="preserve"> </v>
      </c>
      <c r="C125" s="59">
        <f>'C Div'!E125</f>
        <v>0</v>
      </c>
      <c r="D125" s="60"/>
      <c r="E125" s="60"/>
      <c r="F125" s="60"/>
      <c r="G125" s="60"/>
      <c r="H125" s="60"/>
      <c r="I125" s="60"/>
      <c r="J125" s="60"/>
      <c r="K125" s="60"/>
      <c r="L125" s="60"/>
      <c r="M125" s="74" t="str">
        <f t="shared" si="16"/>
        <v>-</v>
      </c>
      <c r="N125" s="60"/>
      <c r="O125" s="60"/>
      <c r="P125" s="60"/>
      <c r="Q125" s="60"/>
      <c r="R125" s="60"/>
      <c r="S125" s="60"/>
      <c r="T125" s="60"/>
      <c r="U125" s="60"/>
      <c r="V125" s="60"/>
      <c r="W125" s="74" t="str">
        <f t="shared" si="17"/>
        <v>-</v>
      </c>
      <c r="X125" s="155" t="str">
        <f t="shared" si="18"/>
        <v>-</v>
      </c>
      <c r="Y125" s="156" t="str">
        <f t="shared" si="19"/>
        <v>-</v>
      </c>
      <c r="AA125" s="60"/>
      <c r="AB125" s="60"/>
      <c r="AC125" s="60"/>
      <c r="AD125" s="60"/>
      <c r="AE125" s="60"/>
      <c r="AF125" s="60"/>
      <c r="AG125" s="60"/>
      <c r="AH125" s="60"/>
      <c r="AI125" s="60"/>
      <c r="AJ125" s="74" t="str">
        <f t="shared" si="20"/>
        <v>-</v>
      </c>
      <c r="AK125" s="60"/>
      <c r="AL125" s="60"/>
      <c r="AM125" s="60"/>
      <c r="AN125" s="60"/>
      <c r="AO125" s="60"/>
      <c r="AP125" s="60"/>
      <c r="AQ125" s="60"/>
      <c r="AR125" s="60"/>
      <c r="AS125" s="60"/>
      <c r="AT125" s="74" t="str">
        <f t="shared" si="21"/>
        <v>-</v>
      </c>
      <c r="AU125" s="155" t="str">
        <f t="shared" si="22"/>
        <v>-</v>
      </c>
      <c r="AV125" s="156" t="str">
        <f t="shared" si="23"/>
        <v>-</v>
      </c>
      <c r="AX125" s="59" t="str">
        <f>IF(AND(D125&gt;0,AA125&gt;0),MIN(D125,AA125),"-")</f>
        <v>-</v>
      </c>
      <c r="AY125" s="59" t="str">
        <f>IF(AND(E125&gt;0,AB125&gt;0),MIN(E125,AB125),"-")</f>
        <v>-</v>
      </c>
      <c r="AZ125" s="59" t="str">
        <f>IF(AND(F125&gt;0,AC125&gt;0),MIN(F125,AC125),"-")</f>
        <v>-</v>
      </c>
      <c r="BA125" s="59" t="str">
        <f>IF(AND(G125&gt;0,AD125&gt;0),MIN(G125,AD125),"-")</f>
        <v>-</v>
      </c>
      <c r="BB125" s="59" t="str">
        <f>IF(AND(H125&gt;0,AE125&gt;0),MIN(H125,AE125),"-")</f>
        <v>-</v>
      </c>
      <c r="BC125" s="59" t="str">
        <f>IF(AND(I125&gt;0,AF125&gt;0),MIN(I125,AF125),"-")</f>
        <v>-</v>
      </c>
      <c r="BD125" s="59" t="str">
        <f>IF(AND(J125&gt;0,AG125&gt;0),MIN(J125,AG125),"-")</f>
        <v>-</v>
      </c>
      <c r="BE125" s="59" t="str">
        <f>IF(AND(K125&gt;0,AH125&gt;0),MIN(K125,AH125),"-")</f>
        <v>-</v>
      </c>
      <c r="BF125" s="59" t="str">
        <f>IF(AND(L125&gt;0,AI125&gt;0),MIN(L125,AI125),"-")</f>
        <v>-</v>
      </c>
      <c r="BG125" s="59" t="str">
        <f t="shared" si="24"/>
        <v>-</v>
      </c>
      <c r="BH125" s="59" t="str">
        <f>IF(AND(N125&gt;0,AK125&gt;0),MIN(N125,AK125),"-")</f>
        <v>-</v>
      </c>
      <c r="BI125" s="59" t="str">
        <f>IF(AND(O125&gt;0,AL125&gt;0),MIN(O125,AL125),"-")</f>
        <v>-</v>
      </c>
      <c r="BJ125" s="59" t="str">
        <f>IF(AND(P125&gt;0,AM125&gt;0),MIN(P125,AM125),"-")</f>
        <v>-</v>
      </c>
      <c r="BK125" s="59" t="str">
        <f>IF(AND(Q125&gt;0,AN125&gt;0),MIN(Q125,AN125),"-")</f>
        <v>-</v>
      </c>
      <c r="BL125" s="59" t="str">
        <f>IF(AND(R125&gt;0,AO125&gt;0),MIN(R125,AO125),"-")</f>
        <v>-</v>
      </c>
      <c r="BM125" s="59" t="str">
        <f>IF(AND(S125&gt;0,AP125&gt;0),MIN(S125,AP125),"-")</f>
        <v>-</v>
      </c>
      <c r="BN125" s="59" t="str">
        <f>IF(AND(T125&gt;0,AQ125&gt;0),MIN(T125,AQ125),"-")</f>
        <v>-</v>
      </c>
      <c r="BO125" s="59" t="str">
        <f>IF(AND(U125&gt;0,AR125&gt;0),MIN(U125,AR125),"-")</f>
        <v>-</v>
      </c>
      <c r="BP125" s="59" t="str">
        <f>IF(AND(V125&gt;0,AS125&gt;0),MIN(V125,AS125),"-")</f>
        <v>-</v>
      </c>
      <c r="BQ125" s="59" t="str">
        <f t="shared" si="25"/>
        <v>-</v>
      </c>
      <c r="BR125" s="59" t="str">
        <f t="shared" si="26"/>
        <v>-</v>
      </c>
      <c r="BS125" s="59" t="str">
        <f t="shared" si="27"/>
        <v>-</v>
      </c>
      <c r="BT125" s="98" t="str">
        <f>IF(ISNUMBER(BS125),BS125-(C125*Rules!$P$9/100),"-")</f>
        <v>-</v>
      </c>
      <c r="BU125" s="59" t="e">
        <f>RANK($BT125,$BT$5:$BT$106,1)+COUNTIF(BT$5:BT125,BT125)-1</f>
        <v>#VALUE!</v>
      </c>
      <c r="BV125" s="59" t="e">
        <f t="shared" si="28"/>
        <v>#VALUE!</v>
      </c>
      <c r="BW125" s="59" t="str">
        <f t="shared" si="29"/>
        <v xml:space="preserve"> </v>
      </c>
      <c r="BX125" s="59">
        <f t="shared" si="29"/>
        <v>0</v>
      </c>
      <c r="BY125" s="59" t="str">
        <f t="shared" si="30"/>
        <v>-</v>
      </c>
      <c r="CD125" s="79"/>
      <c r="CE125" s="80"/>
      <c r="CF125" s="104"/>
      <c r="CL125" s="77">
        <v>1</v>
      </c>
    </row>
    <row r="126" spans="1:90" ht="17.45" customHeight="1">
      <c r="A126" s="58">
        <v>122</v>
      </c>
      <c r="B126" s="59" t="str">
        <f>'C Div'!A126 &amp; " " &amp; 'C Div'!B126</f>
        <v xml:space="preserve"> </v>
      </c>
      <c r="C126" s="59">
        <f>'C Div'!E126</f>
        <v>0</v>
      </c>
      <c r="D126" s="60"/>
      <c r="E126" s="60"/>
      <c r="F126" s="60"/>
      <c r="G126" s="60"/>
      <c r="H126" s="60"/>
      <c r="I126" s="60"/>
      <c r="J126" s="60"/>
      <c r="K126" s="60"/>
      <c r="L126" s="60"/>
      <c r="M126" s="74" t="str">
        <f t="shared" si="16"/>
        <v>-</v>
      </c>
      <c r="N126" s="60"/>
      <c r="O126" s="60"/>
      <c r="P126" s="60"/>
      <c r="Q126" s="60"/>
      <c r="R126" s="60"/>
      <c r="S126" s="60"/>
      <c r="T126" s="60"/>
      <c r="U126" s="60"/>
      <c r="V126" s="60"/>
      <c r="W126" s="74" t="str">
        <f t="shared" si="17"/>
        <v>-</v>
      </c>
      <c r="X126" s="155" t="str">
        <f t="shared" si="18"/>
        <v>-</v>
      </c>
      <c r="Y126" s="156" t="str">
        <f t="shared" si="19"/>
        <v>-</v>
      </c>
      <c r="AA126" s="60"/>
      <c r="AB126" s="60"/>
      <c r="AC126" s="60"/>
      <c r="AD126" s="60"/>
      <c r="AE126" s="60"/>
      <c r="AF126" s="60"/>
      <c r="AG126" s="60"/>
      <c r="AH126" s="60"/>
      <c r="AI126" s="60"/>
      <c r="AJ126" s="74" t="str">
        <f t="shared" si="20"/>
        <v>-</v>
      </c>
      <c r="AK126" s="60"/>
      <c r="AL126" s="60"/>
      <c r="AM126" s="60"/>
      <c r="AN126" s="60"/>
      <c r="AO126" s="60"/>
      <c r="AP126" s="60"/>
      <c r="AQ126" s="60"/>
      <c r="AR126" s="60"/>
      <c r="AS126" s="60"/>
      <c r="AT126" s="74" t="str">
        <f t="shared" si="21"/>
        <v>-</v>
      </c>
      <c r="AU126" s="155" t="str">
        <f t="shared" si="22"/>
        <v>-</v>
      </c>
      <c r="AV126" s="156" t="str">
        <f t="shared" si="23"/>
        <v>-</v>
      </c>
      <c r="AX126" s="59" t="str">
        <f>IF(AND(D126&gt;0,AA126&gt;0),MIN(D126,AA126),"-")</f>
        <v>-</v>
      </c>
      <c r="AY126" s="59" t="str">
        <f>IF(AND(E126&gt;0,AB126&gt;0),MIN(E126,AB126),"-")</f>
        <v>-</v>
      </c>
      <c r="AZ126" s="59" t="str">
        <f>IF(AND(F126&gt;0,AC126&gt;0),MIN(F126,AC126),"-")</f>
        <v>-</v>
      </c>
      <c r="BA126" s="59" t="str">
        <f>IF(AND(G126&gt;0,AD126&gt;0),MIN(G126,AD126),"-")</f>
        <v>-</v>
      </c>
      <c r="BB126" s="59" t="str">
        <f>IF(AND(H126&gt;0,AE126&gt;0),MIN(H126,AE126),"-")</f>
        <v>-</v>
      </c>
      <c r="BC126" s="59" t="str">
        <f>IF(AND(I126&gt;0,AF126&gt;0),MIN(I126,AF126),"-")</f>
        <v>-</v>
      </c>
      <c r="BD126" s="59" t="str">
        <f>IF(AND(J126&gt;0,AG126&gt;0),MIN(J126,AG126),"-")</f>
        <v>-</v>
      </c>
      <c r="BE126" s="59" t="str">
        <f>IF(AND(K126&gt;0,AH126&gt;0),MIN(K126,AH126),"-")</f>
        <v>-</v>
      </c>
      <c r="BF126" s="59" t="str">
        <f>IF(AND(L126&gt;0,AI126&gt;0),MIN(L126,AI126),"-")</f>
        <v>-</v>
      </c>
      <c r="BG126" s="59" t="str">
        <f t="shared" si="24"/>
        <v>-</v>
      </c>
      <c r="BH126" s="59" t="str">
        <f>IF(AND(N126&gt;0,AK126&gt;0),MIN(N126,AK126),"-")</f>
        <v>-</v>
      </c>
      <c r="BI126" s="59" t="str">
        <f>IF(AND(O126&gt;0,AL126&gt;0),MIN(O126,AL126),"-")</f>
        <v>-</v>
      </c>
      <c r="BJ126" s="59" t="str">
        <f>IF(AND(P126&gt;0,AM126&gt;0),MIN(P126,AM126),"-")</f>
        <v>-</v>
      </c>
      <c r="BK126" s="59" t="str">
        <f>IF(AND(Q126&gt;0,AN126&gt;0),MIN(Q126,AN126),"-")</f>
        <v>-</v>
      </c>
      <c r="BL126" s="59" t="str">
        <f>IF(AND(R126&gt;0,AO126&gt;0),MIN(R126,AO126),"-")</f>
        <v>-</v>
      </c>
      <c r="BM126" s="59" t="str">
        <f>IF(AND(S126&gt;0,AP126&gt;0),MIN(S126,AP126),"-")</f>
        <v>-</v>
      </c>
      <c r="BN126" s="59" t="str">
        <f>IF(AND(T126&gt;0,AQ126&gt;0),MIN(T126,AQ126),"-")</f>
        <v>-</v>
      </c>
      <c r="BO126" s="59" t="str">
        <f>IF(AND(U126&gt;0,AR126&gt;0),MIN(U126,AR126),"-")</f>
        <v>-</v>
      </c>
      <c r="BP126" s="59" t="str">
        <f>IF(AND(V126&gt;0,AS126&gt;0),MIN(V126,AS126),"-")</f>
        <v>-</v>
      </c>
      <c r="BQ126" s="59" t="str">
        <f t="shared" si="25"/>
        <v>-</v>
      </c>
      <c r="BR126" s="59" t="str">
        <f t="shared" si="26"/>
        <v>-</v>
      </c>
      <c r="BS126" s="59" t="str">
        <f t="shared" si="27"/>
        <v>-</v>
      </c>
      <c r="BT126" s="98" t="str">
        <f>IF(ISNUMBER(BS126),BS126-(C126*Rules!$P$9/100),"-")</f>
        <v>-</v>
      </c>
      <c r="BU126" s="59" t="e">
        <f>RANK($BT126,$BT$5:$BT$106,1)+COUNTIF(BT$5:BT126,BT126)-1</f>
        <v>#VALUE!</v>
      </c>
      <c r="BV126" s="59" t="e">
        <f t="shared" si="28"/>
        <v>#VALUE!</v>
      </c>
      <c r="BW126" s="59" t="str">
        <f t="shared" si="29"/>
        <v xml:space="preserve"> </v>
      </c>
      <c r="BX126" s="59">
        <f t="shared" si="29"/>
        <v>0</v>
      </c>
      <c r="BY126" s="59" t="str">
        <f t="shared" si="30"/>
        <v>-</v>
      </c>
      <c r="CD126" s="79"/>
      <c r="CE126" s="80"/>
      <c r="CF126" s="104"/>
      <c r="CL126" s="77">
        <v>1</v>
      </c>
    </row>
    <row r="127" spans="1:90" ht="17.45" customHeight="1">
      <c r="A127" s="58">
        <v>123</v>
      </c>
      <c r="B127" s="59" t="str">
        <f>'C Div'!A127 &amp; " " &amp; 'C Div'!B127</f>
        <v xml:space="preserve"> </v>
      </c>
      <c r="C127" s="59">
        <f>'C Div'!E127</f>
        <v>0</v>
      </c>
      <c r="D127" s="60"/>
      <c r="E127" s="60"/>
      <c r="F127" s="60"/>
      <c r="G127" s="60"/>
      <c r="H127" s="60"/>
      <c r="I127" s="60"/>
      <c r="J127" s="60"/>
      <c r="K127" s="60"/>
      <c r="L127" s="60"/>
      <c r="M127" s="74" t="str">
        <f t="shared" si="16"/>
        <v>-</v>
      </c>
      <c r="N127" s="60"/>
      <c r="O127" s="60"/>
      <c r="P127" s="60"/>
      <c r="Q127" s="60"/>
      <c r="R127" s="60"/>
      <c r="S127" s="60"/>
      <c r="T127" s="60"/>
      <c r="U127" s="60"/>
      <c r="V127" s="60"/>
      <c r="W127" s="74" t="str">
        <f t="shared" si="17"/>
        <v>-</v>
      </c>
      <c r="X127" s="155" t="str">
        <f t="shared" si="18"/>
        <v>-</v>
      </c>
      <c r="Y127" s="156" t="str">
        <f t="shared" si="19"/>
        <v>-</v>
      </c>
      <c r="AA127" s="60"/>
      <c r="AB127" s="60"/>
      <c r="AC127" s="60"/>
      <c r="AD127" s="60"/>
      <c r="AE127" s="60"/>
      <c r="AF127" s="60"/>
      <c r="AG127" s="60"/>
      <c r="AH127" s="60"/>
      <c r="AI127" s="60"/>
      <c r="AJ127" s="74" t="str">
        <f t="shared" si="20"/>
        <v>-</v>
      </c>
      <c r="AK127" s="60"/>
      <c r="AL127" s="60"/>
      <c r="AM127" s="60"/>
      <c r="AN127" s="60"/>
      <c r="AO127" s="60"/>
      <c r="AP127" s="60"/>
      <c r="AQ127" s="60"/>
      <c r="AR127" s="60"/>
      <c r="AS127" s="60"/>
      <c r="AT127" s="74" t="str">
        <f t="shared" si="21"/>
        <v>-</v>
      </c>
      <c r="AU127" s="155" t="str">
        <f t="shared" si="22"/>
        <v>-</v>
      </c>
      <c r="AV127" s="156" t="str">
        <f t="shared" si="23"/>
        <v>-</v>
      </c>
      <c r="AX127" s="59" t="str">
        <f>IF(AND(D127&gt;0,AA127&gt;0),MIN(D127,AA127),"-")</f>
        <v>-</v>
      </c>
      <c r="AY127" s="59" t="str">
        <f>IF(AND(E127&gt;0,AB127&gt;0),MIN(E127,AB127),"-")</f>
        <v>-</v>
      </c>
      <c r="AZ127" s="59" t="str">
        <f>IF(AND(F127&gt;0,AC127&gt;0),MIN(F127,AC127),"-")</f>
        <v>-</v>
      </c>
      <c r="BA127" s="59" t="str">
        <f>IF(AND(G127&gt;0,AD127&gt;0),MIN(G127,AD127),"-")</f>
        <v>-</v>
      </c>
      <c r="BB127" s="59" t="str">
        <f>IF(AND(H127&gt;0,AE127&gt;0),MIN(H127,AE127),"-")</f>
        <v>-</v>
      </c>
      <c r="BC127" s="59" t="str">
        <f>IF(AND(I127&gt;0,AF127&gt;0),MIN(I127,AF127),"-")</f>
        <v>-</v>
      </c>
      <c r="BD127" s="59" t="str">
        <f>IF(AND(J127&gt;0,AG127&gt;0),MIN(J127,AG127),"-")</f>
        <v>-</v>
      </c>
      <c r="BE127" s="59" t="str">
        <f>IF(AND(K127&gt;0,AH127&gt;0),MIN(K127,AH127),"-")</f>
        <v>-</v>
      </c>
      <c r="BF127" s="59" t="str">
        <f>IF(AND(L127&gt;0,AI127&gt;0),MIN(L127,AI127),"-")</f>
        <v>-</v>
      </c>
      <c r="BG127" s="59" t="str">
        <f t="shared" si="24"/>
        <v>-</v>
      </c>
      <c r="BH127" s="59" t="str">
        <f>IF(AND(N127&gt;0,AK127&gt;0),MIN(N127,AK127),"-")</f>
        <v>-</v>
      </c>
      <c r="BI127" s="59" t="str">
        <f>IF(AND(O127&gt;0,AL127&gt;0),MIN(O127,AL127),"-")</f>
        <v>-</v>
      </c>
      <c r="BJ127" s="59" t="str">
        <f>IF(AND(P127&gt;0,AM127&gt;0),MIN(P127,AM127),"-")</f>
        <v>-</v>
      </c>
      <c r="BK127" s="59" t="str">
        <f>IF(AND(Q127&gt;0,AN127&gt;0),MIN(Q127,AN127),"-")</f>
        <v>-</v>
      </c>
      <c r="BL127" s="59" t="str">
        <f>IF(AND(R127&gt;0,AO127&gt;0),MIN(R127,AO127),"-")</f>
        <v>-</v>
      </c>
      <c r="BM127" s="59" t="str">
        <f>IF(AND(S127&gt;0,AP127&gt;0),MIN(S127,AP127),"-")</f>
        <v>-</v>
      </c>
      <c r="BN127" s="59" t="str">
        <f>IF(AND(T127&gt;0,AQ127&gt;0),MIN(T127,AQ127),"-")</f>
        <v>-</v>
      </c>
      <c r="BO127" s="59" t="str">
        <f>IF(AND(U127&gt;0,AR127&gt;0),MIN(U127,AR127),"-")</f>
        <v>-</v>
      </c>
      <c r="BP127" s="59" t="str">
        <f>IF(AND(V127&gt;0,AS127&gt;0),MIN(V127,AS127),"-")</f>
        <v>-</v>
      </c>
      <c r="BQ127" s="59" t="str">
        <f t="shared" si="25"/>
        <v>-</v>
      </c>
      <c r="BR127" s="59" t="str">
        <f t="shared" si="26"/>
        <v>-</v>
      </c>
      <c r="BS127" s="59" t="str">
        <f t="shared" si="27"/>
        <v>-</v>
      </c>
      <c r="BT127" s="98" t="str">
        <f>IF(ISNUMBER(BS127),BS127-(C127*Rules!$P$9/100),"-")</f>
        <v>-</v>
      </c>
      <c r="BU127" s="59" t="e">
        <f>RANK($BT127,$BT$5:$BT$106,1)+COUNTIF(BT$5:BT127,BT127)-1</f>
        <v>#VALUE!</v>
      </c>
      <c r="BV127" s="59" t="e">
        <f t="shared" si="28"/>
        <v>#VALUE!</v>
      </c>
      <c r="BW127" s="59" t="str">
        <f t="shared" si="29"/>
        <v xml:space="preserve"> </v>
      </c>
      <c r="BX127" s="59">
        <f t="shared" si="29"/>
        <v>0</v>
      </c>
      <c r="BY127" s="59" t="str">
        <f t="shared" si="30"/>
        <v>-</v>
      </c>
      <c r="CD127" s="79"/>
      <c r="CE127" s="80"/>
      <c r="CF127" s="104"/>
      <c r="CL127" s="77">
        <v>1</v>
      </c>
    </row>
    <row r="128" spans="1:90" ht="17.45" customHeight="1">
      <c r="A128" s="58">
        <v>124</v>
      </c>
      <c r="B128" s="59" t="str">
        <f>'C Div'!A128 &amp; " " &amp; 'C Div'!B128</f>
        <v xml:space="preserve"> </v>
      </c>
      <c r="C128" s="59">
        <f>'C Div'!E128</f>
        <v>0</v>
      </c>
      <c r="D128" s="60"/>
      <c r="E128" s="60"/>
      <c r="F128" s="60"/>
      <c r="G128" s="60"/>
      <c r="H128" s="60"/>
      <c r="I128" s="60"/>
      <c r="J128" s="60"/>
      <c r="K128" s="60"/>
      <c r="L128" s="60"/>
      <c r="M128" s="74" t="str">
        <f t="shared" si="16"/>
        <v>-</v>
      </c>
      <c r="N128" s="60"/>
      <c r="O128" s="60"/>
      <c r="P128" s="60"/>
      <c r="Q128" s="60"/>
      <c r="R128" s="60"/>
      <c r="S128" s="60"/>
      <c r="T128" s="60"/>
      <c r="U128" s="60"/>
      <c r="V128" s="60"/>
      <c r="W128" s="74" t="str">
        <f t="shared" si="17"/>
        <v>-</v>
      </c>
      <c r="X128" s="155" t="str">
        <f t="shared" si="18"/>
        <v>-</v>
      </c>
      <c r="Y128" s="156" t="str">
        <f t="shared" si="19"/>
        <v>-</v>
      </c>
      <c r="AA128" s="60"/>
      <c r="AB128" s="60"/>
      <c r="AC128" s="60"/>
      <c r="AD128" s="60"/>
      <c r="AE128" s="60"/>
      <c r="AF128" s="60"/>
      <c r="AG128" s="60"/>
      <c r="AH128" s="60"/>
      <c r="AI128" s="60"/>
      <c r="AJ128" s="74" t="str">
        <f t="shared" si="20"/>
        <v>-</v>
      </c>
      <c r="AK128" s="60"/>
      <c r="AL128" s="60"/>
      <c r="AM128" s="60"/>
      <c r="AN128" s="60"/>
      <c r="AO128" s="60"/>
      <c r="AP128" s="60"/>
      <c r="AQ128" s="60"/>
      <c r="AR128" s="60"/>
      <c r="AS128" s="60"/>
      <c r="AT128" s="74" t="str">
        <f t="shared" si="21"/>
        <v>-</v>
      </c>
      <c r="AU128" s="155" t="str">
        <f t="shared" si="22"/>
        <v>-</v>
      </c>
      <c r="AV128" s="156" t="str">
        <f t="shared" si="23"/>
        <v>-</v>
      </c>
      <c r="AX128" s="59" t="str">
        <f>IF(AND(D128&gt;0,AA128&gt;0),MIN(D128,AA128),"-")</f>
        <v>-</v>
      </c>
      <c r="AY128" s="59" t="str">
        <f>IF(AND(E128&gt;0,AB128&gt;0),MIN(E128,AB128),"-")</f>
        <v>-</v>
      </c>
      <c r="AZ128" s="59" t="str">
        <f>IF(AND(F128&gt;0,AC128&gt;0),MIN(F128,AC128),"-")</f>
        <v>-</v>
      </c>
      <c r="BA128" s="59" t="str">
        <f>IF(AND(G128&gt;0,AD128&gt;0),MIN(G128,AD128),"-")</f>
        <v>-</v>
      </c>
      <c r="BB128" s="59" t="str">
        <f>IF(AND(H128&gt;0,AE128&gt;0),MIN(H128,AE128),"-")</f>
        <v>-</v>
      </c>
      <c r="BC128" s="59" t="str">
        <f>IF(AND(I128&gt;0,AF128&gt;0),MIN(I128,AF128),"-")</f>
        <v>-</v>
      </c>
      <c r="BD128" s="59" t="str">
        <f>IF(AND(J128&gt;0,AG128&gt;0),MIN(J128,AG128),"-")</f>
        <v>-</v>
      </c>
      <c r="BE128" s="59" t="str">
        <f>IF(AND(K128&gt;0,AH128&gt;0),MIN(K128,AH128),"-")</f>
        <v>-</v>
      </c>
      <c r="BF128" s="59" t="str">
        <f>IF(AND(L128&gt;0,AI128&gt;0),MIN(L128,AI128),"-")</f>
        <v>-</v>
      </c>
      <c r="BG128" s="59" t="str">
        <f t="shared" si="24"/>
        <v>-</v>
      </c>
      <c r="BH128" s="59" t="str">
        <f>IF(AND(N128&gt;0,AK128&gt;0),MIN(N128,AK128),"-")</f>
        <v>-</v>
      </c>
      <c r="BI128" s="59" t="str">
        <f>IF(AND(O128&gt;0,AL128&gt;0),MIN(O128,AL128),"-")</f>
        <v>-</v>
      </c>
      <c r="BJ128" s="59" t="str">
        <f>IF(AND(P128&gt;0,AM128&gt;0),MIN(P128,AM128),"-")</f>
        <v>-</v>
      </c>
      <c r="BK128" s="59" t="str">
        <f>IF(AND(Q128&gt;0,AN128&gt;0),MIN(Q128,AN128),"-")</f>
        <v>-</v>
      </c>
      <c r="BL128" s="59" t="str">
        <f>IF(AND(R128&gt;0,AO128&gt;0),MIN(R128,AO128),"-")</f>
        <v>-</v>
      </c>
      <c r="BM128" s="59" t="str">
        <f>IF(AND(S128&gt;0,AP128&gt;0),MIN(S128,AP128),"-")</f>
        <v>-</v>
      </c>
      <c r="BN128" s="59" t="str">
        <f>IF(AND(T128&gt;0,AQ128&gt;0),MIN(T128,AQ128),"-")</f>
        <v>-</v>
      </c>
      <c r="BO128" s="59" t="str">
        <f>IF(AND(U128&gt;0,AR128&gt;0),MIN(U128,AR128),"-")</f>
        <v>-</v>
      </c>
      <c r="BP128" s="59" t="str">
        <f>IF(AND(V128&gt;0,AS128&gt;0),MIN(V128,AS128),"-")</f>
        <v>-</v>
      </c>
      <c r="BQ128" s="59" t="str">
        <f t="shared" si="25"/>
        <v>-</v>
      </c>
      <c r="BR128" s="59" t="str">
        <f t="shared" si="26"/>
        <v>-</v>
      </c>
      <c r="BS128" s="59" t="str">
        <f t="shared" si="27"/>
        <v>-</v>
      </c>
      <c r="BT128" s="98" t="str">
        <f>IF(ISNUMBER(BS128),BS128-(C128*Rules!$P$9/100),"-")</f>
        <v>-</v>
      </c>
      <c r="BU128" s="59" t="e">
        <f>RANK($BT128,$BT$5:$BT$106,1)+COUNTIF(BT$5:BT128,BT128)-1</f>
        <v>#VALUE!</v>
      </c>
      <c r="BV128" s="59" t="e">
        <f t="shared" si="28"/>
        <v>#VALUE!</v>
      </c>
      <c r="BW128" s="59" t="str">
        <f t="shared" si="29"/>
        <v xml:space="preserve"> </v>
      </c>
      <c r="BX128" s="59">
        <f t="shared" si="29"/>
        <v>0</v>
      </c>
      <c r="BY128" s="59" t="str">
        <f t="shared" si="30"/>
        <v>-</v>
      </c>
      <c r="CD128" s="79"/>
      <c r="CE128" s="80"/>
      <c r="CF128" s="104"/>
      <c r="CL128" s="77">
        <v>1</v>
      </c>
    </row>
    <row r="129" spans="1:90" ht="17.45" customHeight="1">
      <c r="A129" s="58">
        <v>125</v>
      </c>
      <c r="B129" s="59" t="str">
        <f>'C Div'!A129 &amp; " " &amp; 'C Div'!B129</f>
        <v xml:space="preserve"> </v>
      </c>
      <c r="C129" s="59">
        <f>'C Div'!E129</f>
        <v>0</v>
      </c>
      <c r="D129" s="60"/>
      <c r="E129" s="60"/>
      <c r="F129" s="60"/>
      <c r="G129" s="60"/>
      <c r="H129" s="60"/>
      <c r="I129" s="60"/>
      <c r="J129" s="60"/>
      <c r="K129" s="60"/>
      <c r="L129" s="60"/>
      <c r="M129" s="74" t="str">
        <f t="shared" si="16"/>
        <v>-</v>
      </c>
      <c r="N129" s="60"/>
      <c r="O129" s="60"/>
      <c r="P129" s="60"/>
      <c r="Q129" s="60"/>
      <c r="R129" s="60"/>
      <c r="S129" s="60"/>
      <c r="T129" s="60"/>
      <c r="U129" s="60"/>
      <c r="V129" s="60"/>
      <c r="W129" s="74" t="str">
        <f t="shared" si="17"/>
        <v>-</v>
      </c>
      <c r="X129" s="155" t="str">
        <f t="shared" si="18"/>
        <v>-</v>
      </c>
      <c r="Y129" s="156" t="str">
        <f t="shared" si="19"/>
        <v>-</v>
      </c>
      <c r="AA129" s="60"/>
      <c r="AB129" s="60"/>
      <c r="AC129" s="60"/>
      <c r="AD129" s="60"/>
      <c r="AE129" s="60"/>
      <c r="AF129" s="60"/>
      <c r="AG129" s="60"/>
      <c r="AH129" s="60"/>
      <c r="AI129" s="60"/>
      <c r="AJ129" s="74" t="str">
        <f t="shared" si="20"/>
        <v>-</v>
      </c>
      <c r="AK129" s="60"/>
      <c r="AL129" s="60"/>
      <c r="AM129" s="60"/>
      <c r="AN129" s="60"/>
      <c r="AO129" s="60"/>
      <c r="AP129" s="60"/>
      <c r="AQ129" s="60"/>
      <c r="AR129" s="60"/>
      <c r="AS129" s="60"/>
      <c r="AT129" s="74" t="str">
        <f t="shared" si="21"/>
        <v>-</v>
      </c>
      <c r="AU129" s="155" t="str">
        <f t="shared" si="22"/>
        <v>-</v>
      </c>
      <c r="AV129" s="156" t="str">
        <f t="shared" si="23"/>
        <v>-</v>
      </c>
      <c r="AX129" s="59" t="str">
        <f>IF(AND(D129&gt;0,AA129&gt;0),MIN(D129,AA129),"-")</f>
        <v>-</v>
      </c>
      <c r="AY129" s="59" t="str">
        <f>IF(AND(E129&gt;0,AB129&gt;0),MIN(E129,AB129),"-")</f>
        <v>-</v>
      </c>
      <c r="AZ129" s="59" t="str">
        <f>IF(AND(F129&gt;0,AC129&gt;0),MIN(F129,AC129),"-")</f>
        <v>-</v>
      </c>
      <c r="BA129" s="59" t="str">
        <f>IF(AND(G129&gt;0,AD129&gt;0),MIN(G129,AD129),"-")</f>
        <v>-</v>
      </c>
      <c r="BB129" s="59" t="str">
        <f>IF(AND(H129&gt;0,AE129&gt;0),MIN(H129,AE129),"-")</f>
        <v>-</v>
      </c>
      <c r="BC129" s="59" t="str">
        <f>IF(AND(I129&gt;0,AF129&gt;0),MIN(I129,AF129),"-")</f>
        <v>-</v>
      </c>
      <c r="BD129" s="59" t="str">
        <f>IF(AND(J129&gt;0,AG129&gt;0),MIN(J129,AG129),"-")</f>
        <v>-</v>
      </c>
      <c r="BE129" s="59" t="str">
        <f>IF(AND(K129&gt;0,AH129&gt;0),MIN(K129,AH129),"-")</f>
        <v>-</v>
      </c>
      <c r="BF129" s="59" t="str">
        <f>IF(AND(L129&gt;0,AI129&gt;0),MIN(L129,AI129),"-")</f>
        <v>-</v>
      </c>
      <c r="BG129" s="59" t="str">
        <f t="shared" si="24"/>
        <v>-</v>
      </c>
      <c r="BH129" s="59" t="str">
        <f>IF(AND(N129&gt;0,AK129&gt;0),MIN(N129,AK129),"-")</f>
        <v>-</v>
      </c>
      <c r="BI129" s="59" t="str">
        <f>IF(AND(O129&gt;0,AL129&gt;0),MIN(O129,AL129),"-")</f>
        <v>-</v>
      </c>
      <c r="BJ129" s="59" t="str">
        <f>IF(AND(P129&gt;0,AM129&gt;0),MIN(P129,AM129),"-")</f>
        <v>-</v>
      </c>
      <c r="BK129" s="59" t="str">
        <f>IF(AND(Q129&gt;0,AN129&gt;0),MIN(Q129,AN129),"-")</f>
        <v>-</v>
      </c>
      <c r="BL129" s="59" t="str">
        <f>IF(AND(R129&gt;0,AO129&gt;0),MIN(R129,AO129),"-")</f>
        <v>-</v>
      </c>
      <c r="BM129" s="59" t="str">
        <f>IF(AND(S129&gt;0,AP129&gt;0),MIN(S129,AP129),"-")</f>
        <v>-</v>
      </c>
      <c r="BN129" s="59" t="str">
        <f>IF(AND(T129&gt;0,AQ129&gt;0),MIN(T129,AQ129),"-")</f>
        <v>-</v>
      </c>
      <c r="BO129" s="59" t="str">
        <f>IF(AND(U129&gt;0,AR129&gt;0),MIN(U129,AR129),"-")</f>
        <v>-</v>
      </c>
      <c r="BP129" s="59" t="str">
        <f>IF(AND(V129&gt;0,AS129&gt;0),MIN(V129,AS129),"-")</f>
        <v>-</v>
      </c>
      <c r="BQ129" s="59" t="str">
        <f t="shared" si="25"/>
        <v>-</v>
      </c>
      <c r="BR129" s="59" t="str">
        <f t="shared" si="26"/>
        <v>-</v>
      </c>
      <c r="BS129" s="59" t="str">
        <f t="shared" si="27"/>
        <v>-</v>
      </c>
      <c r="BT129" s="98" t="str">
        <f>IF(ISNUMBER(BS129),BS129-(C129*Rules!$P$9/100),"-")</f>
        <v>-</v>
      </c>
      <c r="BU129" s="59" t="e">
        <f>RANK($BT129,$BT$5:$BT$106,1)+COUNTIF(BT$5:BT129,BT129)-1</f>
        <v>#VALUE!</v>
      </c>
      <c r="BV129" s="59" t="e">
        <f t="shared" si="28"/>
        <v>#VALUE!</v>
      </c>
      <c r="BW129" s="59" t="str">
        <f t="shared" si="29"/>
        <v xml:space="preserve"> </v>
      </c>
      <c r="BX129" s="59">
        <f t="shared" si="29"/>
        <v>0</v>
      </c>
      <c r="BY129" s="59" t="str">
        <f t="shared" si="30"/>
        <v>-</v>
      </c>
      <c r="CD129" s="79"/>
      <c r="CE129" s="80"/>
      <c r="CF129" s="104"/>
      <c r="CL129" s="77">
        <v>1</v>
      </c>
    </row>
    <row r="130" spans="1:90" ht="17.45" customHeight="1">
      <c r="A130" s="58">
        <v>126</v>
      </c>
      <c r="B130" s="59" t="str">
        <f>'C Div'!A130 &amp; " " &amp; 'C Div'!B130</f>
        <v xml:space="preserve"> </v>
      </c>
      <c r="C130" s="59">
        <f>'C Div'!E130</f>
        <v>0</v>
      </c>
      <c r="D130" s="60"/>
      <c r="E130" s="60"/>
      <c r="F130" s="60"/>
      <c r="G130" s="60"/>
      <c r="H130" s="60"/>
      <c r="I130" s="60"/>
      <c r="J130" s="60"/>
      <c r="K130" s="60"/>
      <c r="L130" s="60"/>
      <c r="M130" s="74" t="str">
        <f t="shared" si="16"/>
        <v>-</v>
      </c>
      <c r="N130" s="60"/>
      <c r="O130" s="60"/>
      <c r="P130" s="60"/>
      <c r="Q130" s="60"/>
      <c r="R130" s="60"/>
      <c r="S130" s="60"/>
      <c r="T130" s="60"/>
      <c r="U130" s="60"/>
      <c r="V130" s="60"/>
      <c r="W130" s="74" t="str">
        <f t="shared" si="17"/>
        <v>-</v>
      </c>
      <c r="X130" s="155" t="str">
        <f t="shared" si="18"/>
        <v>-</v>
      </c>
      <c r="Y130" s="156" t="str">
        <f t="shared" si="19"/>
        <v>-</v>
      </c>
      <c r="AA130" s="60"/>
      <c r="AB130" s="60"/>
      <c r="AC130" s="60"/>
      <c r="AD130" s="60"/>
      <c r="AE130" s="60"/>
      <c r="AF130" s="60"/>
      <c r="AG130" s="60"/>
      <c r="AH130" s="60"/>
      <c r="AI130" s="60"/>
      <c r="AJ130" s="74" t="str">
        <f t="shared" si="20"/>
        <v>-</v>
      </c>
      <c r="AK130" s="60"/>
      <c r="AL130" s="60"/>
      <c r="AM130" s="60"/>
      <c r="AN130" s="60"/>
      <c r="AO130" s="60"/>
      <c r="AP130" s="60"/>
      <c r="AQ130" s="60"/>
      <c r="AR130" s="60"/>
      <c r="AS130" s="60"/>
      <c r="AT130" s="74" t="str">
        <f t="shared" si="21"/>
        <v>-</v>
      </c>
      <c r="AU130" s="155" t="str">
        <f t="shared" si="22"/>
        <v>-</v>
      </c>
      <c r="AV130" s="156" t="str">
        <f t="shared" si="23"/>
        <v>-</v>
      </c>
      <c r="AX130" s="59" t="str">
        <f>IF(AND(D130&gt;0,AA130&gt;0),MIN(D130,AA130),"-")</f>
        <v>-</v>
      </c>
      <c r="AY130" s="59" t="str">
        <f>IF(AND(E130&gt;0,AB130&gt;0),MIN(E130,AB130),"-")</f>
        <v>-</v>
      </c>
      <c r="AZ130" s="59" t="str">
        <f>IF(AND(F130&gt;0,AC130&gt;0),MIN(F130,AC130),"-")</f>
        <v>-</v>
      </c>
      <c r="BA130" s="59" t="str">
        <f>IF(AND(G130&gt;0,AD130&gt;0),MIN(G130,AD130),"-")</f>
        <v>-</v>
      </c>
      <c r="BB130" s="59" t="str">
        <f>IF(AND(H130&gt;0,AE130&gt;0),MIN(H130,AE130),"-")</f>
        <v>-</v>
      </c>
      <c r="BC130" s="59" t="str">
        <f>IF(AND(I130&gt;0,AF130&gt;0),MIN(I130,AF130),"-")</f>
        <v>-</v>
      </c>
      <c r="BD130" s="59" t="str">
        <f>IF(AND(J130&gt;0,AG130&gt;0),MIN(J130,AG130),"-")</f>
        <v>-</v>
      </c>
      <c r="BE130" s="59" t="str">
        <f>IF(AND(K130&gt;0,AH130&gt;0),MIN(K130,AH130),"-")</f>
        <v>-</v>
      </c>
      <c r="BF130" s="59" t="str">
        <f>IF(AND(L130&gt;0,AI130&gt;0),MIN(L130,AI130),"-")</f>
        <v>-</v>
      </c>
      <c r="BG130" s="59" t="str">
        <f t="shared" si="24"/>
        <v>-</v>
      </c>
      <c r="BH130" s="59" t="str">
        <f>IF(AND(N130&gt;0,AK130&gt;0),MIN(N130,AK130),"-")</f>
        <v>-</v>
      </c>
      <c r="BI130" s="59" t="str">
        <f>IF(AND(O130&gt;0,AL130&gt;0),MIN(O130,AL130),"-")</f>
        <v>-</v>
      </c>
      <c r="BJ130" s="59" t="str">
        <f>IF(AND(P130&gt;0,AM130&gt;0),MIN(P130,AM130),"-")</f>
        <v>-</v>
      </c>
      <c r="BK130" s="59" t="str">
        <f>IF(AND(Q130&gt;0,AN130&gt;0),MIN(Q130,AN130),"-")</f>
        <v>-</v>
      </c>
      <c r="BL130" s="59" t="str">
        <f>IF(AND(R130&gt;0,AO130&gt;0),MIN(R130,AO130),"-")</f>
        <v>-</v>
      </c>
      <c r="BM130" s="59" t="str">
        <f>IF(AND(S130&gt;0,AP130&gt;0),MIN(S130,AP130),"-")</f>
        <v>-</v>
      </c>
      <c r="BN130" s="59" t="str">
        <f>IF(AND(T130&gt;0,AQ130&gt;0),MIN(T130,AQ130),"-")</f>
        <v>-</v>
      </c>
      <c r="BO130" s="59" t="str">
        <f>IF(AND(U130&gt;0,AR130&gt;0),MIN(U130,AR130),"-")</f>
        <v>-</v>
      </c>
      <c r="BP130" s="59" t="str">
        <f>IF(AND(V130&gt;0,AS130&gt;0),MIN(V130,AS130),"-")</f>
        <v>-</v>
      </c>
      <c r="BQ130" s="59" t="str">
        <f t="shared" si="25"/>
        <v>-</v>
      </c>
      <c r="BR130" s="59" t="str">
        <f t="shared" si="26"/>
        <v>-</v>
      </c>
      <c r="BS130" s="59" t="str">
        <f t="shared" si="27"/>
        <v>-</v>
      </c>
      <c r="BT130" s="98" t="str">
        <f>IF(ISNUMBER(BS130),BS130-(C130*Rules!$P$9/100),"-")</f>
        <v>-</v>
      </c>
      <c r="BU130" s="59" t="e">
        <f>RANK($BT130,$BT$5:$BT$106,1)+COUNTIF(BT$5:BT130,BT130)-1</f>
        <v>#VALUE!</v>
      </c>
      <c r="BV130" s="59" t="e">
        <f t="shared" si="28"/>
        <v>#VALUE!</v>
      </c>
      <c r="BW130" s="59" t="str">
        <f t="shared" si="29"/>
        <v xml:space="preserve"> </v>
      </c>
      <c r="BX130" s="59">
        <f t="shared" si="29"/>
        <v>0</v>
      </c>
      <c r="BY130" s="59" t="str">
        <f t="shared" si="30"/>
        <v>-</v>
      </c>
      <c r="CD130" s="79"/>
      <c r="CE130" s="80"/>
      <c r="CF130" s="104"/>
      <c r="CL130" s="77">
        <v>1</v>
      </c>
    </row>
    <row r="131" spans="1:90" ht="17.45" customHeight="1">
      <c r="A131" s="58">
        <v>127</v>
      </c>
      <c r="B131" s="59" t="str">
        <f>'C Div'!A131 &amp; " " &amp; 'C Div'!B131</f>
        <v xml:space="preserve"> </v>
      </c>
      <c r="C131" s="59">
        <f>'C Div'!E131</f>
        <v>0</v>
      </c>
      <c r="D131" s="60"/>
      <c r="E131" s="60"/>
      <c r="F131" s="60"/>
      <c r="G131" s="60"/>
      <c r="H131" s="60"/>
      <c r="I131" s="60"/>
      <c r="J131" s="60"/>
      <c r="K131" s="60"/>
      <c r="L131" s="60"/>
      <c r="M131" s="74" t="str">
        <f t="shared" si="16"/>
        <v>-</v>
      </c>
      <c r="N131" s="60"/>
      <c r="O131" s="60"/>
      <c r="P131" s="60"/>
      <c r="Q131" s="60"/>
      <c r="R131" s="60"/>
      <c r="S131" s="60"/>
      <c r="T131" s="60"/>
      <c r="U131" s="60"/>
      <c r="V131" s="60"/>
      <c r="W131" s="74" t="str">
        <f t="shared" si="17"/>
        <v>-</v>
      </c>
      <c r="X131" s="155" t="str">
        <f t="shared" si="18"/>
        <v>-</v>
      </c>
      <c r="Y131" s="156" t="str">
        <f t="shared" si="19"/>
        <v>-</v>
      </c>
      <c r="AA131" s="60"/>
      <c r="AB131" s="60"/>
      <c r="AC131" s="60"/>
      <c r="AD131" s="60"/>
      <c r="AE131" s="60"/>
      <c r="AF131" s="60"/>
      <c r="AG131" s="60"/>
      <c r="AH131" s="60"/>
      <c r="AI131" s="60"/>
      <c r="AJ131" s="74" t="str">
        <f t="shared" si="20"/>
        <v>-</v>
      </c>
      <c r="AK131" s="60"/>
      <c r="AL131" s="60"/>
      <c r="AM131" s="60"/>
      <c r="AN131" s="60"/>
      <c r="AO131" s="60"/>
      <c r="AP131" s="60"/>
      <c r="AQ131" s="60"/>
      <c r="AR131" s="60"/>
      <c r="AS131" s="60"/>
      <c r="AT131" s="74" t="str">
        <f t="shared" si="21"/>
        <v>-</v>
      </c>
      <c r="AU131" s="155" t="str">
        <f t="shared" si="22"/>
        <v>-</v>
      </c>
      <c r="AV131" s="156" t="str">
        <f t="shared" si="23"/>
        <v>-</v>
      </c>
      <c r="AX131" s="59" t="str">
        <f>IF(AND(D131&gt;0,AA131&gt;0),MIN(D131,AA131),"-")</f>
        <v>-</v>
      </c>
      <c r="AY131" s="59" t="str">
        <f>IF(AND(E131&gt;0,AB131&gt;0),MIN(E131,AB131),"-")</f>
        <v>-</v>
      </c>
      <c r="AZ131" s="59" t="str">
        <f>IF(AND(F131&gt;0,AC131&gt;0),MIN(F131,AC131),"-")</f>
        <v>-</v>
      </c>
      <c r="BA131" s="59" t="str">
        <f>IF(AND(G131&gt;0,AD131&gt;0),MIN(G131,AD131),"-")</f>
        <v>-</v>
      </c>
      <c r="BB131" s="59" t="str">
        <f>IF(AND(H131&gt;0,AE131&gt;0),MIN(H131,AE131),"-")</f>
        <v>-</v>
      </c>
      <c r="BC131" s="59" t="str">
        <f>IF(AND(I131&gt;0,AF131&gt;0),MIN(I131,AF131),"-")</f>
        <v>-</v>
      </c>
      <c r="BD131" s="59" t="str">
        <f>IF(AND(J131&gt;0,AG131&gt;0),MIN(J131,AG131),"-")</f>
        <v>-</v>
      </c>
      <c r="BE131" s="59" t="str">
        <f>IF(AND(K131&gt;0,AH131&gt;0),MIN(K131,AH131),"-")</f>
        <v>-</v>
      </c>
      <c r="BF131" s="59" t="str">
        <f>IF(AND(L131&gt;0,AI131&gt;0),MIN(L131,AI131),"-")</f>
        <v>-</v>
      </c>
      <c r="BG131" s="59" t="str">
        <f t="shared" si="24"/>
        <v>-</v>
      </c>
      <c r="BH131" s="59" t="str">
        <f>IF(AND(N131&gt;0,AK131&gt;0),MIN(N131,AK131),"-")</f>
        <v>-</v>
      </c>
      <c r="BI131" s="59" t="str">
        <f>IF(AND(O131&gt;0,AL131&gt;0),MIN(O131,AL131),"-")</f>
        <v>-</v>
      </c>
      <c r="BJ131" s="59" t="str">
        <f>IF(AND(P131&gt;0,AM131&gt;0),MIN(P131,AM131),"-")</f>
        <v>-</v>
      </c>
      <c r="BK131" s="59" t="str">
        <f>IF(AND(Q131&gt;0,AN131&gt;0),MIN(Q131,AN131),"-")</f>
        <v>-</v>
      </c>
      <c r="BL131" s="59" t="str">
        <f>IF(AND(R131&gt;0,AO131&gt;0),MIN(R131,AO131),"-")</f>
        <v>-</v>
      </c>
      <c r="BM131" s="59" t="str">
        <f>IF(AND(S131&gt;0,AP131&gt;0),MIN(S131,AP131),"-")</f>
        <v>-</v>
      </c>
      <c r="BN131" s="59" t="str">
        <f>IF(AND(T131&gt;0,AQ131&gt;0),MIN(T131,AQ131),"-")</f>
        <v>-</v>
      </c>
      <c r="BO131" s="59" t="str">
        <f>IF(AND(U131&gt;0,AR131&gt;0),MIN(U131,AR131),"-")</f>
        <v>-</v>
      </c>
      <c r="BP131" s="59" t="str">
        <f>IF(AND(V131&gt;0,AS131&gt;0),MIN(V131,AS131),"-")</f>
        <v>-</v>
      </c>
      <c r="BQ131" s="59" t="str">
        <f t="shared" si="25"/>
        <v>-</v>
      </c>
      <c r="BR131" s="59" t="str">
        <f t="shared" si="26"/>
        <v>-</v>
      </c>
      <c r="BS131" s="59" t="str">
        <f t="shared" si="27"/>
        <v>-</v>
      </c>
      <c r="BT131" s="98" t="str">
        <f>IF(ISNUMBER(BS131),BS131-(C131*Rules!$P$9/100),"-")</f>
        <v>-</v>
      </c>
      <c r="BU131" s="59" t="e">
        <f>RANK($BT131,$BT$5:$BT$106,1)+COUNTIF(BT$5:BT131,BT131)-1</f>
        <v>#VALUE!</v>
      </c>
      <c r="BV131" s="59" t="e">
        <f t="shared" si="28"/>
        <v>#VALUE!</v>
      </c>
      <c r="BW131" s="59" t="str">
        <f t="shared" si="29"/>
        <v xml:space="preserve"> </v>
      </c>
      <c r="BX131" s="59">
        <f t="shared" si="29"/>
        <v>0</v>
      </c>
      <c r="BY131" s="59" t="str">
        <f t="shared" si="30"/>
        <v>-</v>
      </c>
      <c r="CD131" s="79"/>
      <c r="CE131" s="80"/>
      <c r="CF131" s="104"/>
      <c r="CL131" s="77">
        <v>1</v>
      </c>
    </row>
    <row r="132" spans="1:90" ht="17.45" customHeight="1">
      <c r="A132" s="58">
        <v>128</v>
      </c>
      <c r="B132" s="59" t="str">
        <f>'C Div'!A132 &amp; " " &amp; 'C Div'!B132</f>
        <v xml:space="preserve"> </v>
      </c>
      <c r="C132" s="59">
        <f>'C Div'!E132</f>
        <v>0</v>
      </c>
      <c r="D132" s="60"/>
      <c r="E132" s="60"/>
      <c r="F132" s="60"/>
      <c r="G132" s="60"/>
      <c r="H132" s="60"/>
      <c r="I132" s="60"/>
      <c r="J132" s="60"/>
      <c r="K132" s="60"/>
      <c r="L132" s="60"/>
      <c r="M132" s="74" t="str">
        <f t="shared" si="16"/>
        <v>-</v>
      </c>
      <c r="N132" s="60"/>
      <c r="O132" s="60"/>
      <c r="P132" s="60"/>
      <c r="Q132" s="60"/>
      <c r="R132" s="60"/>
      <c r="S132" s="60"/>
      <c r="T132" s="60"/>
      <c r="U132" s="60"/>
      <c r="V132" s="60"/>
      <c r="W132" s="74" t="str">
        <f t="shared" si="17"/>
        <v>-</v>
      </c>
      <c r="X132" s="155" t="str">
        <f t="shared" si="18"/>
        <v>-</v>
      </c>
      <c r="Y132" s="156" t="str">
        <f t="shared" si="19"/>
        <v>-</v>
      </c>
      <c r="AA132" s="60"/>
      <c r="AB132" s="60"/>
      <c r="AC132" s="60"/>
      <c r="AD132" s="60"/>
      <c r="AE132" s="60"/>
      <c r="AF132" s="60"/>
      <c r="AG132" s="60"/>
      <c r="AH132" s="60"/>
      <c r="AI132" s="60"/>
      <c r="AJ132" s="74" t="str">
        <f t="shared" si="20"/>
        <v>-</v>
      </c>
      <c r="AK132" s="60"/>
      <c r="AL132" s="60"/>
      <c r="AM132" s="60"/>
      <c r="AN132" s="60"/>
      <c r="AO132" s="60"/>
      <c r="AP132" s="60"/>
      <c r="AQ132" s="60"/>
      <c r="AR132" s="60"/>
      <c r="AS132" s="60"/>
      <c r="AT132" s="74" t="str">
        <f t="shared" si="21"/>
        <v>-</v>
      </c>
      <c r="AU132" s="155" t="str">
        <f t="shared" si="22"/>
        <v>-</v>
      </c>
      <c r="AV132" s="156" t="str">
        <f t="shared" si="23"/>
        <v>-</v>
      </c>
      <c r="AX132" s="59" t="str">
        <f>IF(AND(D132&gt;0,AA132&gt;0),MIN(D132,AA132),"-")</f>
        <v>-</v>
      </c>
      <c r="AY132" s="59" t="str">
        <f>IF(AND(E132&gt;0,AB132&gt;0),MIN(E132,AB132),"-")</f>
        <v>-</v>
      </c>
      <c r="AZ132" s="59" t="str">
        <f>IF(AND(F132&gt;0,AC132&gt;0),MIN(F132,AC132),"-")</f>
        <v>-</v>
      </c>
      <c r="BA132" s="59" t="str">
        <f>IF(AND(G132&gt;0,AD132&gt;0),MIN(G132,AD132),"-")</f>
        <v>-</v>
      </c>
      <c r="BB132" s="59" t="str">
        <f>IF(AND(H132&gt;0,AE132&gt;0),MIN(H132,AE132),"-")</f>
        <v>-</v>
      </c>
      <c r="BC132" s="59" t="str">
        <f>IF(AND(I132&gt;0,AF132&gt;0),MIN(I132,AF132),"-")</f>
        <v>-</v>
      </c>
      <c r="BD132" s="59" t="str">
        <f>IF(AND(J132&gt;0,AG132&gt;0),MIN(J132,AG132),"-")</f>
        <v>-</v>
      </c>
      <c r="BE132" s="59" t="str">
        <f>IF(AND(K132&gt;0,AH132&gt;0),MIN(K132,AH132),"-")</f>
        <v>-</v>
      </c>
      <c r="BF132" s="59" t="str">
        <f>IF(AND(L132&gt;0,AI132&gt;0),MIN(L132,AI132),"-")</f>
        <v>-</v>
      </c>
      <c r="BG132" s="59" t="str">
        <f t="shared" si="24"/>
        <v>-</v>
      </c>
      <c r="BH132" s="59" t="str">
        <f>IF(AND(N132&gt;0,AK132&gt;0),MIN(N132,AK132),"-")</f>
        <v>-</v>
      </c>
      <c r="BI132" s="59" t="str">
        <f>IF(AND(O132&gt;0,AL132&gt;0),MIN(O132,AL132),"-")</f>
        <v>-</v>
      </c>
      <c r="BJ132" s="59" t="str">
        <f>IF(AND(P132&gt;0,AM132&gt;0),MIN(P132,AM132),"-")</f>
        <v>-</v>
      </c>
      <c r="BK132" s="59" t="str">
        <f>IF(AND(Q132&gt;0,AN132&gt;0),MIN(Q132,AN132),"-")</f>
        <v>-</v>
      </c>
      <c r="BL132" s="59" t="str">
        <f>IF(AND(R132&gt;0,AO132&gt;0),MIN(R132,AO132),"-")</f>
        <v>-</v>
      </c>
      <c r="BM132" s="59" t="str">
        <f>IF(AND(S132&gt;0,AP132&gt;0),MIN(S132,AP132),"-")</f>
        <v>-</v>
      </c>
      <c r="BN132" s="59" t="str">
        <f>IF(AND(T132&gt;0,AQ132&gt;0),MIN(T132,AQ132),"-")</f>
        <v>-</v>
      </c>
      <c r="BO132" s="59" t="str">
        <f>IF(AND(U132&gt;0,AR132&gt;0),MIN(U132,AR132),"-")</f>
        <v>-</v>
      </c>
      <c r="BP132" s="59" t="str">
        <f>IF(AND(V132&gt;0,AS132&gt;0),MIN(V132,AS132),"-")</f>
        <v>-</v>
      </c>
      <c r="BQ132" s="59" t="str">
        <f t="shared" si="25"/>
        <v>-</v>
      </c>
      <c r="BR132" s="59" t="str">
        <f t="shared" si="26"/>
        <v>-</v>
      </c>
      <c r="BS132" s="59" t="str">
        <f t="shared" si="27"/>
        <v>-</v>
      </c>
      <c r="BT132" s="98" t="str">
        <f>IF(ISNUMBER(BS132),BS132-(C132*Rules!$P$9/100),"-")</f>
        <v>-</v>
      </c>
      <c r="BU132" s="59" t="e">
        <f>RANK($BT132,$BT$5:$BT$106,1)+COUNTIF(BT$5:BT132,BT132)-1</f>
        <v>#VALUE!</v>
      </c>
      <c r="BV132" s="59" t="e">
        <f t="shared" si="28"/>
        <v>#VALUE!</v>
      </c>
      <c r="BW132" s="59" t="str">
        <f t="shared" si="29"/>
        <v xml:space="preserve"> </v>
      </c>
      <c r="BX132" s="59">
        <f t="shared" si="29"/>
        <v>0</v>
      </c>
      <c r="BY132" s="59" t="str">
        <f t="shared" si="30"/>
        <v>-</v>
      </c>
      <c r="CD132" s="79"/>
      <c r="CE132" s="80"/>
      <c r="CF132" s="104"/>
      <c r="CL132" s="77">
        <v>1</v>
      </c>
    </row>
    <row r="133" spans="1:90" ht="17.45" customHeight="1">
      <c r="A133" s="58">
        <v>129</v>
      </c>
      <c r="B133" s="59" t="str">
        <f>'C Div'!A133 &amp; " " &amp; 'C Div'!B133</f>
        <v xml:space="preserve"> </v>
      </c>
      <c r="C133" s="59">
        <f>'C Div'!E133</f>
        <v>0</v>
      </c>
      <c r="D133" s="60"/>
      <c r="E133" s="60"/>
      <c r="F133" s="60"/>
      <c r="G133" s="60"/>
      <c r="H133" s="60"/>
      <c r="I133" s="60"/>
      <c r="J133" s="60"/>
      <c r="K133" s="60"/>
      <c r="L133" s="60"/>
      <c r="M133" s="74" t="str">
        <f t="shared" si="16"/>
        <v>-</v>
      </c>
      <c r="N133" s="60"/>
      <c r="O133" s="60"/>
      <c r="P133" s="60"/>
      <c r="Q133" s="60"/>
      <c r="R133" s="60"/>
      <c r="S133" s="60"/>
      <c r="T133" s="60"/>
      <c r="U133" s="60"/>
      <c r="V133" s="60"/>
      <c r="W133" s="74" t="str">
        <f t="shared" si="17"/>
        <v>-</v>
      </c>
      <c r="X133" s="155" t="str">
        <f t="shared" si="18"/>
        <v>-</v>
      </c>
      <c r="Y133" s="156" t="str">
        <f t="shared" si="19"/>
        <v>-</v>
      </c>
      <c r="AA133" s="60"/>
      <c r="AB133" s="60"/>
      <c r="AC133" s="60"/>
      <c r="AD133" s="60"/>
      <c r="AE133" s="60"/>
      <c r="AF133" s="60"/>
      <c r="AG133" s="60"/>
      <c r="AH133" s="60"/>
      <c r="AI133" s="60"/>
      <c r="AJ133" s="74" t="str">
        <f t="shared" si="20"/>
        <v>-</v>
      </c>
      <c r="AK133" s="60"/>
      <c r="AL133" s="60"/>
      <c r="AM133" s="60"/>
      <c r="AN133" s="60"/>
      <c r="AO133" s="60"/>
      <c r="AP133" s="60"/>
      <c r="AQ133" s="60"/>
      <c r="AR133" s="60"/>
      <c r="AS133" s="60"/>
      <c r="AT133" s="74" t="str">
        <f t="shared" si="21"/>
        <v>-</v>
      </c>
      <c r="AU133" s="155" t="str">
        <f t="shared" si="22"/>
        <v>-</v>
      </c>
      <c r="AV133" s="156" t="str">
        <f t="shared" si="23"/>
        <v>-</v>
      </c>
      <c r="AX133" s="59" t="str">
        <f>IF(AND(D133&gt;0,AA133&gt;0),MIN(D133,AA133),"-")</f>
        <v>-</v>
      </c>
      <c r="AY133" s="59" t="str">
        <f>IF(AND(E133&gt;0,AB133&gt;0),MIN(E133,AB133),"-")</f>
        <v>-</v>
      </c>
      <c r="AZ133" s="59" t="str">
        <f>IF(AND(F133&gt;0,AC133&gt;0),MIN(F133,AC133),"-")</f>
        <v>-</v>
      </c>
      <c r="BA133" s="59" t="str">
        <f>IF(AND(G133&gt;0,AD133&gt;0),MIN(G133,AD133),"-")</f>
        <v>-</v>
      </c>
      <c r="BB133" s="59" t="str">
        <f>IF(AND(H133&gt;0,AE133&gt;0),MIN(H133,AE133),"-")</f>
        <v>-</v>
      </c>
      <c r="BC133" s="59" t="str">
        <f>IF(AND(I133&gt;0,AF133&gt;0),MIN(I133,AF133),"-")</f>
        <v>-</v>
      </c>
      <c r="BD133" s="59" t="str">
        <f>IF(AND(J133&gt;0,AG133&gt;0),MIN(J133,AG133),"-")</f>
        <v>-</v>
      </c>
      <c r="BE133" s="59" t="str">
        <f>IF(AND(K133&gt;0,AH133&gt;0),MIN(K133,AH133),"-")</f>
        <v>-</v>
      </c>
      <c r="BF133" s="59" t="str">
        <f>IF(AND(L133&gt;0,AI133&gt;0),MIN(L133,AI133),"-")</f>
        <v>-</v>
      </c>
      <c r="BG133" s="59" t="str">
        <f t="shared" si="24"/>
        <v>-</v>
      </c>
      <c r="BH133" s="59" t="str">
        <f>IF(AND(N133&gt;0,AK133&gt;0),MIN(N133,AK133),"-")</f>
        <v>-</v>
      </c>
      <c r="BI133" s="59" t="str">
        <f>IF(AND(O133&gt;0,AL133&gt;0),MIN(O133,AL133),"-")</f>
        <v>-</v>
      </c>
      <c r="BJ133" s="59" t="str">
        <f>IF(AND(P133&gt;0,AM133&gt;0),MIN(P133,AM133),"-")</f>
        <v>-</v>
      </c>
      <c r="BK133" s="59" t="str">
        <f>IF(AND(Q133&gt;0,AN133&gt;0),MIN(Q133,AN133),"-")</f>
        <v>-</v>
      </c>
      <c r="BL133" s="59" t="str">
        <f>IF(AND(R133&gt;0,AO133&gt;0),MIN(R133,AO133),"-")</f>
        <v>-</v>
      </c>
      <c r="BM133" s="59" t="str">
        <f>IF(AND(S133&gt;0,AP133&gt;0),MIN(S133,AP133),"-")</f>
        <v>-</v>
      </c>
      <c r="BN133" s="59" t="str">
        <f>IF(AND(T133&gt;0,AQ133&gt;0),MIN(T133,AQ133),"-")</f>
        <v>-</v>
      </c>
      <c r="BO133" s="59" t="str">
        <f>IF(AND(U133&gt;0,AR133&gt;0),MIN(U133,AR133),"-")</f>
        <v>-</v>
      </c>
      <c r="BP133" s="59" t="str">
        <f>IF(AND(V133&gt;0,AS133&gt;0),MIN(V133,AS133),"-")</f>
        <v>-</v>
      </c>
      <c r="BQ133" s="59" t="str">
        <f t="shared" si="25"/>
        <v>-</v>
      </c>
      <c r="BR133" s="59" t="str">
        <f t="shared" si="26"/>
        <v>-</v>
      </c>
      <c r="BS133" s="59" t="str">
        <f t="shared" si="27"/>
        <v>-</v>
      </c>
      <c r="BT133" s="98" t="str">
        <f>IF(ISNUMBER(BS133),BS133-(C133*Rules!$P$9/100),"-")</f>
        <v>-</v>
      </c>
      <c r="BU133" s="59" t="e">
        <f>RANK($BT133,$BT$5:$BT$106,1)+COUNTIF(BT$5:BT133,BT133)-1</f>
        <v>#VALUE!</v>
      </c>
      <c r="BV133" s="59" t="e">
        <f t="shared" si="28"/>
        <v>#VALUE!</v>
      </c>
      <c r="BW133" s="59" t="str">
        <f t="shared" si="29"/>
        <v xml:space="preserve"> </v>
      </c>
      <c r="BX133" s="59">
        <f t="shared" si="29"/>
        <v>0</v>
      </c>
      <c r="BY133" s="59" t="str">
        <f t="shared" si="30"/>
        <v>-</v>
      </c>
      <c r="CD133" s="79"/>
      <c r="CE133" s="80"/>
      <c r="CF133" s="104"/>
      <c r="CL133" s="77">
        <v>1</v>
      </c>
    </row>
    <row r="134" spans="1:90" ht="17.45" customHeight="1">
      <c r="A134" s="58">
        <v>130</v>
      </c>
      <c r="B134" s="59" t="str">
        <f>'C Div'!A134 &amp; " " &amp; 'C Div'!B134</f>
        <v xml:space="preserve"> </v>
      </c>
      <c r="C134" s="59">
        <f>'C Div'!E134</f>
        <v>0</v>
      </c>
      <c r="D134" s="60"/>
      <c r="E134" s="60"/>
      <c r="F134" s="60"/>
      <c r="G134" s="60"/>
      <c r="H134" s="60"/>
      <c r="I134" s="60"/>
      <c r="J134" s="60"/>
      <c r="K134" s="60"/>
      <c r="L134" s="60"/>
      <c r="M134" s="74" t="str">
        <f t="shared" ref="M134:M197" si="31">IF(COUNTIF(D134:L134,"&lt;&gt;"&amp;"")=9,SUM(D134:L134),"-")</f>
        <v>-</v>
      </c>
      <c r="N134" s="60"/>
      <c r="O134" s="60"/>
      <c r="P134" s="60"/>
      <c r="Q134" s="60"/>
      <c r="R134" s="60"/>
      <c r="S134" s="60"/>
      <c r="T134" s="60"/>
      <c r="U134" s="60"/>
      <c r="V134" s="60"/>
      <c r="W134" s="74" t="str">
        <f t="shared" ref="W134:W197" si="32">IF(COUNTIF(N134:V134,"&lt;&gt;"&amp;"")=9,SUM(N134:V134),"-")</f>
        <v>-</v>
      </c>
      <c r="X134" s="155" t="str">
        <f t="shared" ref="X134:X197" si="33">IF(AND(ISNUMBER(M134),ISNUMBER(W134)),M134+W134,"-")</f>
        <v>-</v>
      </c>
      <c r="Y134" s="156" t="str">
        <f t="shared" ref="Y134:Y197" si="34">IF(ISNUMBER(X134),X134-C134,"-")</f>
        <v>-</v>
      </c>
      <c r="AA134" s="60"/>
      <c r="AB134" s="60"/>
      <c r="AC134" s="60"/>
      <c r="AD134" s="60"/>
      <c r="AE134" s="60"/>
      <c r="AF134" s="60"/>
      <c r="AG134" s="60"/>
      <c r="AH134" s="60"/>
      <c r="AI134" s="60"/>
      <c r="AJ134" s="74" t="str">
        <f t="shared" ref="AJ134:AJ197" si="35">IF(COUNTIF(AA134:AI134,"&lt;&gt;"&amp;"")=9,SUM(AA134:AI134),"-")</f>
        <v>-</v>
      </c>
      <c r="AK134" s="60"/>
      <c r="AL134" s="60"/>
      <c r="AM134" s="60"/>
      <c r="AN134" s="60"/>
      <c r="AO134" s="60"/>
      <c r="AP134" s="60"/>
      <c r="AQ134" s="60"/>
      <c r="AR134" s="60"/>
      <c r="AS134" s="60"/>
      <c r="AT134" s="74" t="str">
        <f t="shared" ref="AT134:AT197" si="36">IF(COUNTIF(AK134:AS134,"&lt;&gt;"&amp;"")=9,SUM(AK134:AS134),"-")</f>
        <v>-</v>
      </c>
      <c r="AU134" s="155" t="str">
        <f t="shared" ref="AU134:AU197" si="37">IF(AND(ISNUMBER(AJ134),ISNUMBER(AT134)),AJ134+AT134,"-")</f>
        <v>-</v>
      </c>
      <c r="AV134" s="156" t="str">
        <f t="shared" ref="AV134:AV197" si="38">IF(ISNUMBER(AU134),AU134-C134,"-")</f>
        <v>-</v>
      </c>
      <c r="AX134" s="59" t="str">
        <f>IF(AND(D134&gt;0,AA134&gt;0),MIN(D134,AA134),"-")</f>
        <v>-</v>
      </c>
      <c r="AY134" s="59" t="str">
        <f>IF(AND(E134&gt;0,AB134&gt;0),MIN(E134,AB134),"-")</f>
        <v>-</v>
      </c>
      <c r="AZ134" s="59" t="str">
        <f>IF(AND(F134&gt;0,AC134&gt;0),MIN(F134,AC134),"-")</f>
        <v>-</v>
      </c>
      <c r="BA134" s="59" t="str">
        <f>IF(AND(G134&gt;0,AD134&gt;0),MIN(G134,AD134),"-")</f>
        <v>-</v>
      </c>
      <c r="BB134" s="59" t="str">
        <f>IF(AND(H134&gt;0,AE134&gt;0),MIN(H134,AE134),"-")</f>
        <v>-</v>
      </c>
      <c r="BC134" s="59" t="str">
        <f>IF(AND(I134&gt;0,AF134&gt;0),MIN(I134,AF134),"-")</f>
        <v>-</v>
      </c>
      <c r="BD134" s="59" t="str">
        <f>IF(AND(J134&gt;0,AG134&gt;0),MIN(J134,AG134),"-")</f>
        <v>-</v>
      </c>
      <c r="BE134" s="59" t="str">
        <f>IF(AND(K134&gt;0,AH134&gt;0),MIN(K134,AH134),"-")</f>
        <v>-</v>
      </c>
      <c r="BF134" s="59" t="str">
        <f>IF(AND(L134&gt;0,AI134&gt;0),MIN(L134,AI134),"-")</f>
        <v>-</v>
      </c>
      <c r="BG134" s="59" t="str">
        <f t="shared" ref="BG134:BG197" si="39">IF(COUNTIF(AX134:BF134,"&lt;&gt;-")=9,SUM(AX134:BF134),"-")</f>
        <v>-</v>
      </c>
      <c r="BH134" s="59" t="str">
        <f>IF(AND(N134&gt;0,AK134&gt;0),MIN(N134,AK134),"-")</f>
        <v>-</v>
      </c>
      <c r="BI134" s="59" t="str">
        <f>IF(AND(O134&gt;0,AL134&gt;0),MIN(O134,AL134),"-")</f>
        <v>-</v>
      </c>
      <c r="BJ134" s="59" t="str">
        <f>IF(AND(P134&gt;0,AM134&gt;0),MIN(P134,AM134),"-")</f>
        <v>-</v>
      </c>
      <c r="BK134" s="59" t="str">
        <f>IF(AND(Q134&gt;0,AN134&gt;0),MIN(Q134,AN134),"-")</f>
        <v>-</v>
      </c>
      <c r="BL134" s="59" t="str">
        <f>IF(AND(R134&gt;0,AO134&gt;0),MIN(R134,AO134),"-")</f>
        <v>-</v>
      </c>
      <c r="BM134" s="59" t="str">
        <f>IF(AND(S134&gt;0,AP134&gt;0),MIN(S134,AP134),"-")</f>
        <v>-</v>
      </c>
      <c r="BN134" s="59" t="str">
        <f>IF(AND(T134&gt;0,AQ134&gt;0),MIN(T134,AQ134),"-")</f>
        <v>-</v>
      </c>
      <c r="BO134" s="59" t="str">
        <f>IF(AND(U134&gt;0,AR134&gt;0),MIN(U134,AR134),"-")</f>
        <v>-</v>
      </c>
      <c r="BP134" s="59" t="str">
        <f>IF(AND(V134&gt;0,AS134&gt;0),MIN(V134,AS134),"-")</f>
        <v>-</v>
      </c>
      <c r="BQ134" s="59" t="str">
        <f t="shared" ref="BQ134:BQ197" si="40">IF(COUNTIF(BH134:BP134,"&lt;&gt;-")=9,SUM(BH134:BP134),"-")</f>
        <v>-</v>
      </c>
      <c r="BR134" s="59" t="str">
        <f t="shared" ref="BR134:BR197" si="41">BG134</f>
        <v>-</v>
      </c>
      <c r="BS134" s="59" t="str">
        <f t="shared" ref="BS134:BS197" si="42">IF(COUNTIF(BQ134:BR134,"&lt;&gt;-")=2,SUM(BQ134:BR134),"-")</f>
        <v>-</v>
      </c>
      <c r="BT134" s="98" t="str">
        <f>IF(ISNUMBER(BS134),BS134-(C134*Rules!$P$9/100),"-")</f>
        <v>-</v>
      </c>
      <c r="BU134" s="59" t="e">
        <f>RANK($BT134,$BT$5:$BT$106,1)+COUNTIF(BT$5:BT134,BT134)-1</f>
        <v>#VALUE!</v>
      </c>
      <c r="BV134" s="59" t="e">
        <f t="shared" ref="BV134:BV197" si="43">RANK(BT134,$BT$5:$BT$215,1)</f>
        <v>#VALUE!</v>
      </c>
      <c r="BW134" s="59" t="str">
        <f t="shared" ref="BW134:BX197" si="44">B134</f>
        <v xml:space="preserve"> </v>
      </c>
      <c r="BX134" s="59">
        <f t="shared" si="44"/>
        <v>0</v>
      </c>
      <c r="BY134" s="59" t="str">
        <f t="shared" ref="BY134:BY197" si="45">BT134</f>
        <v>-</v>
      </c>
      <c r="CD134" s="79"/>
      <c r="CE134" s="80"/>
      <c r="CF134" s="104"/>
      <c r="CL134" s="77">
        <v>1</v>
      </c>
    </row>
    <row r="135" spans="1:90" ht="17.45" customHeight="1">
      <c r="A135" s="58">
        <v>131</v>
      </c>
      <c r="B135" s="59" t="str">
        <f>'C Div'!A135 &amp; " " &amp; 'C Div'!B135</f>
        <v xml:space="preserve"> </v>
      </c>
      <c r="C135" s="59">
        <f>'C Div'!E135</f>
        <v>0</v>
      </c>
      <c r="D135" s="60"/>
      <c r="E135" s="60"/>
      <c r="F135" s="60"/>
      <c r="G135" s="60"/>
      <c r="H135" s="60"/>
      <c r="I135" s="60"/>
      <c r="J135" s="60"/>
      <c r="K135" s="60"/>
      <c r="L135" s="60"/>
      <c r="M135" s="74" t="str">
        <f t="shared" si="31"/>
        <v>-</v>
      </c>
      <c r="N135" s="60"/>
      <c r="O135" s="60"/>
      <c r="P135" s="60"/>
      <c r="Q135" s="60"/>
      <c r="R135" s="60"/>
      <c r="S135" s="60"/>
      <c r="T135" s="60"/>
      <c r="U135" s="60"/>
      <c r="V135" s="60"/>
      <c r="W135" s="74" t="str">
        <f t="shared" si="32"/>
        <v>-</v>
      </c>
      <c r="X135" s="155" t="str">
        <f t="shared" si="33"/>
        <v>-</v>
      </c>
      <c r="Y135" s="156" t="str">
        <f t="shared" si="34"/>
        <v>-</v>
      </c>
      <c r="AA135" s="60"/>
      <c r="AB135" s="60"/>
      <c r="AC135" s="60"/>
      <c r="AD135" s="60"/>
      <c r="AE135" s="60"/>
      <c r="AF135" s="60"/>
      <c r="AG135" s="60"/>
      <c r="AH135" s="60"/>
      <c r="AI135" s="60"/>
      <c r="AJ135" s="74" t="str">
        <f t="shared" si="35"/>
        <v>-</v>
      </c>
      <c r="AK135" s="60"/>
      <c r="AL135" s="60"/>
      <c r="AM135" s="60"/>
      <c r="AN135" s="60"/>
      <c r="AO135" s="60"/>
      <c r="AP135" s="60"/>
      <c r="AQ135" s="60"/>
      <c r="AR135" s="60"/>
      <c r="AS135" s="60"/>
      <c r="AT135" s="74" t="str">
        <f t="shared" si="36"/>
        <v>-</v>
      </c>
      <c r="AU135" s="155" t="str">
        <f t="shared" si="37"/>
        <v>-</v>
      </c>
      <c r="AV135" s="156" t="str">
        <f t="shared" si="38"/>
        <v>-</v>
      </c>
      <c r="AX135" s="59" t="str">
        <f>IF(AND(D135&gt;0,AA135&gt;0),MIN(D135,AA135),"-")</f>
        <v>-</v>
      </c>
      <c r="AY135" s="59" t="str">
        <f>IF(AND(E135&gt;0,AB135&gt;0),MIN(E135,AB135),"-")</f>
        <v>-</v>
      </c>
      <c r="AZ135" s="59" t="str">
        <f>IF(AND(F135&gt;0,AC135&gt;0),MIN(F135,AC135),"-")</f>
        <v>-</v>
      </c>
      <c r="BA135" s="59" t="str">
        <f>IF(AND(G135&gt;0,AD135&gt;0),MIN(G135,AD135),"-")</f>
        <v>-</v>
      </c>
      <c r="BB135" s="59" t="str">
        <f>IF(AND(H135&gt;0,AE135&gt;0),MIN(H135,AE135),"-")</f>
        <v>-</v>
      </c>
      <c r="BC135" s="59" t="str">
        <f>IF(AND(I135&gt;0,AF135&gt;0),MIN(I135,AF135),"-")</f>
        <v>-</v>
      </c>
      <c r="BD135" s="59" t="str">
        <f>IF(AND(J135&gt;0,AG135&gt;0),MIN(J135,AG135),"-")</f>
        <v>-</v>
      </c>
      <c r="BE135" s="59" t="str">
        <f>IF(AND(K135&gt;0,AH135&gt;0),MIN(K135,AH135),"-")</f>
        <v>-</v>
      </c>
      <c r="BF135" s="59" t="str">
        <f>IF(AND(L135&gt;0,AI135&gt;0),MIN(L135,AI135),"-")</f>
        <v>-</v>
      </c>
      <c r="BG135" s="59" t="str">
        <f t="shared" si="39"/>
        <v>-</v>
      </c>
      <c r="BH135" s="59" t="str">
        <f>IF(AND(N135&gt;0,AK135&gt;0),MIN(N135,AK135),"-")</f>
        <v>-</v>
      </c>
      <c r="BI135" s="59" t="str">
        <f>IF(AND(O135&gt;0,AL135&gt;0),MIN(O135,AL135),"-")</f>
        <v>-</v>
      </c>
      <c r="BJ135" s="59" t="str">
        <f>IF(AND(P135&gt;0,AM135&gt;0),MIN(P135,AM135),"-")</f>
        <v>-</v>
      </c>
      <c r="BK135" s="59" t="str">
        <f>IF(AND(Q135&gt;0,AN135&gt;0),MIN(Q135,AN135),"-")</f>
        <v>-</v>
      </c>
      <c r="BL135" s="59" t="str">
        <f>IF(AND(R135&gt;0,AO135&gt;0),MIN(R135,AO135),"-")</f>
        <v>-</v>
      </c>
      <c r="BM135" s="59" t="str">
        <f>IF(AND(S135&gt;0,AP135&gt;0),MIN(S135,AP135),"-")</f>
        <v>-</v>
      </c>
      <c r="BN135" s="59" t="str">
        <f>IF(AND(T135&gt;0,AQ135&gt;0),MIN(T135,AQ135),"-")</f>
        <v>-</v>
      </c>
      <c r="BO135" s="59" t="str">
        <f>IF(AND(U135&gt;0,AR135&gt;0),MIN(U135,AR135),"-")</f>
        <v>-</v>
      </c>
      <c r="BP135" s="59" t="str">
        <f>IF(AND(V135&gt;0,AS135&gt;0),MIN(V135,AS135),"-")</f>
        <v>-</v>
      </c>
      <c r="BQ135" s="59" t="str">
        <f t="shared" si="40"/>
        <v>-</v>
      </c>
      <c r="BR135" s="59" t="str">
        <f t="shared" si="41"/>
        <v>-</v>
      </c>
      <c r="BS135" s="59" t="str">
        <f t="shared" si="42"/>
        <v>-</v>
      </c>
      <c r="BT135" s="98" t="str">
        <f>IF(ISNUMBER(BS135),BS135-(C135*Rules!$P$9/100),"-")</f>
        <v>-</v>
      </c>
      <c r="BU135" s="59" t="e">
        <f>RANK($BT135,$BT$5:$BT$106,1)+COUNTIF(BT$5:BT135,BT135)-1</f>
        <v>#VALUE!</v>
      </c>
      <c r="BV135" s="59" t="e">
        <f t="shared" si="43"/>
        <v>#VALUE!</v>
      </c>
      <c r="BW135" s="59" t="str">
        <f t="shared" si="44"/>
        <v xml:space="preserve"> </v>
      </c>
      <c r="BX135" s="59">
        <f t="shared" si="44"/>
        <v>0</v>
      </c>
      <c r="BY135" s="59" t="str">
        <f t="shared" si="45"/>
        <v>-</v>
      </c>
      <c r="CD135" s="79"/>
      <c r="CE135" s="80"/>
      <c r="CF135" s="104"/>
      <c r="CL135" s="77">
        <v>1</v>
      </c>
    </row>
    <row r="136" spans="1:90" ht="17.45" customHeight="1">
      <c r="A136" s="58">
        <v>132</v>
      </c>
      <c r="B136" s="59" t="str">
        <f>'C Div'!A136 &amp; " " &amp; 'C Div'!B136</f>
        <v xml:space="preserve"> </v>
      </c>
      <c r="C136" s="59">
        <f>'C Div'!E136</f>
        <v>0</v>
      </c>
      <c r="D136" s="60"/>
      <c r="E136" s="60"/>
      <c r="F136" s="60"/>
      <c r="G136" s="60"/>
      <c r="H136" s="60"/>
      <c r="I136" s="60"/>
      <c r="J136" s="60"/>
      <c r="K136" s="60"/>
      <c r="L136" s="60"/>
      <c r="M136" s="74" t="str">
        <f t="shared" si="31"/>
        <v>-</v>
      </c>
      <c r="N136" s="60"/>
      <c r="O136" s="60"/>
      <c r="P136" s="60"/>
      <c r="Q136" s="60"/>
      <c r="R136" s="60"/>
      <c r="S136" s="60"/>
      <c r="T136" s="60"/>
      <c r="U136" s="60"/>
      <c r="V136" s="60"/>
      <c r="W136" s="74" t="str">
        <f t="shared" si="32"/>
        <v>-</v>
      </c>
      <c r="X136" s="155" t="str">
        <f t="shared" si="33"/>
        <v>-</v>
      </c>
      <c r="Y136" s="156" t="str">
        <f t="shared" si="34"/>
        <v>-</v>
      </c>
      <c r="AA136" s="60"/>
      <c r="AB136" s="60"/>
      <c r="AC136" s="60"/>
      <c r="AD136" s="60"/>
      <c r="AE136" s="60"/>
      <c r="AF136" s="60"/>
      <c r="AG136" s="60"/>
      <c r="AH136" s="60"/>
      <c r="AI136" s="60"/>
      <c r="AJ136" s="74" t="str">
        <f t="shared" si="35"/>
        <v>-</v>
      </c>
      <c r="AK136" s="60"/>
      <c r="AL136" s="60"/>
      <c r="AM136" s="60"/>
      <c r="AN136" s="60"/>
      <c r="AO136" s="60"/>
      <c r="AP136" s="60"/>
      <c r="AQ136" s="60"/>
      <c r="AR136" s="60"/>
      <c r="AS136" s="60"/>
      <c r="AT136" s="74" t="str">
        <f t="shared" si="36"/>
        <v>-</v>
      </c>
      <c r="AU136" s="155" t="str">
        <f t="shared" si="37"/>
        <v>-</v>
      </c>
      <c r="AV136" s="156" t="str">
        <f t="shared" si="38"/>
        <v>-</v>
      </c>
      <c r="AX136" s="59" t="str">
        <f>IF(AND(D136&gt;0,AA136&gt;0),MIN(D136,AA136),"-")</f>
        <v>-</v>
      </c>
      <c r="AY136" s="59" t="str">
        <f>IF(AND(E136&gt;0,AB136&gt;0),MIN(E136,AB136),"-")</f>
        <v>-</v>
      </c>
      <c r="AZ136" s="59" t="str">
        <f>IF(AND(F136&gt;0,AC136&gt;0),MIN(F136,AC136),"-")</f>
        <v>-</v>
      </c>
      <c r="BA136" s="59" t="str">
        <f>IF(AND(G136&gt;0,AD136&gt;0),MIN(G136,AD136),"-")</f>
        <v>-</v>
      </c>
      <c r="BB136" s="59" t="str">
        <f>IF(AND(H136&gt;0,AE136&gt;0),MIN(H136,AE136),"-")</f>
        <v>-</v>
      </c>
      <c r="BC136" s="59" t="str">
        <f>IF(AND(I136&gt;0,AF136&gt;0),MIN(I136,AF136),"-")</f>
        <v>-</v>
      </c>
      <c r="BD136" s="59" t="str">
        <f>IF(AND(J136&gt;0,AG136&gt;0),MIN(J136,AG136),"-")</f>
        <v>-</v>
      </c>
      <c r="BE136" s="59" t="str">
        <f>IF(AND(K136&gt;0,AH136&gt;0),MIN(K136,AH136),"-")</f>
        <v>-</v>
      </c>
      <c r="BF136" s="59" t="str">
        <f>IF(AND(L136&gt;0,AI136&gt;0),MIN(L136,AI136),"-")</f>
        <v>-</v>
      </c>
      <c r="BG136" s="59" t="str">
        <f t="shared" si="39"/>
        <v>-</v>
      </c>
      <c r="BH136" s="59" t="str">
        <f>IF(AND(N136&gt;0,AK136&gt;0),MIN(N136,AK136),"-")</f>
        <v>-</v>
      </c>
      <c r="BI136" s="59" t="str">
        <f>IF(AND(O136&gt;0,AL136&gt;0),MIN(O136,AL136),"-")</f>
        <v>-</v>
      </c>
      <c r="BJ136" s="59" t="str">
        <f>IF(AND(P136&gt;0,AM136&gt;0),MIN(P136,AM136),"-")</f>
        <v>-</v>
      </c>
      <c r="BK136" s="59" t="str">
        <f>IF(AND(Q136&gt;0,AN136&gt;0),MIN(Q136,AN136),"-")</f>
        <v>-</v>
      </c>
      <c r="BL136" s="59" t="str">
        <f>IF(AND(R136&gt;0,AO136&gt;0),MIN(R136,AO136),"-")</f>
        <v>-</v>
      </c>
      <c r="BM136" s="59" t="str">
        <f>IF(AND(S136&gt;0,AP136&gt;0),MIN(S136,AP136),"-")</f>
        <v>-</v>
      </c>
      <c r="BN136" s="59" t="str">
        <f>IF(AND(T136&gt;0,AQ136&gt;0),MIN(T136,AQ136),"-")</f>
        <v>-</v>
      </c>
      <c r="BO136" s="59" t="str">
        <f>IF(AND(U136&gt;0,AR136&gt;0),MIN(U136,AR136),"-")</f>
        <v>-</v>
      </c>
      <c r="BP136" s="59" t="str">
        <f>IF(AND(V136&gt;0,AS136&gt;0),MIN(V136,AS136),"-")</f>
        <v>-</v>
      </c>
      <c r="BQ136" s="59" t="str">
        <f t="shared" si="40"/>
        <v>-</v>
      </c>
      <c r="BR136" s="59" t="str">
        <f t="shared" si="41"/>
        <v>-</v>
      </c>
      <c r="BS136" s="59" t="str">
        <f t="shared" si="42"/>
        <v>-</v>
      </c>
      <c r="BT136" s="98" t="str">
        <f>IF(ISNUMBER(BS136),BS136-(C136*Rules!$P$9/100),"-")</f>
        <v>-</v>
      </c>
      <c r="BU136" s="59" t="e">
        <f>RANK($BT136,$BT$5:$BT$106,1)+COUNTIF(BT$5:BT136,BT136)-1</f>
        <v>#VALUE!</v>
      </c>
      <c r="BV136" s="59" t="e">
        <f t="shared" si="43"/>
        <v>#VALUE!</v>
      </c>
      <c r="BW136" s="59" t="str">
        <f t="shared" si="44"/>
        <v xml:space="preserve"> </v>
      </c>
      <c r="BX136" s="59">
        <f t="shared" si="44"/>
        <v>0</v>
      </c>
      <c r="BY136" s="59" t="str">
        <f t="shared" si="45"/>
        <v>-</v>
      </c>
      <c r="CD136" s="79"/>
      <c r="CE136" s="80"/>
      <c r="CF136" s="104"/>
      <c r="CL136" s="77">
        <v>1</v>
      </c>
    </row>
    <row r="137" spans="1:90" ht="17.45" customHeight="1">
      <c r="A137" s="58">
        <v>133</v>
      </c>
      <c r="B137" s="59" t="str">
        <f>'C Div'!A137 &amp; " " &amp; 'C Div'!B137</f>
        <v xml:space="preserve"> </v>
      </c>
      <c r="C137" s="59">
        <f>'C Div'!E137</f>
        <v>0</v>
      </c>
      <c r="D137" s="60"/>
      <c r="E137" s="60"/>
      <c r="F137" s="60"/>
      <c r="G137" s="60"/>
      <c r="H137" s="60"/>
      <c r="I137" s="60"/>
      <c r="J137" s="60"/>
      <c r="K137" s="60"/>
      <c r="L137" s="60"/>
      <c r="M137" s="74" t="str">
        <f t="shared" si="31"/>
        <v>-</v>
      </c>
      <c r="N137" s="60"/>
      <c r="O137" s="60"/>
      <c r="P137" s="60"/>
      <c r="Q137" s="60"/>
      <c r="R137" s="60"/>
      <c r="S137" s="60"/>
      <c r="T137" s="60"/>
      <c r="U137" s="60"/>
      <c r="V137" s="60"/>
      <c r="W137" s="74" t="str">
        <f t="shared" si="32"/>
        <v>-</v>
      </c>
      <c r="X137" s="155" t="str">
        <f t="shared" si="33"/>
        <v>-</v>
      </c>
      <c r="Y137" s="156" t="str">
        <f t="shared" si="34"/>
        <v>-</v>
      </c>
      <c r="AA137" s="60"/>
      <c r="AB137" s="60"/>
      <c r="AC137" s="60"/>
      <c r="AD137" s="60"/>
      <c r="AE137" s="60"/>
      <c r="AF137" s="60"/>
      <c r="AG137" s="60"/>
      <c r="AH137" s="60"/>
      <c r="AI137" s="60"/>
      <c r="AJ137" s="74" t="str">
        <f t="shared" si="35"/>
        <v>-</v>
      </c>
      <c r="AK137" s="60"/>
      <c r="AL137" s="60"/>
      <c r="AM137" s="60"/>
      <c r="AN137" s="60"/>
      <c r="AO137" s="60"/>
      <c r="AP137" s="60"/>
      <c r="AQ137" s="60"/>
      <c r="AR137" s="60"/>
      <c r="AS137" s="60"/>
      <c r="AT137" s="74" t="str">
        <f t="shared" si="36"/>
        <v>-</v>
      </c>
      <c r="AU137" s="155" t="str">
        <f t="shared" si="37"/>
        <v>-</v>
      </c>
      <c r="AV137" s="156" t="str">
        <f t="shared" si="38"/>
        <v>-</v>
      </c>
      <c r="AX137" s="59" t="str">
        <f>IF(AND(D137&gt;0,AA137&gt;0),MIN(D137,AA137),"-")</f>
        <v>-</v>
      </c>
      <c r="AY137" s="59" t="str">
        <f>IF(AND(E137&gt;0,AB137&gt;0),MIN(E137,AB137),"-")</f>
        <v>-</v>
      </c>
      <c r="AZ137" s="59" t="str">
        <f>IF(AND(F137&gt;0,AC137&gt;0),MIN(F137,AC137),"-")</f>
        <v>-</v>
      </c>
      <c r="BA137" s="59" t="str">
        <f>IF(AND(G137&gt;0,AD137&gt;0),MIN(G137,AD137),"-")</f>
        <v>-</v>
      </c>
      <c r="BB137" s="59" t="str">
        <f>IF(AND(H137&gt;0,AE137&gt;0),MIN(H137,AE137),"-")</f>
        <v>-</v>
      </c>
      <c r="BC137" s="59" t="str">
        <f>IF(AND(I137&gt;0,AF137&gt;0),MIN(I137,AF137),"-")</f>
        <v>-</v>
      </c>
      <c r="BD137" s="59" t="str">
        <f>IF(AND(J137&gt;0,AG137&gt;0),MIN(J137,AG137),"-")</f>
        <v>-</v>
      </c>
      <c r="BE137" s="59" t="str">
        <f>IF(AND(K137&gt;0,AH137&gt;0),MIN(K137,AH137),"-")</f>
        <v>-</v>
      </c>
      <c r="BF137" s="59" t="str">
        <f>IF(AND(L137&gt;0,AI137&gt;0),MIN(L137,AI137),"-")</f>
        <v>-</v>
      </c>
      <c r="BG137" s="59" t="str">
        <f t="shared" si="39"/>
        <v>-</v>
      </c>
      <c r="BH137" s="59" t="str">
        <f>IF(AND(N137&gt;0,AK137&gt;0),MIN(N137,AK137),"-")</f>
        <v>-</v>
      </c>
      <c r="BI137" s="59" t="str">
        <f>IF(AND(O137&gt;0,AL137&gt;0),MIN(O137,AL137),"-")</f>
        <v>-</v>
      </c>
      <c r="BJ137" s="59" t="str">
        <f>IF(AND(P137&gt;0,AM137&gt;0),MIN(P137,AM137),"-")</f>
        <v>-</v>
      </c>
      <c r="BK137" s="59" t="str">
        <f>IF(AND(Q137&gt;0,AN137&gt;0),MIN(Q137,AN137),"-")</f>
        <v>-</v>
      </c>
      <c r="BL137" s="59" t="str">
        <f>IF(AND(R137&gt;0,AO137&gt;0),MIN(R137,AO137),"-")</f>
        <v>-</v>
      </c>
      <c r="BM137" s="59" t="str">
        <f>IF(AND(S137&gt;0,AP137&gt;0),MIN(S137,AP137),"-")</f>
        <v>-</v>
      </c>
      <c r="BN137" s="59" t="str">
        <f>IF(AND(T137&gt;0,AQ137&gt;0),MIN(T137,AQ137),"-")</f>
        <v>-</v>
      </c>
      <c r="BO137" s="59" t="str">
        <f>IF(AND(U137&gt;0,AR137&gt;0),MIN(U137,AR137),"-")</f>
        <v>-</v>
      </c>
      <c r="BP137" s="59" t="str">
        <f>IF(AND(V137&gt;0,AS137&gt;0),MIN(V137,AS137),"-")</f>
        <v>-</v>
      </c>
      <c r="BQ137" s="59" t="str">
        <f t="shared" si="40"/>
        <v>-</v>
      </c>
      <c r="BR137" s="59" t="str">
        <f t="shared" si="41"/>
        <v>-</v>
      </c>
      <c r="BS137" s="59" t="str">
        <f t="shared" si="42"/>
        <v>-</v>
      </c>
      <c r="BT137" s="98" t="str">
        <f>IF(ISNUMBER(BS137),BS137-(C137*Rules!$P$9/100),"-")</f>
        <v>-</v>
      </c>
      <c r="BU137" s="59" t="e">
        <f>RANK($BT137,$BT$5:$BT$106,1)+COUNTIF(BT$5:BT137,BT137)-1</f>
        <v>#VALUE!</v>
      </c>
      <c r="BV137" s="59" t="e">
        <f t="shared" si="43"/>
        <v>#VALUE!</v>
      </c>
      <c r="BW137" s="59" t="str">
        <f t="shared" si="44"/>
        <v xml:space="preserve"> </v>
      </c>
      <c r="BX137" s="59">
        <f t="shared" si="44"/>
        <v>0</v>
      </c>
      <c r="BY137" s="59" t="str">
        <f t="shared" si="45"/>
        <v>-</v>
      </c>
      <c r="CD137" s="79"/>
      <c r="CE137" s="80"/>
      <c r="CF137" s="104"/>
      <c r="CL137" s="77">
        <v>1</v>
      </c>
    </row>
    <row r="138" spans="1:90" ht="17.45" customHeight="1">
      <c r="A138" s="58">
        <v>134</v>
      </c>
      <c r="B138" s="59" t="str">
        <f>'C Div'!A138 &amp; " " &amp; 'C Div'!B138</f>
        <v xml:space="preserve"> </v>
      </c>
      <c r="C138" s="59">
        <f>'C Div'!E138</f>
        <v>0</v>
      </c>
      <c r="D138" s="60"/>
      <c r="E138" s="60"/>
      <c r="F138" s="60"/>
      <c r="G138" s="60"/>
      <c r="H138" s="60"/>
      <c r="I138" s="60"/>
      <c r="J138" s="60"/>
      <c r="K138" s="60"/>
      <c r="L138" s="60"/>
      <c r="M138" s="74" t="str">
        <f t="shared" si="31"/>
        <v>-</v>
      </c>
      <c r="N138" s="60"/>
      <c r="O138" s="60"/>
      <c r="P138" s="60"/>
      <c r="Q138" s="60"/>
      <c r="R138" s="60"/>
      <c r="S138" s="60"/>
      <c r="T138" s="60"/>
      <c r="U138" s="60"/>
      <c r="V138" s="60"/>
      <c r="W138" s="74" t="str">
        <f t="shared" si="32"/>
        <v>-</v>
      </c>
      <c r="X138" s="155" t="str">
        <f t="shared" si="33"/>
        <v>-</v>
      </c>
      <c r="Y138" s="156" t="str">
        <f t="shared" si="34"/>
        <v>-</v>
      </c>
      <c r="AA138" s="60"/>
      <c r="AB138" s="60"/>
      <c r="AC138" s="60"/>
      <c r="AD138" s="60"/>
      <c r="AE138" s="60"/>
      <c r="AF138" s="60"/>
      <c r="AG138" s="60"/>
      <c r="AH138" s="60"/>
      <c r="AI138" s="60"/>
      <c r="AJ138" s="74" t="str">
        <f t="shared" si="35"/>
        <v>-</v>
      </c>
      <c r="AK138" s="60"/>
      <c r="AL138" s="60"/>
      <c r="AM138" s="60"/>
      <c r="AN138" s="60"/>
      <c r="AO138" s="60"/>
      <c r="AP138" s="60"/>
      <c r="AQ138" s="60"/>
      <c r="AR138" s="60"/>
      <c r="AS138" s="60"/>
      <c r="AT138" s="74" t="str">
        <f t="shared" si="36"/>
        <v>-</v>
      </c>
      <c r="AU138" s="155" t="str">
        <f t="shared" si="37"/>
        <v>-</v>
      </c>
      <c r="AV138" s="156" t="str">
        <f t="shared" si="38"/>
        <v>-</v>
      </c>
      <c r="AX138" s="59" t="str">
        <f>IF(AND(D138&gt;0,AA138&gt;0),MIN(D138,AA138),"-")</f>
        <v>-</v>
      </c>
      <c r="AY138" s="59" t="str">
        <f>IF(AND(E138&gt;0,AB138&gt;0),MIN(E138,AB138),"-")</f>
        <v>-</v>
      </c>
      <c r="AZ138" s="59" t="str">
        <f>IF(AND(F138&gt;0,AC138&gt;0),MIN(F138,AC138),"-")</f>
        <v>-</v>
      </c>
      <c r="BA138" s="59" t="str">
        <f>IF(AND(G138&gt;0,AD138&gt;0),MIN(G138,AD138),"-")</f>
        <v>-</v>
      </c>
      <c r="BB138" s="59" t="str">
        <f>IF(AND(H138&gt;0,AE138&gt;0),MIN(H138,AE138),"-")</f>
        <v>-</v>
      </c>
      <c r="BC138" s="59" t="str">
        <f>IF(AND(I138&gt;0,AF138&gt;0),MIN(I138,AF138),"-")</f>
        <v>-</v>
      </c>
      <c r="BD138" s="59" t="str">
        <f>IF(AND(J138&gt;0,AG138&gt;0),MIN(J138,AG138),"-")</f>
        <v>-</v>
      </c>
      <c r="BE138" s="59" t="str">
        <f>IF(AND(K138&gt;0,AH138&gt;0),MIN(K138,AH138),"-")</f>
        <v>-</v>
      </c>
      <c r="BF138" s="59" t="str">
        <f>IF(AND(L138&gt;0,AI138&gt;0),MIN(L138,AI138),"-")</f>
        <v>-</v>
      </c>
      <c r="BG138" s="59" t="str">
        <f t="shared" si="39"/>
        <v>-</v>
      </c>
      <c r="BH138" s="59" t="str">
        <f>IF(AND(N138&gt;0,AK138&gt;0),MIN(N138,AK138),"-")</f>
        <v>-</v>
      </c>
      <c r="BI138" s="59" t="str">
        <f>IF(AND(O138&gt;0,AL138&gt;0),MIN(O138,AL138),"-")</f>
        <v>-</v>
      </c>
      <c r="BJ138" s="59" t="str">
        <f>IF(AND(P138&gt;0,AM138&gt;0),MIN(P138,AM138),"-")</f>
        <v>-</v>
      </c>
      <c r="BK138" s="59" t="str">
        <f>IF(AND(Q138&gt;0,AN138&gt;0),MIN(Q138,AN138),"-")</f>
        <v>-</v>
      </c>
      <c r="BL138" s="59" t="str">
        <f>IF(AND(R138&gt;0,AO138&gt;0),MIN(R138,AO138),"-")</f>
        <v>-</v>
      </c>
      <c r="BM138" s="59" t="str">
        <f>IF(AND(S138&gt;0,AP138&gt;0),MIN(S138,AP138),"-")</f>
        <v>-</v>
      </c>
      <c r="BN138" s="59" t="str">
        <f>IF(AND(T138&gt;0,AQ138&gt;0),MIN(T138,AQ138),"-")</f>
        <v>-</v>
      </c>
      <c r="BO138" s="59" t="str">
        <f>IF(AND(U138&gt;0,AR138&gt;0),MIN(U138,AR138),"-")</f>
        <v>-</v>
      </c>
      <c r="BP138" s="59" t="str">
        <f>IF(AND(V138&gt;0,AS138&gt;0),MIN(V138,AS138),"-")</f>
        <v>-</v>
      </c>
      <c r="BQ138" s="59" t="str">
        <f t="shared" si="40"/>
        <v>-</v>
      </c>
      <c r="BR138" s="59" t="str">
        <f t="shared" si="41"/>
        <v>-</v>
      </c>
      <c r="BS138" s="59" t="str">
        <f t="shared" si="42"/>
        <v>-</v>
      </c>
      <c r="BT138" s="98" t="str">
        <f>IF(ISNUMBER(BS138),BS138-(C138*Rules!$P$9/100),"-")</f>
        <v>-</v>
      </c>
      <c r="BU138" s="59" t="e">
        <f>RANK($BT138,$BT$5:$BT$106,1)+COUNTIF(BT$5:BT138,BT138)-1</f>
        <v>#VALUE!</v>
      </c>
      <c r="BV138" s="59" t="e">
        <f t="shared" si="43"/>
        <v>#VALUE!</v>
      </c>
      <c r="BW138" s="59" t="str">
        <f t="shared" si="44"/>
        <v xml:space="preserve"> </v>
      </c>
      <c r="BX138" s="59">
        <f t="shared" si="44"/>
        <v>0</v>
      </c>
      <c r="BY138" s="59" t="str">
        <f t="shared" si="45"/>
        <v>-</v>
      </c>
      <c r="CD138" s="79"/>
      <c r="CE138" s="80"/>
      <c r="CF138" s="104"/>
      <c r="CL138" s="77">
        <v>1</v>
      </c>
    </row>
    <row r="139" spans="1:90" ht="17.45" customHeight="1">
      <c r="A139" s="58">
        <v>135</v>
      </c>
      <c r="B139" s="59" t="str">
        <f>'C Div'!A139 &amp; " " &amp; 'C Div'!B139</f>
        <v xml:space="preserve"> </v>
      </c>
      <c r="C139" s="59">
        <f>'C Div'!E139</f>
        <v>0</v>
      </c>
      <c r="D139" s="60"/>
      <c r="E139" s="60"/>
      <c r="F139" s="60"/>
      <c r="G139" s="60"/>
      <c r="H139" s="60"/>
      <c r="I139" s="60"/>
      <c r="J139" s="60"/>
      <c r="K139" s="60"/>
      <c r="L139" s="60"/>
      <c r="M139" s="74" t="str">
        <f t="shared" si="31"/>
        <v>-</v>
      </c>
      <c r="N139" s="60"/>
      <c r="O139" s="60"/>
      <c r="P139" s="60"/>
      <c r="Q139" s="60"/>
      <c r="R139" s="60"/>
      <c r="S139" s="60"/>
      <c r="T139" s="60"/>
      <c r="U139" s="60"/>
      <c r="V139" s="60"/>
      <c r="W139" s="74" t="str">
        <f t="shared" si="32"/>
        <v>-</v>
      </c>
      <c r="X139" s="155" t="str">
        <f t="shared" si="33"/>
        <v>-</v>
      </c>
      <c r="Y139" s="156" t="str">
        <f t="shared" si="34"/>
        <v>-</v>
      </c>
      <c r="AA139" s="60"/>
      <c r="AB139" s="60"/>
      <c r="AC139" s="60"/>
      <c r="AD139" s="60"/>
      <c r="AE139" s="60"/>
      <c r="AF139" s="60"/>
      <c r="AG139" s="60"/>
      <c r="AH139" s="60"/>
      <c r="AI139" s="60"/>
      <c r="AJ139" s="74" t="str">
        <f t="shared" si="35"/>
        <v>-</v>
      </c>
      <c r="AK139" s="60"/>
      <c r="AL139" s="60"/>
      <c r="AM139" s="60"/>
      <c r="AN139" s="60"/>
      <c r="AO139" s="60"/>
      <c r="AP139" s="60"/>
      <c r="AQ139" s="60"/>
      <c r="AR139" s="60"/>
      <c r="AS139" s="60"/>
      <c r="AT139" s="74" t="str">
        <f t="shared" si="36"/>
        <v>-</v>
      </c>
      <c r="AU139" s="155" t="str">
        <f t="shared" si="37"/>
        <v>-</v>
      </c>
      <c r="AV139" s="156" t="str">
        <f t="shared" si="38"/>
        <v>-</v>
      </c>
      <c r="AX139" s="59" t="str">
        <f>IF(AND(D139&gt;0,AA139&gt;0),MIN(D139,AA139),"-")</f>
        <v>-</v>
      </c>
      <c r="AY139" s="59" t="str">
        <f>IF(AND(E139&gt;0,AB139&gt;0),MIN(E139,AB139),"-")</f>
        <v>-</v>
      </c>
      <c r="AZ139" s="59" t="str">
        <f>IF(AND(F139&gt;0,AC139&gt;0),MIN(F139,AC139),"-")</f>
        <v>-</v>
      </c>
      <c r="BA139" s="59" t="str">
        <f>IF(AND(G139&gt;0,AD139&gt;0),MIN(G139,AD139),"-")</f>
        <v>-</v>
      </c>
      <c r="BB139" s="59" t="str">
        <f>IF(AND(H139&gt;0,AE139&gt;0),MIN(H139,AE139),"-")</f>
        <v>-</v>
      </c>
      <c r="BC139" s="59" t="str">
        <f>IF(AND(I139&gt;0,AF139&gt;0),MIN(I139,AF139),"-")</f>
        <v>-</v>
      </c>
      <c r="BD139" s="59" t="str">
        <f>IF(AND(J139&gt;0,AG139&gt;0),MIN(J139,AG139),"-")</f>
        <v>-</v>
      </c>
      <c r="BE139" s="59" t="str">
        <f>IF(AND(K139&gt;0,AH139&gt;0),MIN(K139,AH139),"-")</f>
        <v>-</v>
      </c>
      <c r="BF139" s="59" t="str">
        <f>IF(AND(L139&gt;0,AI139&gt;0),MIN(L139,AI139),"-")</f>
        <v>-</v>
      </c>
      <c r="BG139" s="59" t="str">
        <f t="shared" si="39"/>
        <v>-</v>
      </c>
      <c r="BH139" s="59" t="str">
        <f>IF(AND(N139&gt;0,AK139&gt;0),MIN(N139,AK139),"-")</f>
        <v>-</v>
      </c>
      <c r="BI139" s="59" t="str">
        <f>IF(AND(O139&gt;0,AL139&gt;0),MIN(O139,AL139),"-")</f>
        <v>-</v>
      </c>
      <c r="BJ139" s="59" t="str">
        <f>IF(AND(P139&gt;0,AM139&gt;0),MIN(P139,AM139),"-")</f>
        <v>-</v>
      </c>
      <c r="BK139" s="59" t="str">
        <f>IF(AND(Q139&gt;0,AN139&gt;0),MIN(Q139,AN139),"-")</f>
        <v>-</v>
      </c>
      <c r="BL139" s="59" t="str">
        <f>IF(AND(R139&gt;0,AO139&gt;0),MIN(R139,AO139),"-")</f>
        <v>-</v>
      </c>
      <c r="BM139" s="59" t="str">
        <f>IF(AND(S139&gt;0,AP139&gt;0),MIN(S139,AP139),"-")</f>
        <v>-</v>
      </c>
      <c r="BN139" s="59" t="str">
        <f>IF(AND(T139&gt;0,AQ139&gt;0),MIN(T139,AQ139),"-")</f>
        <v>-</v>
      </c>
      <c r="BO139" s="59" t="str">
        <f>IF(AND(U139&gt;0,AR139&gt;0),MIN(U139,AR139),"-")</f>
        <v>-</v>
      </c>
      <c r="BP139" s="59" t="str">
        <f>IF(AND(V139&gt;0,AS139&gt;0),MIN(V139,AS139),"-")</f>
        <v>-</v>
      </c>
      <c r="BQ139" s="59" t="str">
        <f t="shared" si="40"/>
        <v>-</v>
      </c>
      <c r="BR139" s="59" t="str">
        <f t="shared" si="41"/>
        <v>-</v>
      </c>
      <c r="BS139" s="59" t="str">
        <f t="shared" si="42"/>
        <v>-</v>
      </c>
      <c r="BT139" s="98" t="str">
        <f>IF(ISNUMBER(BS139),BS139-(C139*Rules!$P$9/100),"-")</f>
        <v>-</v>
      </c>
      <c r="BU139" s="59" t="e">
        <f>RANK($BT139,$BT$5:$BT$106,1)+COUNTIF(BT$5:BT139,BT139)-1</f>
        <v>#VALUE!</v>
      </c>
      <c r="BV139" s="59" t="e">
        <f t="shared" si="43"/>
        <v>#VALUE!</v>
      </c>
      <c r="BW139" s="59" t="str">
        <f t="shared" si="44"/>
        <v xml:space="preserve"> </v>
      </c>
      <c r="BX139" s="59">
        <f t="shared" si="44"/>
        <v>0</v>
      </c>
      <c r="BY139" s="59" t="str">
        <f t="shared" si="45"/>
        <v>-</v>
      </c>
      <c r="CD139" s="79"/>
      <c r="CE139" s="80"/>
      <c r="CF139" s="104"/>
      <c r="CL139" s="77">
        <v>1</v>
      </c>
    </row>
    <row r="140" spans="1:90" ht="17.45" customHeight="1">
      <c r="A140" s="58">
        <v>136</v>
      </c>
      <c r="B140" s="59" t="str">
        <f>'C Div'!A140 &amp; " " &amp; 'C Div'!B140</f>
        <v xml:space="preserve"> </v>
      </c>
      <c r="C140" s="59">
        <f>'C Div'!E140</f>
        <v>0</v>
      </c>
      <c r="D140" s="60"/>
      <c r="E140" s="60"/>
      <c r="F140" s="60"/>
      <c r="G140" s="60"/>
      <c r="H140" s="60"/>
      <c r="I140" s="60"/>
      <c r="J140" s="60"/>
      <c r="K140" s="60"/>
      <c r="L140" s="60"/>
      <c r="M140" s="74" t="str">
        <f t="shared" si="31"/>
        <v>-</v>
      </c>
      <c r="N140" s="60"/>
      <c r="O140" s="60"/>
      <c r="P140" s="60"/>
      <c r="Q140" s="60"/>
      <c r="R140" s="60"/>
      <c r="S140" s="60"/>
      <c r="T140" s="60"/>
      <c r="U140" s="60"/>
      <c r="V140" s="60"/>
      <c r="W140" s="74" t="str">
        <f t="shared" si="32"/>
        <v>-</v>
      </c>
      <c r="X140" s="155" t="str">
        <f t="shared" si="33"/>
        <v>-</v>
      </c>
      <c r="Y140" s="156" t="str">
        <f t="shared" si="34"/>
        <v>-</v>
      </c>
      <c r="AA140" s="60"/>
      <c r="AB140" s="60"/>
      <c r="AC140" s="60"/>
      <c r="AD140" s="60"/>
      <c r="AE140" s="60"/>
      <c r="AF140" s="60"/>
      <c r="AG140" s="60"/>
      <c r="AH140" s="60"/>
      <c r="AI140" s="60"/>
      <c r="AJ140" s="74" t="str">
        <f t="shared" si="35"/>
        <v>-</v>
      </c>
      <c r="AK140" s="60"/>
      <c r="AL140" s="60"/>
      <c r="AM140" s="60"/>
      <c r="AN140" s="60"/>
      <c r="AO140" s="60"/>
      <c r="AP140" s="60"/>
      <c r="AQ140" s="60"/>
      <c r="AR140" s="60"/>
      <c r="AS140" s="60"/>
      <c r="AT140" s="74" t="str">
        <f t="shared" si="36"/>
        <v>-</v>
      </c>
      <c r="AU140" s="155" t="str">
        <f t="shared" si="37"/>
        <v>-</v>
      </c>
      <c r="AV140" s="156" t="str">
        <f t="shared" si="38"/>
        <v>-</v>
      </c>
      <c r="AX140" s="59" t="str">
        <f>IF(AND(D140&gt;0,AA140&gt;0),MIN(D140,AA140),"-")</f>
        <v>-</v>
      </c>
      <c r="AY140" s="59" t="str">
        <f>IF(AND(E140&gt;0,AB140&gt;0),MIN(E140,AB140),"-")</f>
        <v>-</v>
      </c>
      <c r="AZ140" s="59" t="str">
        <f>IF(AND(F140&gt;0,AC140&gt;0),MIN(F140,AC140),"-")</f>
        <v>-</v>
      </c>
      <c r="BA140" s="59" t="str">
        <f>IF(AND(G140&gt;0,AD140&gt;0),MIN(G140,AD140),"-")</f>
        <v>-</v>
      </c>
      <c r="BB140" s="59" t="str">
        <f>IF(AND(H140&gt;0,AE140&gt;0),MIN(H140,AE140),"-")</f>
        <v>-</v>
      </c>
      <c r="BC140" s="59" t="str">
        <f>IF(AND(I140&gt;0,AF140&gt;0),MIN(I140,AF140),"-")</f>
        <v>-</v>
      </c>
      <c r="BD140" s="59" t="str">
        <f>IF(AND(J140&gt;0,AG140&gt;0),MIN(J140,AG140),"-")</f>
        <v>-</v>
      </c>
      <c r="BE140" s="59" t="str">
        <f>IF(AND(K140&gt;0,AH140&gt;0),MIN(K140,AH140),"-")</f>
        <v>-</v>
      </c>
      <c r="BF140" s="59" t="str">
        <f>IF(AND(L140&gt;0,AI140&gt;0),MIN(L140,AI140),"-")</f>
        <v>-</v>
      </c>
      <c r="BG140" s="59" t="str">
        <f t="shared" si="39"/>
        <v>-</v>
      </c>
      <c r="BH140" s="59" t="str">
        <f>IF(AND(N140&gt;0,AK140&gt;0),MIN(N140,AK140),"-")</f>
        <v>-</v>
      </c>
      <c r="BI140" s="59" t="str">
        <f>IF(AND(O140&gt;0,AL140&gt;0),MIN(O140,AL140),"-")</f>
        <v>-</v>
      </c>
      <c r="BJ140" s="59" t="str">
        <f>IF(AND(P140&gt;0,AM140&gt;0),MIN(P140,AM140),"-")</f>
        <v>-</v>
      </c>
      <c r="BK140" s="59" t="str">
        <f>IF(AND(Q140&gt;0,AN140&gt;0),MIN(Q140,AN140),"-")</f>
        <v>-</v>
      </c>
      <c r="BL140" s="59" t="str">
        <f>IF(AND(R140&gt;0,AO140&gt;0),MIN(R140,AO140),"-")</f>
        <v>-</v>
      </c>
      <c r="BM140" s="59" t="str">
        <f>IF(AND(S140&gt;0,AP140&gt;0),MIN(S140,AP140),"-")</f>
        <v>-</v>
      </c>
      <c r="BN140" s="59" t="str">
        <f>IF(AND(T140&gt;0,AQ140&gt;0),MIN(T140,AQ140),"-")</f>
        <v>-</v>
      </c>
      <c r="BO140" s="59" t="str">
        <f>IF(AND(U140&gt;0,AR140&gt;0),MIN(U140,AR140),"-")</f>
        <v>-</v>
      </c>
      <c r="BP140" s="59" t="str">
        <f>IF(AND(V140&gt;0,AS140&gt;0),MIN(V140,AS140),"-")</f>
        <v>-</v>
      </c>
      <c r="BQ140" s="59" t="str">
        <f t="shared" si="40"/>
        <v>-</v>
      </c>
      <c r="BR140" s="59" t="str">
        <f t="shared" si="41"/>
        <v>-</v>
      </c>
      <c r="BS140" s="59" t="str">
        <f t="shared" si="42"/>
        <v>-</v>
      </c>
      <c r="BT140" s="98" t="str">
        <f>IF(ISNUMBER(BS140),BS140-(C140*Rules!$P$9/100),"-")</f>
        <v>-</v>
      </c>
      <c r="BU140" s="59" t="e">
        <f>RANK($BT140,$BT$5:$BT$106,1)+COUNTIF(BT$5:BT140,BT140)-1</f>
        <v>#VALUE!</v>
      </c>
      <c r="BV140" s="59" t="e">
        <f t="shared" si="43"/>
        <v>#VALUE!</v>
      </c>
      <c r="BW140" s="59" t="str">
        <f t="shared" si="44"/>
        <v xml:space="preserve"> </v>
      </c>
      <c r="BX140" s="59">
        <f t="shared" si="44"/>
        <v>0</v>
      </c>
      <c r="BY140" s="59" t="str">
        <f t="shared" si="45"/>
        <v>-</v>
      </c>
      <c r="CD140" s="79"/>
      <c r="CE140" s="80"/>
      <c r="CF140" s="104"/>
      <c r="CL140" s="77">
        <v>1</v>
      </c>
    </row>
    <row r="141" spans="1:90" ht="17.45" customHeight="1">
      <c r="A141" s="58">
        <v>137</v>
      </c>
      <c r="B141" s="59" t="str">
        <f>'C Div'!A141 &amp; " " &amp; 'C Div'!B141</f>
        <v xml:space="preserve"> </v>
      </c>
      <c r="C141" s="59">
        <f>'C Div'!E141</f>
        <v>0</v>
      </c>
      <c r="D141" s="60"/>
      <c r="E141" s="60"/>
      <c r="F141" s="60"/>
      <c r="G141" s="60"/>
      <c r="H141" s="60"/>
      <c r="I141" s="60"/>
      <c r="J141" s="60"/>
      <c r="K141" s="60"/>
      <c r="L141" s="60"/>
      <c r="M141" s="74" t="str">
        <f t="shared" si="31"/>
        <v>-</v>
      </c>
      <c r="N141" s="60"/>
      <c r="O141" s="60"/>
      <c r="P141" s="60"/>
      <c r="Q141" s="60"/>
      <c r="R141" s="60"/>
      <c r="S141" s="60"/>
      <c r="T141" s="60"/>
      <c r="U141" s="60"/>
      <c r="V141" s="60"/>
      <c r="W141" s="74" t="str">
        <f t="shared" si="32"/>
        <v>-</v>
      </c>
      <c r="X141" s="155" t="str">
        <f t="shared" si="33"/>
        <v>-</v>
      </c>
      <c r="Y141" s="156" t="str">
        <f t="shared" si="34"/>
        <v>-</v>
      </c>
      <c r="AA141" s="60"/>
      <c r="AB141" s="60"/>
      <c r="AC141" s="60"/>
      <c r="AD141" s="60"/>
      <c r="AE141" s="60"/>
      <c r="AF141" s="60"/>
      <c r="AG141" s="60"/>
      <c r="AH141" s="60"/>
      <c r="AI141" s="60"/>
      <c r="AJ141" s="74" t="str">
        <f t="shared" si="35"/>
        <v>-</v>
      </c>
      <c r="AK141" s="60"/>
      <c r="AL141" s="60"/>
      <c r="AM141" s="60"/>
      <c r="AN141" s="60"/>
      <c r="AO141" s="60"/>
      <c r="AP141" s="60"/>
      <c r="AQ141" s="60"/>
      <c r="AR141" s="60"/>
      <c r="AS141" s="60"/>
      <c r="AT141" s="74" t="str">
        <f t="shared" si="36"/>
        <v>-</v>
      </c>
      <c r="AU141" s="155" t="str">
        <f t="shared" si="37"/>
        <v>-</v>
      </c>
      <c r="AV141" s="156" t="str">
        <f t="shared" si="38"/>
        <v>-</v>
      </c>
      <c r="AX141" s="59" t="str">
        <f>IF(AND(D141&gt;0,AA141&gt;0),MIN(D141,AA141),"-")</f>
        <v>-</v>
      </c>
      <c r="AY141" s="59" t="str">
        <f>IF(AND(E141&gt;0,AB141&gt;0),MIN(E141,AB141),"-")</f>
        <v>-</v>
      </c>
      <c r="AZ141" s="59" t="str">
        <f>IF(AND(F141&gt;0,AC141&gt;0),MIN(F141,AC141),"-")</f>
        <v>-</v>
      </c>
      <c r="BA141" s="59" t="str">
        <f>IF(AND(G141&gt;0,AD141&gt;0),MIN(G141,AD141),"-")</f>
        <v>-</v>
      </c>
      <c r="BB141" s="59" t="str">
        <f>IF(AND(H141&gt;0,AE141&gt;0),MIN(H141,AE141),"-")</f>
        <v>-</v>
      </c>
      <c r="BC141" s="59" t="str">
        <f>IF(AND(I141&gt;0,AF141&gt;0),MIN(I141,AF141),"-")</f>
        <v>-</v>
      </c>
      <c r="BD141" s="59" t="str">
        <f>IF(AND(J141&gt;0,AG141&gt;0),MIN(J141,AG141),"-")</f>
        <v>-</v>
      </c>
      <c r="BE141" s="59" t="str">
        <f>IF(AND(K141&gt;0,AH141&gt;0),MIN(K141,AH141),"-")</f>
        <v>-</v>
      </c>
      <c r="BF141" s="59" t="str">
        <f>IF(AND(L141&gt;0,AI141&gt;0),MIN(L141,AI141),"-")</f>
        <v>-</v>
      </c>
      <c r="BG141" s="59" t="str">
        <f t="shared" si="39"/>
        <v>-</v>
      </c>
      <c r="BH141" s="59" t="str">
        <f>IF(AND(N141&gt;0,AK141&gt;0),MIN(N141,AK141),"-")</f>
        <v>-</v>
      </c>
      <c r="BI141" s="59" t="str">
        <f>IF(AND(O141&gt;0,AL141&gt;0),MIN(O141,AL141),"-")</f>
        <v>-</v>
      </c>
      <c r="BJ141" s="59" t="str">
        <f>IF(AND(P141&gt;0,AM141&gt;0),MIN(P141,AM141),"-")</f>
        <v>-</v>
      </c>
      <c r="BK141" s="59" t="str">
        <f>IF(AND(Q141&gt;0,AN141&gt;0),MIN(Q141,AN141),"-")</f>
        <v>-</v>
      </c>
      <c r="BL141" s="59" t="str">
        <f>IF(AND(R141&gt;0,AO141&gt;0),MIN(R141,AO141),"-")</f>
        <v>-</v>
      </c>
      <c r="BM141" s="59" t="str">
        <f>IF(AND(S141&gt;0,AP141&gt;0),MIN(S141,AP141),"-")</f>
        <v>-</v>
      </c>
      <c r="BN141" s="59" t="str">
        <f>IF(AND(T141&gt;0,AQ141&gt;0),MIN(T141,AQ141),"-")</f>
        <v>-</v>
      </c>
      <c r="BO141" s="59" t="str">
        <f>IF(AND(U141&gt;0,AR141&gt;0),MIN(U141,AR141),"-")</f>
        <v>-</v>
      </c>
      <c r="BP141" s="59" t="str">
        <f>IF(AND(V141&gt;0,AS141&gt;0),MIN(V141,AS141),"-")</f>
        <v>-</v>
      </c>
      <c r="BQ141" s="59" t="str">
        <f t="shared" si="40"/>
        <v>-</v>
      </c>
      <c r="BR141" s="59" t="str">
        <f t="shared" si="41"/>
        <v>-</v>
      </c>
      <c r="BS141" s="59" t="str">
        <f t="shared" si="42"/>
        <v>-</v>
      </c>
      <c r="BT141" s="98" t="str">
        <f>IF(ISNUMBER(BS141),BS141-(C141*Rules!$P$9/100),"-")</f>
        <v>-</v>
      </c>
      <c r="BU141" s="59" t="e">
        <f>RANK($BT141,$BT$5:$BT$106,1)+COUNTIF(BT$5:BT141,BT141)-1</f>
        <v>#VALUE!</v>
      </c>
      <c r="BV141" s="59" t="e">
        <f t="shared" si="43"/>
        <v>#VALUE!</v>
      </c>
      <c r="BW141" s="59" t="str">
        <f t="shared" si="44"/>
        <v xml:space="preserve"> </v>
      </c>
      <c r="BX141" s="59">
        <f t="shared" si="44"/>
        <v>0</v>
      </c>
      <c r="BY141" s="59" t="str">
        <f t="shared" si="45"/>
        <v>-</v>
      </c>
      <c r="CD141" s="79"/>
      <c r="CE141" s="80"/>
      <c r="CF141" s="104"/>
      <c r="CL141" s="77">
        <v>1</v>
      </c>
    </row>
    <row r="142" spans="1:90" ht="17.45" customHeight="1">
      <c r="A142" s="58">
        <v>138</v>
      </c>
      <c r="B142" s="59" t="str">
        <f>'C Div'!A142 &amp; " " &amp; 'C Div'!B142</f>
        <v xml:space="preserve"> </v>
      </c>
      <c r="C142" s="59">
        <f>'C Div'!E142</f>
        <v>0</v>
      </c>
      <c r="D142" s="60"/>
      <c r="E142" s="60"/>
      <c r="F142" s="60"/>
      <c r="G142" s="60"/>
      <c r="H142" s="60"/>
      <c r="I142" s="60"/>
      <c r="J142" s="60"/>
      <c r="K142" s="60"/>
      <c r="L142" s="60"/>
      <c r="M142" s="74" t="str">
        <f t="shared" si="31"/>
        <v>-</v>
      </c>
      <c r="N142" s="60"/>
      <c r="O142" s="60"/>
      <c r="P142" s="60"/>
      <c r="Q142" s="60"/>
      <c r="R142" s="60"/>
      <c r="S142" s="60"/>
      <c r="T142" s="60"/>
      <c r="U142" s="60"/>
      <c r="V142" s="60"/>
      <c r="W142" s="74" t="str">
        <f t="shared" si="32"/>
        <v>-</v>
      </c>
      <c r="X142" s="155" t="str">
        <f t="shared" si="33"/>
        <v>-</v>
      </c>
      <c r="Y142" s="156" t="str">
        <f t="shared" si="34"/>
        <v>-</v>
      </c>
      <c r="AA142" s="60"/>
      <c r="AB142" s="60"/>
      <c r="AC142" s="60"/>
      <c r="AD142" s="60"/>
      <c r="AE142" s="60"/>
      <c r="AF142" s="60"/>
      <c r="AG142" s="60"/>
      <c r="AH142" s="60"/>
      <c r="AI142" s="60"/>
      <c r="AJ142" s="74" t="str">
        <f t="shared" si="35"/>
        <v>-</v>
      </c>
      <c r="AK142" s="60"/>
      <c r="AL142" s="60"/>
      <c r="AM142" s="60"/>
      <c r="AN142" s="60"/>
      <c r="AO142" s="60"/>
      <c r="AP142" s="60"/>
      <c r="AQ142" s="60"/>
      <c r="AR142" s="60"/>
      <c r="AS142" s="60"/>
      <c r="AT142" s="74" t="str">
        <f t="shared" si="36"/>
        <v>-</v>
      </c>
      <c r="AU142" s="155" t="str">
        <f t="shared" si="37"/>
        <v>-</v>
      </c>
      <c r="AV142" s="156" t="str">
        <f t="shared" si="38"/>
        <v>-</v>
      </c>
      <c r="AX142" s="59" t="str">
        <f>IF(AND(D142&gt;0,AA142&gt;0),MIN(D142,AA142),"-")</f>
        <v>-</v>
      </c>
      <c r="AY142" s="59" t="str">
        <f>IF(AND(E142&gt;0,AB142&gt;0),MIN(E142,AB142),"-")</f>
        <v>-</v>
      </c>
      <c r="AZ142" s="59" t="str">
        <f>IF(AND(F142&gt;0,AC142&gt;0),MIN(F142,AC142),"-")</f>
        <v>-</v>
      </c>
      <c r="BA142" s="59" t="str">
        <f>IF(AND(G142&gt;0,AD142&gt;0),MIN(G142,AD142),"-")</f>
        <v>-</v>
      </c>
      <c r="BB142" s="59" t="str">
        <f>IF(AND(H142&gt;0,AE142&gt;0),MIN(H142,AE142),"-")</f>
        <v>-</v>
      </c>
      <c r="BC142" s="59" t="str">
        <f>IF(AND(I142&gt;0,AF142&gt;0),MIN(I142,AF142),"-")</f>
        <v>-</v>
      </c>
      <c r="BD142" s="59" t="str">
        <f>IF(AND(J142&gt;0,AG142&gt;0),MIN(J142,AG142),"-")</f>
        <v>-</v>
      </c>
      <c r="BE142" s="59" t="str">
        <f>IF(AND(K142&gt;0,AH142&gt;0),MIN(K142,AH142),"-")</f>
        <v>-</v>
      </c>
      <c r="BF142" s="59" t="str">
        <f>IF(AND(L142&gt;0,AI142&gt;0),MIN(L142,AI142),"-")</f>
        <v>-</v>
      </c>
      <c r="BG142" s="59" t="str">
        <f t="shared" si="39"/>
        <v>-</v>
      </c>
      <c r="BH142" s="59" t="str">
        <f>IF(AND(N142&gt;0,AK142&gt;0),MIN(N142,AK142),"-")</f>
        <v>-</v>
      </c>
      <c r="BI142" s="59" t="str">
        <f>IF(AND(O142&gt;0,AL142&gt;0),MIN(O142,AL142),"-")</f>
        <v>-</v>
      </c>
      <c r="BJ142" s="59" t="str">
        <f>IF(AND(P142&gt;0,AM142&gt;0),MIN(P142,AM142),"-")</f>
        <v>-</v>
      </c>
      <c r="BK142" s="59" t="str">
        <f>IF(AND(Q142&gt;0,AN142&gt;0),MIN(Q142,AN142),"-")</f>
        <v>-</v>
      </c>
      <c r="BL142" s="59" t="str">
        <f>IF(AND(R142&gt;0,AO142&gt;0),MIN(R142,AO142),"-")</f>
        <v>-</v>
      </c>
      <c r="BM142" s="59" t="str">
        <f>IF(AND(S142&gt;0,AP142&gt;0),MIN(S142,AP142),"-")</f>
        <v>-</v>
      </c>
      <c r="BN142" s="59" t="str">
        <f>IF(AND(T142&gt;0,AQ142&gt;0),MIN(T142,AQ142),"-")</f>
        <v>-</v>
      </c>
      <c r="BO142" s="59" t="str">
        <f>IF(AND(U142&gt;0,AR142&gt;0),MIN(U142,AR142),"-")</f>
        <v>-</v>
      </c>
      <c r="BP142" s="59" t="str">
        <f>IF(AND(V142&gt;0,AS142&gt;0),MIN(V142,AS142),"-")</f>
        <v>-</v>
      </c>
      <c r="BQ142" s="59" t="str">
        <f t="shared" si="40"/>
        <v>-</v>
      </c>
      <c r="BR142" s="59" t="str">
        <f t="shared" si="41"/>
        <v>-</v>
      </c>
      <c r="BS142" s="59" t="str">
        <f t="shared" si="42"/>
        <v>-</v>
      </c>
      <c r="BT142" s="98" t="str">
        <f>IF(ISNUMBER(BS142),BS142-(C142*Rules!$P$9/100),"-")</f>
        <v>-</v>
      </c>
      <c r="BU142" s="59" t="e">
        <f>RANK($BT142,$BT$5:$BT$106,1)+COUNTIF(BT$5:BT142,BT142)-1</f>
        <v>#VALUE!</v>
      </c>
      <c r="BV142" s="59" t="e">
        <f t="shared" si="43"/>
        <v>#VALUE!</v>
      </c>
      <c r="BW142" s="59" t="str">
        <f t="shared" si="44"/>
        <v xml:space="preserve"> </v>
      </c>
      <c r="BX142" s="59">
        <f t="shared" si="44"/>
        <v>0</v>
      </c>
      <c r="BY142" s="59" t="str">
        <f t="shared" si="45"/>
        <v>-</v>
      </c>
      <c r="CD142" s="79"/>
      <c r="CE142" s="80"/>
      <c r="CF142" s="104"/>
      <c r="CL142" s="77">
        <v>1</v>
      </c>
    </row>
    <row r="143" spans="1:90" ht="17.45" customHeight="1">
      <c r="A143" s="58">
        <v>139</v>
      </c>
      <c r="B143" s="59" t="str">
        <f>'C Div'!A143 &amp; " " &amp; 'C Div'!B143</f>
        <v xml:space="preserve"> </v>
      </c>
      <c r="C143" s="59">
        <f>'C Div'!E143</f>
        <v>0</v>
      </c>
      <c r="D143" s="60"/>
      <c r="E143" s="60"/>
      <c r="F143" s="60"/>
      <c r="G143" s="60"/>
      <c r="H143" s="60"/>
      <c r="I143" s="60"/>
      <c r="J143" s="60"/>
      <c r="K143" s="60"/>
      <c r="L143" s="60"/>
      <c r="M143" s="74" t="str">
        <f t="shared" si="31"/>
        <v>-</v>
      </c>
      <c r="N143" s="60"/>
      <c r="O143" s="60"/>
      <c r="P143" s="60"/>
      <c r="Q143" s="60"/>
      <c r="R143" s="60"/>
      <c r="S143" s="60"/>
      <c r="T143" s="60"/>
      <c r="U143" s="60"/>
      <c r="V143" s="60"/>
      <c r="W143" s="74" t="str">
        <f t="shared" si="32"/>
        <v>-</v>
      </c>
      <c r="X143" s="155" t="str">
        <f t="shared" si="33"/>
        <v>-</v>
      </c>
      <c r="Y143" s="156" t="str">
        <f t="shared" si="34"/>
        <v>-</v>
      </c>
      <c r="AA143" s="60"/>
      <c r="AB143" s="60"/>
      <c r="AC143" s="60"/>
      <c r="AD143" s="60"/>
      <c r="AE143" s="60"/>
      <c r="AF143" s="60"/>
      <c r="AG143" s="60"/>
      <c r="AH143" s="60"/>
      <c r="AI143" s="60"/>
      <c r="AJ143" s="74" t="str">
        <f t="shared" si="35"/>
        <v>-</v>
      </c>
      <c r="AK143" s="60"/>
      <c r="AL143" s="60"/>
      <c r="AM143" s="60"/>
      <c r="AN143" s="60"/>
      <c r="AO143" s="60"/>
      <c r="AP143" s="60"/>
      <c r="AQ143" s="60"/>
      <c r="AR143" s="60"/>
      <c r="AS143" s="60"/>
      <c r="AT143" s="74" t="str">
        <f t="shared" si="36"/>
        <v>-</v>
      </c>
      <c r="AU143" s="155" t="str">
        <f t="shared" si="37"/>
        <v>-</v>
      </c>
      <c r="AV143" s="156" t="str">
        <f t="shared" si="38"/>
        <v>-</v>
      </c>
      <c r="AX143" s="59" t="str">
        <f>IF(AND(D143&gt;0,AA143&gt;0),MIN(D143,AA143),"-")</f>
        <v>-</v>
      </c>
      <c r="AY143" s="59" t="str">
        <f>IF(AND(E143&gt;0,AB143&gt;0),MIN(E143,AB143),"-")</f>
        <v>-</v>
      </c>
      <c r="AZ143" s="59" t="str">
        <f>IF(AND(F143&gt;0,AC143&gt;0),MIN(F143,AC143),"-")</f>
        <v>-</v>
      </c>
      <c r="BA143" s="59" t="str">
        <f>IF(AND(G143&gt;0,AD143&gt;0),MIN(G143,AD143),"-")</f>
        <v>-</v>
      </c>
      <c r="BB143" s="59" t="str">
        <f>IF(AND(H143&gt;0,AE143&gt;0),MIN(H143,AE143),"-")</f>
        <v>-</v>
      </c>
      <c r="BC143" s="59" t="str">
        <f>IF(AND(I143&gt;0,AF143&gt;0),MIN(I143,AF143),"-")</f>
        <v>-</v>
      </c>
      <c r="BD143" s="59" t="str">
        <f>IF(AND(J143&gt;0,AG143&gt;0),MIN(J143,AG143),"-")</f>
        <v>-</v>
      </c>
      <c r="BE143" s="59" t="str">
        <f>IF(AND(K143&gt;0,AH143&gt;0),MIN(K143,AH143),"-")</f>
        <v>-</v>
      </c>
      <c r="BF143" s="59" t="str">
        <f>IF(AND(L143&gt;0,AI143&gt;0),MIN(L143,AI143),"-")</f>
        <v>-</v>
      </c>
      <c r="BG143" s="59" t="str">
        <f t="shared" si="39"/>
        <v>-</v>
      </c>
      <c r="BH143" s="59" t="str">
        <f>IF(AND(N143&gt;0,AK143&gt;0),MIN(N143,AK143),"-")</f>
        <v>-</v>
      </c>
      <c r="BI143" s="59" t="str">
        <f>IF(AND(O143&gt;0,AL143&gt;0),MIN(O143,AL143),"-")</f>
        <v>-</v>
      </c>
      <c r="BJ143" s="59" t="str">
        <f>IF(AND(P143&gt;0,AM143&gt;0),MIN(P143,AM143),"-")</f>
        <v>-</v>
      </c>
      <c r="BK143" s="59" t="str">
        <f>IF(AND(Q143&gt;0,AN143&gt;0),MIN(Q143,AN143),"-")</f>
        <v>-</v>
      </c>
      <c r="BL143" s="59" t="str">
        <f>IF(AND(R143&gt;0,AO143&gt;0),MIN(R143,AO143),"-")</f>
        <v>-</v>
      </c>
      <c r="BM143" s="59" t="str">
        <f>IF(AND(S143&gt;0,AP143&gt;0),MIN(S143,AP143),"-")</f>
        <v>-</v>
      </c>
      <c r="BN143" s="59" t="str">
        <f>IF(AND(T143&gt;0,AQ143&gt;0),MIN(T143,AQ143),"-")</f>
        <v>-</v>
      </c>
      <c r="BO143" s="59" t="str">
        <f>IF(AND(U143&gt;0,AR143&gt;0),MIN(U143,AR143),"-")</f>
        <v>-</v>
      </c>
      <c r="BP143" s="59" t="str">
        <f>IF(AND(V143&gt;0,AS143&gt;0),MIN(V143,AS143),"-")</f>
        <v>-</v>
      </c>
      <c r="BQ143" s="59" t="str">
        <f t="shared" si="40"/>
        <v>-</v>
      </c>
      <c r="BR143" s="59" t="str">
        <f t="shared" si="41"/>
        <v>-</v>
      </c>
      <c r="BS143" s="59" t="str">
        <f t="shared" si="42"/>
        <v>-</v>
      </c>
      <c r="BT143" s="98" t="str">
        <f>IF(ISNUMBER(BS143),BS143-(C143*Rules!$P$9/100),"-")</f>
        <v>-</v>
      </c>
      <c r="BU143" s="59" t="e">
        <f>RANK($BT143,$BT$5:$BT$106,1)+COUNTIF(BT$5:BT143,BT143)-1</f>
        <v>#VALUE!</v>
      </c>
      <c r="BV143" s="59" t="e">
        <f t="shared" si="43"/>
        <v>#VALUE!</v>
      </c>
      <c r="BW143" s="59" t="str">
        <f t="shared" si="44"/>
        <v xml:space="preserve"> </v>
      </c>
      <c r="BX143" s="59">
        <f t="shared" si="44"/>
        <v>0</v>
      </c>
      <c r="BY143" s="59" t="str">
        <f t="shared" si="45"/>
        <v>-</v>
      </c>
      <c r="CD143" s="79"/>
      <c r="CE143" s="80"/>
      <c r="CF143" s="104"/>
      <c r="CL143" s="77">
        <v>1</v>
      </c>
    </row>
    <row r="144" spans="1:90" ht="17.45" customHeight="1">
      <c r="A144" s="58">
        <v>140</v>
      </c>
      <c r="B144" s="59" t="str">
        <f>'C Div'!A144 &amp; " " &amp; 'C Div'!B144</f>
        <v xml:space="preserve"> </v>
      </c>
      <c r="C144" s="59">
        <f>'C Div'!E144</f>
        <v>0</v>
      </c>
      <c r="D144" s="60"/>
      <c r="E144" s="60"/>
      <c r="F144" s="60"/>
      <c r="G144" s="60"/>
      <c r="H144" s="60"/>
      <c r="I144" s="60"/>
      <c r="J144" s="60"/>
      <c r="K144" s="60"/>
      <c r="L144" s="60"/>
      <c r="M144" s="74" t="str">
        <f t="shared" si="31"/>
        <v>-</v>
      </c>
      <c r="N144" s="60"/>
      <c r="O144" s="60"/>
      <c r="P144" s="60"/>
      <c r="Q144" s="60"/>
      <c r="R144" s="60"/>
      <c r="S144" s="60"/>
      <c r="T144" s="60"/>
      <c r="U144" s="60"/>
      <c r="V144" s="60"/>
      <c r="W144" s="74" t="str">
        <f t="shared" si="32"/>
        <v>-</v>
      </c>
      <c r="X144" s="155" t="str">
        <f t="shared" si="33"/>
        <v>-</v>
      </c>
      <c r="Y144" s="156" t="str">
        <f t="shared" si="34"/>
        <v>-</v>
      </c>
      <c r="AA144" s="60"/>
      <c r="AB144" s="60"/>
      <c r="AC144" s="60"/>
      <c r="AD144" s="60"/>
      <c r="AE144" s="60"/>
      <c r="AF144" s="60"/>
      <c r="AG144" s="60"/>
      <c r="AH144" s="60"/>
      <c r="AI144" s="60"/>
      <c r="AJ144" s="74" t="str">
        <f t="shared" si="35"/>
        <v>-</v>
      </c>
      <c r="AK144" s="60"/>
      <c r="AL144" s="60"/>
      <c r="AM144" s="60"/>
      <c r="AN144" s="60"/>
      <c r="AO144" s="60"/>
      <c r="AP144" s="60"/>
      <c r="AQ144" s="60"/>
      <c r="AR144" s="60"/>
      <c r="AS144" s="60"/>
      <c r="AT144" s="74" t="str">
        <f t="shared" si="36"/>
        <v>-</v>
      </c>
      <c r="AU144" s="155" t="str">
        <f t="shared" si="37"/>
        <v>-</v>
      </c>
      <c r="AV144" s="156" t="str">
        <f t="shared" si="38"/>
        <v>-</v>
      </c>
      <c r="AX144" s="59" t="str">
        <f>IF(AND(D144&gt;0,AA144&gt;0),MIN(D144,AA144),"-")</f>
        <v>-</v>
      </c>
      <c r="AY144" s="59" t="str">
        <f>IF(AND(E144&gt;0,AB144&gt;0),MIN(E144,AB144),"-")</f>
        <v>-</v>
      </c>
      <c r="AZ144" s="59" t="str">
        <f>IF(AND(F144&gt;0,AC144&gt;0),MIN(F144,AC144),"-")</f>
        <v>-</v>
      </c>
      <c r="BA144" s="59" t="str">
        <f>IF(AND(G144&gt;0,AD144&gt;0),MIN(G144,AD144),"-")</f>
        <v>-</v>
      </c>
      <c r="BB144" s="59" t="str">
        <f>IF(AND(H144&gt;0,AE144&gt;0),MIN(H144,AE144),"-")</f>
        <v>-</v>
      </c>
      <c r="BC144" s="59" t="str">
        <f>IF(AND(I144&gt;0,AF144&gt;0),MIN(I144,AF144),"-")</f>
        <v>-</v>
      </c>
      <c r="BD144" s="59" t="str">
        <f>IF(AND(J144&gt;0,AG144&gt;0),MIN(J144,AG144),"-")</f>
        <v>-</v>
      </c>
      <c r="BE144" s="59" t="str">
        <f>IF(AND(K144&gt;0,AH144&gt;0),MIN(K144,AH144),"-")</f>
        <v>-</v>
      </c>
      <c r="BF144" s="59" t="str">
        <f>IF(AND(L144&gt;0,AI144&gt;0),MIN(L144,AI144),"-")</f>
        <v>-</v>
      </c>
      <c r="BG144" s="59" t="str">
        <f t="shared" si="39"/>
        <v>-</v>
      </c>
      <c r="BH144" s="59" t="str">
        <f>IF(AND(N144&gt;0,AK144&gt;0),MIN(N144,AK144),"-")</f>
        <v>-</v>
      </c>
      <c r="BI144" s="59" t="str">
        <f>IF(AND(O144&gt;0,AL144&gt;0),MIN(O144,AL144),"-")</f>
        <v>-</v>
      </c>
      <c r="BJ144" s="59" t="str">
        <f>IF(AND(P144&gt;0,AM144&gt;0),MIN(P144,AM144),"-")</f>
        <v>-</v>
      </c>
      <c r="BK144" s="59" t="str">
        <f>IF(AND(Q144&gt;0,AN144&gt;0),MIN(Q144,AN144),"-")</f>
        <v>-</v>
      </c>
      <c r="BL144" s="59" t="str">
        <f>IF(AND(R144&gt;0,AO144&gt;0),MIN(R144,AO144),"-")</f>
        <v>-</v>
      </c>
      <c r="BM144" s="59" t="str">
        <f>IF(AND(S144&gt;0,AP144&gt;0),MIN(S144,AP144),"-")</f>
        <v>-</v>
      </c>
      <c r="BN144" s="59" t="str">
        <f>IF(AND(T144&gt;0,AQ144&gt;0),MIN(T144,AQ144),"-")</f>
        <v>-</v>
      </c>
      <c r="BO144" s="59" t="str">
        <f>IF(AND(U144&gt;0,AR144&gt;0),MIN(U144,AR144),"-")</f>
        <v>-</v>
      </c>
      <c r="BP144" s="59" t="str">
        <f>IF(AND(V144&gt;0,AS144&gt;0),MIN(V144,AS144),"-")</f>
        <v>-</v>
      </c>
      <c r="BQ144" s="59" t="str">
        <f t="shared" si="40"/>
        <v>-</v>
      </c>
      <c r="BR144" s="59" t="str">
        <f t="shared" si="41"/>
        <v>-</v>
      </c>
      <c r="BS144" s="59" t="str">
        <f t="shared" si="42"/>
        <v>-</v>
      </c>
      <c r="BT144" s="98" t="str">
        <f>IF(ISNUMBER(BS144),BS144-(C144*Rules!$P$9/100),"-")</f>
        <v>-</v>
      </c>
      <c r="BU144" s="59" t="e">
        <f>RANK($BT144,$BT$5:$BT$106,1)+COUNTIF(BT$5:BT144,BT144)-1</f>
        <v>#VALUE!</v>
      </c>
      <c r="BV144" s="59" t="e">
        <f t="shared" si="43"/>
        <v>#VALUE!</v>
      </c>
      <c r="BW144" s="59" t="str">
        <f t="shared" si="44"/>
        <v xml:space="preserve"> </v>
      </c>
      <c r="BX144" s="59">
        <f t="shared" si="44"/>
        <v>0</v>
      </c>
      <c r="BY144" s="59" t="str">
        <f t="shared" si="45"/>
        <v>-</v>
      </c>
      <c r="CD144" s="79"/>
      <c r="CE144" s="80"/>
      <c r="CF144" s="104"/>
      <c r="CL144" s="77">
        <v>1</v>
      </c>
    </row>
    <row r="145" spans="1:90" ht="17.45" customHeight="1">
      <c r="A145" s="58">
        <v>141</v>
      </c>
      <c r="B145" s="59" t="str">
        <f>'C Div'!A145 &amp; " " &amp; 'C Div'!B145</f>
        <v xml:space="preserve"> </v>
      </c>
      <c r="C145" s="59">
        <f>'C Div'!E145</f>
        <v>0</v>
      </c>
      <c r="D145" s="60"/>
      <c r="E145" s="60"/>
      <c r="F145" s="60"/>
      <c r="G145" s="60"/>
      <c r="H145" s="60"/>
      <c r="I145" s="60"/>
      <c r="J145" s="60"/>
      <c r="K145" s="60"/>
      <c r="L145" s="60"/>
      <c r="M145" s="74" t="str">
        <f t="shared" si="31"/>
        <v>-</v>
      </c>
      <c r="N145" s="60"/>
      <c r="O145" s="60"/>
      <c r="P145" s="60"/>
      <c r="Q145" s="60"/>
      <c r="R145" s="60"/>
      <c r="S145" s="60"/>
      <c r="T145" s="60"/>
      <c r="U145" s="60"/>
      <c r="V145" s="60"/>
      <c r="W145" s="74" t="str">
        <f t="shared" si="32"/>
        <v>-</v>
      </c>
      <c r="X145" s="155" t="str">
        <f t="shared" si="33"/>
        <v>-</v>
      </c>
      <c r="Y145" s="156" t="str">
        <f t="shared" si="34"/>
        <v>-</v>
      </c>
      <c r="AA145" s="60"/>
      <c r="AB145" s="60"/>
      <c r="AC145" s="60"/>
      <c r="AD145" s="60"/>
      <c r="AE145" s="60"/>
      <c r="AF145" s="60"/>
      <c r="AG145" s="60"/>
      <c r="AH145" s="60"/>
      <c r="AI145" s="60"/>
      <c r="AJ145" s="74" t="str">
        <f t="shared" si="35"/>
        <v>-</v>
      </c>
      <c r="AK145" s="60"/>
      <c r="AL145" s="60"/>
      <c r="AM145" s="60"/>
      <c r="AN145" s="60"/>
      <c r="AO145" s="60"/>
      <c r="AP145" s="60"/>
      <c r="AQ145" s="60"/>
      <c r="AR145" s="60"/>
      <c r="AS145" s="60"/>
      <c r="AT145" s="74" t="str">
        <f t="shared" si="36"/>
        <v>-</v>
      </c>
      <c r="AU145" s="155" t="str">
        <f t="shared" si="37"/>
        <v>-</v>
      </c>
      <c r="AV145" s="156" t="str">
        <f t="shared" si="38"/>
        <v>-</v>
      </c>
      <c r="AX145" s="59" t="str">
        <f>IF(AND(D145&gt;0,AA145&gt;0),MIN(D145,AA145),"-")</f>
        <v>-</v>
      </c>
      <c r="AY145" s="59" t="str">
        <f>IF(AND(E145&gt;0,AB145&gt;0),MIN(E145,AB145),"-")</f>
        <v>-</v>
      </c>
      <c r="AZ145" s="59" t="str">
        <f>IF(AND(F145&gt;0,AC145&gt;0),MIN(F145,AC145),"-")</f>
        <v>-</v>
      </c>
      <c r="BA145" s="59" t="str">
        <f>IF(AND(G145&gt;0,AD145&gt;0),MIN(G145,AD145),"-")</f>
        <v>-</v>
      </c>
      <c r="BB145" s="59" t="str">
        <f>IF(AND(H145&gt;0,AE145&gt;0),MIN(H145,AE145),"-")</f>
        <v>-</v>
      </c>
      <c r="BC145" s="59" t="str">
        <f>IF(AND(I145&gt;0,AF145&gt;0),MIN(I145,AF145),"-")</f>
        <v>-</v>
      </c>
      <c r="BD145" s="59" t="str">
        <f>IF(AND(J145&gt;0,AG145&gt;0),MIN(J145,AG145),"-")</f>
        <v>-</v>
      </c>
      <c r="BE145" s="59" t="str">
        <f>IF(AND(K145&gt;0,AH145&gt;0),MIN(K145,AH145),"-")</f>
        <v>-</v>
      </c>
      <c r="BF145" s="59" t="str">
        <f>IF(AND(L145&gt;0,AI145&gt;0),MIN(L145,AI145),"-")</f>
        <v>-</v>
      </c>
      <c r="BG145" s="59" t="str">
        <f t="shared" si="39"/>
        <v>-</v>
      </c>
      <c r="BH145" s="59" t="str">
        <f>IF(AND(N145&gt;0,AK145&gt;0),MIN(N145,AK145),"-")</f>
        <v>-</v>
      </c>
      <c r="BI145" s="59" t="str">
        <f>IF(AND(O145&gt;0,AL145&gt;0),MIN(O145,AL145),"-")</f>
        <v>-</v>
      </c>
      <c r="BJ145" s="59" t="str">
        <f>IF(AND(P145&gt;0,AM145&gt;0),MIN(P145,AM145),"-")</f>
        <v>-</v>
      </c>
      <c r="BK145" s="59" t="str">
        <f>IF(AND(Q145&gt;0,AN145&gt;0),MIN(Q145,AN145),"-")</f>
        <v>-</v>
      </c>
      <c r="BL145" s="59" t="str">
        <f>IF(AND(R145&gt;0,AO145&gt;0),MIN(R145,AO145),"-")</f>
        <v>-</v>
      </c>
      <c r="BM145" s="59" t="str">
        <f>IF(AND(S145&gt;0,AP145&gt;0),MIN(S145,AP145),"-")</f>
        <v>-</v>
      </c>
      <c r="BN145" s="59" t="str">
        <f>IF(AND(T145&gt;0,AQ145&gt;0),MIN(T145,AQ145),"-")</f>
        <v>-</v>
      </c>
      <c r="BO145" s="59" t="str">
        <f>IF(AND(U145&gt;0,AR145&gt;0),MIN(U145,AR145),"-")</f>
        <v>-</v>
      </c>
      <c r="BP145" s="59" t="str">
        <f>IF(AND(V145&gt;0,AS145&gt;0),MIN(V145,AS145),"-")</f>
        <v>-</v>
      </c>
      <c r="BQ145" s="59" t="str">
        <f t="shared" si="40"/>
        <v>-</v>
      </c>
      <c r="BR145" s="59" t="str">
        <f t="shared" si="41"/>
        <v>-</v>
      </c>
      <c r="BS145" s="59" t="str">
        <f t="shared" si="42"/>
        <v>-</v>
      </c>
      <c r="BT145" s="98" t="str">
        <f>IF(ISNUMBER(BS145),BS145-(C145*Rules!$P$9/100),"-")</f>
        <v>-</v>
      </c>
      <c r="BU145" s="59" t="e">
        <f>RANK($BT145,$BT$5:$BT$106,1)+COUNTIF(BT$5:BT145,BT145)-1</f>
        <v>#VALUE!</v>
      </c>
      <c r="BV145" s="59" t="e">
        <f t="shared" si="43"/>
        <v>#VALUE!</v>
      </c>
      <c r="BW145" s="59" t="str">
        <f t="shared" si="44"/>
        <v xml:space="preserve"> </v>
      </c>
      <c r="BX145" s="59">
        <f t="shared" si="44"/>
        <v>0</v>
      </c>
      <c r="BY145" s="59" t="str">
        <f t="shared" si="45"/>
        <v>-</v>
      </c>
      <c r="CD145" s="79"/>
      <c r="CE145" s="80"/>
      <c r="CF145" s="104"/>
      <c r="CL145" s="77">
        <v>1</v>
      </c>
    </row>
    <row r="146" spans="1:90" ht="17.45" customHeight="1">
      <c r="A146" s="58">
        <v>142</v>
      </c>
      <c r="B146" s="59" t="str">
        <f>'C Div'!A146 &amp; " " &amp; 'C Div'!B146</f>
        <v xml:space="preserve"> </v>
      </c>
      <c r="C146" s="59">
        <f>'C Div'!E146</f>
        <v>0</v>
      </c>
      <c r="D146" s="60"/>
      <c r="E146" s="60"/>
      <c r="F146" s="60"/>
      <c r="G146" s="60"/>
      <c r="H146" s="60"/>
      <c r="I146" s="60"/>
      <c r="J146" s="60"/>
      <c r="K146" s="60"/>
      <c r="L146" s="60"/>
      <c r="M146" s="74" t="str">
        <f t="shared" si="31"/>
        <v>-</v>
      </c>
      <c r="N146" s="60"/>
      <c r="O146" s="60"/>
      <c r="P146" s="60"/>
      <c r="Q146" s="60"/>
      <c r="R146" s="60"/>
      <c r="S146" s="60"/>
      <c r="T146" s="60"/>
      <c r="U146" s="60"/>
      <c r="V146" s="60"/>
      <c r="W146" s="74" t="str">
        <f t="shared" si="32"/>
        <v>-</v>
      </c>
      <c r="X146" s="155" t="str">
        <f t="shared" si="33"/>
        <v>-</v>
      </c>
      <c r="Y146" s="156" t="str">
        <f t="shared" si="34"/>
        <v>-</v>
      </c>
      <c r="AA146" s="60"/>
      <c r="AB146" s="60"/>
      <c r="AC146" s="60"/>
      <c r="AD146" s="60"/>
      <c r="AE146" s="60"/>
      <c r="AF146" s="60"/>
      <c r="AG146" s="60"/>
      <c r="AH146" s="60"/>
      <c r="AI146" s="60"/>
      <c r="AJ146" s="74" t="str">
        <f t="shared" si="35"/>
        <v>-</v>
      </c>
      <c r="AK146" s="60"/>
      <c r="AL146" s="60"/>
      <c r="AM146" s="60"/>
      <c r="AN146" s="60"/>
      <c r="AO146" s="60"/>
      <c r="AP146" s="60"/>
      <c r="AQ146" s="60"/>
      <c r="AR146" s="60"/>
      <c r="AS146" s="60"/>
      <c r="AT146" s="74" t="str">
        <f t="shared" si="36"/>
        <v>-</v>
      </c>
      <c r="AU146" s="155" t="str">
        <f t="shared" si="37"/>
        <v>-</v>
      </c>
      <c r="AV146" s="156" t="str">
        <f t="shared" si="38"/>
        <v>-</v>
      </c>
      <c r="AX146" s="59" t="str">
        <f>IF(AND(D146&gt;0,AA146&gt;0),MIN(D146,AA146),"-")</f>
        <v>-</v>
      </c>
      <c r="AY146" s="59" t="str">
        <f>IF(AND(E146&gt;0,AB146&gt;0),MIN(E146,AB146),"-")</f>
        <v>-</v>
      </c>
      <c r="AZ146" s="59" t="str">
        <f>IF(AND(F146&gt;0,AC146&gt;0),MIN(F146,AC146),"-")</f>
        <v>-</v>
      </c>
      <c r="BA146" s="59" t="str">
        <f>IF(AND(G146&gt;0,AD146&gt;0),MIN(G146,AD146),"-")</f>
        <v>-</v>
      </c>
      <c r="BB146" s="59" t="str">
        <f>IF(AND(H146&gt;0,AE146&gt;0),MIN(H146,AE146),"-")</f>
        <v>-</v>
      </c>
      <c r="BC146" s="59" t="str">
        <f>IF(AND(I146&gt;0,AF146&gt;0),MIN(I146,AF146),"-")</f>
        <v>-</v>
      </c>
      <c r="BD146" s="59" t="str">
        <f>IF(AND(J146&gt;0,AG146&gt;0),MIN(J146,AG146),"-")</f>
        <v>-</v>
      </c>
      <c r="BE146" s="59" t="str">
        <f>IF(AND(K146&gt;0,AH146&gt;0),MIN(K146,AH146),"-")</f>
        <v>-</v>
      </c>
      <c r="BF146" s="59" t="str">
        <f>IF(AND(L146&gt;0,AI146&gt;0),MIN(L146,AI146),"-")</f>
        <v>-</v>
      </c>
      <c r="BG146" s="59" t="str">
        <f t="shared" si="39"/>
        <v>-</v>
      </c>
      <c r="BH146" s="59" t="str">
        <f>IF(AND(N146&gt;0,AK146&gt;0),MIN(N146,AK146),"-")</f>
        <v>-</v>
      </c>
      <c r="BI146" s="59" t="str">
        <f>IF(AND(O146&gt;0,AL146&gt;0),MIN(O146,AL146),"-")</f>
        <v>-</v>
      </c>
      <c r="BJ146" s="59" t="str">
        <f>IF(AND(P146&gt;0,AM146&gt;0),MIN(P146,AM146),"-")</f>
        <v>-</v>
      </c>
      <c r="BK146" s="59" t="str">
        <f>IF(AND(Q146&gt;0,AN146&gt;0),MIN(Q146,AN146),"-")</f>
        <v>-</v>
      </c>
      <c r="BL146" s="59" t="str">
        <f>IF(AND(R146&gt;0,AO146&gt;0),MIN(R146,AO146),"-")</f>
        <v>-</v>
      </c>
      <c r="BM146" s="59" t="str">
        <f>IF(AND(S146&gt;0,AP146&gt;0),MIN(S146,AP146),"-")</f>
        <v>-</v>
      </c>
      <c r="BN146" s="59" t="str">
        <f>IF(AND(T146&gt;0,AQ146&gt;0),MIN(T146,AQ146),"-")</f>
        <v>-</v>
      </c>
      <c r="BO146" s="59" t="str">
        <f>IF(AND(U146&gt;0,AR146&gt;0),MIN(U146,AR146),"-")</f>
        <v>-</v>
      </c>
      <c r="BP146" s="59" t="str">
        <f>IF(AND(V146&gt;0,AS146&gt;0),MIN(V146,AS146),"-")</f>
        <v>-</v>
      </c>
      <c r="BQ146" s="59" t="str">
        <f t="shared" si="40"/>
        <v>-</v>
      </c>
      <c r="BR146" s="59" t="str">
        <f t="shared" si="41"/>
        <v>-</v>
      </c>
      <c r="BS146" s="59" t="str">
        <f t="shared" si="42"/>
        <v>-</v>
      </c>
      <c r="BT146" s="98" t="str">
        <f>IF(ISNUMBER(BS146),BS146-(C146*Rules!$P$9/100),"-")</f>
        <v>-</v>
      </c>
      <c r="BU146" s="59" t="e">
        <f>RANK($BT146,$BT$5:$BT$106,1)+COUNTIF(BT$5:BT146,BT146)-1</f>
        <v>#VALUE!</v>
      </c>
      <c r="BV146" s="59" t="e">
        <f t="shared" si="43"/>
        <v>#VALUE!</v>
      </c>
      <c r="BW146" s="59" t="str">
        <f t="shared" si="44"/>
        <v xml:space="preserve"> </v>
      </c>
      <c r="BX146" s="59">
        <f t="shared" si="44"/>
        <v>0</v>
      </c>
      <c r="BY146" s="59" t="str">
        <f t="shared" si="45"/>
        <v>-</v>
      </c>
      <c r="CD146" s="79"/>
      <c r="CE146" s="80"/>
      <c r="CF146" s="104"/>
      <c r="CL146" s="77">
        <v>1</v>
      </c>
    </row>
    <row r="147" spans="1:90" ht="17.45" customHeight="1">
      <c r="A147" s="58">
        <v>143</v>
      </c>
      <c r="B147" s="59" t="str">
        <f>'C Div'!A147 &amp; " " &amp; 'C Div'!B147</f>
        <v xml:space="preserve"> </v>
      </c>
      <c r="C147" s="59">
        <f>'C Div'!E147</f>
        <v>0</v>
      </c>
      <c r="D147" s="60"/>
      <c r="E147" s="60"/>
      <c r="F147" s="60"/>
      <c r="G147" s="60"/>
      <c r="H147" s="60"/>
      <c r="I147" s="60"/>
      <c r="J147" s="60"/>
      <c r="K147" s="60"/>
      <c r="L147" s="60"/>
      <c r="M147" s="74" t="str">
        <f t="shared" si="31"/>
        <v>-</v>
      </c>
      <c r="N147" s="60"/>
      <c r="O147" s="60"/>
      <c r="P147" s="60"/>
      <c r="Q147" s="60"/>
      <c r="R147" s="60"/>
      <c r="S147" s="60"/>
      <c r="T147" s="60"/>
      <c r="U147" s="60"/>
      <c r="V147" s="60"/>
      <c r="W147" s="74" t="str">
        <f t="shared" si="32"/>
        <v>-</v>
      </c>
      <c r="X147" s="155" t="str">
        <f t="shared" si="33"/>
        <v>-</v>
      </c>
      <c r="Y147" s="156" t="str">
        <f t="shared" si="34"/>
        <v>-</v>
      </c>
      <c r="AA147" s="60"/>
      <c r="AB147" s="60"/>
      <c r="AC147" s="60"/>
      <c r="AD147" s="60"/>
      <c r="AE147" s="60"/>
      <c r="AF147" s="60"/>
      <c r="AG147" s="60"/>
      <c r="AH147" s="60"/>
      <c r="AI147" s="60"/>
      <c r="AJ147" s="74" t="str">
        <f t="shared" si="35"/>
        <v>-</v>
      </c>
      <c r="AK147" s="60"/>
      <c r="AL147" s="60"/>
      <c r="AM147" s="60"/>
      <c r="AN147" s="60"/>
      <c r="AO147" s="60"/>
      <c r="AP147" s="60"/>
      <c r="AQ147" s="60"/>
      <c r="AR147" s="60"/>
      <c r="AS147" s="60"/>
      <c r="AT147" s="74" t="str">
        <f t="shared" si="36"/>
        <v>-</v>
      </c>
      <c r="AU147" s="155" t="str">
        <f t="shared" si="37"/>
        <v>-</v>
      </c>
      <c r="AV147" s="156" t="str">
        <f t="shared" si="38"/>
        <v>-</v>
      </c>
      <c r="AX147" s="59" t="str">
        <f>IF(AND(D147&gt;0,AA147&gt;0),MIN(D147,AA147),"-")</f>
        <v>-</v>
      </c>
      <c r="AY147" s="59" t="str">
        <f>IF(AND(E147&gt;0,AB147&gt;0),MIN(E147,AB147),"-")</f>
        <v>-</v>
      </c>
      <c r="AZ147" s="59" t="str">
        <f>IF(AND(F147&gt;0,AC147&gt;0),MIN(F147,AC147),"-")</f>
        <v>-</v>
      </c>
      <c r="BA147" s="59" t="str">
        <f>IF(AND(G147&gt;0,AD147&gt;0),MIN(G147,AD147),"-")</f>
        <v>-</v>
      </c>
      <c r="BB147" s="59" t="str">
        <f>IF(AND(H147&gt;0,AE147&gt;0),MIN(H147,AE147),"-")</f>
        <v>-</v>
      </c>
      <c r="BC147" s="59" t="str">
        <f>IF(AND(I147&gt;0,AF147&gt;0),MIN(I147,AF147),"-")</f>
        <v>-</v>
      </c>
      <c r="BD147" s="59" t="str">
        <f>IF(AND(J147&gt;0,AG147&gt;0),MIN(J147,AG147),"-")</f>
        <v>-</v>
      </c>
      <c r="BE147" s="59" t="str">
        <f>IF(AND(K147&gt;0,AH147&gt;0),MIN(K147,AH147),"-")</f>
        <v>-</v>
      </c>
      <c r="BF147" s="59" t="str">
        <f>IF(AND(L147&gt;0,AI147&gt;0),MIN(L147,AI147),"-")</f>
        <v>-</v>
      </c>
      <c r="BG147" s="59" t="str">
        <f t="shared" si="39"/>
        <v>-</v>
      </c>
      <c r="BH147" s="59" t="str">
        <f>IF(AND(N147&gt;0,AK147&gt;0),MIN(N147,AK147),"-")</f>
        <v>-</v>
      </c>
      <c r="BI147" s="59" t="str">
        <f>IF(AND(O147&gt;0,AL147&gt;0),MIN(O147,AL147),"-")</f>
        <v>-</v>
      </c>
      <c r="BJ147" s="59" t="str">
        <f>IF(AND(P147&gt;0,AM147&gt;0),MIN(P147,AM147),"-")</f>
        <v>-</v>
      </c>
      <c r="BK147" s="59" t="str">
        <f>IF(AND(Q147&gt;0,AN147&gt;0),MIN(Q147,AN147),"-")</f>
        <v>-</v>
      </c>
      <c r="BL147" s="59" t="str">
        <f>IF(AND(R147&gt;0,AO147&gt;0),MIN(R147,AO147),"-")</f>
        <v>-</v>
      </c>
      <c r="BM147" s="59" t="str">
        <f>IF(AND(S147&gt;0,AP147&gt;0),MIN(S147,AP147),"-")</f>
        <v>-</v>
      </c>
      <c r="BN147" s="59" t="str">
        <f>IF(AND(T147&gt;0,AQ147&gt;0),MIN(T147,AQ147),"-")</f>
        <v>-</v>
      </c>
      <c r="BO147" s="59" t="str">
        <f>IF(AND(U147&gt;0,AR147&gt;0),MIN(U147,AR147),"-")</f>
        <v>-</v>
      </c>
      <c r="BP147" s="59" t="str">
        <f>IF(AND(V147&gt;0,AS147&gt;0),MIN(V147,AS147),"-")</f>
        <v>-</v>
      </c>
      <c r="BQ147" s="59" t="str">
        <f t="shared" si="40"/>
        <v>-</v>
      </c>
      <c r="BR147" s="59" t="str">
        <f t="shared" si="41"/>
        <v>-</v>
      </c>
      <c r="BS147" s="59" t="str">
        <f t="shared" si="42"/>
        <v>-</v>
      </c>
      <c r="BT147" s="98" t="str">
        <f>IF(ISNUMBER(BS147),BS147-(C147*Rules!$P$9/100),"-")</f>
        <v>-</v>
      </c>
      <c r="BU147" s="59" t="e">
        <f>RANK($BT147,$BT$5:$BT$106,1)+COUNTIF(BT$5:BT147,BT147)-1</f>
        <v>#VALUE!</v>
      </c>
      <c r="BV147" s="59" t="e">
        <f t="shared" si="43"/>
        <v>#VALUE!</v>
      </c>
      <c r="BW147" s="59" t="str">
        <f t="shared" si="44"/>
        <v xml:space="preserve"> </v>
      </c>
      <c r="BX147" s="59">
        <f t="shared" si="44"/>
        <v>0</v>
      </c>
      <c r="BY147" s="59" t="str">
        <f t="shared" si="45"/>
        <v>-</v>
      </c>
      <c r="CD147" s="79"/>
      <c r="CE147" s="80"/>
      <c r="CF147" s="104"/>
      <c r="CL147" s="77">
        <v>1</v>
      </c>
    </row>
    <row r="148" spans="1:90" ht="17.45" customHeight="1">
      <c r="A148" s="58">
        <v>144</v>
      </c>
      <c r="B148" s="59" t="str">
        <f>'C Div'!A148 &amp; " " &amp; 'C Div'!B148</f>
        <v xml:space="preserve"> </v>
      </c>
      <c r="C148" s="59">
        <f>'C Div'!E148</f>
        <v>0</v>
      </c>
      <c r="D148" s="60"/>
      <c r="E148" s="60"/>
      <c r="F148" s="60"/>
      <c r="G148" s="60"/>
      <c r="H148" s="60"/>
      <c r="I148" s="60"/>
      <c r="J148" s="60"/>
      <c r="K148" s="60"/>
      <c r="L148" s="60"/>
      <c r="M148" s="74" t="str">
        <f t="shared" si="31"/>
        <v>-</v>
      </c>
      <c r="N148" s="60"/>
      <c r="O148" s="60"/>
      <c r="P148" s="60"/>
      <c r="Q148" s="60"/>
      <c r="R148" s="60"/>
      <c r="S148" s="60"/>
      <c r="T148" s="60"/>
      <c r="U148" s="60"/>
      <c r="V148" s="60"/>
      <c r="W148" s="74" t="str">
        <f t="shared" si="32"/>
        <v>-</v>
      </c>
      <c r="X148" s="155" t="str">
        <f t="shared" si="33"/>
        <v>-</v>
      </c>
      <c r="Y148" s="156" t="str">
        <f t="shared" si="34"/>
        <v>-</v>
      </c>
      <c r="AA148" s="60"/>
      <c r="AB148" s="60"/>
      <c r="AC148" s="60"/>
      <c r="AD148" s="60"/>
      <c r="AE148" s="60"/>
      <c r="AF148" s="60"/>
      <c r="AG148" s="60"/>
      <c r="AH148" s="60"/>
      <c r="AI148" s="60"/>
      <c r="AJ148" s="74" t="str">
        <f t="shared" si="35"/>
        <v>-</v>
      </c>
      <c r="AK148" s="60"/>
      <c r="AL148" s="60"/>
      <c r="AM148" s="60"/>
      <c r="AN148" s="60"/>
      <c r="AO148" s="60"/>
      <c r="AP148" s="60"/>
      <c r="AQ148" s="60"/>
      <c r="AR148" s="60"/>
      <c r="AS148" s="60"/>
      <c r="AT148" s="74" t="str">
        <f t="shared" si="36"/>
        <v>-</v>
      </c>
      <c r="AU148" s="155" t="str">
        <f t="shared" si="37"/>
        <v>-</v>
      </c>
      <c r="AV148" s="156" t="str">
        <f t="shared" si="38"/>
        <v>-</v>
      </c>
      <c r="AX148" s="59" t="str">
        <f>IF(AND(D148&gt;0,AA148&gt;0),MIN(D148,AA148),"-")</f>
        <v>-</v>
      </c>
      <c r="AY148" s="59" t="str">
        <f>IF(AND(E148&gt;0,AB148&gt;0),MIN(E148,AB148),"-")</f>
        <v>-</v>
      </c>
      <c r="AZ148" s="59" t="str">
        <f>IF(AND(F148&gt;0,AC148&gt;0),MIN(F148,AC148),"-")</f>
        <v>-</v>
      </c>
      <c r="BA148" s="59" t="str">
        <f>IF(AND(G148&gt;0,AD148&gt;0),MIN(G148,AD148),"-")</f>
        <v>-</v>
      </c>
      <c r="BB148" s="59" t="str">
        <f>IF(AND(H148&gt;0,AE148&gt;0),MIN(H148,AE148),"-")</f>
        <v>-</v>
      </c>
      <c r="BC148" s="59" t="str">
        <f>IF(AND(I148&gt;0,AF148&gt;0),MIN(I148,AF148),"-")</f>
        <v>-</v>
      </c>
      <c r="BD148" s="59" t="str">
        <f>IF(AND(J148&gt;0,AG148&gt;0),MIN(J148,AG148),"-")</f>
        <v>-</v>
      </c>
      <c r="BE148" s="59" t="str">
        <f>IF(AND(K148&gt;0,AH148&gt;0),MIN(K148,AH148),"-")</f>
        <v>-</v>
      </c>
      <c r="BF148" s="59" t="str">
        <f>IF(AND(L148&gt;0,AI148&gt;0),MIN(L148,AI148),"-")</f>
        <v>-</v>
      </c>
      <c r="BG148" s="59" t="str">
        <f t="shared" si="39"/>
        <v>-</v>
      </c>
      <c r="BH148" s="59" t="str">
        <f>IF(AND(N148&gt;0,AK148&gt;0),MIN(N148,AK148),"-")</f>
        <v>-</v>
      </c>
      <c r="BI148" s="59" t="str">
        <f>IF(AND(O148&gt;0,AL148&gt;0),MIN(O148,AL148),"-")</f>
        <v>-</v>
      </c>
      <c r="BJ148" s="59" t="str">
        <f>IF(AND(P148&gt;0,AM148&gt;0),MIN(P148,AM148),"-")</f>
        <v>-</v>
      </c>
      <c r="BK148" s="59" t="str">
        <f>IF(AND(Q148&gt;0,AN148&gt;0),MIN(Q148,AN148),"-")</f>
        <v>-</v>
      </c>
      <c r="BL148" s="59" t="str">
        <f>IF(AND(R148&gt;0,AO148&gt;0),MIN(R148,AO148),"-")</f>
        <v>-</v>
      </c>
      <c r="BM148" s="59" t="str">
        <f>IF(AND(S148&gt;0,AP148&gt;0),MIN(S148,AP148),"-")</f>
        <v>-</v>
      </c>
      <c r="BN148" s="59" t="str">
        <f>IF(AND(T148&gt;0,AQ148&gt;0),MIN(T148,AQ148),"-")</f>
        <v>-</v>
      </c>
      <c r="BO148" s="59" t="str">
        <f>IF(AND(U148&gt;0,AR148&gt;0),MIN(U148,AR148),"-")</f>
        <v>-</v>
      </c>
      <c r="BP148" s="59" t="str">
        <f>IF(AND(V148&gt;0,AS148&gt;0),MIN(V148,AS148),"-")</f>
        <v>-</v>
      </c>
      <c r="BQ148" s="59" t="str">
        <f t="shared" si="40"/>
        <v>-</v>
      </c>
      <c r="BR148" s="59" t="str">
        <f t="shared" si="41"/>
        <v>-</v>
      </c>
      <c r="BS148" s="59" t="str">
        <f t="shared" si="42"/>
        <v>-</v>
      </c>
      <c r="BT148" s="98" t="str">
        <f>IF(ISNUMBER(BS148),BS148-(C148*Rules!$P$9/100),"-")</f>
        <v>-</v>
      </c>
      <c r="BU148" s="59" t="e">
        <f>RANK($BT148,$BT$5:$BT$106,1)+COUNTIF(BT$5:BT148,BT148)-1</f>
        <v>#VALUE!</v>
      </c>
      <c r="BV148" s="59" t="e">
        <f t="shared" si="43"/>
        <v>#VALUE!</v>
      </c>
      <c r="BW148" s="59" t="str">
        <f t="shared" si="44"/>
        <v xml:space="preserve"> </v>
      </c>
      <c r="BX148" s="59">
        <f t="shared" si="44"/>
        <v>0</v>
      </c>
      <c r="BY148" s="59" t="str">
        <f t="shared" si="45"/>
        <v>-</v>
      </c>
      <c r="CD148" s="79"/>
      <c r="CE148" s="80"/>
      <c r="CF148" s="104"/>
      <c r="CL148" s="77">
        <v>1</v>
      </c>
    </row>
    <row r="149" spans="1:90" ht="17.45" customHeight="1">
      <c r="A149" s="58">
        <v>145</v>
      </c>
      <c r="B149" s="59" t="str">
        <f>'C Div'!A149 &amp; " " &amp; 'C Div'!B149</f>
        <v xml:space="preserve"> </v>
      </c>
      <c r="C149" s="59">
        <f>'C Div'!E149</f>
        <v>0</v>
      </c>
      <c r="D149" s="60"/>
      <c r="E149" s="60"/>
      <c r="F149" s="60"/>
      <c r="G149" s="60"/>
      <c r="H149" s="60"/>
      <c r="I149" s="60"/>
      <c r="J149" s="60"/>
      <c r="K149" s="60"/>
      <c r="L149" s="60"/>
      <c r="M149" s="74" t="str">
        <f t="shared" si="31"/>
        <v>-</v>
      </c>
      <c r="N149" s="60"/>
      <c r="O149" s="60"/>
      <c r="P149" s="60"/>
      <c r="Q149" s="60"/>
      <c r="R149" s="60"/>
      <c r="S149" s="60"/>
      <c r="T149" s="60"/>
      <c r="U149" s="60"/>
      <c r="V149" s="60"/>
      <c r="W149" s="74" t="str">
        <f t="shared" si="32"/>
        <v>-</v>
      </c>
      <c r="X149" s="155" t="str">
        <f t="shared" si="33"/>
        <v>-</v>
      </c>
      <c r="Y149" s="156" t="str">
        <f t="shared" si="34"/>
        <v>-</v>
      </c>
      <c r="AA149" s="60"/>
      <c r="AB149" s="60"/>
      <c r="AC149" s="60"/>
      <c r="AD149" s="60"/>
      <c r="AE149" s="60"/>
      <c r="AF149" s="60"/>
      <c r="AG149" s="60"/>
      <c r="AH149" s="60"/>
      <c r="AI149" s="60"/>
      <c r="AJ149" s="74" t="str">
        <f t="shared" si="35"/>
        <v>-</v>
      </c>
      <c r="AK149" s="60"/>
      <c r="AL149" s="60"/>
      <c r="AM149" s="60"/>
      <c r="AN149" s="60"/>
      <c r="AO149" s="60"/>
      <c r="AP149" s="60"/>
      <c r="AQ149" s="60"/>
      <c r="AR149" s="60"/>
      <c r="AS149" s="60"/>
      <c r="AT149" s="74" t="str">
        <f t="shared" si="36"/>
        <v>-</v>
      </c>
      <c r="AU149" s="155" t="str">
        <f t="shared" si="37"/>
        <v>-</v>
      </c>
      <c r="AV149" s="156" t="str">
        <f t="shared" si="38"/>
        <v>-</v>
      </c>
      <c r="AX149" s="59" t="str">
        <f>IF(AND(D149&gt;0,AA149&gt;0),MIN(D149,AA149),"-")</f>
        <v>-</v>
      </c>
      <c r="AY149" s="59" t="str">
        <f>IF(AND(E149&gt;0,AB149&gt;0),MIN(E149,AB149),"-")</f>
        <v>-</v>
      </c>
      <c r="AZ149" s="59" t="str">
        <f>IF(AND(F149&gt;0,AC149&gt;0),MIN(F149,AC149),"-")</f>
        <v>-</v>
      </c>
      <c r="BA149" s="59" t="str">
        <f>IF(AND(G149&gt;0,AD149&gt;0),MIN(G149,AD149),"-")</f>
        <v>-</v>
      </c>
      <c r="BB149" s="59" t="str">
        <f>IF(AND(H149&gt;0,AE149&gt;0),MIN(H149,AE149),"-")</f>
        <v>-</v>
      </c>
      <c r="BC149" s="59" t="str">
        <f>IF(AND(I149&gt;0,AF149&gt;0),MIN(I149,AF149),"-")</f>
        <v>-</v>
      </c>
      <c r="BD149" s="59" t="str">
        <f>IF(AND(J149&gt;0,AG149&gt;0),MIN(J149,AG149),"-")</f>
        <v>-</v>
      </c>
      <c r="BE149" s="59" t="str">
        <f>IF(AND(K149&gt;0,AH149&gt;0),MIN(K149,AH149),"-")</f>
        <v>-</v>
      </c>
      <c r="BF149" s="59" t="str">
        <f>IF(AND(L149&gt;0,AI149&gt;0),MIN(L149,AI149),"-")</f>
        <v>-</v>
      </c>
      <c r="BG149" s="59" t="str">
        <f t="shared" si="39"/>
        <v>-</v>
      </c>
      <c r="BH149" s="59" t="str">
        <f>IF(AND(N149&gt;0,AK149&gt;0),MIN(N149,AK149),"-")</f>
        <v>-</v>
      </c>
      <c r="BI149" s="59" t="str">
        <f>IF(AND(O149&gt;0,AL149&gt;0),MIN(O149,AL149),"-")</f>
        <v>-</v>
      </c>
      <c r="BJ149" s="59" t="str">
        <f>IF(AND(P149&gt;0,AM149&gt;0),MIN(P149,AM149),"-")</f>
        <v>-</v>
      </c>
      <c r="BK149" s="59" t="str">
        <f>IF(AND(Q149&gt;0,AN149&gt;0),MIN(Q149,AN149),"-")</f>
        <v>-</v>
      </c>
      <c r="BL149" s="59" t="str">
        <f>IF(AND(R149&gt;0,AO149&gt;0),MIN(R149,AO149),"-")</f>
        <v>-</v>
      </c>
      <c r="BM149" s="59" t="str">
        <f>IF(AND(S149&gt;0,AP149&gt;0),MIN(S149,AP149),"-")</f>
        <v>-</v>
      </c>
      <c r="BN149" s="59" t="str">
        <f>IF(AND(T149&gt;0,AQ149&gt;0),MIN(T149,AQ149),"-")</f>
        <v>-</v>
      </c>
      <c r="BO149" s="59" t="str">
        <f>IF(AND(U149&gt;0,AR149&gt;0),MIN(U149,AR149),"-")</f>
        <v>-</v>
      </c>
      <c r="BP149" s="59" t="str">
        <f>IF(AND(V149&gt;0,AS149&gt;0),MIN(V149,AS149),"-")</f>
        <v>-</v>
      </c>
      <c r="BQ149" s="59" t="str">
        <f t="shared" si="40"/>
        <v>-</v>
      </c>
      <c r="BR149" s="59" t="str">
        <f t="shared" si="41"/>
        <v>-</v>
      </c>
      <c r="BS149" s="59" t="str">
        <f t="shared" si="42"/>
        <v>-</v>
      </c>
      <c r="BT149" s="98" t="str">
        <f>IF(ISNUMBER(BS149),BS149-(C149*Rules!$P$9/100),"-")</f>
        <v>-</v>
      </c>
      <c r="BU149" s="59" t="e">
        <f>RANK($BT149,$BT$5:$BT$106,1)+COUNTIF(BT$5:BT149,BT149)-1</f>
        <v>#VALUE!</v>
      </c>
      <c r="BV149" s="59" t="e">
        <f t="shared" si="43"/>
        <v>#VALUE!</v>
      </c>
      <c r="BW149" s="59" t="str">
        <f t="shared" si="44"/>
        <v xml:space="preserve"> </v>
      </c>
      <c r="BX149" s="59">
        <f t="shared" si="44"/>
        <v>0</v>
      </c>
      <c r="BY149" s="59" t="str">
        <f t="shared" si="45"/>
        <v>-</v>
      </c>
      <c r="CD149" s="79"/>
      <c r="CE149" s="80"/>
      <c r="CF149" s="104"/>
      <c r="CL149" s="77">
        <v>1</v>
      </c>
    </row>
    <row r="150" spans="1:90" ht="17.45" customHeight="1">
      <c r="A150" s="58">
        <v>146</v>
      </c>
      <c r="B150" s="59" t="str">
        <f>'C Div'!A150 &amp; " " &amp; 'C Div'!B150</f>
        <v xml:space="preserve"> </v>
      </c>
      <c r="C150" s="59">
        <f>'C Div'!E150</f>
        <v>0</v>
      </c>
      <c r="D150" s="60"/>
      <c r="E150" s="60"/>
      <c r="F150" s="60"/>
      <c r="G150" s="60"/>
      <c r="H150" s="60"/>
      <c r="I150" s="60"/>
      <c r="J150" s="60"/>
      <c r="K150" s="60"/>
      <c r="L150" s="60"/>
      <c r="M150" s="74" t="str">
        <f t="shared" si="31"/>
        <v>-</v>
      </c>
      <c r="N150" s="60"/>
      <c r="O150" s="60"/>
      <c r="P150" s="60"/>
      <c r="Q150" s="60"/>
      <c r="R150" s="60"/>
      <c r="S150" s="60"/>
      <c r="T150" s="60"/>
      <c r="U150" s="60"/>
      <c r="V150" s="60"/>
      <c r="W150" s="74" t="str">
        <f t="shared" si="32"/>
        <v>-</v>
      </c>
      <c r="X150" s="155" t="str">
        <f t="shared" si="33"/>
        <v>-</v>
      </c>
      <c r="Y150" s="156" t="str">
        <f t="shared" si="34"/>
        <v>-</v>
      </c>
      <c r="AA150" s="60"/>
      <c r="AB150" s="60"/>
      <c r="AC150" s="60"/>
      <c r="AD150" s="60"/>
      <c r="AE150" s="60"/>
      <c r="AF150" s="60"/>
      <c r="AG150" s="60"/>
      <c r="AH150" s="60"/>
      <c r="AI150" s="60"/>
      <c r="AJ150" s="74" t="str">
        <f t="shared" si="35"/>
        <v>-</v>
      </c>
      <c r="AK150" s="60"/>
      <c r="AL150" s="60"/>
      <c r="AM150" s="60"/>
      <c r="AN150" s="60"/>
      <c r="AO150" s="60"/>
      <c r="AP150" s="60"/>
      <c r="AQ150" s="60"/>
      <c r="AR150" s="60"/>
      <c r="AS150" s="60"/>
      <c r="AT150" s="74" t="str">
        <f t="shared" si="36"/>
        <v>-</v>
      </c>
      <c r="AU150" s="155" t="str">
        <f t="shared" si="37"/>
        <v>-</v>
      </c>
      <c r="AV150" s="156" t="str">
        <f t="shared" si="38"/>
        <v>-</v>
      </c>
      <c r="AX150" s="59" t="str">
        <f>IF(AND(D150&gt;0,AA150&gt;0),MIN(D150,AA150),"-")</f>
        <v>-</v>
      </c>
      <c r="AY150" s="59" t="str">
        <f>IF(AND(E150&gt;0,AB150&gt;0),MIN(E150,AB150),"-")</f>
        <v>-</v>
      </c>
      <c r="AZ150" s="59" t="str">
        <f>IF(AND(F150&gt;0,AC150&gt;0),MIN(F150,AC150),"-")</f>
        <v>-</v>
      </c>
      <c r="BA150" s="59" t="str">
        <f>IF(AND(G150&gt;0,AD150&gt;0),MIN(G150,AD150),"-")</f>
        <v>-</v>
      </c>
      <c r="BB150" s="59" t="str">
        <f>IF(AND(H150&gt;0,AE150&gt;0),MIN(H150,AE150),"-")</f>
        <v>-</v>
      </c>
      <c r="BC150" s="59" t="str">
        <f>IF(AND(I150&gt;0,AF150&gt;0),MIN(I150,AF150),"-")</f>
        <v>-</v>
      </c>
      <c r="BD150" s="59" t="str">
        <f>IF(AND(J150&gt;0,AG150&gt;0),MIN(J150,AG150),"-")</f>
        <v>-</v>
      </c>
      <c r="BE150" s="59" t="str">
        <f>IF(AND(K150&gt;0,AH150&gt;0),MIN(K150,AH150),"-")</f>
        <v>-</v>
      </c>
      <c r="BF150" s="59" t="str">
        <f>IF(AND(L150&gt;0,AI150&gt;0),MIN(L150,AI150),"-")</f>
        <v>-</v>
      </c>
      <c r="BG150" s="59" t="str">
        <f t="shared" si="39"/>
        <v>-</v>
      </c>
      <c r="BH150" s="59" t="str">
        <f>IF(AND(N150&gt;0,AK150&gt;0),MIN(N150,AK150),"-")</f>
        <v>-</v>
      </c>
      <c r="BI150" s="59" t="str">
        <f>IF(AND(O150&gt;0,AL150&gt;0),MIN(O150,AL150),"-")</f>
        <v>-</v>
      </c>
      <c r="BJ150" s="59" t="str">
        <f>IF(AND(P150&gt;0,AM150&gt;0),MIN(P150,AM150),"-")</f>
        <v>-</v>
      </c>
      <c r="BK150" s="59" t="str">
        <f>IF(AND(Q150&gt;0,AN150&gt;0),MIN(Q150,AN150),"-")</f>
        <v>-</v>
      </c>
      <c r="BL150" s="59" t="str">
        <f>IF(AND(R150&gt;0,AO150&gt;0),MIN(R150,AO150),"-")</f>
        <v>-</v>
      </c>
      <c r="BM150" s="59" t="str">
        <f>IF(AND(S150&gt;0,AP150&gt;0),MIN(S150,AP150),"-")</f>
        <v>-</v>
      </c>
      <c r="BN150" s="59" t="str">
        <f>IF(AND(T150&gt;0,AQ150&gt;0),MIN(T150,AQ150),"-")</f>
        <v>-</v>
      </c>
      <c r="BO150" s="59" t="str">
        <f>IF(AND(U150&gt;0,AR150&gt;0),MIN(U150,AR150),"-")</f>
        <v>-</v>
      </c>
      <c r="BP150" s="59" t="str">
        <f>IF(AND(V150&gt;0,AS150&gt;0),MIN(V150,AS150),"-")</f>
        <v>-</v>
      </c>
      <c r="BQ150" s="59" t="str">
        <f t="shared" si="40"/>
        <v>-</v>
      </c>
      <c r="BR150" s="59" t="str">
        <f t="shared" si="41"/>
        <v>-</v>
      </c>
      <c r="BS150" s="59" t="str">
        <f t="shared" si="42"/>
        <v>-</v>
      </c>
      <c r="BT150" s="98" t="str">
        <f>IF(ISNUMBER(BS150),BS150-(C150*Rules!$P$9/100),"-")</f>
        <v>-</v>
      </c>
      <c r="BU150" s="59" t="e">
        <f>RANK($BT150,$BT$5:$BT$106,1)+COUNTIF(BT$5:BT150,BT150)-1</f>
        <v>#VALUE!</v>
      </c>
      <c r="BV150" s="59" t="e">
        <f t="shared" si="43"/>
        <v>#VALUE!</v>
      </c>
      <c r="BW150" s="59" t="str">
        <f t="shared" si="44"/>
        <v xml:space="preserve"> </v>
      </c>
      <c r="BX150" s="59">
        <f t="shared" si="44"/>
        <v>0</v>
      </c>
      <c r="BY150" s="59" t="str">
        <f t="shared" si="45"/>
        <v>-</v>
      </c>
      <c r="CD150" s="79"/>
      <c r="CE150" s="80"/>
      <c r="CF150" s="104"/>
      <c r="CL150" s="77">
        <v>1</v>
      </c>
    </row>
    <row r="151" spans="1:90" ht="17.45" customHeight="1">
      <c r="A151" s="58">
        <v>147</v>
      </c>
      <c r="B151" s="59" t="str">
        <f>'C Div'!A151 &amp; " " &amp; 'C Div'!B151</f>
        <v xml:space="preserve"> </v>
      </c>
      <c r="C151" s="59">
        <f>'C Div'!E151</f>
        <v>0</v>
      </c>
      <c r="D151" s="60"/>
      <c r="E151" s="60"/>
      <c r="F151" s="60"/>
      <c r="G151" s="60"/>
      <c r="H151" s="60"/>
      <c r="I151" s="60"/>
      <c r="J151" s="60"/>
      <c r="K151" s="60"/>
      <c r="L151" s="60"/>
      <c r="M151" s="74" t="str">
        <f t="shared" si="31"/>
        <v>-</v>
      </c>
      <c r="N151" s="60"/>
      <c r="O151" s="60"/>
      <c r="P151" s="60"/>
      <c r="Q151" s="60"/>
      <c r="R151" s="60"/>
      <c r="S151" s="60"/>
      <c r="T151" s="60"/>
      <c r="U151" s="60"/>
      <c r="V151" s="60"/>
      <c r="W151" s="74" t="str">
        <f t="shared" si="32"/>
        <v>-</v>
      </c>
      <c r="X151" s="155" t="str">
        <f t="shared" si="33"/>
        <v>-</v>
      </c>
      <c r="Y151" s="156" t="str">
        <f t="shared" si="34"/>
        <v>-</v>
      </c>
      <c r="AA151" s="60"/>
      <c r="AB151" s="60"/>
      <c r="AC151" s="60"/>
      <c r="AD151" s="60"/>
      <c r="AE151" s="60"/>
      <c r="AF151" s="60"/>
      <c r="AG151" s="60"/>
      <c r="AH151" s="60"/>
      <c r="AI151" s="60"/>
      <c r="AJ151" s="74" t="str">
        <f t="shared" si="35"/>
        <v>-</v>
      </c>
      <c r="AK151" s="60"/>
      <c r="AL151" s="60"/>
      <c r="AM151" s="60"/>
      <c r="AN151" s="60"/>
      <c r="AO151" s="60"/>
      <c r="AP151" s="60"/>
      <c r="AQ151" s="60"/>
      <c r="AR151" s="60"/>
      <c r="AS151" s="60"/>
      <c r="AT151" s="74" t="str">
        <f t="shared" si="36"/>
        <v>-</v>
      </c>
      <c r="AU151" s="155" t="str">
        <f t="shared" si="37"/>
        <v>-</v>
      </c>
      <c r="AV151" s="156" t="str">
        <f t="shared" si="38"/>
        <v>-</v>
      </c>
      <c r="AX151" s="59" t="str">
        <f>IF(AND(D151&gt;0,AA151&gt;0),MIN(D151,AA151),"-")</f>
        <v>-</v>
      </c>
      <c r="AY151" s="59" t="str">
        <f>IF(AND(E151&gt;0,AB151&gt;0),MIN(E151,AB151),"-")</f>
        <v>-</v>
      </c>
      <c r="AZ151" s="59" t="str">
        <f>IF(AND(F151&gt;0,AC151&gt;0),MIN(F151,AC151),"-")</f>
        <v>-</v>
      </c>
      <c r="BA151" s="59" t="str">
        <f>IF(AND(G151&gt;0,AD151&gt;0),MIN(G151,AD151),"-")</f>
        <v>-</v>
      </c>
      <c r="BB151" s="59" t="str">
        <f>IF(AND(H151&gt;0,AE151&gt;0),MIN(H151,AE151),"-")</f>
        <v>-</v>
      </c>
      <c r="BC151" s="59" t="str">
        <f>IF(AND(I151&gt;0,AF151&gt;0),MIN(I151,AF151),"-")</f>
        <v>-</v>
      </c>
      <c r="BD151" s="59" t="str">
        <f>IF(AND(J151&gt;0,AG151&gt;0),MIN(J151,AG151),"-")</f>
        <v>-</v>
      </c>
      <c r="BE151" s="59" t="str">
        <f>IF(AND(K151&gt;0,AH151&gt;0),MIN(K151,AH151),"-")</f>
        <v>-</v>
      </c>
      <c r="BF151" s="59" t="str">
        <f>IF(AND(L151&gt;0,AI151&gt;0),MIN(L151,AI151),"-")</f>
        <v>-</v>
      </c>
      <c r="BG151" s="59" t="str">
        <f t="shared" si="39"/>
        <v>-</v>
      </c>
      <c r="BH151" s="59" t="str">
        <f>IF(AND(N151&gt;0,AK151&gt;0),MIN(N151,AK151),"-")</f>
        <v>-</v>
      </c>
      <c r="BI151" s="59" t="str">
        <f>IF(AND(O151&gt;0,AL151&gt;0),MIN(O151,AL151),"-")</f>
        <v>-</v>
      </c>
      <c r="BJ151" s="59" t="str">
        <f>IF(AND(P151&gt;0,AM151&gt;0),MIN(P151,AM151),"-")</f>
        <v>-</v>
      </c>
      <c r="BK151" s="59" t="str">
        <f>IF(AND(Q151&gt;0,AN151&gt;0),MIN(Q151,AN151),"-")</f>
        <v>-</v>
      </c>
      <c r="BL151" s="59" t="str">
        <f>IF(AND(R151&gt;0,AO151&gt;0),MIN(R151,AO151),"-")</f>
        <v>-</v>
      </c>
      <c r="BM151" s="59" t="str">
        <f>IF(AND(S151&gt;0,AP151&gt;0),MIN(S151,AP151),"-")</f>
        <v>-</v>
      </c>
      <c r="BN151" s="59" t="str">
        <f>IF(AND(T151&gt;0,AQ151&gt;0),MIN(T151,AQ151),"-")</f>
        <v>-</v>
      </c>
      <c r="BO151" s="59" t="str">
        <f>IF(AND(U151&gt;0,AR151&gt;0),MIN(U151,AR151),"-")</f>
        <v>-</v>
      </c>
      <c r="BP151" s="59" t="str">
        <f>IF(AND(V151&gt;0,AS151&gt;0),MIN(V151,AS151),"-")</f>
        <v>-</v>
      </c>
      <c r="BQ151" s="59" t="str">
        <f t="shared" si="40"/>
        <v>-</v>
      </c>
      <c r="BR151" s="59" t="str">
        <f t="shared" si="41"/>
        <v>-</v>
      </c>
      <c r="BS151" s="59" t="str">
        <f t="shared" si="42"/>
        <v>-</v>
      </c>
      <c r="BT151" s="98" t="str">
        <f>IF(ISNUMBER(BS151),BS151-(C151*Rules!$P$9/100),"-")</f>
        <v>-</v>
      </c>
      <c r="BU151" s="59" t="e">
        <f>RANK($BT151,$BT$5:$BT$106,1)+COUNTIF(BT$5:BT151,BT151)-1</f>
        <v>#VALUE!</v>
      </c>
      <c r="BV151" s="59" t="e">
        <f t="shared" si="43"/>
        <v>#VALUE!</v>
      </c>
      <c r="BW151" s="59" t="str">
        <f t="shared" si="44"/>
        <v xml:space="preserve"> </v>
      </c>
      <c r="BX151" s="59">
        <f t="shared" si="44"/>
        <v>0</v>
      </c>
      <c r="BY151" s="59" t="str">
        <f t="shared" si="45"/>
        <v>-</v>
      </c>
      <c r="CD151" s="79"/>
      <c r="CE151" s="80"/>
      <c r="CF151" s="104"/>
      <c r="CL151" s="77">
        <v>1</v>
      </c>
    </row>
    <row r="152" spans="1:90" ht="17.45" customHeight="1">
      <c r="A152" s="58">
        <v>148</v>
      </c>
      <c r="B152" s="59" t="str">
        <f>'C Div'!A152 &amp; " " &amp; 'C Div'!B152</f>
        <v xml:space="preserve"> </v>
      </c>
      <c r="C152" s="59">
        <f>'C Div'!E152</f>
        <v>0</v>
      </c>
      <c r="D152" s="60"/>
      <c r="E152" s="60"/>
      <c r="F152" s="60"/>
      <c r="G152" s="60"/>
      <c r="H152" s="60"/>
      <c r="I152" s="60"/>
      <c r="J152" s="60"/>
      <c r="K152" s="60"/>
      <c r="L152" s="60"/>
      <c r="M152" s="74" t="str">
        <f t="shared" si="31"/>
        <v>-</v>
      </c>
      <c r="N152" s="60"/>
      <c r="O152" s="60"/>
      <c r="P152" s="60"/>
      <c r="Q152" s="60"/>
      <c r="R152" s="60"/>
      <c r="S152" s="60"/>
      <c r="T152" s="60"/>
      <c r="U152" s="60"/>
      <c r="V152" s="60"/>
      <c r="W152" s="74" t="str">
        <f t="shared" si="32"/>
        <v>-</v>
      </c>
      <c r="X152" s="155" t="str">
        <f t="shared" si="33"/>
        <v>-</v>
      </c>
      <c r="Y152" s="156" t="str">
        <f t="shared" si="34"/>
        <v>-</v>
      </c>
      <c r="AA152" s="60"/>
      <c r="AB152" s="60"/>
      <c r="AC152" s="60"/>
      <c r="AD152" s="60"/>
      <c r="AE152" s="60"/>
      <c r="AF152" s="60"/>
      <c r="AG152" s="60"/>
      <c r="AH152" s="60"/>
      <c r="AI152" s="60"/>
      <c r="AJ152" s="74" t="str">
        <f t="shared" si="35"/>
        <v>-</v>
      </c>
      <c r="AK152" s="60"/>
      <c r="AL152" s="60"/>
      <c r="AM152" s="60"/>
      <c r="AN152" s="60"/>
      <c r="AO152" s="60"/>
      <c r="AP152" s="60"/>
      <c r="AQ152" s="60"/>
      <c r="AR152" s="60"/>
      <c r="AS152" s="60"/>
      <c r="AT152" s="74" t="str">
        <f t="shared" si="36"/>
        <v>-</v>
      </c>
      <c r="AU152" s="155" t="str">
        <f t="shared" si="37"/>
        <v>-</v>
      </c>
      <c r="AV152" s="156" t="str">
        <f t="shared" si="38"/>
        <v>-</v>
      </c>
      <c r="AX152" s="59" t="str">
        <f>IF(AND(D152&gt;0,AA152&gt;0),MIN(D152,AA152),"-")</f>
        <v>-</v>
      </c>
      <c r="AY152" s="59" t="str">
        <f>IF(AND(E152&gt;0,AB152&gt;0),MIN(E152,AB152),"-")</f>
        <v>-</v>
      </c>
      <c r="AZ152" s="59" t="str">
        <f>IF(AND(F152&gt;0,AC152&gt;0),MIN(F152,AC152),"-")</f>
        <v>-</v>
      </c>
      <c r="BA152" s="59" t="str">
        <f>IF(AND(G152&gt;0,AD152&gt;0),MIN(G152,AD152),"-")</f>
        <v>-</v>
      </c>
      <c r="BB152" s="59" t="str">
        <f>IF(AND(H152&gt;0,AE152&gt;0),MIN(H152,AE152),"-")</f>
        <v>-</v>
      </c>
      <c r="BC152" s="59" t="str">
        <f>IF(AND(I152&gt;0,AF152&gt;0),MIN(I152,AF152),"-")</f>
        <v>-</v>
      </c>
      <c r="BD152" s="59" t="str">
        <f>IF(AND(J152&gt;0,AG152&gt;0),MIN(J152,AG152),"-")</f>
        <v>-</v>
      </c>
      <c r="BE152" s="59" t="str">
        <f>IF(AND(K152&gt;0,AH152&gt;0),MIN(K152,AH152),"-")</f>
        <v>-</v>
      </c>
      <c r="BF152" s="59" t="str">
        <f>IF(AND(L152&gt;0,AI152&gt;0),MIN(L152,AI152),"-")</f>
        <v>-</v>
      </c>
      <c r="BG152" s="59" t="str">
        <f t="shared" si="39"/>
        <v>-</v>
      </c>
      <c r="BH152" s="59" t="str">
        <f>IF(AND(N152&gt;0,AK152&gt;0),MIN(N152,AK152),"-")</f>
        <v>-</v>
      </c>
      <c r="BI152" s="59" t="str">
        <f>IF(AND(O152&gt;0,AL152&gt;0),MIN(O152,AL152),"-")</f>
        <v>-</v>
      </c>
      <c r="BJ152" s="59" t="str">
        <f>IF(AND(P152&gt;0,AM152&gt;0),MIN(P152,AM152),"-")</f>
        <v>-</v>
      </c>
      <c r="BK152" s="59" t="str">
        <f>IF(AND(Q152&gt;0,AN152&gt;0),MIN(Q152,AN152),"-")</f>
        <v>-</v>
      </c>
      <c r="BL152" s="59" t="str">
        <f>IF(AND(R152&gt;0,AO152&gt;0),MIN(R152,AO152),"-")</f>
        <v>-</v>
      </c>
      <c r="BM152" s="59" t="str">
        <f>IF(AND(S152&gt;0,AP152&gt;0),MIN(S152,AP152),"-")</f>
        <v>-</v>
      </c>
      <c r="BN152" s="59" t="str">
        <f>IF(AND(T152&gt;0,AQ152&gt;0),MIN(T152,AQ152),"-")</f>
        <v>-</v>
      </c>
      <c r="BO152" s="59" t="str">
        <f>IF(AND(U152&gt;0,AR152&gt;0),MIN(U152,AR152),"-")</f>
        <v>-</v>
      </c>
      <c r="BP152" s="59" t="str">
        <f>IF(AND(V152&gt;0,AS152&gt;0),MIN(V152,AS152),"-")</f>
        <v>-</v>
      </c>
      <c r="BQ152" s="59" t="str">
        <f t="shared" si="40"/>
        <v>-</v>
      </c>
      <c r="BR152" s="59" t="str">
        <f t="shared" si="41"/>
        <v>-</v>
      </c>
      <c r="BS152" s="59" t="str">
        <f t="shared" si="42"/>
        <v>-</v>
      </c>
      <c r="BT152" s="98" t="str">
        <f>IF(ISNUMBER(BS152),BS152-(C152*Rules!$P$9/100),"-")</f>
        <v>-</v>
      </c>
      <c r="BU152" s="59" t="e">
        <f>RANK($BT152,$BT$5:$BT$106,1)+COUNTIF(BT$5:BT152,BT152)-1</f>
        <v>#VALUE!</v>
      </c>
      <c r="BV152" s="59" t="e">
        <f t="shared" si="43"/>
        <v>#VALUE!</v>
      </c>
      <c r="BW152" s="59" t="str">
        <f t="shared" si="44"/>
        <v xml:space="preserve"> </v>
      </c>
      <c r="BX152" s="59">
        <f t="shared" si="44"/>
        <v>0</v>
      </c>
      <c r="BY152" s="59" t="str">
        <f t="shared" si="45"/>
        <v>-</v>
      </c>
      <c r="CD152" s="79"/>
      <c r="CE152" s="80"/>
      <c r="CF152" s="104"/>
      <c r="CL152" s="77">
        <v>1</v>
      </c>
    </row>
    <row r="153" spans="1:90" ht="17.45" customHeight="1">
      <c r="A153" s="58">
        <v>149</v>
      </c>
      <c r="B153" s="59" t="str">
        <f>'C Div'!A153 &amp; " " &amp; 'C Div'!B153</f>
        <v xml:space="preserve"> </v>
      </c>
      <c r="C153" s="59">
        <f>'C Div'!E153</f>
        <v>0</v>
      </c>
      <c r="D153" s="60"/>
      <c r="E153" s="60"/>
      <c r="F153" s="60"/>
      <c r="G153" s="60"/>
      <c r="H153" s="60"/>
      <c r="I153" s="60"/>
      <c r="J153" s="60"/>
      <c r="K153" s="60"/>
      <c r="L153" s="60"/>
      <c r="M153" s="74" t="str">
        <f t="shared" si="31"/>
        <v>-</v>
      </c>
      <c r="N153" s="60"/>
      <c r="O153" s="60"/>
      <c r="P153" s="60"/>
      <c r="Q153" s="60"/>
      <c r="R153" s="60"/>
      <c r="S153" s="60"/>
      <c r="T153" s="60"/>
      <c r="U153" s="60"/>
      <c r="V153" s="60"/>
      <c r="W153" s="74" t="str">
        <f t="shared" si="32"/>
        <v>-</v>
      </c>
      <c r="X153" s="155" t="str">
        <f t="shared" si="33"/>
        <v>-</v>
      </c>
      <c r="Y153" s="156" t="str">
        <f t="shared" si="34"/>
        <v>-</v>
      </c>
      <c r="AA153" s="60"/>
      <c r="AB153" s="60"/>
      <c r="AC153" s="60"/>
      <c r="AD153" s="60"/>
      <c r="AE153" s="60"/>
      <c r="AF153" s="60"/>
      <c r="AG153" s="60"/>
      <c r="AH153" s="60"/>
      <c r="AI153" s="60"/>
      <c r="AJ153" s="74" t="str">
        <f t="shared" si="35"/>
        <v>-</v>
      </c>
      <c r="AK153" s="60"/>
      <c r="AL153" s="60"/>
      <c r="AM153" s="60"/>
      <c r="AN153" s="60"/>
      <c r="AO153" s="60"/>
      <c r="AP153" s="60"/>
      <c r="AQ153" s="60"/>
      <c r="AR153" s="60"/>
      <c r="AS153" s="60"/>
      <c r="AT153" s="74" t="str">
        <f t="shared" si="36"/>
        <v>-</v>
      </c>
      <c r="AU153" s="155" t="str">
        <f t="shared" si="37"/>
        <v>-</v>
      </c>
      <c r="AV153" s="156" t="str">
        <f t="shared" si="38"/>
        <v>-</v>
      </c>
      <c r="AX153" s="59" t="str">
        <f>IF(AND(D153&gt;0,AA153&gt;0),MIN(D153,AA153),"-")</f>
        <v>-</v>
      </c>
      <c r="AY153" s="59" t="str">
        <f>IF(AND(E153&gt;0,AB153&gt;0),MIN(E153,AB153),"-")</f>
        <v>-</v>
      </c>
      <c r="AZ153" s="59" t="str">
        <f>IF(AND(F153&gt;0,AC153&gt;0),MIN(F153,AC153),"-")</f>
        <v>-</v>
      </c>
      <c r="BA153" s="59" t="str">
        <f>IF(AND(G153&gt;0,AD153&gt;0),MIN(G153,AD153),"-")</f>
        <v>-</v>
      </c>
      <c r="BB153" s="59" t="str">
        <f>IF(AND(H153&gt;0,AE153&gt;0),MIN(H153,AE153),"-")</f>
        <v>-</v>
      </c>
      <c r="BC153" s="59" t="str">
        <f>IF(AND(I153&gt;0,AF153&gt;0),MIN(I153,AF153),"-")</f>
        <v>-</v>
      </c>
      <c r="BD153" s="59" t="str">
        <f>IF(AND(J153&gt;0,AG153&gt;0),MIN(J153,AG153),"-")</f>
        <v>-</v>
      </c>
      <c r="BE153" s="59" t="str">
        <f>IF(AND(K153&gt;0,AH153&gt;0),MIN(K153,AH153),"-")</f>
        <v>-</v>
      </c>
      <c r="BF153" s="59" t="str">
        <f>IF(AND(L153&gt;0,AI153&gt;0),MIN(L153,AI153),"-")</f>
        <v>-</v>
      </c>
      <c r="BG153" s="59" t="str">
        <f t="shared" si="39"/>
        <v>-</v>
      </c>
      <c r="BH153" s="59" t="str">
        <f>IF(AND(N153&gt;0,AK153&gt;0),MIN(N153,AK153),"-")</f>
        <v>-</v>
      </c>
      <c r="BI153" s="59" t="str">
        <f>IF(AND(O153&gt;0,AL153&gt;0),MIN(O153,AL153),"-")</f>
        <v>-</v>
      </c>
      <c r="BJ153" s="59" t="str">
        <f>IF(AND(P153&gt;0,AM153&gt;0),MIN(P153,AM153),"-")</f>
        <v>-</v>
      </c>
      <c r="BK153" s="59" t="str">
        <f>IF(AND(Q153&gt;0,AN153&gt;0),MIN(Q153,AN153),"-")</f>
        <v>-</v>
      </c>
      <c r="BL153" s="59" t="str">
        <f>IF(AND(R153&gt;0,AO153&gt;0),MIN(R153,AO153),"-")</f>
        <v>-</v>
      </c>
      <c r="BM153" s="59" t="str">
        <f>IF(AND(S153&gt;0,AP153&gt;0),MIN(S153,AP153),"-")</f>
        <v>-</v>
      </c>
      <c r="BN153" s="59" t="str">
        <f>IF(AND(T153&gt;0,AQ153&gt;0),MIN(T153,AQ153),"-")</f>
        <v>-</v>
      </c>
      <c r="BO153" s="59" t="str">
        <f>IF(AND(U153&gt;0,AR153&gt;0),MIN(U153,AR153),"-")</f>
        <v>-</v>
      </c>
      <c r="BP153" s="59" t="str">
        <f>IF(AND(V153&gt;0,AS153&gt;0),MIN(V153,AS153),"-")</f>
        <v>-</v>
      </c>
      <c r="BQ153" s="59" t="str">
        <f t="shared" si="40"/>
        <v>-</v>
      </c>
      <c r="BR153" s="59" t="str">
        <f t="shared" si="41"/>
        <v>-</v>
      </c>
      <c r="BS153" s="59" t="str">
        <f t="shared" si="42"/>
        <v>-</v>
      </c>
      <c r="BT153" s="98" t="str">
        <f>IF(ISNUMBER(BS153),BS153-(C153*Rules!$P$9/100),"-")</f>
        <v>-</v>
      </c>
      <c r="BU153" s="59" t="e">
        <f>RANK($BT153,$BT$5:$BT$106,1)+COUNTIF(BT$5:BT153,BT153)-1</f>
        <v>#VALUE!</v>
      </c>
      <c r="BV153" s="59" t="e">
        <f t="shared" si="43"/>
        <v>#VALUE!</v>
      </c>
      <c r="BW153" s="59" t="str">
        <f t="shared" si="44"/>
        <v xml:space="preserve"> </v>
      </c>
      <c r="BX153" s="59">
        <f t="shared" si="44"/>
        <v>0</v>
      </c>
      <c r="BY153" s="59" t="str">
        <f t="shared" si="45"/>
        <v>-</v>
      </c>
      <c r="CD153" s="79"/>
      <c r="CE153" s="80"/>
      <c r="CF153" s="104"/>
      <c r="CL153" s="77">
        <v>1</v>
      </c>
    </row>
    <row r="154" spans="1:90" ht="17.45" customHeight="1">
      <c r="A154" s="58">
        <v>150</v>
      </c>
      <c r="B154" s="59" t="str">
        <f>'C Div'!A154 &amp; " " &amp; 'C Div'!B154</f>
        <v xml:space="preserve"> </v>
      </c>
      <c r="C154" s="59">
        <f>'C Div'!E154</f>
        <v>0</v>
      </c>
      <c r="D154" s="60"/>
      <c r="E154" s="60"/>
      <c r="F154" s="60"/>
      <c r="G154" s="60"/>
      <c r="H154" s="60"/>
      <c r="I154" s="60"/>
      <c r="J154" s="60"/>
      <c r="K154" s="60"/>
      <c r="L154" s="60"/>
      <c r="M154" s="74" t="str">
        <f t="shared" si="31"/>
        <v>-</v>
      </c>
      <c r="N154" s="60"/>
      <c r="O154" s="60"/>
      <c r="P154" s="60"/>
      <c r="Q154" s="60"/>
      <c r="R154" s="60"/>
      <c r="S154" s="60"/>
      <c r="T154" s="60"/>
      <c r="U154" s="60"/>
      <c r="V154" s="60"/>
      <c r="W154" s="74" t="str">
        <f t="shared" si="32"/>
        <v>-</v>
      </c>
      <c r="X154" s="155" t="str">
        <f t="shared" si="33"/>
        <v>-</v>
      </c>
      <c r="Y154" s="156" t="str">
        <f t="shared" si="34"/>
        <v>-</v>
      </c>
      <c r="AA154" s="60"/>
      <c r="AB154" s="60"/>
      <c r="AC154" s="60"/>
      <c r="AD154" s="60"/>
      <c r="AE154" s="60"/>
      <c r="AF154" s="60"/>
      <c r="AG154" s="60"/>
      <c r="AH154" s="60"/>
      <c r="AI154" s="60"/>
      <c r="AJ154" s="74" t="str">
        <f t="shared" si="35"/>
        <v>-</v>
      </c>
      <c r="AK154" s="60"/>
      <c r="AL154" s="60"/>
      <c r="AM154" s="60"/>
      <c r="AN154" s="60"/>
      <c r="AO154" s="60"/>
      <c r="AP154" s="60"/>
      <c r="AQ154" s="60"/>
      <c r="AR154" s="60"/>
      <c r="AS154" s="60"/>
      <c r="AT154" s="74" t="str">
        <f t="shared" si="36"/>
        <v>-</v>
      </c>
      <c r="AU154" s="155" t="str">
        <f t="shared" si="37"/>
        <v>-</v>
      </c>
      <c r="AV154" s="156" t="str">
        <f t="shared" si="38"/>
        <v>-</v>
      </c>
      <c r="AX154" s="59" t="str">
        <f>IF(AND(D154&gt;0,AA154&gt;0),MIN(D154,AA154),"-")</f>
        <v>-</v>
      </c>
      <c r="AY154" s="59" t="str">
        <f>IF(AND(E154&gt;0,AB154&gt;0),MIN(E154,AB154),"-")</f>
        <v>-</v>
      </c>
      <c r="AZ154" s="59" t="str">
        <f>IF(AND(F154&gt;0,AC154&gt;0),MIN(F154,AC154),"-")</f>
        <v>-</v>
      </c>
      <c r="BA154" s="59" t="str">
        <f>IF(AND(G154&gt;0,AD154&gt;0),MIN(G154,AD154),"-")</f>
        <v>-</v>
      </c>
      <c r="BB154" s="59" t="str">
        <f>IF(AND(H154&gt;0,AE154&gt;0),MIN(H154,AE154),"-")</f>
        <v>-</v>
      </c>
      <c r="BC154" s="59" t="str">
        <f>IF(AND(I154&gt;0,AF154&gt;0),MIN(I154,AF154),"-")</f>
        <v>-</v>
      </c>
      <c r="BD154" s="59" t="str">
        <f>IF(AND(J154&gt;0,AG154&gt;0),MIN(J154,AG154),"-")</f>
        <v>-</v>
      </c>
      <c r="BE154" s="59" t="str">
        <f>IF(AND(K154&gt;0,AH154&gt;0),MIN(K154,AH154),"-")</f>
        <v>-</v>
      </c>
      <c r="BF154" s="59" t="str">
        <f>IF(AND(L154&gt;0,AI154&gt;0),MIN(L154,AI154),"-")</f>
        <v>-</v>
      </c>
      <c r="BG154" s="59" t="str">
        <f t="shared" si="39"/>
        <v>-</v>
      </c>
      <c r="BH154" s="59" t="str">
        <f>IF(AND(N154&gt;0,AK154&gt;0),MIN(N154,AK154),"-")</f>
        <v>-</v>
      </c>
      <c r="BI154" s="59" t="str">
        <f>IF(AND(O154&gt;0,AL154&gt;0),MIN(O154,AL154),"-")</f>
        <v>-</v>
      </c>
      <c r="BJ154" s="59" t="str">
        <f>IF(AND(P154&gt;0,AM154&gt;0),MIN(P154,AM154),"-")</f>
        <v>-</v>
      </c>
      <c r="BK154" s="59" t="str">
        <f>IF(AND(Q154&gt;0,AN154&gt;0),MIN(Q154,AN154),"-")</f>
        <v>-</v>
      </c>
      <c r="BL154" s="59" t="str">
        <f>IF(AND(R154&gt;0,AO154&gt;0),MIN(R154,AO154),"-")</f>
        <v>-</v>
      </c>
      <c r="BM154" s="59" t="str">
        <f>IF(AND(S154&gt;0,AP154&gt;0),MIN(S154,AP154),"-")</f>
        <v>-</v>
      </c>
      <c r="BN154" s="59" t="str">
        <f>IF(AND(T154&gt;0,AQ154&gt;0),MIN(T154,AQ154),"-")</f>
        <v>-</v>
      </c>
      <c r="BO154" s="59" t="str">
        <f>IF(AND(U154&gt;0,AR154&gt;0),MIN(U154,AR154),"-")</f>
        <v>-</v>
      </c>
      <c r="BP154" s="59" t="str">
        <f>IF(AND(V154&gt;0,AS154&gt;0),MIN(V154,AS154),"-")</f>
        <v>-</v>
      </c>
      <c r="BQ154" s="59" t="str">
        <f t="shared" si="40"/>
        <v>-</v>
      </c>
      <c r="BR154" s="59" t="str">
        <f t="shared" si="41"/>
        <v>-</v>
      </c>
      <c r="BS154" s="59" t="str">
        <f t="shared" si="42"/>
        <v>-</v>
      </c>
      <c r="BT154" s="98" t="str">
        <f>IF(ISNUMBER(BS154),BS154-(C154*Rules!$P$9/100),"-")</f>
        <v>-</v>
      </c>
      <c r="BU154" s="59" t="e">
        <f>RANK($BT154,$BT$5:$BT$106,1)+COUNTIF(BT$5:BT154,BT154)-1</f>
        <v>#VALUE!</v>
      </c>
      <c r="BV154" s="59" t="e">
        <f t="shared" si="43"/>
        <v>#VALUE!</v>
      </c>
      <c r="BW154" s="59" t="str">
        <f t="shared" si="44"/>
        <v xml:space="preserve"> </v>
      </c>
      <c r="BX154" s="59">
        <f t="shared" si="44"/>
        <v>0</v>
      </c>
      <c r="BY154" s="59" t="str">
        <f t="shared" si="45"/>
        <v>-</v>
      </c>
      <c r="CD154" s="79"/>
      <c r="CE154" s="80"/>
      <c r="CF154" s="104"/>
      <c r="CL154" s="77">
        <v>1</v>
      </c>
    </row>
    <row r="155" spans="1:90" ht="17.45" customHeight="1">
      <c r="A155" s="58">
        <v>151</v>
      </c>
      <c r="B155" s="59" t="str">
        <f>'C Div'!A155 &amp; " " &amp; 'C Div'!B155</f>
        <v xml:space="preserve"> </v>
      </c>
      <c r="C155" s="59">
        <f>'C Div'!E155</f>
        <v>0</v>
      </c>
      <c r="D155" s="60"/>
      <c r="E155" s="60"/>
      <c r="F155" s="60"/>
      <c r="G155" s="60"/>
      <c r="H155" s="60"/>
      <c r="I155" s="60"/>
      <c r="J155" s="60"/>
      <c r="K155" s="60"/>
      <c r="L155" s="60"/>
      <c r="M155" s="74" t="str">
        <f t="shared" si="31"/>
        <v>-</v>
      </c>
      <c r="N155" s="60"/>
      <c r="O155" s="60"/>
      <c r="P155" s="60"/>
      <c r="Q155" s="60"/>
      <c r="R155" s="60"/>
      <c r="S155" s="60"/>
      <c r="T155" s="60"/>
      <c r="U155" s="60"/>
      <c r="V155" s="60"/>
      <c r="W155" s="74" t="str">
        <f t="shared" si="32"/>
        <v>-</v>
      </c>
      <c r="X155" s="155" t="str">
        <f t="shared" si="33"/>
        <v>-</v>
      </c>
      <c r="Y155" s="156" t="str">
        <f t="shared" si="34"/>
        <v>-</v>
      </c>
      <c r="AA155" s="60"/>
      <c r="AB155" s="60"/>
      <c r="AC155" s="60"/>
      <c r="AD155" s="60"/>
      <c r="AE155" s="60"/>
      <c r="AF155" s="60"/>
      <c r="AG155" s="60"/>
      <c r="AH155" s="60"/>
      <c r="AI155" s="60"/>
      <c r="AJ155" s="74" t="str">
        <f t="shared" si="35"/>
        <v>-</v>
      </c>
      <c r="AK155" s="60"/>
      <c r="AL155" s="60"/>
      <c r="AM155" s="60"/>
      <c r="AN155" s="60"/>
      <c r="AO155" s="60"/>
      <c r="AP155" s="60"/>
      <c r="AQ155" s="60"/>
      <c r="AR155" s="60"/>
      <c r="AS155" s="60"/>
      <c r="AT155" s="74" t="str">
        <f t="shared" si="36"/>
        <v>-</v>
      </c>
      <c r="AU155" s="155" t="str">
        <f t="shared" si="37"/>
        <v>-</v>
      </c>
      <c r="AV155" s="156" t="str">
        <f t="shared" si="38"/>
        <v>-</v>
      </c>
      <c r="AX155" s="59" t="str">
        <f>IF(AND(D155&gt;0,AA155&gt;0),MIN(D155,AA155),"-")</f>
        <v>-</v>
      </c>
      <c r="AY155" s="59" t="str">
        <f>IF(AND(E155&gt;0,AB155&gt;0),MIN(E155,AB155),"-")</f>
        <v>-</v>
      </c>
      <c r="AZ155" s="59" t="str">
        <f>IF(AND(F155&gt;0,AC155&gt;0),MIN(F155,AC155),"-")</f>
        <v>-</v>
      </c>
      <c r="BA155" s="59" t="str">
        <f>IF(AND(G155&gt;0,AD155&gt;0),MIN(G155,AD155),"-")</f>
        <v>-</v>
      </c>
      <c r="BB155" s="59" t="str">
        <f>IF(AND(H155&gt;0,AE155&gt;0),MIN(H155,AE155),"-")</f>
        <v>-</v>
      </c>
      <c r="BC155" s="59" t="str">
        <f>IF(AND(I155&gt;0,AF155&gt;0),MIN(I155,AF155),"-")</f>
        <v>-</v>
      </c>
      <c r="BD155" s="59" t="str">
        <f>IF(AND(J155&gt;0,AG155&gt;0),MIN(J155,AG155),"-")</f>
        <v>-</v>
      </c>
      <c r="BE155" s="59" t="str">
        <f>IF(AND(K155&gt;0,AH155&gt;0),MIN(K155,AH155),"-")</f>
        <v>-</v>
      </c>
      <c r="BF155" s="59" t="str">
        <f>IF(AND(L155&gt;0,AI155&gt;0),MIN(L155,AI155),"-")</f>
        <v>-</v>
      </c>
      <c r="BG155" s="59" t="str">
        <f t="shared" si="39"/>
        <v>-</v>
      </c>
      <c r="BH155" s="59" t="str">
        <f>IF(AND(N155&gt;0,AK155&gt;0),MIN(N155,AK155),"-")</f>
        <v>-</v>
      </c>
      <c r="BI155" s="59" t="str">
        <f>IF(AND(O155&gt;0,AL155&gt;0),MIN(O155,AL155),"-")</f>
        <v>-</v>
      </c>
      <c r="BJ155" s="59" t="str">
        <f>IF(AND(P155&gt;0,AM155&gt;0),MIN(P155,AM155),"-")</f>
        <v>-</v>
      </c>
      <c r="BK155" s="59" t="str">
        <f>IF(AND(Q155&gt;0,AN155&gt;0),MIN(Q155,AN155),"-")</f>
        <v>-</v>
      </c>
      <c r="BL155" s="59" t="str">
        <f>IF(AND(R155&gt;0,AO155&gt;0),MIN(R155,AO155),"-")</f>
        <v>-</v>
      </c>
      <c r="BM155" s="59" t="str">
        <f>IF(AND(S155&gt;0,AP155&gt;0),MIN(S155,AP155),"-")</f>
        <v>-</v>
      </c>
      <c r="BN155" s="59" t="str">
        <f>IF(AND(T155&gt;0,AQ155&gt;0),MIN(T155,AQ155),"-")</f>
        <v>-</v>
      </c>
      <c r="BO155" s="59" t="str">
        <f>IF(AND(U155&gt;0,AR155&gt;0),MIN(U155,AR155),"-")</f>
        <v>-</v>
      </c>
      <c r="BP155" s="59" t="str">
        <f>IF(AND(V155&gt;0,AS155&gt;0),MIN(V155,AS155),"-")</f>
        <v>-</v>
      </c>
      <c r="BQ155" s="59" t="str">
        <f t="shared" si="40"/>
        <v>-</v>
      </c>
      <c r="BR155" s="59" t="str">
        <f t="shared" si="41"/>
        <v>-</v>
      </c>
      <c r="BS155" s="59" t="str">
        <f t="shared" si="42"/>
        <v>-</v>
      </c>
      <c r="BT155" s="98" t="str">
        <f>IF(ISNUMBER(BS155),BS155-(C155*Rules!$P$9/100),"-")</f>
        <v>-</v>
      </c>
      <c r="BU155" s="59" t="e">
        <f>RANK($BT155,$BT$5:$BT$106,1)+COUNTIF(BT$5:BT155,BT155)-1</f>
        <v>#VALUE!</v>
      </c>
      <c r="BV155" s="59" t="e">
        <f t="shared" si="43"/>
        <v>#VALUE!</v>
      </c>
      <c r="BW155" s="59" t="str">
        <f t="shared" si="44"/>
        <v xml:space="preserve"> </v>
      </c>
      <c r="BX155" s="59">
        <f t="shared" si="44"/>
        <v>0</v>
      </c>
      <c r="BY155" s="59" t="str">
        <f t="shared" si="45"/>
        <v>-</v>
      </c>
      <c r="CD155" s="79"/>
      <c r="CE155" s="80"/>
      <c r="CF155" s="104"/>
      <c r="CL155" s="77">
        <v>1</v>
      </c>
    </row>
    <row r="156" spans="1:90" ht="17.45" customHeight="1">
      <c r="A156" s="58">
        <v>152</v>
      </c>
      <c r="B156" s="59" t="str">
        <f>'C Div'!A156 &amp; " " &amp; 'C Div'!B156</f>
        <v xml:space="preserve"> </v>
      </c>
      <c r="C156" s="59">
        <f>'C Div'!E156</f>
        <v>0</v>
      </c>
      <c r="D156" s="60"/>
      <c r="E156" s="60"/>
      <c r="F156" s="60"/>
      <c r="G156" s="60"/>
      <c r="H156" s="60"/>
      <c r="I156" s="60"/>
      <c r="J156" s="60"/>
      <c r="K156" s="60"/>
      <c r="L156" s="60"/>
      <c r="M156" s="74" t="str">
        <f t="shared" si="31"/>
        <v>-</v>
      </c>
      <c r="N156" s="60"/>
      <c r="O156" s="60"/>
      <c r="P156" s="60"/>
      <c r="Q156" s="60"/>
      <c r="R156" s="60"/>
      <c r="S156" s="60"/>
      <c r="T156" s="60"/>
      <c r="U156" s="60"/>
      <c r="V156" s="60"/>
      <c r="W156" s="74" t="str">
        <f t="shared" si="32"/>
        <v>-</v>
      </c>
      <c r="X156" s="155" t="str">
        <f t="shared" si="33"/>
        <v>-</v>
      </c>
      <c r="Y156" s="156" t="str">
        <f t="shared" si="34"/>
        <v>-</v>
      </c>
      <c r="AA156" s="60"/>
      <c r="AB156" s="60"/>
      <c r="AC156" s="60"/>
      <c r="AD156" s="60"/>
      <c r="AE156" s="60"/>
      <c r="AF156" s="60"/>
      <c r="AG156" s="60"/>
      <c r="AH156" s="60"/>
      <c r="AI156" s="60"/>
      <c r="AJ156" s="74" t="str">
        <f t="shared" si="35"/>
        <v>-</v>
      </c>
      <c r="AK156" s="60"/>
      <c r="AL156" s="60"/>
      <c r="AM156" s="60"/>
      <c r="AN156" s="60"/>
      <c r="AO156" s="60"/>
      <c r="AP156" s="60"/>
      <c r="AQ156" s="60"/>
      <c r="AR156" s="60"/>
      <c r="AS156" s="60"/>
      <c r="AT156" s="74" t="str">
        <f t="shared" si="36"/>
        <v>-</v>
      </c>
      <c r="AU156" s="155" t="str">
        <f t="shared" si="37"/>
        <v>-</v>
      </c>
      <c r="AV156" s="156" t="str">
        <f t="shared" si="38"/>
        <v>-</v>
      </c>
      <c r="AX156" s="59" t="str">
        <f>IF(AND(D156&gt;0,AA156&gt;0),MIN(D156,AA156),"-")</f>
        <v>-</v>
      </c>
      <c r="AY156" s="59" t="str">
        <f>IF(AND(E156&gt;0,AB156&gt;0),MIN(E156,AB156),"-")</f>
        <v>-</v>
      </c>
      <c r="AZ156" s="59" t="str">
        <f>IF(AND(F156&gt;0,AC156&gt;0),MIN(F156,AC156),"-")</f>
        <v>-</v>
      </c>
      <c r="BA156" s="59" t="str">
        <f>IF(AND(G156&gt;0,AD156&gt;0),MIN(G156,AD156),"-")</f>
        <v>-</v>
      </c>
      <c r="BB156" s="59" t="str">
        <f>IF(AND(H156&gt;0,AE156&gt;0),MIN(H156,AE156),"-")</f>
        <v>-</v>
      </c>
      <c r="BC156" s="59" t="str">
        <f>IF(AND(I156&gt;0,AF156&gt;0),MIN(I156,AF156),"-")</f>
        <v>-</v>
      </c>
      <c r="BD156" s="59" t="str">
        <f>IF(AND(J156&gt;0,AG156&gt;0),MIN(J156,AG156),"-")</f>
        <v>-</v>
      </c>
      <c r="BE156" s="59" t="str">
        <f>IF(AND(K156&gt;0,AH156&gt;0),MIN(K156,AH156),"-")</f>
        <v>-</v>
      </c>
      <c r="BF156" s="59" t="str">
        <f>IF(AND(L156&gt;0,AI156&gt;0),MIN(L156,AI156),"-")</f>
        <v>-</v>
      </c>
      <c r="BG156" s="59" t="str">
        <f t="shared" si="39"/>
        <v>-</v>
      </c>
      <c r="BH156" s="59" t="str">
        <f>IF(AND(N156&gt;0,AK156&gt;0),MIN(N156,AK156),"-")</f>
        <v>-</v>
      </c>
      <c r="BI156" s="59" t="str">
        <f>IF(AND(O156&gt;0,AL156&gt;0),MIN(O156,AL156),"-")</f>
        <v>-</v>
      </c>
      <c r="BJ156" s="59" t="str">
        <f>IF(AND(P156&gt;0,AM156&gt;0),MIN(P156,AM156),"-")</f>
        <v>-</v>
      </c>
      <c r="BK156" s="59" t="str">
        <f>IF(AND(Q156&gt;0,AN156&gt;0),MIN(Q156,AN156),"-")</f>
        <v>-</v>
      </c>
      <c r="BL156" s="59" t="str">
        <f>IF(AND(R156&gt;0,AO156&gt;0),MIN(R156,AO156),"-")</f>
        <v>-</v>
      </c>
      <c r="BM156" s="59" t="str">
        <f>IF(AND(S156&gt;0,AP156&gt;0),MIN(S156,AP156),"-")</f>
        <v>-</v>
      </c>
      <c r="BN156" s="59" t="str">
        <f>IF(AND(T156&gt;0,AQ156&gt;0),MIN(T156,AQ156),"-")</f>
        <v>-</v>
      </c>
      <c r="BO156" s="59" t="str">
        <f>IF(AND(U156&gt;0,AR156&gt;0),MIN(U156,AR156),"-")</f>
        <v>-</v>
      </c>
      <c r="BP156" s="59" t="str">
        <f>IF(AND(V156&gt;0,AS156&gt;0),MIN(V156,AS156),"-")</f>
        <v>-</v>
      </c>
      <c r="BQ156" s="59" t="str">
        <f t="shared" si="40"/>
        <v>-</v>
      </c>
      <c r="BR156" s="59" t="str">
        <f t="shared" si="41"/>
        <v>-</v>
      </c>
      <c r="BS156" s="59" t="str">
        <f t="shared" si="42"/>
        <v>-</v>
      </c>
      <c r="BT156" s="98" t="str">
        <f>IF(ISNUMBER(BS156),BS156-(C156*Rules!$P$9/100),"-")</f>
        <v>-</v>
      </c>
      <c r="BU156" s="59" t="e">
        <f>RANK($BT156,$BT$5:$BT$106,1)+COUNTIF(BT$5:BT156,BT156)-1</f>
        <v>#VALUE!</v>
      </c>
      <c r="BV156" s="59" t="e">
        <f t="shared" si="43"/>
        <v>#VALUE!</v>
      </c>
      <c r="BW156" s="59" t="str">
        <f t="shared" si="44"/>
        <v xml:space="preserve"> </v>
      </c>
      <c r="BX156" s="59">
        <f t="shared" si="44"/>
        <v>0</v>
      </c>
      <c r="BY156" s="59" t="str">
        <f t="shared" si="45"/>
        <v>-</v>
      </c>
      <c r="CD156" s="79"/>
      <c r="CE156" s="80"/>
      <c r="CF156" s="104"/>
      <c r="CL156" s="77">
        <v>1</v>
      </c>
    </row>
    <row r="157" spans="1:90" ht="17.45" customHeight="1">
      <c r="A157" s="58">
        <v>153</v>
      </c>
      <c r="B157" s="59" t="str">
        <f>'C Div'!A157 &amp; " " &amp; 'C Div'!B157</f>
        <v xml:space="preserve"> </v>
      </c>
      <c r="C157" s="59">
        <f>'C Div'!E157</f>
        <v>0</v>
      </c>
      <c r="D157" s="60"/>
      <c r="E157" s="60"/>
      <c r="F157" s="60"/>
      <c r="G157" s="60"/>
      <c r="H157" s="60"/>
      <c r="I157" s="60"/>
      <c r="J157" s="60"/>
      <c r="K157" s="60"/>
      <c r="L157" s="60"/>
      <c r="M157" s="74" t="str">
        <f t="shared" si="31"/>
        <v>-</v>
      </c>
      <c r="N157" s="60"/>
      <c r="O157" s="60"/>
      <c r="P157" s="60"/>
      <c r="Q157" s="60"/>
      <c r="R157" s="60"/>
      <c r="S157" s="60"/>
      <c r="T157" s="60"/>
      <c r="U157" s="60"/>
      <c r="V157" s="60"/>
      <c r="W157" s="74" t="str">
        <f t="shared" si="32"/>
        <v>-</v>
      </c>
      <c r="X157" s="155" t="str">
        <f t="shared" si="33"/>
        <v>-</v>
      </c>
      <c r="Y157" s="156" t="str">
        <f t="shared" si="34"/>
        <v>-</v>
      </c>
      <c r="AA157" s="60"/>
      <c r="AB157" s="60"/>
      <c r="AC157" s="60"/>
      <c r="AD157" s="60"/>
      <c r="AE157" s="60"/>
      <c r="AF157" s="60"/>
      <c r="AG157" s="60"/>
      <c r="AH157" s="60"/>
      <c r="AI157" s="60"/>
      <c r="AJ157" s="74" t="str">
        <f t="shared" si="35"/>
        <v>-</v>
      </c>
      <c r="AK157" s="60"/>
      <c r="AL157" s="60"/>
      <c r="AM157" s="60"/>
      <c r="AN157" s="60"/>
      <c r="AO157" s="60"/>
      <c r="AP157" s="60"/>
      <c r="AQ157" s="60"/>
      <c r="AR157" s="60"/>
      <c r="AS157" s="60"/>
      <c r="AT157" s="74" t="str">
        <f t="shared" si="36"/>
        <v>-</v>
      </c>
      <c r="AU157" s="155" t="str">
        <f t="shared" si="37"/>
        <v>-</v>
      </c>
      <c r="AV157" s="156" t="str">
        <f t="shared" si="38"/>
        <v>-</v>
      </c>
      <c r="AX157" s="59" t="str">
        <f>IF(AND(D157&gt;0,AA157&gt;0),MIN(D157,AA157),"-")</f>
        <v>-</v>
      </c>
      <c r="AY157" s="59" t="str">
        <f>IF(AND(E157&gt;0,AB157&gt;0),MIN(E157,AB157),"-")</f>
        <v>-</v>
      </c>
      <c r="AZ157" s="59" t="str">
        <f>IF(AND(F157&gt;0,AC157&gt;0),MIN(F157,AC157),"-")</f>
        <v>-</v>
      </c>
      <c r="BA157" s="59" t="str">
        <f>IF(AND(G157&gt;0,AD157&gt;0),MIN(G157,AD157),"-")</f>
        <v>-</v>
      </c>
      <c r="BB157" s="59" t="str">
        <f>IF(AND(H157&gt;0,AE157&gt;0),MIN(H157,AE157),"-")</f>
        <v>-</v>
      </c>
      <c r="BC157" s="59" t="str">
        <f>IF(AND(I157&gt;0,AF157&gt;0),MIN(I157,AF157),"-")</f>
        <v>-</v>
      </c>
      <c r="BD157" s="59" t="str">
        <f>IF(AND(J157&gt;0,AG157&gt;0),MIN(J157,AG157),"-")</f>
        <v>-</v>
      </c>
      <c r="BE157" s="59" t="str">
        <f>IF(AND(K157&gt;0,AH157&gt;0),MIN(K157,AH157),"-")</f>
        <v>-</v>
      </c>
      <c r="BF157" s="59" t="str">
        <f>IF(AND(L157&gt;0,AI157&gt;0),MIN(L157,AI157),"-")</f>
        <v>-</v>
      </c>
      <c r="BG157" s="59" t="str">
        <f t="shared" si="39"/>
        <v>-</v>
      </c>
      <c r="BH157" s="59" t="str">
        <f>IF(AND(N157&gt;0,AK157&gt;0),MIN(N157,AK157),"-")</f>
        <v>-</v>
      </c>
      <c r="BI157" s="59" t="str">
        <f>IF(AND(O157&gt;0,AL157&gt;0),MIN(O157,AL157),"-")</f>
        <v>-</v>
      </c>
      <c r="BJ157" s="59" t="str">
        <f>IF(AND(P157&gt;0,AM157&gt;0),MIN(P157,AM157),"-")</f>
        <v>-</v>
      </c>
      <c r="BK157" s="59" t="str">
        <f>IF(AND(Q157&gt;0,AN157&gt;0),MIN(Q157,AN157),"-")</f>
        <v>-</v>
      </c>
      <c r="BL157" s="59" t="str">
        <f>IF(AND(R157&gt;0,AO157&gt;0),MIN(R157,AO157),"-")</f>
        <v>-</v>
      </c>
      <c r="BM157" s="59" t="str">
        <f>IF(AND(S157&gt;0,AP157&gt;0),MIN(S157,AP157),"-")</f>
        <v>-</v>
      </c>
      <c r="BN157" s="59" t="str">
        <f>IF(AND(T157&gt;0,AQ157&gt;0),MIN(T157,AQ157),"-")</f>
        <v>-</v>
      </c>
      <c r="BO157" s="59" t="str">
        <f>IF(AND(U157&gt;0,AR157&gt;0),MIN(U157,AR157),"-")</f>
        <v>-</v>
      </c>
      <c r="BP157" s="59" t="str">
        <f>IF(AND(V157&gt;0,AS157&gt;0),MIN(V157,AS157),"-")</f>
        <v>-</v>
      </c>
      <c r="BQ157" s="59" t="str">
        <f t="shared" si="40"/>
        <v>-</v>
      </c>
      <c r="BR157" s="59" t="str">
        <f t="shared" si="41"/>
        <v>-</v>
      </c>
      <c r="BS157" s="59" t="str">
        <f t="shared" si="42"/>
        <v>-</v>
      </c>
      <c r="BT157" s="98" t="str">
        <f>IF(ISNUMBER(BS157),BS157-(C157*Rules!$P$9/100),"-")</f>
        <v>-</v>
      </c>
      <c r="BU157" s="59" t="e">
        <f>RANK($BT157,$BT$5:$BT$106,1)+COUNTIF(BT$5:BT157,BT157)-1</f>
        <v>#VALUE!</v>
      </c>
      <c r="BV157" s="59" t="e">
        <f t="shared" si="43"/>
        <v>#VALUE!</v>
      </c>
      <c r="BW157" s="59" t="str">
        <f t="shared" si="44"/>
        <v xml:space="preserve"> </v>
      </c>
      <c r="BX157" s="59">
        <f t="shared" si="44"/>
        <v>0</v>
      </c>
      <c r="BY157" s="59" t="str">
        <f t="shared" si="45"/>
        <v>-</v>
      </c>
      <c r="CD157" s="79"/>
      <c r="CE157" s="80"/>
      <c r="CF157" s="104"/>
      <c r="CL157" s="77">
        <v>1</v>
      </c>
    </row>
    <row r="158" spans="1:90" ht="17.45" customHeight="1">
      <c r="A158" s="58">
        <v>154</v>
      </c>
      <c r="B158" s="59" t="str">
        <f>'C Div'!A158 &amp; " " &amp; 'C Div'!B158</f>
        <v xml:space="preserve"> </v>
      </c>
      <c r="C158" s="59">
        <f>'C Div'!E158</f>
        <v>0</v>
      </c>
      <c r="D158" s="60"/>
      <c r="E158" s="60"/>
      <c r="F158" s="60"/>
      <c r="G158" s="60"/>
      <c r="H158" s="60"/>
      <c r="I158" s="60"/>
      <c r="J158" s="60"/>
      <c r="K158" s="60"/>
      <c r="L158" s="60"/>
      <c r="M158" s="74" t="str">
        <f t="shared" si="31"/>
        <v>-</v>
      </c>
      <c r="N158" s="60"/>
      <c r="O158" s="60"/>
      <c r="P158" s="60"/>
      <c r="Q158" s="60"/>
      <c r="R158" s="60"/>
      <c r="S158" s="60"/>
      <c r="T158" s="60"/>
      <c r="U158" s="60"/>
      <c r="V158" s="60"/>
      <c r="W158" s="74" t="str">
        <f t="shared" si="32"/>
        <v>-</v>
      </c>
      <c r="X158" s="155" t="str">
        <f t="shared" si="33"/>
        <v>-</v>
      </c>
      <c r="Y158" s="156" t="str">
        <f t="shared" si="34"/>
        <v>-</v>
      </c>
      <c r="AA158" s="60"/>
      <c r="AB158" s="60"/>
      <c r="AC158" s="60"/>
      <c r="AD158" s="60"/>
      <c r="AE158" s="60"/>
      <c r="AF158" s="60"/>
      <c r="AG158" s="60"/>
      <c r="AH158" s="60"/>
      <c r="AI158" s="60"/>
      <c r="AJ158" s="74" t="str">
        <f t="shared" si="35"/>
        <v>-</v>
      </c>
      <c r="AK158" s="60"/>
      <c r="AL158" s="60"/>
      <c r="AM158" s="60"/>
      <c r="AN158" s="60"/>
      <c r="AO158" s="60"/>
      <c r="AP158" s="60"/>
      <c r="AQ158" s="60"/>
      <c r="AR158" s="60"/>
      <c r="AS158" s="60"/>
      <c r="AT158" s="74" t="str">
        <f t="shared" si="36"/>
        <v>-</v>
      </c>
      <c r="AU158" s="155" t="str">
        <f t="shared" si="37"/>
        <v>-</v>
      </c>
      <c r="AV158" s="156" t="str">
        <f t="shared" si="38"/>
        <v>-</v>
      </c>
      <c r="AX158" s="59" t="str">
        <f>IF(AND(D158&gt;0,AA158&gt;0),MIN(D158,AA158),"-")</f>
        <v>-</v>
      </c>
      <c r="AY158" s="59" t="str">
        <f>IF(AND(E158&gt;0,AB158&gt;0),MIN(E158,AB158),"-")</f>
        <v>-</v>
      </c>
      <c r="AZ158" s="59" t="str">
        <f>IF(AND(F158&gt;0,AC158&gt;0),MIN(F158,AC158),"-")</f>
        <v>-</v>
      </c>
      <c r="BA158" s="59" t="str">
        <f>IF(AND(G158&gt;0,AD158&gt;0),MIN(G158,AD158),"-")</f>
        <v>-</v>
      </c>
      <c r="BB158" s="59" t="str">
        <f>IF(AND(H158&gt;0,AE158&gt;0),MIN(H158,AE158),"-")</f>
        <v>-</v>
      </c>
      <c r="BC158" s="59" t="str">
        <f>IF(AND(I158&gt;0,AF158&gt;0),MIN(I158,AF158),"-")</f>
        <v>-</v>
      </c>
      <c r="BD158" s="59" t="str">
        <f>IF(AND(J158&gt;0,AG158&gt;0),MIN(J158,AG158),"-")</f>
        <v>-</v>
      </c>
      <c r="BE158" s="59" t="str">
        <f>IF(AND(K158&gt;0,AH158&gt;0),MIN(K158,AH158),"-")</f>
        <v>-</v>
      </c>
      <c r="BF158" s="59" t="str">
        <f>IF(AND(L158&gt;0,AI158&gt;0),MIN(L158,AI158),"-")</f>
        <v>-</v>
      </c>
      <c r="BG158" s="59" t="str">
        <f t="shared" si="39"/>
        <v>-</v>
      </c>
      <c r="BH158" s="59" t="str">
        <f>IF(AND(N158&gt;0,AK158&gt;0),MIN(N158,AK158),"-")</f>
        <v>-</v>
      </c>
      <c r="BI158" s="59" t="str">
        <f>IF(AND(O158&gt;0,AL158&gt;0),MIN(O158,AL158),"-")</f>
        <v>-</v>
      </c>
      <c r="BJ158" s="59" t="str">
        <f>IF(AND(P158&gt;0,AM158&gt;0),MIN(P158,AM158),"-")</f>
        <v>-</v>
      </c>
      <c r="BK158" s="59" t="str">
        <f>IF(AND(Q158&gt;0,AN158&gt;0),MIN(Q158,AN158),"-")</f>
        <v>-</v>
      </c>
      <c r="BL158" s="59" t="str">
        <f>IF(AND(R158&gt;0,AO158&gt;0),MIN(R158,AO158),"-")</f>
        <v>-</v>
      </c>
      <c r="BM158" s="59" t="str">
        <f>IF(AND(S158&gt;0,AP158&gt;0),MIN(S158,AP158),"-")</f>
        <v>-</v>
      </c>
      <c r="BN158" s="59" t="str">
        <f>IF(AND(T158&gt;0,AQ158&gt;0),MIN(T158,AQ158),"-")</f>
        <v>-</v>
      </c>
      <c r="BO158" s="59" t="str">
        <f>IF(AND(U158&gt;0,AR158&gt;0),MIN(U158,AR158),"-")</f>
        <v>-</v>
      </c>
      <c r="BP158" s="59" t="str">
        <f>IF(AND(V158&gt;0,AS158&gt;0),MIN(V158,AS158),"-")</f>
        <v>-</v>
      </c>
      <c r="BQ158" s="59" t="str">
        <f t="shared" si="40"/>
        <v>-</v>
      </c>
      <c r="BR158" s="59" t="str">
        <f t="shared" si="41"/>
        <v>-</v>
      </c>
      <c r="BS158" s="59" t="str">
        <f t="shared" si="42"/>
        <v>-</v>
      </c>
      <c r="BT158" s="98" t="str">
        <f>IF(ISNUMBER(BS158),BS158-(C158*Rules!$P$9/100),"-")</f>
        <v>-</v>
      </c>
      <c r="BU158" s="59" t="e">
        <f>RANK($BT158,$BT$5:$BT$106,1)+COUNTIF(BT$5:BT158,BT158)-1</f>
        <v>#VALUE!</v>
      </c>
      <c r="BV158" s="59" t="e">
        <f t="shared" si="43"/>
        <v>#VALUE!</v>
      </c>
      <c r="BW158" s="59" t="str">
        <f t="shared" si="44"/>
        <v xml:space="preserve"> </v>
      </c>
      <c r="BX158" s="59">
        <f t="shared" si="44"/>
        <v>0</v>
      </c>
      <c r="BY158" s="59" t="str">
        <f t="shared" si="45"/>
        <v>-</v>
      </c>
      <c r="CD158" s="79"/>
      <c r="CE158" s="80"/>
      <c r="CF158" s="104"/>
      <c r="CL158" s="77">
        <v>1</v>
      </c>
    </row>
    <row r="159" spans="1:90" ht="17.45" customHeight="1">
      <c r="A159" s="58">
        <v>155</v>
      </c>
      <c r="B159" s="59" t="str">
        <f>'C Div'!A159 &amp; " " &amp; 'C Div'!B159</f>
        <v xml:space="preserve"> </v>
      </c>
      <c r="C159" s="59">
        <f>'C Div'!E159</f>
        <v>0</v>
      </c>
      <c r="D159" s="60"/>
      <c r="E159" s="60"/>
      <c r="F159" s="60"/>
      <c r="G159" s="60"/>
      <c r="H159" s="60"/>
      <c r="I159" s="60"/>
      <c r="J159" s="60"/>
      <c r="K159" s="60"/>
      <c r="L159" s="60"/>
      <c r="M159" s="74" t="str">
        <f t="shared" si="31"/>
        <v>-</v>
      </c>
      <c r="N159" s="60"/>
      <c r="O159" s="60"/>
      <c r="P159" s="60"/>
      <c r="Q159" s="60"/>
      <c r="R159" s="60"/>
      <c r="S159" s="60"/>
      <c r="T159" s="60"/>
      <c r="U159" s="60"/>
      <c r="V159" s="60"/>
      <c r="W159" s="74" t="str">
        <f t="shared" si="32"/>
        <v>-</v>
      </c>
      <c r="X159" s="155" t="str">
        <f t="shared" si="33"/>
        <v>-</v>
      </c>
      <c r="Y159" s="156" t="str">
        <f t="shared" si="34"/>
        <v>-</v>
      </c>
      <c r="AA159" s="60"/>
      <c r="AB159" s="60"/>
      <c r="AC159" s="60"/>
      <c r="AD159" s="60"/>
      <c r="AE159" s="60"/>
      <c r="AF159" s="60"/>
      <c r="AG159" s="60"/>
      <c r="AH159" s="60"/>
      <c r="AI159" s="60"/>
      <c r="AJ159" s="74" t="str">
        <f t="shared" si="35"/>
        <v>-</v>
      </c>
      <c r="AK159" s="60"/>
      <c r="AL159" s="60"/>
      <c r="AM159" s="60"/>
      <c r="AN159" s="60"/>
      <c r="AO159" s="60"/>
      <c r="AP159" s="60"/>
      <c r="AQ159" s="60"/>
      <c r="AR159" s="60"/>
      <c r="AS159" s="60"/>
      <c r="AT159" s="74" t="str">
        <f t="shared" si="36"/>
        <v>-</v>
      </c>
      <c r="AU159" s="155" t="str">
        <f t="shared" si="37"/>
        <v>-</v>
      </c>
      <c r="AV159" s="156" t="str">
        <f t="shared" si="38"/>
        <v>-</v>
      </c>
      <c r="AX159" s="59" t="str">
        <f>IF(AND(D159&gt;0,AA159&gt;0),MIN(D159,AA159),"-")</f>
        <v>-</v>
      </c>
      <c r="AY159" s="59" t="str">
        <f>IF(AND(E159&gt;0,AB159&gt;0),MIN(E159,AB159),"-")</f>
        <v>-</v>
      </c>
      <c r="AZ159" s="59" t="str">
        <f>IF(AND(F159&gt;0,AC159&gt;0),MIN(F159,AC159),"-")</f>
        <v>-</v>
      </c>
      <c r="BA159" s="59" t="str">
        <f>IF(AND(G159&gt;0,AD159&gt;0),MIN(G159,AD159),"-")</f>
        <v>-</v>
      </c>
      <c r="BB159" s="59" t="str">
        <f>IF(AND(H159&gt;0,AE159&gt;0),MIN(H159,AE159),"-")</f>
        <v>-</v>
      </c>
      <c r="BC159" s="59" t="str">
        <f>IF(AND(I159&gt;0,AF159&gt;0),MIN(I159,AF159),"-")</f>
        <v>-</v>
      </c>
      <c r="BD159" s="59" t="str">
        <f>IF(AND(J159&gt;0,AG159&gt;0),MIN(J159,AG159),"-")</f>
        <v>-</v>
      </c>
      <c r="BE159" s="59" t="str">
        <f>IF(AND(K159&gt;0,AH159&gt;0),MIN(K159,AH159),"-")</f>
        <v>-</v>
      </c>
      <c r="BF159" s="59" t="str">
        <f>IF(AND(L159&gt;0,AI159&gt;0),MIN(L159,AI159),"-")</f>
        <v>-</v>
      </c>
      <c r="BG159" s="59" t="str">
        <f t="shared" si="39"/>
        <v>-</v>
      </c>
      <c r="BH159" s="59" t="str">
        <f>IF(AND(N159&gt;0,AK159&gt;0),MIN(N159,AK159),"-")</f>
        <v>-</v>
      </c>
      <c r="BI159" s="59" t="str">
        <f>IF(AND(O159&gt;0,AL159&gt;0),MIN(O159,AL159),"-")</f>
        <v>-</v>
      </c>
      <c r="BJ159" s="59" t="str">
        <f>IF(AND(P159&gt;0,AM159&gt;0),MIN(P159,AM159),"-")</f>
        <v>-</v>
      </c>
      <c r="BK159" s="59" t="str">
        <f>IF(AND(Q159&gt;0,AN159&gt;0),MIN(Q159,AN159),"-")</f>
        <v>-</v>
      </c>
      <c r="BL159" s="59" t="str">
        <f>IF(AND(R159&gt;0,AO159&gt;0),MIN(R159,AO159),"-")</f>
        <v>-</v>
      </c>
      <c r="BM159" s="59" t="str">
        <f>IF(AND(S159&gt;0,AP159&gt;0),MIN(S159,AP159),"-")</f>
        <v>-</v>
      </c>
      <c r="BN159" s="59" t="str">
        <f>IF(AND(T159&gt;0,AQ159&gt;0),MIN(T159,AQ159),"-")</f>
        <v>-</v>
      </c>
      <c r="BO159" s="59" t="str">
        <f>IF(AND(U159&gt;0,AR159&gt;0),MIN(U159,AR159),"-")</f>
        <v>-</v>
      </c>
      <c r="BP159" s="59" t="str">
        <f>IF(AND(V159&gt;0,AS159&gt;0),MIN(V159,AS159),"-")</f>
        <v>-</v>
      </c>
      <c r="BQ159" s="59" t="str">
        <f t="shared" si="40"/>
        <v>-</v>
      </c>
      <c r="BR159" s="59" t="str">
        <f t="shared" si="41"/>
        <v>-</v>
      </c>
      <c r="BS159" s="59" t="str">
        <f t="shared" si="42"/>
        <v>-</v>
      </c>
      <c r="BT159" s="98" t="str">
        <f>IF(ISNUMBER(BS159),BS159-(C159*Rules!$P$9/100),"-")</f>
        <v>-</v>
      </c>
      <c r="BU159" s="59" t="e">
        <f>RANK($BT159,$BT$5:$BT$106,1)+COUNTIF(BT$5:BT159,BT159)-1</f>
        <v>#VALUE!</v>
      </c>
      <c r="BV159" s="59" t="e">
        <f t="shared" si="43"/>
        <v>#VALUE!</v>
      </c>
      <c r="BW159" s="59" t="str">
        <f t="shared" si="44"/>
        <v xml:space="preserve"> </v>
      </c>
      <c r="BX159" s="59">
        <f t="shared" si="44"/>
        <v>0</v>
      </c>
      <c r="BY159" s="59" t="str">
        <f t="shared" si="45"/>
        <v>-</v>
      </c>
      <c r="CD159" s="79"/>
      <c r="CE159" s="80"/>
      <c r="CF159" s="104"/>
      <c r="CL159" s="77">
        <v>1</v>
      </c>
    </row>
    <row r="160" spans="1:90" ht="17.45" customHeight="1">
      <c r="A160" s="58">
        <v>156</v>
      </c>
      <c r="B160" s="59" t="str">
        <f>'C Div'!A160 &amp; " " &amp; 'C Div'!B160</f>
        <v xml:space="preserve"> </v>
      </c>
      <c r="C160" s="59">
        <f>'C Div'!E160</f>
        <v>0</v>
      </c>
      <c r="D160" s="60"/>
      <c r="E160" s="60"/>
      <c r="F160" s="60"/>
      <c r="G160" s="60"/>
      <c r="H160" s="60"/>
      <c r="I160" s="60"/>
      <c r="J160" s="60"/>
      <c r="K160" s="60"/>
      <c r="L160" s="60"/>
      <c r="M160" s="74" t="str">
        <f t="shared" si="31"/>
        <v>-</v>
      </c>
      <c r="N160" s="60"/>
      <c r="O160" s="60"/>
      <c r="P160" s="60"/>
      <c r="Q160" s="60"/>
      <c r="R160" s="60"/>
      <c r="S160" s="60"/>
      <c r="T160" s="60"/>
      <c r="U160" s="60"/>
      <c r="V160" s="60"/>
      <c r="W160" s="74" t="str">
        <f t="shared" si="32"/>
        <v>-</v>
      </c>
      <c r="X160" s="155" t="str">
        <f t="shared" si="33"/>
        <v>-</v>
      </c>
      <c r="Y160" s="156" t="str">
        <f t="shared" si="34"/>
        <v>-</v>
      </c>
      <c r="AA160" s="60"/>
      <c r="AB160" s="60"/>
      <c r="AC160" s="60"/>
      <c r="AD160" s="60"/>
      <c r="AE160" s="60"/>
      <c r="AF160" s="60"/>
      <c r="AG160" s="60"/>
      <c r="AH160" s="60"/>
      <c r="AI160" s="60"/>
      <c r="AJ160" s="74" t="str">
        <f t="shared" si="35"/>
        <v>-</v>
      </c>
      <c r="AK160" s="60"/>
      <c r="AL160" s="60"/>
      <c r="AM160" s="60"/>
      <c r="AN160" s="60"/>
      <c r="AO160" s="60"/>
      <c r="AP160" s="60"/>
      <c r="AQ160" s="60"/>
      <c r="AR160" s="60"/>
      <c r="AS160" s="60"/>
      <c r="AT160" s="74" t="str">
        <f t="shared" si="36"/>
        <v>-</v>
      </c>
      <c r="AU160" s="155" t="str">
        <f t="shared" si="37"/>
        <v>-</v>
      </c>
      <c r="AV160" s="156" t="str">
        <f t="shared" si="38"/>
        <v>-</v>
      </c>
      <c r="AX160" s="59" t="str">
        <f>IF(AND(D160&gt;0,AA160&gt;0),MIN(D160,AA160),"-")</f>
        <v>-</v>
      </c>
      <c r="AY160" s="59" t="str">
        <f>IF(AND(E160&gt;0,AB160&gt;0),MIN(E160,AB160),"-")</f>
        <v>-</v>
      </c>
      <c r="AZ160" s="59" t="str">
        <f>IF(AND(F160&gt;0,AC160&gt;0),MIN(F160,AC160),"-")</f>
        <v>-</v>
      </c>
      <c r="BA160" s="59" t="str">
        <f>IF(AND(G160&gt;0,AD160&gt;0),MIN(G160,AD160),"-")</f>
        <v>-</v>
      </c>
      <c r="BB160" s="59" t="str">
        <f>IF(AND(H160&gt;0,AE160&gt;0),MIN(H160,AE160),"-")</f>
        <v>-</v>
      </c>
      <c r="BC160" s="59" t="str">
        <f>IF(AND(I160&gt;0,AF160&gt;0),MIN(I160,AF160),"-")</f>
        <v>-</v>
      </c>
      <c r="BD160" s="59" t="str">
        <f>IF(AND(J160&gt;0,AG160&gt;0),MIN(J160,AG160),"-")</f>
        <v>-</v>
      </c>
      <c r="BE160" s="59" t="str">
        <f>IF(AND(K160&gt;0,AH160&gt;0),MIN(K160,AH160),"-")</f>
        <v>-</v>
      </c>
      <c r="BF160" s="59" t="str">
        <f>IF(AND(L160&gt;0,AI160&gt;0),MIN(L160,AI160),"-")</f>
        <v>-</v>
      </c>
      <c r="BG160" s="59" t="str">
        <f t="shared" si="39"/>
        <v>-</v>
      </c>
      <c r="BH160" s="59" t="str">
        <f>IF(AND(N160&gt;0,AK160&gt;0),MIN(N160,AK160),"-")</f>
        <v>-</v>
      </c>
      <c r="BI160" s="59" t="str">
        <f>IF(AND(O160&gt;0,AL160&gt;0),MIN(O160,AL160),"-")</f>
        <v>-</v>
      </c>
      <c r="BJ160" s="59" t="str">
        <f>IF(AND(P160&gt;0,AM160&gt;0),MIN(P160,AM160),"-")</f>
        <v>-</v>
      </c>
      <c r="BK160" s="59" t="str">
        <f>IF(AND(Q160&gt;0,AN160&gt;0),MIN(Q160,AN160),"-")</f>
        <v>-</v>
      </c>
      <c r="BL160" s="59" t="str">
        <f>IF(AND(R160&gt;0,AO160&gt;0),MIN(R160,AO160),"-")</f>
        <v>-</v>
      </c>
      <c r="BM160" s="59" t="str">
        <f>IF(AND(S160&gt;0,AP160&gt;0),MIN(S160,AP160),"-")</f>
        <v>-</v>
      </c>
      <c r="BN160" s="59" t="str">
        <f>IF(AND(T160&gt;0,AQ160&gt;0),MIN(T160,AQ160),"-")</f>
        <v>-</v>
      </c>
      <c r="BO160" s="59" t="str">
        <f>IF(AND(U160&gt;0,AR160&gt;0),MIN(U160,AR160),"-")</f>
        <v>-</v>
      </c>
      <c r="BP160" s="59" t="str">
        <f>IF(AND(V160&gt;0,AS160&gt;0),MIN(V160,AS160),"-")</f>
        <v>-</v>
      </c>
      <c r="BQ160" s="59" t="str">
        <f t="shared" si="40"/>
        <v>-</v>
      </c>
      <c r="BR160" s="59" t="str">
        <f t="shared" si="41"/>
        <v>-</v>
      </c>
      <c r="BS160" s="59" t="str">
        <f t="shared" si="42"/>
        <v>-</v>
      </c>
      <c r="BT160" s="98" t="str">
        <f>IF(ISNUMBER(BS160),BS160-(C160*Rules!$P$9/100),"-")</f>
        <v>-</v>
      </c>
      <c r="BU160" s="59" t="e">
        <f>RANK($BT160,$BT$5:$BT$106,1)+COUNTIF(BT$5:BT160,BT160)-1</f>
        <v>#VALUE!</v>
      </c>
      <c r="BV160" s="59" t="e">
        <f t="shared" si="43"/>
        <v>#VALUE!</v>
      </c>
      <c r="BW160" s="59" t="str">
        <f t="shared" si="44"/>
        <v xml:space="preserve"> </v>
      </c>
      <c r="BX160" s="59">
        <f t="shared" si="44"/>
        <v>0</v>
      </c>
      <c r="BY160" s="59" t="str">
        <f t="shared" si="45"/>
        <v>-</v>
      </c>
      <c r="CD160" s="79"/>
      <c r="CE160" s="80"/>
      <c r="CF160" s="104"/>
      <c r="CL160" s="77">
        <v>1</v>
      </c>
    </row>
    <row r="161" spans="1:90" ht="17.45" customHeight="1">
      <c r="A161" s="58">
        <v>157</v>
      </c>
      <c r="B161" s="59" t="str">
        <f>'C Div'!A161 &amp; " " &amp; 'C Div'!B161</f>
        <v xml:space="preserve"> </v>
      </c>
      <c r="C161" s="59">
        <f>'C Div'!E161</f>
        <v>0</v>
      </c>
      <c r="D161" s="60"/>
      <c r="E161" s="60"/>
      <c r="F161" s="60"/>
      <c r="G161" s="60"/>
      <c r="H161" s="60"/>
      <c r="I161" s="60"/>
      <c r="J161" s="60"/>
      <c r="K161" s="60"/>
      <c r="L161" s="60"/>
      <c r="M161" s="74" t="str">
        <f t="shared" si="31"/>
        <v>-</v>
      </c>
      <c r="N161" s="60"/>
      <c r="O161" s="60"/>
      <c r="P161" s="60"/>
      <c r="Q161" s="60"/>
      <c r="R161" s="60"/>
      <c r="S161" s="60"/>
      <c r="T161" s="60"/>
      <c r="U161" s="60"/>
      <c r="V161" s="60"/>
      <c r="W161" s="74" t="str">
        <f t="shared" si="32"/>
        <v>-</v>
      </c>
      <c r="X161" s="155" t="str">
        <f t="shared" si="33"/>
        <v>-</v>
      </c>
      <c r="Y161" s="156" t="str">
        <f t="shared" si="34"/>
        <v>-</v>
      </c>
      <c r="AA161" s="60"/>
      <c r="AB161" s="60"/>
      <c r="AC161" s="60"/>
      <c r="AD161" s="60"/>
      <c r="AE161" s="60"/>
      <c r="AF161" s="60"/>
      <c r="AG161" s="60"/>
      <c r="AH161" s="60"/>
      <c r="AI161" s="60"/>
      <c r="AJ161" s="74" t="str">
        <f t="shared" si="35"/>
        <v>-</v>
      </c>
      <c r="AK161" s="60"/>
      <c r="AL161" s="60"/>
      <c r="AM161" s="60"/>
      <c r="AN161" s="60"/>
      <c r="AO161" s="60"/>
      <c r="AP161" s="60"/>
      <c r="AQ161" s="60"/>
      <c r="AR161" s="60"/>
      <c r="AS161" s="60"/>
      <c r="AT161" s="74" t="str">
        <f t="shared" si="36"/>
        <v>-</v>
      </c>
      <c r="AU161" s="155" t="str">
        <f t="shared" si="37"/>
        <v>-</v>
      </c>
      <c r="AV161" s="156" t="str">
        <f t="shared" si="38"/>
        <v>-</v>
      </c>
      <c r="AX161" s="59" t="str">
        <f>IF(AND(D161&gt;0,AA161&gt;0),MIN(D161,AA161),"-")</f>
        <v>-</v>
      </c>
      <c r="AY161" s="59" t="str">
        <f>IF(AND(E161&gt;0,AB161&gt;0),MIN(E161,AB161),"-")</f>
        <v>-</v>
      </c>
      <c r="AZ161" s="59" t="str">
        <f>IF(AND(F161&gt;0,AC161&gt;0),MIN(F161,AC161),"-")</f>
        <v>-</v>
      </c>
      <c r="BA161" s="59" t="str">
        <f>IF(AND(G161&gt;0,AD161&gt;0),MIN(G161,AD161),"-")</f>
        <v>-</v>
      </c>
      <c r="BB161" s="59" t="str">
        <f>IF(AND(H161&gt;0,AE161&gt;0),MIN(H161,AE161),"-")</f>
        <v>-</v>
      </c>
      <c r="BC161" s="59" t="str">
        <f>IF(AND(I161&gt;0,AF161&gt;0),MIN(I161,AF161),"-")</f>
        <v>-</v>
      </c>
      <c r="BD161" s="59" t="str">
        <f>IF(AND(J161&gt;0,AG161&gt;0),MIN(J161,AG161),"-")</f>
        <v>-</v>
      </c>
      <c r="BE161" s="59" t="str">
        <f>IF(AND(K161&gt;0,AH161&gt;0),MIN(K161,AH161),"-")</f>
        <v>-</v>
      </c>
      <c r="BF161" s="59" t="str">
        <f>IF(AND(L161&gt;0,AI161&gt;0),MIN(L161,AI161),"-")</f>
        <v>-</v>
      </c>
      <c r="BG161" s="59" t="str">
        <f t="shared" si="39"/>
        <v>-</v>
      </c>
      <c r="BH161" s="59" t="str">
        <f>IF(AND(N161&gt;0,AK161&gt;0),MIN(N161,AK161),"-")</f>
        <v>-</v>
      </c>
      <c r="BI161" s="59" t="str">
        <f>IF(AND(O161&gt;0,AL161&gt;0),MIN(O161,AL161),"-")</f>
        <v>-</v>
      </c>
      <c r="BJ161" s="59" t="str">
        <f>IF(AND(P161&gt;0,AM161&gt;0),MIN(P161,AM161),"-")</f>
        <v>-</v>
      </c>
      <c r="BK161" s="59" t="str">
        <f>IF(AND(Q161&gt;0,AN161&gt;0),MIN(Q161,AN161),"-")</f>
        <v>-</v>
      </c>
      <c r="BL161" s="59" t="str">
        <f>IF(AND(R161&gt;0,AO161&gt;0),MIN(R161,AO161),"-")</f>
        <v>-</v>
      </c>
      <c r="BM161" s="59" t="str">
        <f>IF(AND(S161&gt;0,AP161&gt;0),MIN(S161,AP161),"-")</f>
        <v>-</v>
      </c>
      <c r="BN161" s="59" t="str">
        <f>IF(AND(T161&gt;0,AQ161&gt;0),MIN(T161,AQ161),"-")</f>
        <v>-</v>
      </c>
      <c r="BO161" s="59" t="str">
        <f>IF(AND(U161&gt;0,AR161&gt;0),MIN(U161,AR161),"-")</f>
        <v>-</v>
      </c>
      <c r="BP161" s="59" t="str">
        <f>IF(AND(V161&gt;0,AS161&gt;0),MIN(V161,AS161),"-")</f>
        <v>-</v>
      </c>
      <c r="BQ161" s="59" t="str">
        <f t="shared" si="40"/>
        <v>-</v>
      </c>
      <c r="BR161" s="59" t="str">
        <f t="shared" si="41"/>
        <v>-</v>
      </c>
      <c r="BS161" s="59" t="str">
        <f t="shared" si="42"/>
        <v>-</v>
      </c>
      <c r="BT161" s="98" t="str">
        <f>IF(ISNUMBER(BS161),BS161-(C161*Rules!$P$9/100),"-")</f>
        <v>-</v>
      </c>
      <c r="BU161" s="59" t="e">
        <f>RANK($BT161,$BT$5:$BT$106,1)+COUNTIF(BT$5:BT161,BT161)-1</f>
        <v>#VALUE!</v>
      </c>
      <c r="BV161" s="59" t="e">
        <f t="shared" si="43"/>
        <v>#VALUE!</v>
      </c>
      <c r="BW161" s="59" t="str">
        <f t="shared" si="44"/>
        <v xml:space="preserve"> </v>
      </c>
      <c r="BX161" s="59">
        <f t="shared" si="44"/>
        <v>0</v>
      </c>
      <c r="BY161" s="59" t="str">
        <f t="shared" si="45"/>
        <v>-</v>
      </c>
      <c r="CD161" s="79"/>
      <c r="CE161" s="80"/>
      <c r="CF161" s="104"/>
      <c r="CL161" s="77">
        <v>1</v>
      </c>
    </row>
    <row r="162" spans="1:90" ht="17.45" customHeight="1">
      <c r="A162" s="58">
        <v>158</v>
      </c>
      <c r="B162" s="59" t="str">
        <f>'C Div'!A162 &amp; " " &amp; 'C Div'!B162</f>
        <v xml:space="preserve"> </v>
      </c>
      <c r="C162" s="59">
        <f>'C Div'!E162</f>
        <v>0</v>
      </c>
      <c r="D162" s="60"/>
      <c r="E162" s="60"/>
      <c r="F162" s="60"/>
      <c r="G162" s="60"/>
      <c r="H162" s="60"/>
      <c r="I162" s="60"/>
      <c r="J162" s="60"/>
      <c r="K162" s="60"/>
      <c r="L162" s="60"/>
      <c r="M162" s="74" t="str">
        <f t="shared" si="31"/>
        <v>-</v>
      </c>
      <c r="N162" s="60"/>
      <c r="O162" s="60"/>
      <c r="P162" s="60"/>
      <c r="Q162" s="60"/>
      <c r="R162" s="60"/>
      <c r="S162" s="60"/>
      <c r="T162" s="60"/>
      <c r="U162" s="60"/>
      <c r="V162" s="60"/>
      <c r="W162" s="74" t="str">
        <f t="shared" si="32"/>
        <v>-</v>
      </c>
      <c r="X162" s="155" t="str">
        <f t="shared" si="33"/>
        <v>-</v>
      </c>
      <c r="Y162" s="156" t="str">
        <f t="shared" si="34"/>
        <v>-</v>
      </c>
      <c r="AA162" s="60"/>
      <c r="AB162" s="60"/>
      <c r="AC162" s="60"/>
      <c r="AD162" s="60"/>
      <c r="AE162" s="60"/>
      <c r="AF162" s="60"/>
      <c r="AG162" s="60"/>
      <c r="AH162" s="60"/>
      <c r="AI162" s="60"/>
      <c r="AJ162" s="74" t="str">
        <f t="shared" si="35"/>
        <v>-</v>
      </c>
      <c r="AK162" s="60"/>
      <c r="AL162" s="60"/>
      <c r="AM162" s="60"/>
      <c r="AN162" s="60"/>
      <c r="AO162" s="60"/>
      <c r="AP162" s="60"/>
      <c r="AQ162" s="60"/>
      <c r="AR162" s="60"/>
      <c r="AS162" s="60"/>
      <c r="AT162" s="74" t="str">
        <f t="shared" si="36"/>
        <v>-</v>
      </c>
      <c r="AU162" s="155" t="str">
        <f t="shared" si="37"/>
        <v>-</v>
      </c>
      <c r="AV162" s="156" t="str">
        <f t="shared" si="38"/>
        <v>-</v>
      </c>
      <c r="AX162" s="59" t="str">
        <f>IF(AND(D162&gt;0,AA162&gt;0),MIN(D162,AA162),"-")</f>
        <v>-</v>
      </c>
      <c r="AY162" s="59" t="str">
        <f>IF(AND(E162&gt;0,AB162&gt;0),MIN(E162,AB162),"-")</f>
        <v>-</v>
      </c>
      <c r="AZ162" s="59" t="str">
        <f>IF(AND(F162&gt;0,AC162&gt;0),MIN(F162,AC162),"-")</f>
        <v>-</v>
      </c>
      <c r="BA162" s="59" t="str">
        <f>IF(AND(G162&gt;0,AD162&gt;0),MIN(G162,AD162),"-")</f>
        <v>-</v>
      </c>
      <c r="BB162" s="59" t="str">
        <f>IF(AND(H162&gt;0,AE162&gt;0),MIN(H162,AE162),"-")</f>
        <v>-</v>
      </c>
      <c r="BC162" s="59" t="str">
        <f>IF(AND(I162&gt;0,AF162&gt;0),MIN(I162,AF162),"-")</f>
        <v>-</v>
      </c>
      <c r="BD162" s="59" t="str">
        <f>IF(AND(J162&gt;0,AG162&gt;0),MIN(J162,AG162),"-")</f>
        <v>-</v>
      </c>
      <c r="BE162" s="59" t="str">
        <f>IF(AND(K162&gt;0,AH162&gt;0),MIN(K162,AH162),"-")</f>
        <v>-</v>
      </c>
      <c r="BF162" s="59" t="str">
        <f>IF(AND(L162&gt;0,AI162&gt;0),MIN(L162,AI162),"-")</f>
        <v>-</v>
      </c>
      <c r="BG162" s="59" t="str">
        <f t="shared" si="39"/>
        <v>-</v>
      </c>
      <c r="BH162" s="59" t="str">
        <f>IF(AND(N162&gt;0,AK162&gt;0),MIN(N162,AK162),"-")</f>
        <v>-</v>
      </c>
      <c r="BI162" s="59" t="str">
        <f>IF(AND(O162&gt;0,AL162&gt;0),MIN(O162,AL162),"-")</f>
        <v>-</v>
      </c>
      <c r="BJ162" s="59" t="str">
        <f>IF(AND(P162&gt;0,AM162&gt;0),MIN(P162,AM162),"-")</f>
        <v>-</v>
      </c>
      <c r="BK162" s="59" t="str">
        <f>IF(AND(Q162&gt;0,AN162&gt;0),MIN(Q162,AN162),"-")</f>
        <v>-</v>
      </c>
      <c r="BL162" s="59" t="str">
        <f>IF(AND(R162&gt;0,AO162&gt;0),MIN(R162,AO162),"-")</f>
        <v>-</v>
      </c>
      <c r="BM162" s="59" t="str">
        <f>IF(AND(S162&gt;0,AP162&gt;0),MIN(S162,AP162),"-")</f>
        <v>-</v>
      </c>
      <c r="BN162" s="59" t="str">
        <f>IF(AND(T162&gt;0,AQ162&gt;0),MIN(T162,AQ162),"-")</f>
        <v>-</v>
      </c>
      <c r="BO162" s="59" t="str">
        <f>IF(AND(U162&gt;0,AR162&gt;0),MIN(U162,AR162),"-")</f>
        <v>-</v>
      </c>
      <c r="BP162" s="59" t="str">
        <f>IF(AND(V162&gt;0,AS162&gt;0),MIN(V162,AS162),"-")</f>
        <v>-</v>
      </c>
      <c r="BQ162" s="59" t="str">
        <f t="shared" si="40"/>
        <v>-</v>
      </c>
      <c r="BR162" s="59" t="str">
        <f t="shared" si="41"/>
        <v>-</v>
      </c>
      <c r="BS162" s="59" t="str">
        <f t="shared" si="42"/>
        <v>-</v>
      </c>
      <c r="BT162" s="98" t="str">
        <f>IF(ISNUMBER(BS162),BS162-(C162*Rules!$P$9/100),"-")</f>
        <v>-</v>
      </c>
      <c r="BU162" s="59" t="e">
        <f>RANK($BT162,$BT$5:$BT$106,1)+COUNTIF(BT$5:BT162,BT162)-1</f>
        <v>#VALUE!</v>
      </c>
      <c r="BV162" s="59" t="e">
        <f t="shared" si="43"/>
        <v>#VALUE!</v>
      </c>
      <c r="BW162" s="59" t="str">
        <f t="shared" si="44"/>
        <v xml:space="preserve"> </v>
      </c>
      <c r="BX162" s="59">
        <f t="shared" si="44"/>
        <v>0</v>
      </c>
      <c r="BY162" s="59" t="str">
        <f t="shared" si="45"/>
        <v>-</v>
      </c>
      <c r="CD162" s="79"/>
      <c r="CE162" s="80"/>
      <c r="CF162" s="104"/>
      <c r="CL162" s="77">
        <v>1</v>
      </c>
    </row>
    <row r="163" spans="1:90" ht="17.45" customHeight="1">
      <c r="A163" s="58">
        <v>159</v>
      </c>
      <c r="B163" s="59" t="str">
        <f>'C Div'!A163 &amp; " " &amp; 'C Div'!B163</f>
        <v xml:space="preserve"> </v>
      </c>
      <c r="C163" s="59">
        <f>'C Div'!E163</f>
        <v>0</v>
      </c>
      <c r="D163" s="60"/>
      <c r="E163" s="60"/>
      <c r="F163" s="60"/>
      <c r="G163" s="60"/>
      <c r="H163" s="60"/>
      <c r="I163" s="60"/>
      <c r="J163" s="60"/>
      <c r="K163" s="60"/>
      <c r="L163" s="60"/>
      <c r="M163" s="74" t="str">
        <f t="shared" si="31"/>
        <v>-</v>
      </c>
      <c r="N163" s="60"/>
      <c r="O163" s="60"/>
      <c r="P163" s="60"/>
      <c r="Q163" s="60"/>
      <c r="R163" s="60"/>
      <c r="S163" s="60"/>
      <c r="T163" s="60"/>
      <c r="U163" s="60"/>
      <c r="V163" s="60"/>
      <c r="W163" s="74" t="str">
        <f t="shared" si="32"/>
        <v>-</v>
      </c>
      <c r="X163" s="155" t="str">
        <f t="shared" si="33"/>
        <v>-</v>
      </c>
      <c r="Y163" s="156" t="str">
        <f t="shared" si="34"/>
        <v>-</v>
      </c>
      <c r="AA163" s="60"/>
      <c r="AB163" s="60"/>
      <c r="AC163" s="60"/>
      <c r="AD163" s="60"/>
      <c r="AE163" s="60"/>
      <c r="AF163" s="60"/>
      <c r="AG163" s="60"/>
      <c r="AH163" s="60"/>
      <c r="AI163" s="60"/>
      <c r="AJ163" s="74" t="str">
        <f t="shared" si="35"/>
        <v>-</v>
      </c>
      <c r="AK163" s="60"/>
      <c r="AL163" s="60"/>
      <c r="AM163" s="60"/>
      <c r="AN163" s="60"/>
      <c r="AO163" s="60"/>
      <c r="AP163" s="60"/>
      <c r="AQ163" s="60"/>
      <c r="AR163" s="60"/>
      <c r="AS163" s="60"/>
      <c r="AT163" s="74" t="str">
        <f t="shared" si="36"/>
        <v>-</v>
      </c>
      <c r="AU163" s="155" t="str">
        <f t="shared" si="37"/>
        <v>-</v>
      </c>
      <c r="AV163" s="156" t="str">
        <f t="shared" si="38"/>
        <v>-</v>
      </c>
      <c r="AX163" s="59" t="str">
        <f>IF(AND(D163&gt;0,AA163&gt;0),MIN(D163,AA163),"-")</f>
        <v>-</v>
      </c>
      <c r="AY163" s="59" t="str">
        <f>IF(AND(E163&gt;0,AB163&gt;0),MIN(E163,AB163),"-")</f>
        <v>-</v>
      </c>
      <c r="AZ163" s="59" t="str">
        <f>IF(AND(F163&gt;0,AC163&gt;0),MIN(F163,AC163),"-")</f>
        <v>-</v>
      </c>
      <c r="BA163" s="59" t="str">
        <f>IF(AND(G163&gt;0,AD163&gt;0),MIN(G163,AD163),"-")</f>
        <v>-</v>
      </c>
      <c r="BB163" s="59" t="str">
        <f>IF(AND(H163&gt;0,AE163&gt;0),MIN(H163,AE163),"-")</f>
        <v>-</v>
      </c>
      <c r="BC163" s="59" t="str">
        <f>IF(AND(I163&gt;0,AF163&gt;0),MIN(I163,AF163),"-")</f>
        <v>-</v>
      </c>
      <c r="BD163" s="59" t="str">
        <f>IF(AND(J163&gt;0,AG163&gt;0),MIN(J163,AG163),"-")</f>
        <v>-</v>
      </c>
      <c r="BE163" s="59" t="str">
        <f>IF(AND(K163&gt;0,AH163&gt;0),MIN(K163,AH163),"-")</f>
        <v>-</v>
      </c>
      <c r="BF163" s="59" t="str">
        <f>IF(AND(L163&gt;0,AI163&gt;0),MIN(L163,AI163),"-")</f>
        <v>-</v>
      </c>
      <c r="BG163" s="59" t="str">
        <f t="shared" si="39"/>
        <v>-</v>
      </c>
      <c r="BH163" s="59" t="str">
        <f>IF(AND(N163&gt;0,AK163&gt;0),MIN(N163,AK163),"-")</f>
        <v>-</v>
      </c>
      <c r="BI163" s="59" t="str">
        <f>IF(AND(O163&gt;0,AL163&gt;0),MIN(O163,AL163),"-")</f>
        <v>-</v>
      </c>
      <c r="BJ163" s="59" t="str">
        <f>IF(AND(P163&gt;0,AM163&gt;0),MIN(P163,AM163),"-")</f>
        <v>-</v>
      </c>
      <c r="BK163" s="59" t="str">
        <f>IF(AND(Q163&gt;0,AN163&gt;0),MIN(Q163,AN163),"-")</f>
        <v>-</v>
      </c>
      <c r="BL163" s="59" t="str">
        <f>IF(AND(R163&gt;0,AO163&gt;0),MIN(R163,AO163),"-")</f>
        <v>-</v>
      </c>
      <c r="BM163" s="59" t="str">
        <f>IF(AND(S163&gt;0,AP163&gt;0),MIN(S163,AP163),"-")</f>
        <v>-</v>
      </c>
      <c r="BN163" s="59" t="str">
        <f>IF(AND(T163&gt;0,AQ163&gt;0),MIN(T163,AQ163),"-")</f>
        <v>-</v>
      </c>
      <c r="BO163" s="59" t="str">
        <f>IF(AND(U163&gt;0,AR163&gt;0),MIN(U163,AR163),"-")</f>
        <v>-</v>
      </c>
      <c r="BP163" s="59" t="str">
        <f>IF(AND(V163&gt;0,AS163&gt;0),MIN(V163,AS163),"-")</f>
        <v>-</v>
      </c>
      <c r="BQ163" s="59" t="str">
        <f t="shared" si="40"/>
        <v>-</v>
      </c>
      <c r="BR163" s="59" t="str">
        <f t="shared" si="41"/>
        <v>-</v>
      </c>
      <c r="BS163" s="59" t="str">
        <f t="shared" si="42"/>
        <v>-</v>
      </c>
      <c r="BT163" s="98" t="str">
        <f>IF(ISNUMBER(BS163),BS163-(C163*Rules!$P$9/100),"-")</f>
        <v>-</v>
      </c>
      <c r="BU163" s="59" t="e">
        <f>RANK($BT163,$BT$5:$BT$106,1)+COUNTIF(BT$5:BT163,BT163)-1</f>
        <v>#VALUE!</v>
      </c>
      <c r="BV163" s="59" t="e">
        <f t="shared" si="43"/>
        <v>#VALUE!</v>
      </c>
      <c r="BW163" s="59" t="str">
        <f t="shared" si="44"/>
        <v xml:space="preserve"> </v>
      </c>
      <c r="BX163" s="59">
        <f t="shared" si="44"/>
        <v>0</v>
      </c>
      <c r="BY163" s="59" t="str">
        <f t="shared" si="45"/>
        <v>-</v>
      </c>
      <c r="CD163" s="79"/>
      <c r="CE163" s="80"/>
      <c r="CF163" s="104"/>
      <c r="CL163" s="77">
        <v>1</v>
      </c>
    </row>
    <row r="164" spans="1:90" ht="17.45" customHeight="1">
      <c r="A164" s="58">
        <v>160</v>
      </c>
      <c r="B164" s="59" t="str">
        <f>'C Div'!A164 &amp; " " &amp; 'C Div'!B164</f>
        <v xml:space="preserve"> </v>
      </c>
      <c r="C164" s="59">
        <f>'C Div'!E164</f>
        <v>0</v>
      </c>
      <c r="D164" s="60"/>
      <c r="E164" s="60"/>
      <c r="F164" s="60"/>
      <c r="G164" s="60"/>
      <c r="H164" s="60"/>
      <c r="I164" s="60"/>
      <c r="J164" s="60"/>
      <c r="K164" s="60"/>
      <c r="L164" s="60"/>
      <c r="M164" s="74" t="str">
        <f t="shared" si="31"/>
        <v>-</v>
      </c>
      <c r="N164" s="60"/>
      <c r="O164" s="60"/>
      <c r="P164" s="60"/>
      <c r="Q164" s="60"/>
      <c r="R164" s="60"/>
      <c r="S164" s="60"/>
      <c r="T164" s="60"/>
      <c r="U164" s="60"/>
      <c r="V164" s="60"/>
      <c r="W164" s="74" t="str">
        <f t="shared" si="32"/>
        <v>-</v>
      </c>
      <c r="X164" s="155" t="str">
        <f t="shared" si="33"/>
        <v>-</v>
      </c>
      <c r="Y164" s="156" t="str">
        <f t="shared" si="34"/>
        <v>-</v>
      </c>
      <c r="AA164" s="60"/>
      <c r="AB164" s="60"/>
      <c r="AC164" s="60"/>
      <c r="AD164" s="60"/>
      <c r="AE164" s="60"/>
      <c r="AF164" s="60"/>
      <c r="AG164" s="60"/>
      <c r="AH164" s="60"/>
      <c r="AI164" s="60"/>
      <c r="AJ164" s="74" t="str">
        <f t="shared" si="35"/>
        <v>-</v>
      </c>
      <c r="AK164" s="60"/>
      <c r="AL164" s="60"/>
      <c r="AM164" s="60"/>
      <c r="AN164" s="60"/>
      <c r="AO164" s="60"/>
      <c r="AP164" s="60"/>
      <c r="AQ164" s="60"/>
      <c r="AR164" s="60"/>
      <c r="AS164" s="60"/>
      <c r="AT164" s="74" t="str">
        <f t="shared" si="36"/>
        <v>-</v>
      </c>
      <c r="AU164" s="155" t="str">
        <f t="shared" si="37"/>
        <v>-</v>
      </c>
      <c r="AV164" s="156" t="str">
        <f t="shared" si="38"/>
        <v>-</v>
      </c>
      <c r="AX164" s="59" t="str">
        <f>IF(AND(D164&gt;0,AA164&gt;0),MIN(D164,AA164),"-")</f>
        <v>-</v>
      </c>
      <c r="AY164" s="59" t="str">
        <f>IF(AND(E164&gt;0,AB164&gt;0),MIN(E164,AB164),"-")</f>
        <v>-</v>
      </c>
      <c r="AZ164" s="59" t="str">
        <f>IF(AND(F164&gt;0,AC164&gt;0),MIN(F164,AC164),"-")</f>
        <v>-</v>
      </c>
      <c r="BA164" s="59" t="str">
        <f>IF(AND(G164&gt;0,AD164&gt;0),MIN(G164,AD164),"-")</f>
        <v>-</v>
      </c>
      <c r="BB164" s="59" t="str">
        <f>IF(AND(H164&gt;0,AE164&gt;0),MIN(H164,AE164),"-")</f>
        <v>-</v>
      </c>
      <c r="BC164" s="59" t="str">
        <f>IF(AND(I164&gt;0,AF164&gt;0),MIN(I164,AF164),"-")</f>
        <v>-</v>
      </c>
      <c r="BD164" s="59" t="str">
        <f>IF(AND(J164&gt;0,AG164&gt;0),MIN(J164,AG164),"-")</f>
        <v>-</v>
      </c>
      <c r="BE164" s="59" t="str">
        <f>IF(AND(K164&gt;0,AH164&gt;0),MIN(K164,AH164),"-")</f>
        <v>-</v>
      </c>
      <c r="BF164" s="59" t="str">
        <f>IF(AND(L164&gt;0,AI164&gt;0),MIN(L164,AI164),"-")</f>
        <v>-</v>
      </c>
      <c r="BG164" s="59" t="str">
        <f t="shared" si="39"/>
        <v>-</v>
      </c>
      <c r="BH164" s="59" t="str">
        <f>IF(AND(N164&gt;0,AK164&gt;0),MIN(N164,AK164),"-")</f>
        <v>-</v>
      </c>
      <c r="BI164" s="59" t="str">
        <f>IF(AND(O164&gt;0,AL164&gt;0),MIN(O164,AL164),"-")</f>
        <v>-</v>
      </c>
      <c r="BJ164" s="59" t="str">
        <f>IF(AND(P164&gt;0,AM164&gt;0),MIN(P164,AM164),"-")</f>
        <v>-</v>
      </c>
      <c r="BK164" s="59" t="str">
        <f>IF(AND(Q164&gt;0,AN164&gt;0),MIN(Q164,AN164),"-")</f>
        <v>-</v>
      </c>
      <c r="BL164" s="59" t="str">
        <f>IF(AND(R164&gt;0,AO164&gt;0),MIN(R164,AO164),"-")</f>
        <v>-</v>
      </c>
      <c r="BM164" s="59" t="str">
        <f>IF(AND(S164&gt;0,AP164&gt;0),MIN(S164,AP164),"-")</f>
        <v>-</v>
      </c>
      <c r="BN164" s="59" t="str">
        <f>IF(AND(T164&gt;0,AQ164&gt;0),MIN(T164,AQ164),"-")</f>
        <v>-</v>
      </c>
      <c r="BO164" s="59" t="str">
        <f>IF(AND(U164&gt;0,AR164&gt;0),MIN(U164,AR164),"-")</f>
        <v>-</v>
      </c>
      <c r="BP164" s="59" t="str">
        <f>IF(AND(V164&gt;0,AS164&gt;0),MIN(V164,AS164),"-")</f>
        <v>-</v>
      </c>
      <c r="BQ164" s="59" t="str">
        <f t="shared" si="40"/>
        <v>-</v>
      </c>
      <c r="BR164" s="59" t="str">
        <f t="shared" si="41"/>
        <v>-</v>
      </c>
      <c r="BS164" s="59" t="str">
        <f t="shared" si="42"/>
        <v>-</v>
      </c>
      <c r="BT164" s="98" t="str">
        <f>IF(ISNUMBER(BS164),BS164-(C164*Rules!$P$9/100),"-")</f>
        <v>-</v>
      </c>
      <c r="BU164" s="59" t="e">
        <f>RANK($BT164,$BT$5:$BT$106,1)+COUNTIF(BT$5:BT164,BT164)-1</f>
        <v>#VALUE!</v>
      </c>
      <c r="BV164" s="59" t="e">
        <f t="shared" si="43"/>
        <v>#VALUE!</v>
      </c>
      <c r="BW164" s="59" t="str">
        <f t="shared" si="44"/>
        <v xml:space="preserve"> </v>
      </c>
      <c r="BX164" s="59">
        <f t="shared" si="44"/>
        <v>0</v>
      </c>
      <c r="BY164" s="59" t="str">
        <f t="shared" si="45"/>
        <v>-</v>
      </c>
      <c r="CD164" s="79"/>
      <c r="CE164" s="80"/>
      <c r="CF164" s="104"/>
      <c r="CL164" s="77">
        <v>1</v>
      </c>
    </row>
    <row r="165" spans="1:90" ht="17.45" customHeight="1">
      <c r="A165" s="58">
        <v>161</v>
      </c>
      <c r="B165" s="59" t="str">
        <f>'C Div'!A165 &amp; " " &amp; 'C Div'!B165</f>
        <v xml:space="preserve"> </v>
      </c>
      <c r="C165" s="59">
        <f>'C Div'!E165</f>
        <v>0</v>
      </c>
      <c r="D165" s="60"/>
      <c r="E165" s="60"/>
      <c r="F165" s="60"/>
      <c r="G165" s="60"/>
      <c r="H165" s="60"/>
      <c r="I165" s="60"/>
      <c r="J165" s="60"/>
      <c r="K165" s="60"/>
      <c r="L165" s="60"/>
      <c r="M165" s="74" t="str">
        <f t="shared" si="31"/>
        <v>-</v>
      </c>
      <c r="N165" s="60"/>
      <c r="O165" s="60"/>
      <c r="P165" s="60"/>
      <c r="Q165" s="60"/>
      <c r="R165" s="60"/>
      <c r="S165" s="60"/>
      <c r="T165" s="60"/>
      <c r="U165" s="60"/>
      <c r="V165" s="60"/>
      <c r="W165" s="74" t="str">
        <f t="shared" si="32"/>
        <v>-</v>
      </c>
      <c r="X165" s="155" t="str">
        <f t="shared" si="33"/>
        <v>-</v>
      </c>
      <c r="Y165" s="156" t="str">
        <f t="shared" si="34"/>
        <v>-</v>
      </c>
      <c r="AA165" s="60"/>
      <c r="AB165" s="60"/>
      <c r="AC165" s="60"/>
      <c r="AD165" s="60"/>
      <c r="AE165" s="60"/>
      <c r="AF165" s="60"/>
      <c r="AG165" s="60"/>
      <c r="AH165" s="60"/>
      <c r="AI165" s="60"/>
      <c r="AJ165" s="74" t="str">
        <f t="shared" si="35"/>
        <v>-</v>
      </c>
      <c r="AK165" s="60"/>
      <c r="AL165" s="60"/>
      <c r="AM165" s="60"/>
      <c r="AN165" s="60"/>
      <c r="AO165" s="60"/>
      <c r="AP165" s="60"/>
      <c r="AQ165" s="60"/>
      <c r="AR165" s="60"/>
      <c r="AS165" s="60"/>
      <c r="AT165" s="74" t="str">
        <f t="shared" si="36"/>
        <v>-</v>
      </c>
      <c r="AU165" s="155" t="str">
        <f t="shared" si="37"/>
        <v>-</v>
      </c>
      <c r="AV165" s="156" t="str">
        <f t="shared" si="38"/>
        <v>-</v>
      </c>
      <c r="AX165" s="59" t="str">
        <f>IF(AND(D165&gt;0,AA165&gt;0),MIN(D165,AA165),"-")</f>
        <v>-</v>
      </c>
      <c r="AY165" s="59" t="str">
        <f>IF(AND(E165&gt;0,AB165&gt;0),MIN(E165,AB165),"-")</f>
        <v>-</v>
      </c>
      <c r="AZ165" s="59" t="str">
        <f>IF(AND(F165&gt;0,AC165&gt;0),MIN(F165,AC165),"-")</f>
        <v>-</v>
      </c>
      <c r="BA165" s="59" t="str">
        <f>IF(AND(G165&gt;0,AD165&gt;0),MIN(G165,AD165),"-")</f>
        <v>-</v>
      </c>
      <c r="BB165" s="59" t="str">
        <f>IF(AND(H165&gt;0,AE165&gt;0),MIN(H165,AE165),"-")</f>
        <v>-</v>
      </c>
      <c r="BC165" s="59" t="str">
        <f>IF(AND(I165&gt;0,AF165&gt;0),MIN(I165,AF165),"-")</f>
        <v>-</v>
      </c>
      <c r="BD165" s="59" t="str">
        <f>IF(AND(J165&gt;0,AG165&gt;0),MIN(J165,AG165),"-")</f>
        <v>-</v>
      </c>
      <c r="BE165" s="59" t="str">
        <f>IF(AND(K165&gt;0,AH165&gt;0),MIN(K165,AH165),"-")</f>
        <v>-</v>
      </c>
      <c r="BF165" s="59" t="str">
        <f>IF(AND(L165&gt;0,AI165&gt;0),MIN(L165,AI165),"-")</f>
        <v>-</v>
      </c>
      <c r="BG165" s="59" t="str">
        <f t="shared" si="39"/>
        <v>-</v>
      </c>
      <c r="BH165" s="59" t="str">
        <f>IF(AND(N165&gt;0,AK165&gt;0),MIN(N165,AK165),"-")</f>
        <v>-</v>
      </c>
      <c r="BI165" s="59" t="str">
        <f>IF(AND(O165&gt;0,AL165&gt;0),MIN(O165,AL165),"-")</f>
        <v>-</v>
      </c>
      <c r="BJ165" s="59" t="str">
        <f>IF(AND(P165&gt;0,AM165&gt;0),MIN(P165,AM165),"-")</f>
        <v>-</v>
      </c>
      <c r="BK165" s="59" t="str">
        <f>IF(AND(Q165&gt;0,AN165&gt;0),MIN(Q165,AN165),"-")</f>
        <v>-</v>
      </c>
      <c r="BL165" s="59" t="str">
        <f>IF(AND(R165&gt;0,AO165&gt;0),MIN(R165,AO165),"-")</f>
        <v>-</v>
      </c>
      <c r="BM165" s="59" t="str">
        <f>IF(AND(S165&gt;0,AP165&gt;0),MIN(S165,AP165),"-")</f>
        <v>-</v>
      </c>
      <c r="BN165" s="59" t="str">
        <f>IF(AND(T165&gt;0,AQ165&gt;0),MIN(T165,AQ165),"-")</f>
        <v>-</v>
      </c>
      <c r="BO165" s="59" t="str">
        <f>IF(AND(U165&gt;0,AR165&gt;0),MIN(U165,AR165),"-")</f>
        <v>-</v>
      </c>
      <c r="BP165" s="59" t="str">
        <f>IF(AND(V165&gt;0,AS165&gt;0),MIN(V165,AS165),"-")</f>
        <v>-</v>
      </c>
      <c r="BQ165" s="59" t="str">
        <f t="shared" si="40"/>
        <v>-</v>
      </c>
      <c r="BR165" s="59" t="str">
        <f t="shared" si="41"/>
        <v>-</v>
      </c>
      <c r="BS165" s="59" t="str">
        <f t="shared" si="42"/>
        <v>-</v>
      </c>
      <c r="BT165" s="98" t="str">
        <f>IF(ISNUMBER(BS165),BS165-(C165*Rules!$P$9/100),"-")</f>
        <v>-</v>
      </c>
      <c r="BU165" s="59" t="e">
        <f>RANK($BT165,$BT$5:$BT$106,1)+COUNTIF(BT$5:BT165,BT165)-1</f>
        <v>#VALUE!</v>
      </c>
      <c r="BV165" s="59" t="e">
        <f t="shared" si="43"/>
        <v>#VALUE!</v>
      </c>
      <c r="BW165" s="59" t="str">
        <f t="shared" si="44"/>
        <v xml:space="preserve"> </v>
      </c>
      <c r="BX165" s="59">
        <f t="shared" si="44"/>
        <v>0</v>
      </c>
      <c r="BY165" s="59" t="str">
        <f t="shared" si="45"/>
        <v>-</v>
      </c>
      <c r="CD165" s="79"/>
      <c r="CE165" s="80"/>
      <c r="CF165" s="104"/>
      <c r="CL165" s="77">
        <v>1</v>
      </c>
    </row>
    <row r="166" spans="1:90" ht="17.45" customHeight="1">
      <c r="A166" s="58">
        <v>162</v>
      </c>
      <c r="B166" s="59" t="str">
        <f>'C Div'!A166 &amp; " " &amp; 'C Div'!B166</f>
        <v xml:space="preserve"> </v>
      </c>
      <c r="C166" s="59">
        <f>'C Div'!E166</f>
        <v>0</v>
      </c>
      <c r="D166" s="60"/>
      <c r="E166" s="60"/>
      <c r="F166" s="60"/>
      <c r="G166" s="60"/>
      <c r="H166" s="60"/>
      <c r="I166" s="60"/>
      <c r="J166" s="60"/>
      <c r="K166" s="60"/>
      <c r="L166" s="60"/>
      <c r="M166" s="74" t="str">
        <f t="shared" si="31"/>
        <v>-</v>
      </c>
      <c r="N166" s="60"/>
      <c r="O166" s="60"/>
      <c r="P166" s="60"/>
      <c r="Q166" s="60"/>
      <c r="R166" s="60"/>
      <c r="S166" s="60"/>
      <c r="T166" s="60"/>
      <c r="U166" s="60"/>
      <c r="V166" s="60"/>
      <c r="W166" s="74" t="str">
        <f t="shared" si="32"/>
        <v>-</v>
      </c>
      <c r="X166" s="155" t="str">
        <f t="shared" si="33"/>
        <v>-</v>
      </c>
      <c r="Y166" s="156" t="str">
        <f t="shared" si="34"/>
        <v>-</v>
      </c>
      <c r="AA166" s="60"/>
      <c r="AB166" s="60"/>
      <c r="AC166" s="60"/>
      <c r="AD166" s="60"/>
      <c r="AE166" s="60"/>
      <c r="AF166" s="60"/>
      <c r="AG166" s="60"/>
      <c r="AH166" s="60"/>
      <c r="AI166" s="60"/>
      <c r="AJ166" s="74" t="str">
        <f t="shared" si="35"/>
        <v>-</v>
      </c>
      <c r="AK166" s="60"/>
      <c r="AL166" s="60"/>
      <c r="AM166" s="60"/>
      <c r="AN166" s="60"/>
      <c r="AO166" s="60"/>
      <c r="AP166" s="60"/>
      <c r="AQ166" s="60"/>
      <c r="AR166" s="60"/>
      <c r="AS166" s="60"/>
      <c r="AT166" s="74" t="str">
        <f t="shared" si="36"/>
        <v>-</v>
      </c>
      <c r="AU166" s="155" t="str">
        <f t="shared" si="37"/>
        <v>-</v>
      </c>
      <c r="AV166" s="156" t="str">
        <f t="shared" si="38"/>
        <v>-</v>
      </c>
      <c r="AX166" s="59" t="str">
        <f>IF(AND(D166&gt;0,AA166&gt;0),MIN(D166,AA166),"-")</f>
        <v>-</v>
      </c>
      <c r="AY166" s="59" t="str">
        <f>IF(AND(E166&gt;0,AB166&gt;0),MIN(E166,AB166),"-")</f>
        <v>-</v>
      </c>
      <c r="AZ166" s="59" t="str">
        <f>IF(AND(F166&gt;0,AC166&gt;0),MIN(F166,AC166),"-")</f>
        <v>-</v>
      </c>
      <c r="BA166" s="59" t="str">
        <f>IF(AND(G166&gt;0,AD166&gt;0),MIN(G166,AD166),"-")</f>
        <v>-</v>
      </c>
      <c r="BB166" s="59" t="str">
        <f>IF(AND(H166&gt;0,AE166&gt;0),MIN(H166,AE166),"-")</f>
        <v>-</v>
      </c>
      <c r="BC166" s="59" t="str">
        <f>IF(AND(I166&gt;0,AF166&gt;0),MIN(I166,AF166),"-")</f>
        <v>-</v>
      </c>
      <c r="BD166" s="59" t="str">
        <f>IF(AND(J166&gt;0,AG166&gt;0),MIN(J166,AG166),"-")</f>
        <v>-</v>
      </c>
      <c r="BE166" s="59" t="str">
        <f>IF(AND(K166&gt;0,AH166&gt;0),MIN(K166,AH166),"-")</f>
        <v>-</v>
      </c>
      <c r="BF166" s="59" t="str">
        <f>IF(AND(L166&gt;0,AI166&gt;0),MIN(L166,AI166),"-")</f>
        <v>-</v>
      </c>
      <c r="BG166" s="59" t="str">
        <f t="shared" si="39"/>
        <v>-</v>
      </c>
      <c r="BH166" s="59" t="str">
        <f>IF(AND(N166&gt;0,AK166&gt;0),MIN(N166,AK166),"-")</f>
        <v>-</v>
      </c>
      <c r="BI166" s="59" t="str">
        <f>IF(AND(O166&gt;0,AL166&gt;0),MIN(O166,AL166),"-")</f>
        <v>-</v>
      </c>
      <c r="BJ166" s="59" t="str">
        <f>IF(AND(P166&gt;0,AM166&gt;0),MIN(P166,AM166),"-")</f>
        <v>-</v>
      </c>
      <c r="BK166" s="59" t="str">
        <f>IF(AND(Q166&gt;0,AN166&gt;0),MIN(Q166,AN166),"-")</f>
        <v>-</v>
      </c>
      <c r="BL166" s="59" t="str">
        <f>IF(AND(R166&gt;0,AO166&gt;0),MIN(R166,AO166),"-")</f>
        <v>-</v>
      </c>
      <c r="BM166" s="59" t="str">
        <f>IF(AND(S166&gt;0,AP166&gt;0),MIN(S166,AP166),"-")</f>
        <v>-</v>
      </c>
      <c r="BN166" s="59" t="str">
        <f>IF(AND(T166&gt;0,AQ166&gt;0),MIN(T166,AQ166),"-")</f>
        <v>-</v>
      </c>
      <c r="BO166" s="59" t="str">
        <f>IF(AND(U166&gt;0,AR166&gt;0),MIN(U166,AR166),"-")</f>
        <v>-</v>
      </c>
      <c r="BP166" s="59" t="str">
        <f>IF(AND(V166&gt;0,AS166&gt;0),MIN(V166,AS166),"-")</f>
        <v>-</v>
      </c>
      <c r="BQ166" s="59" t="str">
        <f t="shared" si="40"/>
        <v>-</v>
      </c>
      <c r="BR166" s="59" t="str">
        <f t="shared" si="41"/>
        <v>-</v>
      </c>
      <c r="BS166" s="59" t="str">
        <f t="shared" si="42"/>
        <v>-</v>
      </c>
      <c r="BT166" s="98" t="str">
        <f>IF(ISNUMBER(BS166),BS166-(C166*Rules!$P$9/100),"-")</f>
        <v>-</v>
      </c>
      <c r="BU166" s="59" t="e">
        <f>RANK($BT166,$BT$5:$BT$106,1)+COUNTIF(BT$5:BT166,BT166)-1</f>
        <v>#VALUE!</v>
      </c>
      <c r="BV166" s="59" t="e">
        <f t="shared" si="43"/>
        <v>#VALUE!</v>
      </c>
      <c r="BW166" s="59" t="str">
        <f t="shared" si="44"/>
        <v xml:space="preserve"> </v>
      </c>
      <c r="BX166" s="59">
        <f t="shared" si="44"/>
        <v>0</v>
      </c>
      <c r="BY166" s="59" t="str">
        <f t="shared" si="45"/>
        <v>-</v>
      </c>
      <c r="CD166" s="79"/>
      <c r="CE166" s="80"/>
      <c r="CF166" s="104"/>
      <c r="CL166" s="77">
        <v>1</v>
      </c>
    </row>
    <row r="167" spans="1:90" ht="17.45" customHeight="1">
      <c r="A167" s="58">
        <v>163</v>
      </c>
      <c r="B167" s="59" t="str">
        <f>'C Div'!A167 &amp; " " &amp; 'C Div'!B167</f>
        <v xml:space="preserve"> </v>
      </c>
      <c r="C167" s="59">
        <f>'C Div'!E167</f>
        <v>0</v>
      </c>
      <c r="D167" s="60"/>
      <c r="E167" s="60"/>
      <c r="F167" s="60"/>
      <c r="G167" s="60"/>
      <c r="H167" s="60"/>
      <c r="I167" s="60"/>
      <c r="J167" s="60"/>
      <c r="K167" s="60"/>
      <c r="L167" s="60"/>
      <c r="M167" s="74" t="str">
        <f t="shared" si="31"/>
        <v>-</v>
      </c>
      <c r="N167" s="60"/>
      <c r="O167" s="60"/>
      <c r="P167" s="60"/>
      <c r="Q167" s="60"/>
      <c r="R167" s="60"/>
      <c r="S167" s="60"/>
      <c r="T167" s="60"/>
      <c r="U167" s="60"/>
      <c r="V167" s="60"/>
      <c r="W167" s="74" t="str">
        <f t="shared" si="32"/>
        <v>-</v>
      </c>
      <c r="X167" s="155" t="str">
        <f t="shared" si="33"/>
        <v>-</v>
      </c>
      <c r="Y167" s="156" t="str">
        <f t="shared" si="34"/>
        <v>-</v>
      </c>
      <c r="AA167" s="60"/>
      <c r="AB167" s="60"/>
      <c r="AC167" s="60"/>
      <c r="AD167" s="60"/>
      <c r="AE167" s="60"/>
      <c r="AF167" s="60"/>
      <c r="AG167" s="60"/>
      <c r="AH167" s="60"/>
      <c r="AI167" s="60"/>
      <c r="AJ167" s="74" t="str">
        <f t="shared" si="35"/>
        <v>-</v>
      </c>
      <c r="AK167" s="60"/>
      <c r="AL167" s="60"/>
      <c r="AM167" s="60"/>
      <c r="AN167" s="60"/>
      <c r="AO167" s="60"/>
      <c r="AP167" s="60"/>
      <c r="AQ167" s="60"/>
      <c r="AR167" s="60"/>
      <c r="AS167" s="60"/>
      <c r="AT167" s="74" t="str">
        <f t="shared" si="36"/>
        <v>-</v>
      </c>
      <c r="AU167" s="155" t="str">
        <f t="shared" si="37"/>
        <v>-</v>
      </c>
      <c r="AV167" s="156" t="str">
        <f t="shared" si="38"/>
        <v>-</v>
      </c>
      <c r="AX167" s="59" t="str">
        <f>IF(AND(D167&gt;0,AA167&gt;0),MIN(D167,AA167),"-")</f>
        <v>-</v>
      </c>
      <c r="AY167" s="59" t="str">
        <f>IF(AND(E167&gt;0,AB167&gt;0),MIN(E167,AB167),"-")</f>
        <v>-</v>
      </c>
      <c r="AZ167" s="59" t="str">
        <f>IF(AND(F167&gt;0,AC167&gt;0),MIN(F167,AC167),"-")</f>
        <v>-</v>
      </c>
      <c r="BA167" s="59" t="str">
        <f>IF(AND(G167&gt;0,AD167&gt;0),MIN(G167,AD167),"-")</f>
        <v>-</v>
      </c>
      <c r="BB167" s="59" t="str">
        <f>IF(AND(H167&gt;0,AE167&gt;0),MIN(H167,AE167),"-")</f>
        <v>-</v>
      </c>
      <c r="BC167" s="59" t="str">
        <f>IF(AND(I167&gt;0,AF167&gt;0),MIN(I167,AF167),"-")</f>
        <v>-</v>
      </c>
      <c r="BD167" s="59" t="str">
        <f>IF(AND(J167&gt;0,AG167&gt;0),MIN(J167,AG167),"-")</f>
        <v>-</v>
      </c>
      <c r="BE167" s="59" t="str">
        <f>IF(AND(K167&gt;0,AH167&gt;0),MIN(K167,AH167),"-")</f>
        <v>-</v>
      </c>
      <c r="BF167" s="59" t="str">
        <f>IF(AND(L167&gt;0,AI167&gt;0),MIN(L167,AI167),"-")</f>
        <v>-</v>
      </c>
      <c r="BG167" s="59" t="str">
        <f t="shared" si="39"/>
        <v>-</v>
      </c>
      <c r="BH167" s="59" t="str">
        <f>IF(AND(N167&gt;0,AK167&gt;0),MIN(N167,AK167),"-")</f>
        <v>-</v>
      </c>
      <c r="BI167" s="59" t="str">
        <f>IF(AND(O167&gt;0,AL167&gt;0),MIN(O167,AL167),"-")</f>
        <v>-</v>
      </c>
      <c r="BJ167" s="59" t="str">
        <f>IF(AND(P167&gt;0,AM167&gt;0),MIN(P167,AM167),"-")</f>
        <v>-</v>
      </c>
      <c r="BK167" s="59" t="str">
        <f>IF(AND(Q167&gt;0,AN167&gt;0),MIN(Q167,AN167),"-")</f>
        <v>-</v>
      </c>
      <c r="BL167" s="59" t="str">
        <f>IF(AND(R167&gt;0,AO167&gt;0),MIN(R167,AO167),"-")</f>
        <v>-</v>
      </c>
      <c r="BM167" s="59" t="str">
        <f>IF(AND(S167&gt;0,AP167&gt;0),MIN(S167,AP167),"-")</f>
        <v>-</v>
      </c>
      <c r="BN167" s="59" t="str">
        <f>IF(AND(T167&gt;0,AQ167&gt;0),MIN(T167,AQ167),"-")</f>
        <v>-</v>
      </c>
      <c r="BO167" s="59" t="str">
        <f>IF(AND(U167&gt;0,AR167&gt;0),MIN(U167,AR167),"-")</f>
        <v>-</v>
      </c>
      <c r="BP167" s="59" t="str">
        <f>IF(AND(V167&gt;0,AS167&gt;0),MIN(V167,AS167),"-")</f>
        <v>-</v>
      </c>
      <c r="BQ167" s="59" t="str">
        <f t="shared" si="40"/>
        <v>-</v>
      </c>
      <c r="BR167" s="59" t="str">
        <f t="shared" si="41"/>
        <v>-</v>
      </c>
      <c r="BS167" s="59" t="str">
        <f t="shared" si="42"/>
        <v>-</v>
      </c>
      <c r="BT167" s="98" t="str">
        <f>IF(ISNUMBER(BS167),BS167-(C167*Rules!$P$9/100),"-")</f>
        <v>-</v>
      </c>
      <c r="BU167" s="59" t="e">
        <f>RANK($BT167,$BT$5:$BT$106,1)+COUNTIF(BT$5:BT167,BT167)-1</f>
        <v>#VALUE!</v>
      </c>
      <c r="BV167" s="59" t="e">
        <f t="shared" si="43"/>
        <v>#VALUE!</v>
      </c>
      <c r="BW167" s="59" t="str">
        <f t="shared" si="44"/>
        <v xml:space="preserve"> </v>
      </c>
      <c r="BX167" s="59">
        <f t="shared" si="44"/>
        <v>0</v>
      </c>
      <c r="BY167" s="59" t="str">
        <f t="shared" si="45"/>
        <v>-</v>
      </c>
      <c r="CD167" s="79"/>
      <c r="CE167" s="80"/>
      <c r="CF167" s="104"/>
      <c r="CL167" s="77">
        <v>1</v>
      </c>
    </row>
    <row r="168" spans="1:90" ht="17.45" customHeight="1">
      <c r="A168" s="58">
        <v>164</v>
      </c>
      <c r="B168" s="59" t="str">
        <f>'C Div'!A168 &amp; " " &amp; 'C Div'!B168</f>
        <v xml:space="preserve"> </v>
      </c>
      <c r="C168" s="59">
        <f>'C Div'!E168</f>
        <v>0</v>
      </c>
      <c r="D168" s="60"/>
      <c r="E168" s="60"/>
      <c r="F168" s="60"/>
      <c r="G168" s="60"/>
      <c r="H168" s="60"/>
      <c r="I168" s="60"/>
      <c r="J168" s="60"/>
      <c r="K168" s="60"/>
      <c r="L168" s="60"/>
      <c r="M168" s="74" t="str">
        <f t="shared" si="31"/>
        <v>-</v>
      </c>
      <c r="N168" s="60"/>
      <c r="O168" s="60"/>
      <c r="P168" s="60"/>
      <c r="Q168" s="60"/>
      <c r="R168" s="60"/>
      <c r="S168" s="60"/>
      <c r="T168" s="60"/>
      <c r="U168" s="60"/>
      <c r="V168" s="60"/>
      <c r="W168" s="74" t="str">
        <f t="shared" si="32"/>
        <v>-</v>
      </c>
      <c r="X168" s="155" t="str">
        <f t="shared" si="33"/>
        <v>-</v>
      </c>
      <c r="Y168" s="156" t="str">
        <f t="shared" si="34"/>
        <v>-</v>
      </c>
      <c r="AA168" s="60"/>
      <c r="AB168" s="60"/>
      <c r="AC168" s="60"/>
      <c r="AD168" s="60"/>
      <c r="AE168" s="60"/>
      <c r="AF168" s="60"/>
      <c r="AG168" s="60"/>
      <c r="AH168" s="60"/>
      <c r="AI168" s="60"/>
      <c r="AJ168" s="74" t="str">
        <f t="shared" si="35"/>
        <v>-</v>
      </c>
      <c r="AK168" s="60"/>
      <c r="AL168" s="60"/>
      <c r="AM168" s="60"/>
      <c r="AN168" s="60"/>
      <c r="AO168" s="60"/>
      <c r="AP168" s="60"/>
      <c r="AQ168" s="60"/>
      <c r="AR168" s="60"/>
      <c r="AS168" s="60"/>
      <c r="AT168" s="74" t="str">
        <f t="shared" si="36"/>
        <v>-</v>
      </c>
      <c r="AU168" s="155" t="str">
        <f t="shared" si="37"/>
        <v>-</v>
      </c>
      <c r="AV168" s="156" t="str">
        <f t="shared" si="38"/>
        <v>-</v>
      </c>
      <c r="AX168" s="59" t="str">
        <f>IF(AND(D168&gt;0,AA168&gt;0),MIN(D168,AA168),"-")</f>
        <v>-</v>
      </c>
      <c r="AY168" s="59" t="str">
        <f>IF(AND(E168&gt;0,AB168&gt;0),MIN(E168,AB168),"-")</f>
        <v>-</v>
      </c>
      <c r="AZ168" s="59" t="str">
        <f>IF(AND(F168&gt;0,AC168&gt;0),MIN(F168,AC168),"-")</f>
        <v>-</v>
      </c>
      <c r="BA168" s="59" t="str">
        <f>IF(AND(G168&gt;0,AD168&gt;0),MIN(G168,AD168),"-")</f>
        <v>-</v>
      </c>
      <c r="BB168" s="59" t="str">
        <f>IF(AND(H168&gt;0,AE168&gt;0),MIN(H168,AE168),"-")</f>
        <v>-</v>
      </c>
      <c r="BC168" s="59" t="str">
        <f>IF(AND(I168&gt;0,AF168&gt;0),MIN(I168,AF168),"-")</f>
        <v>-</v>
      </c>
      <c r="BD168" s="59" t="str">
        <f>IF(AND(J168&gt;0,AG168&gt;0),MIN(J168,AG168),"-")</f>
        <v>-</v>
      </c>
      <c r="BE168" s="59" t="str">
        <f>IF(AND(K168&gt;0,AH168&gt;0),MIN(K168,AH168),"-")</f>
        <v>-</v>
      </c>
      <c r="BF168" s="59" t="str">
        <f>IF(AND(L168&gt;0,AI168&gt;0),MIN(L168,AI168),"-")</f>
        <v>-</v>
      </c>
      <c r="BG168" s="59" t="str">
        <f t="shared" si="39"/>
        <v>-</v>
      </c>
      <c r="BH168" s="59" t="str">
        <f>IF(AND(N168&gt;0,AK168&gt;0),MIN(N168,AK168),"-")</f>
        <v>-</v>
      </c>
      <c r="BI168" s="59" t="str">
        <f>IF(AND(O168&gt;0,AL168&gt;0),MIN(O168,AL168),"-")</f>
        <v>-</v>
      </c>
      <c r="BJ168" s="59" t="str">
        <f>IF(AND(P168&gt;0,AM168&gt;0),MIN(P168,AM168),"-")</f>
        <v>-</v>
      </c>
      <c r="BK168" s="59" t="str">
        <f>IF(AND(Q168&gt;0,AN168&gt;0),MIN(Q168,AN168),"-")</f>
        <v>-</v>
      </c>
      <c r="BL168" s="59" t="str">
        <f>IF(AND(R168&gt;0,AO168&gt;0),MIN(R168,AO168),"-")</f>
        <v>-</v>
      </c>
      <c r="BM168" s="59" t="str">
        <f>IF(AND(S168&gt;0,AP168&gt;0),MIN(S168,AP168),"-")</f>
        <v>-</v>
      </c>
      <c r="BN168" s="59" t="str">
        <f>IF(AND(T168&gt;0,AQ168&gt;0),MIN(T168,AQ168),"-")</f>
        <v>-</v>
      </c>
      <c r="BO168" s="59" t="str">
        <f>IF(AND(U168&gt;0,AR168&gt;0),MIN(U168,AR168),"-")</f>
        <v>-</v>
      </c>
      <c r="BP168" s="59" t="str">
        <f>IF(AND(V168&gt;0,AS168&gt;0),MIN(V168,AS168),"-")</f>
        <v>-</v>
      </c>
      <c r="BQ168" s="59" t="str">
        <f t="shared" si="40"/>
        <v>-</v>
      </c>
      <c r="BR168" s="59" t="str">
        <f t="shared" si="41"/>
        <v>-</v>
      </c>
      <c r="BS168" s="59" t="str">
        <f t="shared" si="42"/>
        <v>-</v>
      </c>
      <c r="BT168" s="98" t="str">
        <f>IF(ISNUMBER(BS168),BS168-(C168*Rules!$P$9/100),"-")</f>
        <v>-</v>
      </c>
      <c r="BU168" s="59" t="e">
        <f>RANK($BT168,$BT$5:$BT$106,1)+COUNTIF(BT$5:BT168,BT168)-1</f>
        <v>#VALUE!</v>
      </c>
      <c r="BV168" s="59" t="e">
        <f t="shared" si="43"/>
        <v>#VALUE!</v>
      </c>
      <c r="BW168" s="59" t="str">
        <f t="shared" si="44"/>
        <v xml:space="preserve"> </v>
      </c>
      <c r="BX168" s="59">
        <f t="shared" si="44"/>
        <v>0</v>
      </c>
      <c r="BY168" s="59" t="str">
        <f t="shared" si="45"/>
        <v>-</v>
      </c>
      <c r="CD168" s="79"/>
      <c r="CE168" s="80"/>
      <c r="CF168" s="104"/>
      <c r="CL168" s="77">
        <v>1</v>
      </c>
    </row>
    <row r="169" spans="1:90" ht="17.45" customHeight="1">
      <c r="A169" s="58">
        <v>165</v>
      </c>
      <c r="B169" s="59" t="str">
        <f>'C Div'!A169 &amp; " " &amp; 'C Div'!B169</f>
        <v xml:space="preserve"> </v>
      </c>
      <c r="C169" s="59">
        <f>'C Div'!E169</f>
        <v>0</v>
      </c>
      <c r="D169" s="60"/>
      <c r="E169" s="60"/>
      <c r="F169" s="60"/>
      <c r="G169" s="60"/>
      <c r="H169" s="60"/>
      <c r="I169" s="60"/>
      <c r="J169" s="60"/>
      <c r="K169" s="60"/>
      <c r="L169" s="60"/>
      <c r="M169" s="74" t="str">
        <f t="shared" si="31"/>
        <v>-</v>
      </c>
      <c r="N169" s="60"/>
      <c r="O169" s="60"/>
      <c r="P169" s="60"/>
      <c r="Q169" s="60"/>
      <c r="R169" s="60"/>
      <c r="S169" s="60"/>
      <c r="T169" s="60"/>
      <c r="U169" s="60"/>
      <c r="V169" s="60"/>
      <c r="W169" s="74" t="str">
        <f t="shared" si="32"/>
        <v>-</v>
      </c>
      <c r="X169" s="155" t="str">
        <f t="shared" si="33"/>
        <v>-</v>
      </c>
      <c r="Y169" s="156" t="str">
        <f t="shared" si="34"/>
        <v>-</v>
      </c>
      <c r="AA169" s="60"/>
      <c r="AB169" s="60"/>
      <c r="AC169" s="60"/>
      <c r="AD169" s="60"/>
      <c r="AE169" s="60"/>
      <c r="AF169" s="60"/>
      <c r="AG169" s="60"/>
      <c r="AH169" s="60"/>
      <c r="AI169" s="60"/>
      <c r="AJ169" s="74" t="str">
        <f t="shared" si="35"/>
        <v>-</v>
      </c>
      <c r="AK169" s="60"/>
      <c r="AL169" s="60"/>
      <c r="AM169" s="60"/>
      <c r="AN169" s="60"/>
      <c r="AO169" s="60"/>
      <c r="AP169" s="60"/>
      <c r="AQ169" s="60"/>
      <c r="AR169" s="60"/>
      <c r="AS169" s="60"/>
      <c r="AT169" s="74" t="str">
        <f t="shared" si="36"/>
        <v>-</v>
      </c>
      <c r="AU169" s="155" t="str">
        <f t="shared" si="37"/>
        <v>-</v>
      </c>
      <c r="AV169" s="156" t="str">
        <f t="shared" si="38"/>
        <v>-</v>
      </c>
      <c r="AX169" s="59" t="str">
        <f>IF(AND(D169&gt;0,AA169&gt;0),MIN(D169,AA169),"-")</f>
        <v>-</v>
      </c>
      <c r="AY169" s="59" t="str">
        <f>IF(AND(E169&gt;0,AB169&gt;0),MIN(E169,AB169),"-")</f>
        <v>-</v>
      </c>
      <c r="AZ169" s="59" t="str">
        <f>IF(AND(F169&gt;0,AC169&gt;0),MIN(F169,AC169),"-")</f>
        <v>-</v>
      </c>
      <c r="BA169" s="59" t="str">
        <f>IF(AND(G169&gt;0,AD169&gt;0),MIN(G169,AD169),"-")</f>
        <v>-</v>
      </c>
      <c r="BB169" s="59" t="str">
        <f>IF(AND(H169&gt;0,AE169&gt;0),MIN(H169,AE169),"-")</f>
        <v>-</v>
      </c>
      <c r="BC169" s="59" t="str">
        <f>IF(AND(I169&gt;0,AF169&gt;0),MIN(I169,AF169),"-")</f>
        <v>-</v>
      </c>
      <c r="BD169" s="59" t="str">
        <f>IF(AND(J169&gt;0,AG169&gt;0),MIN(J169,AG169),"-")</f>
        <v>-</v>
      </c>
      <c r="BE169" s="59" t="str">
        <f>IF(AND(K169&gt;0,AH169&gt;0),MIN(K169,AH169),"-")</f>
        <v>-</v>
      </c>
      <c r="BF169" s="59" t="str">
        <f>IF(AND(L169&gt;0,AI169&gt;0),MIN(L169,AI169),"-")</f>
        <v>-</v>
      </c>
      <c r="BG169" s="59" t="str">
        <f t="shared" si="39"/>
        <v>-</v>
      </c>
      <c r="BH169" s="59" t="str">
        <f>IF(AND(N169&gt;0,AK169&gt;0),MIN(N169,AK169),"-")</f>
        <v>-</v>
      </c>
      <c r="BI169" s="59" t="str">
        <f>IF(AND(O169&gt;0,AL169&gt;0),MIN(O169,AL169),"-")</f>
        <v>-</v>
      </c>
      <c r="BJ169" s="59" t="str">
        <f>IF(AND(P169&gt;0,AM169&gt;0),MIN(P169,AM169),"-")</f>
        <v>-</v>
      </c>
      <c r="BK169" s="59" t="str">
        <f>IF(AND(Q169&gt;0,AN169&gt;0),MIN(Q169,AN169),"-")</f>
        <v>-</v>
      </c>
      <c r="BL169" s="59" t="str">
        <f>IF(AND(R169&gt;0,AO169&gt;0),MIN(R169,AO169),"-")</f>
        <v>-</v>
      </c>
      <c r="BM169" s="59" t="str">
        <f>IF(AND(S169&gt;0,AP169&gt;0),MIN(S169,AP169),"-")</f>
        <v>-</v>
      </c>
      <c r="BN169" s="59" t="str">
        <f>IF(AND(T169&gt;0,AQ169&gt;0),MIN(T169,AQ169),"-")</f>
        <v>-</v>
      </c>
      <c r="BO169" s="59" t="str">
        <f>IF(AND(U169&gt;0,AR169&gt;0),MIN(U169,AR169),"-")</f>
        <v>-</v>
      </c>
      <c r="BP169" s="59" t="str">
        <f>IF(AND(V169&gt;0,AS169&gt;0),MIN(V169,AS169),"-")</f>
        <v>-</v>
      </c>
      <c r="BQ169" s="59" t="str">
        <f t="shared" si="40"/>
        <v>-</v>
      </c>
      <c r="BR169" s="59" t="str">
        <f t="shared" si="41"/>
        <v>-</v>
      </c>
      <c r="BS169" s="59" t="str">
        <f t="shared" si="42"/>
        <v>-</v>
      </c>
      <c r="BT169" s="98" t="str">
        <f>IF(ISNUMBER(BS169),BS169-(C169*Rules!$P$9/100),"-")</f>
        <v>-</v>
      </c>
      <c r="BU169" s="59" t="e">
        <f>RANK($BT169,$BT$5:$BT$106,1)+COUNTIF(BT$5:BT169,BT169)-1</f>
        <v>#VALUE!</v>
      </c>
      <c r="BV169" s="59" t="e">
        <f t="shared" si="43"/>
        <v>#VALUE!</v>
      </c>
      <c r="BW169" s="59" t="str">
        <f t="shared" si="44"/>
        <v xml:space="preserve"> </v>
      </c>
      <c r="BX169" s="59">
        <f t="shared" si="44"/>
        <v>0</v>
      </c>
      <c r="BY169" s="59" t="str">
        <f t="shared" si="45"/>
        <v>-</v>
      </c>
      <c r="CD169" s="79"/>
      <c r="CE169" s="80"/>
      <c r="CF169" s="104"/>
      <c r="CL169" s="77">
        <v>1</v>
      </c>
    </row>
    <row r="170" spans="1:90" ht="17.45" customHeight="1">
      <c r="A170" s="58">
        <v>166</v>
      </c>
      <c r="B170" s="59" t="str">
        <f>'C Div'!A170 &amp; " " &amp; 'C Div'!B170</f>
        <v xml:space="preserve"> </v>
      </c>
      <c r="C170" s="59">
        <f>'C Div'!E170</f>
        <v>0</v>
      </c>
      <c r="D170" s="60"/>
      <c r="E170" s="60"/>
      <c r="F170" s="60"/>
      <c r="G170" s="60"/>
      <c r="H170" s="60"/>
      <c r="I170" s="60"/>
      <c r="J170" s="60"/>
      <c r="K170" s="60"/>
      <c r="L170" s="60"/>
      <c r="M170" s="74" t="str">
        <f t="shared" si="31"/>
        <v>-</v>
      </c>
      <c r="N170" s="60"/>
      <c r="O170" s="60"/>
      <c r="P170" s="60"/>
      <c r="Q170" s="60"/>
      <c r="R170" s="60"/>
      <c r="S170" s="60"/>
      <c r="T170" s="60"/>
      <c r="U170" s="60"/>
      <c r="V170" s="60"/>
      <c r="W170" s="74" t="str">
        <f t="shared" si="32"/>
        <v>-</v>
      </c>
      <c r="X170" s="155" t="str">
        <f t="shared" si="33"/>
        <v>-</v>
      </c>
      <c r="Y170" s="156" t="str">
        <f t="shared" si="34"/>
        <v>-</v>
      </c>
      <c r="AA170" s="60"/>
      <c r="AB170" s="60"/>
      <c r="AC170" s="60"/>
      <c r="AD170" s="60"/>
      <c r="AE170" s="60"/>
      <c r="AF170" s="60"/>
      <c r="AG170" s="60"/>
      <c r="AH170" s="60"/>
      <c r="AI170" s="60"/>
      <c r="AJ170" s="74" t="str">
        <f t="shared" si="35"/>
        <v>-</v>
      </c>
      <c r="AK170" s="60"/>
      <c r="AL170" s="60"/>
      <c r="AM170" s="60"/>
      <c r="AN170" s="60"/>
      <c r="AO170" s="60"/>
      <c r="AP170" s="60"/>
      <c r="AQ170" s="60"/>
      <c r="AR170" s="60"/>
      <c r="AS170" s="60"/>
      <c r="AT170" s="74" t="str">
        <f t="shared" si="36"/>
        <v>-</v>
      </c>
      <c r="AU170" s="155" t="str">
        <f t="shared" si="37"/>
        <v>-</v>
      </c>
      <c r="AV170" s="156" t="str">
        <f t="shared" si="38"/>
        <v>-</v>
      </c>
      <c r="AX170" s="59" t="str">
        <f>IF(AND(D170&gt;0,AA170&gt;0),MIN(D170,AA170),"-")</f>
        <v>-</v>
      </c>
      <c r="AY170" s="59" t="str">
        <f>IF(AND(E170&gt;0,AB170&gt;0),MIN(E170,AB170),"-")</f>
        <v>-</v>
      </c>
      <c r="AZ170" s="59" t="str">
        <f>IF(AND(F170&gt;0,AC170&gt;0),MIN(F170,AC170),"-")</f>
        <v>-</v>
      </c>
      <c r="BA170" s="59" t="str">
        <f>IF(AND(G170&gt;0,AD170&gt;0),MIN(G170,AD170),"-")</f>
        <v>-</v>
      </c>
      <c r="BB170" s="59" t="str">
        <f>IF(AND(H170&gt;0,AE170&gt;0),MIN(H170,AE170),"-")</f>
        <v>-</v>
      </c>
      <c r="BC170" s="59" t="str">
        <f>IF(AND(I170&gt;0,AF170&gt;0),MIN(I170,AF170),"-")</f>
        <v>-</v>
      </c>
      <c r="BD170" s="59" t="str">
        <f>IF(AND(J170&gt;0,AG170&gt;0),MIN(J170,AG170),"-")</f>
        <v>-</v>
      </c>
      <c r="BE170" s="59" t="str">
        <f>IF(AND(K170&gt;0,AH170&gt;0),MIN(K170,AH170),"-")</f>
        <v>-</v>
      </c>
      <c r="BF170" s="59" t="str">
        <f>IF(AND(L170&gt;0,AI170&gt;0),MIN(L170,AI170),"-")</f>
        <v>-</v>
      </c>
      <c r="BG170" s="59" t="str">
        <f t="shared" si="39"/>
        <v>-</v>
      </c>
      <c r="BH170" s="59" t="str">
        <f>IF(AND(N170&gt;0,AK170&gt;0),MIN(N170,AK170),"-")</f>
        <v>-</v>
      </c>
      <c r="BI170" s="59" t="str">
        <f>IF(AND(O170&gt;0,AL170&gt;0),MIN(O170,AL170),"-")</f>
        <v>-</v>
      </c>
      <c r="BJ170" s="59" t="str">
        <f>IF(AND(P170&gt;0,AM170&gt;0),MIN(P170,AM170),"-")</f>
        <v>-</v>
      </c>
      <c r="BK170" s="59" t="str">
        <f>IF(AND(Q170&gt;0,AN170&gt;0),MIN(Q170,AN170),"-")</f>
        <v>-</v>
      </c>
      <c r="BL170" s="59" t="str">
        <f>IF(AND(R170&gt;0,AO170&gt;0),MIN(R170,AO170),"-")</f>
        <v>-</v>
      </c>
      <c r="BM170" s="59" t="str">
        <f>IF(AND(S170&gt;0,AP170&gt;0),MIN(S170,AP170),"-")</f>
        <v>-</v>
      </c>
      <c r="BN170" s="59" t="str">
        <f>IF(AND(T170&gt;0,AQ170&gt;0),MIN(T170,AQ170),"-")</f>
        <v>-</v>
      </c>
      <c r="BO170" s="59" t="str">
        <f>IF(AND(U170&gt;0,AR170&gt;0),MIN(U170,AR170),"-")</f>
        <v>-</v>
      </c>
      <c r="BP170" s="59" t="str">
        <f>IF(AND(V170&gt;0,AS170&gt;0),MIN(V170,AS170),"-")</f>
        <v>-</v>
      </c>
      <c r="BQ170" s="59" t="str">
        <f t="shared" si="40"/>
        <v>-</v>
      </c>
      <c r="BR170" s="59" t="str">
        <f t="shared" si="41"/>
        <v>-</v>
      </c>
      <c r="BS170" s="59" t="str">
        <f t="shared" si="42"/>
        <v>-</v>
      </c>
      <c r="BT170" s="98" t="str">
        <f>IF(ISNUMBER(BS170),BS170-(C170*Rules!$P$9/100),"-")</f>
        <v>-</v>
      </c>
      <c r="BU170" s="59" t="e">
        <f>RANK($BT170,$BT$5:$BT$106,1)+COUNTIF(BT$5:BT170,BT170)-1</f>
        <v>#VALUE!</v>
      </c>
      <c r="BV170" s="59" t="e">
        <f t="shared" si="43"/>
        <v>#VALUE!</v>
      </c>
      <c r="BW170" s="59" t="str">
        <f t="shared" si="44"/>
        <v xml:space="preserve"> </v>
      </c>
      <c r="BX170" s="59">
        <f t="shared" si="44"/>
        <v>0</v>
      </c>
      <c r="BY170" s="59" t="str">
        <f t="shared" si="45"/>
        <v>-</v>
      </c>
      <c r="CD170" s="79"/>
      <c r="CE170" s="80"/>
      <c r="CF170" s="104"/>
      <c r="CL170" s="77">
        <v>1</v>
      </c>
    </row>
    <row r="171" spans="1:90" ht="17.45" customHeight="1">
      <c r="A171" s="58">
        <v>167</v>
      </c>
      <c r="B171" s="59" t="str">
        <f>'C Div'!A171 &amp; " " &amp; 'C Div'!B171</f>
        <v xml:space="preserve"> </v>
      </c>
      <c r="C171" s="59">
        <f>'C Div'!E171</f>
        <v>0</v>
      </c>
      <c r="D171" s="60"/>
      <c r="E171" s="60"/>
      <c r="F171" s="60"/>
      <c r="G171" s="60"/>
      <c r="H171" s="60"/>
      <c r="I171" s="60"/>
      <c r="J171" s="60"/>
      <c r="K171" s="60"/>
      <c r="L171" s="60"/>
      <c r="M171" s="74" t="str">
        <f t="shared" si="31"/>
        <v>-</v>
      </c>
      <c r="N171" s="60"/>
      <c r="O171" s="60"/>
      <c r="P171" s="60"/>
      <c r="Q171" s="60"/>
      <c r="R171" s="60"/>
      <c r="S171" s="60"/>
      <c r="T171" s="60"/>
      <c r="U171" s="60"/>
      <c r="V171" s="60"/>
      <c r="W171" s="74" t="str">
        <f t="shared" si="32"/>
        <v>-</v>
      </c>
      <c r="X171" s="155" t="str">
        <f t="shared" si="33"/>
        <v>-</v>
      </c>
      <c r="Y171" s="156" t="str">
        <f t="shared" si="34"/>
        <v>-</v>
      </c>
      <c r="AA171" s="60"/>
      <c r="AB171" s="60"/>
      <c r="AC171" s="60"/>
      <c r="AD171" s="60"/>
      <c r="AE171" s="60"/>
      <c r="AF171" s="60"/>
      <c r="AG171" s="60"/>
      <c r="AH171" s="60"/>
      <c r="AI171" s="60"/>
      <c r="AJ171" s="74" t="str">
        <f t="shared" si="35"/>
        <v>-</v>
      </c>
      <c r="AK171" s="60"/>
      <c r="AL171" s="60"/>
      <c r="AM171" s="60"/>
      <c r="AN171" s="60"/>
      <c r="AO171" s="60"/>
      <c r="AP171" s="60"/>
      <c r="AQ171" s="60"/>
      <c r="AR171" s="60"/>
      <c r="AS171" s="60"/>
      <c r="AT171" s="74" t="str">
        <f t="shared" si="36"/>
        <v>-</v>
      </c>
      <c r="AU171" s="155" t="str">
        <f t="shared" si="37"/>
        <v>-</v>
      </c>
      <c r="AV171" s="156" t="str">
        <f t="shared" si="38"/>
        <v>-</v>
      </c>
      <c r="AX171" s="59" t="str">
        <f>IF(AND(D171&gt;0,AA171&gt;0),MIN(D171,AA171),"-")</f>
        <v>-</v>
      </c>
      <c r="AY171" s="59" t="str">
        <f>IF(AND(E171&gt;0,AB171&gt;0),MIN(E171,AB171),"-")</f>
        <v>-</v>
      </c>
      <c r="AZ171" s="59" t="str">
        <f>IF(AND(F171&gt;0,AC171&gt;0),MIN(F171,AC171),"-")</f>
        <v>-</v>
      </c>
      <c r="BA171" s="59" t="str">
        <f>IF(AND(G171&gt;0,AD171&gt;0),MIN(G171,AD171),"-")</f>
        <v>-</v>
      </c>
      <c r="BB171" s="59" t="str">
        <f>IF(AND(H171&gt;0,AE171&gt;0),MIN(H171,AE171),"-")</f>
        <v>-</v>
      </c>
      <c r="BC171" s="59" t="str">
        <f>IF(AND(I171&gt;0,AF171&gt;0),MIN(I171,AF171),"-")</f>
        <v>-</v>
      </c>
      <c r="BD171" s="59" t="str">
        <f>IF(AND(J171&gt;0,AG171&gt;0),MIN(J171,AG171),"-")</f>
        <v>-</v>
      </c>
      <c r="BE171" s="59" t="str">
        <f>IF(AND(K171&gt;0,AH171&gt;0),MIN(K171,AH171),"-")</f>
        <v>-</v>
      </c>
      <c r="BF171" s="59" t="str">
        <f>IF(AND(L171&gt;0,AI171&gt;0),MIN(L171,AI171),"-")</f>
        <v>-</v>
      </c>
      <c r="BG171" s="59" t="str">
        <f t="shared" si="39"/>
        <v>-</v>
      </c>
      <c r="BH171" s="59" t="str">
        <f>IF(AND(N171&gt;0,AK171&gt;0),MIN(N171,AK171),"-")</f>
        <v>-</v>
      </c>
      <c r="BI171" s="59" t="str">
        <f>IF(AND(O171&gt;0,AL171&gt;0),MIN(O171,AL171),"-")</f>
        <v>-</v>
      </c>
      <c r="BJ171" s="59" t="str">
        <f>IF(AND(P171&gt;0,AM171&gt;0),MIN(P171,AM171),"-")</f>
        <v>-</v>
      </c>
      <c r="BK171" s="59" t="str">
        <f>IF(AND(Q171&gt;0,AN171&gt;0),MIN(Q171,AN171),"-")</f>
        <v>-</v>
      </c>
      <c r="BL171" s="59" t="str">
        <f>IF(AND(R171&gt;0,AO171&gt;0),MIN(R171,AO171),"-")</f>
        <v>-</v>
      </c>
      <c r="BM171" s="59" t="str">
        <f>IF(AND(S171&gt;0,AP171&gt;0),MIN(S171,AP171),"-")</f>
        <v>-</v>
      </c>
      <c r="BN171" s="59" t="str">
        <f>IF(AND(T171&gt;0,AQ171&gt;0),MIN(T171,AQ171),"-")</f>
        <v>-</v>
      </c>
      <c r="BO171" s="59" t="str">
        <f>IF(AND(U171&gt;0,AR171&gt;0),MIN(U171,AR171),"-")</f>
        <v>-</v>
      </c>
      <c r="BP171" s="59" t="str">
        <f>IF(AND(V171&gt;0,AS171&gt;0),MIN(V171,AS171),"-")</f>
        <v>-</v>
      </c>
      <c r="BQ171" s="59" t="str">
        <f t="shared" si="40"/>
        <v>-</v>
      </c>
      <c r="BR171" s="59" t="str">
        <f t="shared" si="41"/>
        <v>-</v>
      </c>
      <c r="BS171" s="59" t="str">
        <f t="shared" si="42"/>
        <v>-</v>
      </c>
      <c r="BT171" s="98" t="str">
        <f>IF(ISNUMBER(BS171),BS171-(C171*Rules!$P$9/100),"-")</f>
        <v>-</v>
      </c>
      <c r="BU171" s="59" t="e">
        <f>RANK($BT171,$BT$5:$BT$106,1)+COUNTIF(BT$5:BT171,BT171)-1</f>
        <v>#VALUE!</v>
      </c>
      <c r="BV171" s="59" t="e">
        <f t="shared" si="43"/>
        <v>#VALUE!</v>
      </c>
      <c r="BW171" s="59" t="str">
        <f t="shared" si="44"/>
        <v xml:space="preserve"> </v>
      </c>
      <c r="BX171" s="59">
        <f t="shared" si="44"/>
        <v>0</v>
      </c>
      <c r="BY171" s="59" t="str">
        <f t="shared" si="45"/>
        <v>-</v>
      </c>
      <c r="CD171" s="79"/>
      <c r="CE171" s="80"/>
      <c r="CF171" s="104"/>
      <c r="CL171" s="77">
        <v>1</v>
      </c>
    </row>
    <row r="172" spans="1:90" ht="17.45" customHeight="1">
      <c r="A172" s="58">
        <v>168</v>
      </c>
      <c r="B172" s="59" t="str">
        <f>'C Div'!A172 &amp; " " &amp; 'C Div'!B172</f>
        <v xml:space="preserve"> </v>
      </c>
      <c r="C172" s="59">
        <f>'C Div'!E172</f>
        <v>0</v>
      </c>
      <c r="D172" s="60"/>
      <c r="E172" s="60"/>
      <c r="F172" s="60"/>
      <c r="G172" s="60"/>
      <c r="H172" s="60"/>
      <c r="I172" s="60"/>
      <c r="J172" s="60"/>
      <c r="K172" s="60"/>
      <c r="L172" s="60"/>
      <c r="M172" s="74" t="str">
        <f t="shared" si="31"/>
        <v>-</v>
      </c>
      <c r="N172" s="60"/>
      <c r="O172" s="60"/>
      <c r="P172" s="60"/>
      <c r="Q172" s="60"/>
      <c r="R172" s="60"/>
      <c r="S172" s="60"/>
      <c r="T172" s="60"/>
      <c r="U172" s="60"/>
      <c r="V172" s="60"/>
      <c r="W172" s="74" t="str">
        <f t="shared" si="32"/>
        <v>-</v>
      </c>
      <c r="X172" s="155" t="str">
        <f t="shared" si="33"/>
        <v>-</v>
      </c>
      <c r="Y172" s="156" t="str">
        <f t="shared" si="34"/>
        <v>-</v>
      </c>
      <c r="AA172" s="60"/>
      <c r="AB172" s="60"/>
      <c r="AC172" s="60"/>
      <c r="AD172" s="60"/>
      <c r="AE172" s="60"/>
      <c r="AF172" s="60"/>
      <c r="AG172" s="60"/>
      <c r="AH172" s="60"/>
      <c r="AI172" s="60"/>
      <c r="AJ172" s="74" t="str">
        <f t="shared" si="35"/>
        <v>-</v>
      </c>
      <c r="AK172" s="60"/>
      <c r="AL172" s="60"/>
      <c r="AM172" s="60"/>
      <c r="AN172" s="60"/>
      <c r="AO172" s="60"/>
      <c r="AP172" s="60"/>
      <c r="AQ172" s="60"/>
      <c r="AR172" s="60"/>
      <c r="AS172" s="60"/>
      <c r="AT172" s="74" t="str">
        <f t="shared" si="36"/>
        <v>-</v>
      </c>
      <c r="AU172" s="155" t="str">
        <f t="shared" si="37"/>
        <v>-</v>
      </c>
      <c r="AV172" s="156" t="str">
        <f t="shared" si="38"/>
        <v>-</v>
      </c>
      <c r="AX172" s="59" t="str">
        <f>IF(AND(D172&gt;0,AA172&gt;0),MIN(D172,AA172),"-")</f>
        <v>-</v>
      </c>
      <c r="AY172" s="59" t="str">
        <f>IF(AND(E172&gt;0,AB172&gt;0),MIN(E172,AB172),"-")</f>
        <v>-</v>
      </c>
      <c r="AZ172" s="59" t="str">
        <f>IF(AND(F172&gt;0,AC172&gt;0),MIN(F172,AC172),"-")</f>
        <v>-</v>
      </c>
      <c r="BA172" s="59" t="str">
        <f>IF(AND(G172&gt;0,AD172&gt;0),MIN(G172,AD172),"-")</f>
        <v>-</v>
      </c>
      <c r="BB172" s="59" t="str">
        <f>IF(AND(H172&gt;0,AE172&gt;0),MIN(H172,AE172),"-")</f>
        <v>-</v>
      </c>
      <c r="BC172" s="59" t="str">
        <f>IF(AND(I172&gt;0,AF172&gt;0),MIN(I172,AF172),"-")</f>
        <v>-</v>
      </c>
      <c r="BD172" s="59" t="str">
        <f>IF(AND(J172&gt;0,AG172&gt;0),MIN(J172,AG172),"-")</f>
        <v>-</v>
      </c>
      <c r="BE172" s="59" t="str">
        <f>IF(AND(K172&gt;0,AH172&gt;0),MIN(K172,AH172),"-")</f>
        <v>-</v>
      </c>
      <c r="BF172" s="59" t="str">
        <f>IF(AND(L172&gt;0,AI172&gt;0),MIN(L172,AI172),"-")</f>
        <v>-</v>
      </c>
      <c r="BG172" s="59" t="str">
        <f t="shared" si="39"/>
        <v>-</v>
      </c>
      <c r="BH172" s="59" t="str">
        <f>IF(AND(N172&gt;0,AK172&gt;0),MIN(N172,AK172),"-")</f>
        <v>-</v>
      </c>
      <c r="BI172" s="59" t="str">
        <f>IF(AND(O172&gt;0,AL172&gt;0),MIN(O172,AL172),"-")</f>
        <v>-</v>
      </c>
      <c r="BJ172" s="59" t="str">
        <f>IF(AND(P172&gt;0,AM172&gt;0),MIN(P172,AM172),"-")</f>
        <v>-</v>
      </c>
      <c r="BK172" s="59" t="str">
        <f>IF(AND(Q172&gt;0,AN172&gt;0),MIN(Q172,AN172),"-")</f>
        <v>-</v>
      </c>
      <c r="BL172" s="59" t="str">
        <f>IF(AND(R172&gt;0,AO172&gt;0),MIN(R172,AO172),"-")</f>
        <v>-</v>
      </c>
      <c r="BM172" s="59" t="str">
        <f>IF(AND(S172&gt;0,AP172&gt;0),MIN(S172,AP172),"-")</f>
        <v>-</v>
      </c>
      <c r="BN172" s="59" t="str">
        <f>IF(AND(T172&gt;0,AQ172&gt;0),MIN(T172,AQ172),"-")</f>
        <v>-</v>
      </c>
      <c r="BO172" s="59" t="str">
        <f>IF(AND(U172&gt;0,AR172&gt;0),MIN(U172,AR172),"-")</f>
        <v>-</v>
      </c>
      <c r="BP172" s="59" t="str">
        <f>IF(AND(V172&gt;0,AS172&gt;0),MIN(V172,AS172),"-")</f>
        <v>-</v>
      </c>
      <c r="BQ172" s="59" t="str">
        <f t="shared" si="40"/>
        <v>-</v>
      </c>
      <c r="BR172" s="59" t="str">
        <f t="shared" si="41"/>
        <v>-</v>
      </c>
      <c r="BS172" s="59" t="str">
        <f t="shared" si="42"/>
        <v>-</v>
      </c>
      <c r="BT172" s="98" t="str">
        <f>IF(ISNUMBER(BS172),BS172-(C172*Rules!$P$9/100),"-")</f>
        <v>-</v>
      </c>
      <c r="BU172" s="59" t="e">
        <f>RANK($BT172,$BT$5:$BT$106,1)+COUNTIF(BT$5:BT172,BT172)-1</f>
        <v>#VALUE!</v>
      </c>
      <c r="BV172" s="59" t="e">
        <f t="shared" si="43"/>
        <v>#VALUE!</v>
      </c>
      <c r="BW172" s="59" t="str">
        <f t="shared" si="44"/>
        <v xml:space="preserve"> </v>
      </c>
      <c r="BX172" s="59">
        <f t="shared" si="44"/>
        <v>0</v>
      </c>
      <c r="BY172" s="59" t="str">
        <f t="shared" si="45"/>
        <v>-</v>
      </c>
      <c r="CD172" s="79"/>
      <c r="CE172" s="80"/>
      <c r="CF172" s="104"/>
      <c r="CL172" s="77">
        <v>1</v>
      </c>
    </row>
    <row r="173" spans="1:90" ht="17.45" customHeight="1">
      <c r="A173" s="58">
        <v>169</v>
      </c>
      <c r="B173" s="59" t="str">
        <f>'C Div'!A173 &amp; " " &amp; 'C Div'!B173</f>
        <v xml:space="preserve"> </v>
      </c>
      <c r="C173" s="59">
        <f>'C Div'!E173</f>
        <v>0</v>
      </c>
      <c r="D173" s="60"/>
      <c r="E173" s="60"/>
      <c r="F173" s="60"/>
      <c r="G173" s="60"/>
      <c r="H173" s="60"/>
      <c r="I173" s="60"/>
      <c r="J173" s="60"/>
      <c r="K173" s="60"/>
      <c r="L173" s="60"/>
      <c r="M173" s="74" t="str">
        <f t="shared" si="31"/>
        <v>-</v>
      </c>
      <c r="N173" s="60"/>
      <c r="O173" s="60"/>
      <c r="P173" s="60"/>
      <c r="Q173" s="60"/>
      <c r="R173" s="60"/>
      <c r="S173" s="60"/>
      <c r="T173" s="60"/>
      <c r="U173" s="60"/>
      <c r="V173" s="60"/>
      <c r="W173" s="74" t="str">
        <f t="shared" si="32"/>
        <v>-</v>
      </c>
      <c r="X173" s="155" t="str">
        <f t="shared" si="33"/>
        <v>-</v>
      </c>
      <c r="Y173" s="156" t="str">
        <f t="shared" si="34"/>
        <v>-</v>
      </c>
      <c r="AA173" s="60"/>
      <c r="AB173" s="60"/>
      <c r="AC173" s="60"/>
      <c r="AD173" s="60"/>
      <c r="AE173" s="60"/>
      <c r="AF173" s="60"/>
      <c r="AG173" s="60"/>
      <c r="AH173" s="60"/>
      <c r="AI173" s="60"/>
      <c r="AJ173" s="74" t="str">
        <f t="shared" si="35"/>
        <v>-</v>
      </c>
      <c r="AK173" s="60"/>
      <c r="AL173" s="60"/>
      <c r="AM173" s="60"/>
      <c r="AN173" s="60"/>
      <c r="AO173" s="60"/>
      <c r="AP173" s="60"/>
      <c r="AQ173" s="60"/>
      <c r="AR173" s="60"/>
      <c r="AS173" s="60"/>
      <c r="AT173" s="74" t="str">
        <f t="shared" si="36"/>
        <v>-</v>
      </c>
      <c r="AU173" s="155" t="str">
        <f t="shared" si="37"/>
        <v>-</v>
      </c>
      <c r="AV173" s="156" t="str">
        <f t="shared" si="38"/>
        <v>-</v>
      </c>
      <c r="AX173" s="59" t="str">
        <f>IF(AND(D173&gt;0,AA173&gt;0),MIN(D173,AA173),"-")</f>
        <v>-</v>
      </c>
      <c r="AY173" s="59" t="str">
        <f>IF(AND(E173&gt;0,AB173&gt;0),MIN(E173,AB173),"-")</f>
        <v>-</v>
      </c>
      <c r="AZ173" s="59" t="str">
        <f>IF(AND(F173&gt;0,AC173&gt;0),MIN(F173,AC173),"-")</f>
        <v>-</v>
      </c>
      <c r="BA173" s="59" t="str">
        <f>IF(AND(G173&gt;0,AD173&gt;0),MIN(G173,AD173),"-")</f>
        <v>-</v>
      </c>
      <c r="BB173" s="59" t="str">
        <f>IF(AND(H173&gt;0,AE173&gt;0),MIN(H173,AE173),"-")</f>
        <v>-</v>
      </c>
      <c r="BC173" s="59" t="str">
        <f>IF(AND(I173&gt;0,AF173&gt;0),MIN(I173,AF173),"-")</f>
        <v>-</v>
      </c>
      <c r="BD173" s="59" t="str">
        <f>IF(AND(J173&gt;0,AG173&gt;0),MIN(J173,AG173),"-")</f>
        <v>-</v>
      </c>
      <c r="BE173" s="59" t="str">
        <f>IF(AND(K173&gt;0,AH173&gt;0),MIN(K173,AH173),"-")</f>
        <v>-</v>
      </c>
      <c r="BF173" s="59" t="str">
        <f>IF(AND(L173&gt;0,AI173&gt;0),MIN(L173,AI173),"-")</f>
        <v>-</v>
      </c>
      <c r="BG173" s="59" t="str">
        <f t="shared" si="39"/>
        <v>-</v>
      </c>
      <c r="BH173" s="59" t="str">
        <f>IF(AND(N173&gt;0,AK173&gt;0),MIN(N173,AK173),"-")</f>
        <v>-</v>
      </c>
      <c r="BI173" s="59" t="str">
        <f>IF(AND(O173&gt;0,AL173&gt;0),MIN(O173,AL173),"-")</f>
        <v>-</v>
      </c>
      <c r="BJ173" s="59" t="str">
        <f>IF(AND(P173&gt;0,AM173&gt;0),MIN(P173,AM173),"-")</f>
        <v>-</v>
      </c>
      <c r="BK173" s="59" t="str">
        <f>IF(AND(Q173&gt;0,AN173&gt;0),MIN(Q173,AN173),"-")</f>
        <v>-</v>
      </c>
      <c r="BL173" s="59" t="str">
        <f>IF(AND(R173&gt;0,AO173&gt;0),MIN(R173,AO173),"-")</f>
        <v>-</v>
      </c>
      <c r="BM173" s="59" t="str">
        <f>IF(AND(S173&gt;0,AP173&gt;0),MIN(S173,AP173),"-")</f>
        <v>-</v>
      </c>
      <c r="BN173" s="59" t="str">
        <f>IF(AND(T173&gt;0,AQ173&gt;0),MIN(T173,AQ173),"-")</f>
        <v>-</v>
      </c>
      <c r="BO173" s="59" t="str">
        <f>IF(AND(U173&gt;0,AR173&gt;0),MIN(U173,AR173),"-")</f>
        <v>-</v>
      </c>
      <c r="BP173" s="59" t="str">
        <f>IF(AND(V173&gt;0,AS173&gt;0),MIN(V173,AS173),"-")</f>
        <v>-</v>
      </c>
      <c r="BQ173" s="59" t="str">
        <f t="shared" si="40"/>
        <v>-</v>
      </c>
      <c r="BR173" s="59" t="str">
        <f t="shared" si="41"/>
        <v>-</v>
      </c>
      <c r="BS173" s="59" t="str">
        <f t="shared" si="42"/>
        <v>-</v>
      </c>
      <c r="BT173" s="98" t="str">
        <f>IF(ISNUMBER(BS173),BS173-(C173*Rules!$P$9/100),"-")</f>
        <v>-</v>
      </c>
      <c r="BU173" s="59" t="e">
        <f>RANK($BT173,$BT$5:$BT$106,1)+COUNTIF(BT$5:BT173,BT173)-1</f>
        <v>#VALUE!</v>
      </c>
      <c r="BV173" s="59" t="e">
        <f t="shared" si="43"/>
        <v>#VALUE!</v>
      </c>
      <c r="BW173" s="59" t="str">
        <f t="shared" si="44"/>
        <v xml:space="preserve"> </v>
      </c>
      <c r="BX173" s="59">
        <f t="shared" si="44"/>
        <v>0</v>
      </c>
      <c r="BY173" s="59" t="str">
        <f t="shared" si="45"/>
        <v>-</v>
      </c>
      <c r="CD173" s="79"/>
      <c r="CE173" s="80"/>
      <c r="CF173" s="104"/>
      <c r="CL173" s="77">
        <v>1</v>
      </c>
    </row>
    <row r="174" spans="1:90" ht="17.45" customHeight="1">
      <c r="A174" s="58">
        <v>170</v>
      </c>
      <c r="B174" s="59" t="str">
        <f>'C Div'!A174 &amp; " " &amp; 'C Div'!B174</f>
        <v xml:space="preserve"> </v>
      </c>
      <c r="C174" s="59">
        <f>'C Div'!E174</f>
        <v>0</v>
      </c>
      <c r="D174" s="60"/>
      <c r="E174" s="60"/>
      <c r="F174" s="60"/>
      <c r="G174" s="60"/>
      <c r="H174" s="60"/>
      <c r="I174" s="60"/>
      <c r="J174" s="60"/>
      <c r="K174" s="60"/>
      <c r="L174" s="60"/>
      <c r="M174" s="74" t="str">
        <f t="shared" si="31"/>
        <v>-</v>
      </c>
      <c r="N174" s="60"/>
      <c r="O174" s="60"/>
      <c r="P174" s="60"/>
      <c r="Q174" s="60"/>
      <c r="R174" s="60"/>
      <c r="S174" s="60"/>
      <c r="T174" s="60"/>
      <c r="U174" s="60"/>
      <c r="V174" s="60"/>
      <c r="W174" s="74" t="str">
        <f t="shared" si="32"/>
        <v>-</v>
      </c>
      <c r="X174" s="155" t="str">
        <f t="shared" si="33"/>
        <v>-</v>
      </c>
      <c r="Y174" s="156" t="str">
        <f t="shared" si="34"/>
        <v>-</v>
      </c>
      <c r="AA174" s="60"/>
      <c r="AB174" s="60"/>
      <c r="AC174" s="60"/>
      <c r="AD174" s="60"/>
      <c r="AE174" s="60"/>
      <c r="AF174" s="60"/>
      <c r="AG174" s="60"/>
      <c r="AH174" s="60"/>
      <c r="AI174" s="60"/>
      <c r="AJ174" s="74" t="str">
        <f t="shared" si="35"/>
        <v>-</v>
      </c>
      <c r="AK174" s="60"/>
      <c r="AL174" s="60"/>
      <c r="AM174" s="60"/>
      <c r="AN174" s="60"/>
      <c r="AO174" s="60"/>
      <c r="AP174" s="60"/>
      <c r="AQ174" s="60"/>
      <c r="AR174" s="60"/>
      <c r="AS174" s="60"/>
      <c r="AT174" s="74" t="str">
        <f t="shared" si="36"/>
        <v>-</v>
      </c>
      <c r="AU174" s="155" t="str">
        <f t="shared" si="37"/>
        <v>-</v>
      </c>
      <c r="AV174" s="156" t="str">
        <f t="shared" si="38"/>
        <v>-</v>
      </c>
      <c r="AX174" s="59" t="str">
        <f>IF(AND(D174&gt;0,AA174&gt;0),MIN(D174,AA174),"-")</f>
        <v>-</v>
      </c>
      <c r="AY174" s="59" t="str">
        <f>IF(AND(E174&gt;0,AB174&gt;0),MIN(E174,AB174),"-")</f>
        <v>-</v>
      </c>
      <c r="AZ174" s="59" t="str">
        <f>IF(AND(F174&gt;0,AC174&gt;0),MIN(F174,AC174),"-")</f>
        <v>-</v>
      </c>
      <c r="BA174" s="59" t="str">
        <f>IF(AND(G174&gt;0,AD174&gt;0),MIN(G174,AD174),"-")</f>
        <v>-</v>
      </c>
      <c r="BB174" s="59" t="str">
        <f>IF(AND(H174&gt;0,AE174&gt;0),MIN(H174,AE174),"-")</f>
        <v>-</v>
      </c>
      <c r="BC174" s="59" t="str">
        <f>IF(AND(I174&gt;0,AF174&gt;0),MIN(I174,AF174),"-")</f>
        <v>-</v>
      </c>
      <c r="BD174" s="59" t="str">
        <f>IF(AND(J174&gt;0,AG174&gt;0),MIN(J174,AG174),"-")</f>
        <v>-</v>
      </c>
      <c r="BE174" s="59" t="str">
        <f>IF(AND(K174&gt;0,AH174&gt;0),MIN(K174,AH174),"-")</f>
        <v>-</v>
      </c>
      <c r="BF174" s="59" t="str">
        <f>IF(AND(L174&gt;0,AI174&gt;0),MIN(L174,AI174),"-")</f>
        <v>-</v>
      </c>
      <c r="BG174" s="59" t="str">
        <f t="shared" si="39"/>
        <v>-</v>
      </c>
      <c r="BH174" s="59" t="str">
        <f>IF(AND(N174&gt;0,AK174&gt;0),MIN(N174,AK174),"-")</f>
        <v>-</v>
      </c>
      <c r="BI174" s="59" t="str">
        <f>IF(AND(O174&gt;0,AL174&gt;0),MIN(O174,AL174),"-")</f>
        <v>-</v>
      </c>
      <c r="BJ174" s="59" t="str">
        <f>IF(AND(P174&gt;0,AM174&gt;0),MIN(P174,AM174),"-")</f>
        <v>-</v>
      </c>
      <c r="BK174" s="59" t="str">
        <f>IF(AND(Q174&gt;0,AN174&gt;0),MIN(Q174,AN174),"-")</f>
        <v>-</v>
      </c>
      <c r="BL174" s="59" t="str">
        <f>IF(AND(R174&gt;0,AO174&gt;0),MIN(R174,AO174),"-")</f>
        <v>-</v>
      </c>
      <c r="BM174" s="59" t="str">
        <f>IF(AND(S174&gt;0,AP174&gt;0),MIN(S174,AP174),"-")</f>
        <v>-</v>
      </c>
      <c r="BN174" s="59" t="str">
        <f>IF(AND(T174&gt;0,AQ174&gt;0),MIN(T174,AQ174),"-")</f>
        <v>-</v>
      </c>
      <c r="BO174" s="59" t="str">
        <f>IF(AND(U174&gt;0,AR174&gt;0),MIN(U174,AR174),"-")</f>
        <v>-</v>
      </c>
      <c r="BP174" s="59" t="str">
        <f>IF(AND(V174&gt;0,AS174&gt;0),MIN(V174,AS174),"-")</f>
        <v>-</v>
      </c>
      <c r="BQ174" s="59" t="str">
        <f t="shared" si="40"/>
        <v>-</v>
      </c>
      <c r="BR174" s="59" t="str">
        <f t="shared" si="41"/>
        <v>-</v>
      </c>
      <c r="BS174" s="59" t="str">
        <f t="shared" si="42"/>
        <v>-</v>
      </c>
      <c r="BT174" s="98" t="str">
        <f>IF(ISNUMBER(BS174),BS174-(C174*Rules!$P$9/100),"-")</f>
        <v>-</v>
      </c>
      <c r="BU174" s="59" t="e">
        <f>RANK($BT174,$BT$5:$BT$106,1)+COUNTIF(BT$5:BT174,BT174)-1</f>
        <v>#VALUE!</v>
      </c>
      <c r="BV174" s="59" t="e">
        <f t="shared" si="43"/>
        <v>#VALUE!</v>
      </c>
      <c r="BW174" s="59" t="str">
        <f t="shared" si="44"/>
        <v xml:space="preserve"> </v>
      </c>
      <c r="BX174" s="59">
        <f t="shared" si="44"/>
        <v>0</v>
      </c>
      <c r="BY174" s="59" t="str">
        <f t="shared" si="45"/>
        <v>-</v>
      </c>
      <c r="CD174" s="79"/>
      <c r="CE174" s="80"/>
      <c r="CF174" s="104"/>
      <c r="CL174" s="77">
        <v>1</v>
      </c>
    </row>
    <row r="175" spans="1:90" ht="17.45" customHeight="1">
      <c r="A175" s="58">
        <v>171</v>
      </c>
      <c r="B175" s="59" t="str">
        <f>'C Div'!A175 &amp; " " &amp; 'C Div'!B175</f>
        <v xml:space="preserve"> </v>
      </c>
      <c r="C175" s="59">
        <f>'C Div'!E175</f>
        <v>0</v>
      </c>
      <c r="D175" s="60"/>
      <c r="E175" s="60"/>
      <c r="F175" s="60"/>
      <c r="G175" s="60"/>
      <c r="H175" s="60"/>
      <c r="I175" s="60"/>
      <c r="J175" s="60"/>
      <c r="K175" s="60"/>
      <c r="L175" s="60"/>
      <c r="M175" s="74" t="str">
        <f t="shared" si="31"/>
        <v>-</v>
      </c>
      <c r="N175" s="60"/>
      <c r="O175" s="60"/>
      <c r="P175" s="60"/>
      <c r="Q175" s="60"/>
      <c r="R175" s="60"/>
      <c r="S175" s="60"/>
      <c r="T175" s="60"/>
      <c r="U175" s="60"/>
      <c r="V175" s="60"/>
      <c r="W175" s="74" t="str">
        <f t="shared" si="32"/>
        <v>-</v>
      </c>
      <c r="X175" s="155" t="str">
        <f t="shared" si="33"/>
        <v>-</v>
      </c>
      <c r="Y175" s="156" t="str">
        <f t="shared" si="34"/>
        <v>-</v>
      </c>
      <c r="AA175" s="60"/>
      <c r="AB175" s="60"/>
      <c r="AC175" s="60"/>
      <c r="AD175" s="60"/>
      <c r="AE175" s="60"/>
      <c r="AF175" s="60"/>
      <c r="AG175" s="60"/>
      <c r="AH175" s="60"/>
      <c r="AI175" s="60"/>
      <c r="AJ175" s="74" t="str">
        <f t="shared" si="35"/>
        <v>-</v>
      </c>
      <c r="AK175" s="60"/>
      <c r="AL175" s="60"/>
      <c r="AM175" s="60"/>
      <c r="AN175" s="60"/>
      <c r="AO175" s="60"/>
      <c r="AP175" s="60"/>
      <c r="AQ175" s="60"/>
      <c r="AR175" s="60"/>
      <c r="AS175" s="60"/>
      <c r="AT175" s="74" t="str">
        <f t="shared" si="36"/>
        <v>-</v>
      </c>
      <c r="AU175" s="155" t="str">
        <f t="shared" si="37"/>
        <v>-</v>
      </c>
      <c r="AV175" s="156" t="str">
        <f t="shared" si="38"/>
        <v>-</v>
      </c>
      <c r="AX175" s="59" t="str">
        <f>IF(AND(D175&gt;0,AA175&gt;0),MIN(D175,AA175),"-")</f>
        <v>-</v>
      </c>
      <c r="AY175" s="59" t="str">
        <f>IF(AND(E175&gt;0,AB175&gt;0),MIN(E175,AB175),"-")</f>
        <v>-</v>
      </c>
      <c r="AZ175" s="59" t="str">
        <f>IF(AND(F175&gt;0,AC175&gt;0),MIN(F175,AC175),"-")</f>
        <v>-</v>
      </c>
      <c r="BA175" s="59" t="str">
        <f>IF(AND(G175&gt;0,AD175&gt;0),MIN(G175,AD175),"-")</f>
        <v>-</v>
      </c>
      <c r="BB175" s="59" t="str">
        <f>IF(AND(H175&gt;0,AE175&gt;0),MIN(H175,AE175),"-")</f>
        <v>-</v>
      </c>
      <c r="BC175" s="59" t="str">
        <f>IF(AND(I175&gt;0,AF175&gt;0),MIN(I175,AF175),"-")</f>
        <v>-</v>
      </c>
      <c r="BD175" s="59" t="str">
        <f>IF(AND(J175&gt;0,AG175&gt;0),MIN(J175,AG175),"-")</f>
        <v>-</v>
      </c>
      <c r="BE175" s="59" t="str">
        <f>IF(AND(K175&gt;0,AH175&gt;0),MIN(K175,AH175),"-")</f>
        <v>-</v>
      </c>
      <c r="BF175" s="59" t="str">
        <f>IF(AND(L175&gt;0,AI175&gt;0),MIN(L175,AI175),"-")</f>
        <v>-</v>
      </c>
      <c r="BG175" s="59" t="str">
        <f t="shared" si="39"/>
        <v>-</v>
      </c>
      <c r="BH175" s="59" t="str">
        <f>IF(AND(N175&gt;0,AK175&gt;0),MIN(N175,AK175),"-")</f>
        <v>-</v>
      </c>
      <c r="BI175" s="59" t="str">
        <f>IF(AND(O175&gt;0,AL175&gt;0),MIN(O175,AL175),"-")</f>
        <v>-</v>
      </c>
      <c r="BJ175" s="59" t="str">
        <f>IF(AND(P175&gt;0,AM175&gt;0),MIN(P175,AM175),"-")</f>
        <v>-</v>
      </c>
      <c r="BK175" s="59" t="str">
        <f>IF(AND(Q175&gt;0,AN175&gt;0),MIN(Q175,AN175),"-")</f>
        <v>-</v>
      </c>
      <c r="BL175" s="59" t="str">
        <f>IF(AND(R175&gt;0,AO175&gt;0),MIN(R175,AO175),"-")</f>
        <v>-</v>
      </c>
      <c r="BM175" s="59" t="str">
        <f>IF(AND(S175&gt;0,AP175&gt;0),MIN(S175,AP175),"-")</f>
        <v>-</v>
      </c>
      <c r="BN175" s="59" t="str">
        <f>IF(AND(T175&gt;0,AQ175&gt;0),MIN(T175,AQ175),"-")</f>
        <v>-</v>
      </c>
      <c r="BO175" s="59" t="str">
        <f>IF(AND(U175&gt;0,AR175&gt;0),MIN(U175,AR175),"-")</f>
        <v>-</v>
      </c>
      <c r="BP175" s="59" t="str">
        <f>IF(AND(V175&gt;0,AS175&gt;0),MIN(V175,AS175),"-")</f>
        <v>-</v>
      </c>
      <c r="BQ175" s="59" t="str">
        <f t="shared" si="40"/>
        <v>-</v>
      </c>
      <c r="BR175" s="59" t="str">
        <f t="shared" si="41"/>
        <v>-</v>
      </c>
      <c r="BS175" s="59" t="str">
        <f t="shared" si="42"/>
        <v>-</v>
      </c>
      <c r="BT175" s="98" t="str">
        <f>IF(ISNUMBER(BS175),BS175-(C175*Rules!$P$9/100),"-")</f>
        <v>-</v>
      </c>
      <c r="BU175" s="59" t="e">
        <f>RANK($BT175,$BT$5:$BT$106,1)+COUNTIF(BT$5:BT175,BT175)-1</f>
        <v>#VALUE!</v>
      </c>
      <c r="BV175" s="59" t="e">
        <f t="shared" si="43"/>
        <v>#VALUE!</v>
      </c>
      <c r="BW175" s="59" t="str">
        <f t="shared" si="44"/>
        <v xml:space="preserve"> </v>
      </c>
      <c r="BX175" s="59">
        <f t="shared" si="44"/>
        <v>0</v>
      </c>
      <c r="BY175" s="59" t="str">
        <f t="shared" si="45"/>
        <v>-</v>
      </c>
      <c r="CD175" s="79"/>
      <c r="CE175" s="80"/>
      <c r="CF175" s="104"/>
      <c r="CL175" s="77">
        <v>1</v>
      </c>
    </row>
    <row r="176" spans="1:90" ht="17.45" customHeight="1">
      <c r="A176" s="58">
        <v>172</v>
      </c>
      <c r="B176" s="59" t="str">
        <f>'C Div'!A176 &amp; " " &amp; 'C Div'!B176</f>
        <v xml:space="preserve"> </v>
      </c>
      <c r="C176" s="59">
        <f>'C Div'!E176</f>
        <v>0</v>
      </c>
      <c r="D176" s="60"/>
      <c r="E176" s="60"/>
      <c r="F176" s="60"/>
      <c r="G176" s="60"/>
      <c r="H176" s="60"/>
      <c r="I176" s="60"/>
      <c r="J176" s="60"/>
      <c r="K176" s="60"/>
      <c r="L176" s="60"/>
      <c r="M176" s="74" t="str">
        <f t="shared" si="31"/>
        <v>-</v>
      </c>
      <c r="N176" s="60"/>
      <c r="O176" s="60"/>
      <c r="P176" s="60"/>
      <c r="Q176" s="60"/>
      <c r="R176" s="60"/>
      <c r="S176" s="60"/>
      <c r="T176" s="60"/>
      <c r="U176" s="60"/>
      <c r="V176" s="60"/>
      <c r="W176" s="74" t="str">
        <f t="shared" si="32"/>
        <v>-</v>
      </c>
      <c r="X176" s="155" t="str">
        <f t="shared" si="33"/>
        <v>-</v>
      </c>
      <c r="Y176" s="156" t="str">
        <f t="shared" si="34"/>
        <v>-</v>
      </c>
      <c r="AA176" s="60"/>
      <c r="AB176" s="60"/>
      <c r="AC176" s="60"/>
      <c r="AD176" s="60"/>
      <c r="AE176" s="60"/>
      <c r="AF176" s="60"/>
      <c r="AG176" s="60"/>
      <c r="AH176" s="60"/>
      <c r="AI176" s="60"/>
      <c r="AJ176" s="74" t="str">
        <f t="shared" si="35"/>
        <v>-</v>
      </c>
      <c r="AK176" s="60"/>
      <c r="AL176" s="60"/>
      <c r="AM176" s="60"/>
      <c r="AN176" s="60"/>
      <c r="AO176" s="60"/>
      <c r="AP176" s="60"/>
      <c r="AQ176" s="60"/>
      <c r="AR176" s="60"/>
      <c r="AS176" s="60"/>
      <c r="AT176" s="74" t="str">
        <f t="shared" si="36"/>
        <v>-</v>
      </c>
      <c r="AU176" s="155" t="str">
        <f t="shared" si="37"/>
        <v>-</v>
      </c>
      <c r="AV176" s="156" t="str">
        <f t="shared" si="38"/>
        <v>-</v>
      </c>
      <c r="AX176" s="59" t="str">
        <f>IF(AND(D176&gt;0,AA176&gt;0),MIN(D176,AA176),"-")</f>
        <v>-</v>
      </c>
      <c r="AY176" s="59" t="str">
        <f>IF(AND(E176&gt;0,AB176&gt;0),MIN(E176,AB176),"-")</f>
        <v>-</v>
      </c>
      <c r="AZ176" s="59" t="str">
        <f>IF(AND(F176&gt;0,AC176&gt;0),MIN(F176,AC176),"-")</f>
        <v>-</v>
      </c>
      <c r="BA176" s="59" t="str">
        <f>IF(AND(G176&gt;0,AD176&gt;0),MIN(G176,AD176),"-")</f>
        <v>-</v>
      </c>
      <c r="BB176" s="59" t="str">
        <f>IF(AND(H176&gt;0,AE176&gt;0),MIN(H176,AE176),"-")</f>
        <v>-</v>
      </c>
      <c r="BC176" s="59" t="str">
        <f>IF(AND(I176&gt;0,AF176&gt;0),MIN(I176,AF176),"-")</f>
        <v>-</v>
      </c>
      <c r="BD176" s="59" t="str">
        <f>IF(AND(J176&gt;0,AG176&gt;0),MIN(J176,AG176),"-")</f>
        <v>-</v>
      </c>
      <c r="BE176" s="59" t="str">
        <f>IF(AND(K176&gt;0,AH176&gt;0),MIN(K176,AH176),"-")</f>
        <v>-</v>
      </c>
      <c r="BF176" s="59" t="str">
        <f>IF(AND(L176&gt;0,AI176&gt;0),MIN(L176,AI176),"-")</f>
        <v>-</v>
      </c>
      <c r="BG176" s="59" t="str">
        <f t="shared" si="39"/>
        <v>-</v>
      </c>
      <c r="BH176" s="59" t="str">
        <f>IF(AND(N176&gt;0,AK176&gt;0),MIN(N176,AK176),"-")</f>
        <v>-</v>
      </c>
      <c r="BI176" s="59" t="str">
        <f>IF(AND(O176&gt;0,AL176&gt;0),MIN(O176,AL176),"-")</f>
        <v>-</v>
      </c>
      <c r="BJ176" s="59" t="str">
        <f>IF(AND(P176&gt;0,AM176&gt;0),MIN(P176,AM176),"-")</f>
        <v>-</v>
      </c>
      <c r="BK176" s="59" t="str">
        <f>IF(AND(Q176&gt;0,AN176&gt;0),MIN(Q176,AN176),"-")</f>
        <v>-</v>
      </c>
      <c r="BL176" s="59" t="str">
        <f>IF(AND(R176&gt;0,AO176&gt;0),MIN(R176,AO176),"-")</f>
        <v>-</v>
      </c>
      <c r="BM176" s="59" t="str">
        <f>IF(AND(S176&gt;0,AP176&gt;0),MIN(S176,AP176),"-")</f>
        <v>-</v>
      </c>
      <c r="BN176" s="59" t="str">
        <f>IF(AND(T176&gt;0,AQ176&gt;0),MIN(T176,AQ176),"-")</f>
        <v>-</v>
      </c>
      <c r="BO176" s="59" t="str">
        <f>IF(AND(U176&gt;0,AR176&gt;0),MIN(U176,AR176),"-")</f>
        <v>-</v>
      </c>
      <c r="BP176" s="59" t="str">
        <f>IF(AND(V176&gt;0,AS176&gt;0),MIN(V176,AS176),"-")</f>
        <v>-</v>
      </c>
      <c r="BQ176" s="59" t="str">
        <f t="shared" si="40"/>
        <v>-</v>
      </c>
      <c r="BR176" s="59" t="str">
        <f t="shared" si="41"/>
        <v>-</v>
      </c>
      <c r="BS176" s="59" t="str">
        <f t="shared" si="42"/>
        <v>-</v>
      </c>
      <c r="BT176" s="98" t="str">
        <f>IF(ISNUMBER(BS176),BS176-(C176*Rules!$P$9/100),"-")</f>
        <v>-</v>
      </c>
      <c r="BU176" s="59" t="e">
        <f>RANK($BT176,$BT$5:$BT$106,1)+COUNTIF(BT$5:BT176,BT176)-1</f>
        <v>#VALUE!</v>
      </c>
      <c r="BV176" s="59" t="e">
        <f t="shared" si="43"/>
        <v>#VALUE!</v>
      </c>
      <c r="BW176" s="59" t="str">
        <f t="shared" si="44"/>
        <v xml:space="preserve"> </v>
      </c>
      <c r="BX176" s="59">
        <f t="shared" si="44"/>
        <v>0</v>
      </c>
      <c r="BY176" s="59" t="str">
        <f t="shared" si="45"/>
        <v>-</v>
      </c>
      <c r="CD176" s="79"/>
      <c r="CE176" s="80"/>
      <c r="CF176" s="104"/>
      <c r="CL176" s="77">
        <v>1</v>
      </c>
    </row>
    <row r="177" spans="1:90" ht="17.45" customHeight="1">
      <c r="A177" s="58">
        <v>173</v>
      </c>
      <c r="B177" s="59" t="str">
        <f>'C Div'!A177 &amp; " " &amp; 'C Div'!B177</f>
        <v xml:space="preserve"> </v>
      </c>
      <c r="C177" s="59">
        <f>'C Div'!E177</f>
        <v>0</v>
      </c>
      <c r="D177" s="60"/>
      <c r="E177" s="60"/>
      <c r="F177" s="60"/>
      <c r="G177" s="60"/>
      <c r="H177" s="60"/>
      <c r="I177" s="60"/>
      <c r="J177" s="60"/>
      <c r="K177" s="60"/>
      <c r="L177" s="60"/>
      <c r="M177" s="74" t="str">
        <f t="shared" si="31"/>
        <v>-</v>
      </c>
      <c r="N177" s="60"/>
      <c r="O177" s="60"/>
      <c r="P177" s="60"/>
      <c r="Q177" s="60"/>
      <c r="R177" s="60"/>
      <c r="S177" s="60"/>
      <c r="T177" s="60"/>
      <c r="U177" s="60"/>
      <c r="V177" s="60"/>
      <c r="W177" s="74" t="str">
        <f t="shared" si="32"/>
        <v>-</v>
      </c>
      <c r="X177" s="155" t="str">
        <f t="shared" si="33"/>
        <v>-</v>
      </c>
      <c r="Y177" s="156" t="str">
        <f t="shared" si="34"/>
        <v>-</v>
      </c>
      <c r="AA177" s="60"/>
      <c r="AB177" s="60"/>
      <c r="AC177" s="60"/>
      <c r="AD177" s="60"/>
      <c r="AE177" s="60"/>
      <c r="AF177" s="60"/>
      <c r="AG177" s="60"/>
      <c r="AH177" s="60"/>
      <c r="AI177" s="60"/>
      <c r="AJ177" s="74" t="str">
        <f t="shared" si="35"/>
        <v>-</v>
      </c>
      <c r="AK177" s="60"/>
      <c r="AL177" s="60"/>
      <c r="AM177" s="60"/>
      <c r="AN177" s="60"/>
      <c r="AO177" s="60"/>
      <c r="AP177" s="60"/>
      <c r="AQ177" s="60"/>
      <c r="AR177" s="60"/>
      <c r="AS177" s="60"/>
      <c r="AT177" s="74" t="str">
        <f t="shared" si="36"/>
        <v>-</v>
      </c>
      <c r="AU177" s="155" t="str">
        <f t="shared" si="37"/>
        <v>-</v>
      </c>
      <c r="AV177" s="156" t="str">
        <f t="shared" si="38"/>
        <v>-</v>
      </c>
      <c r="AX177" s="59" t="str">
        <f>IF(AND(D177&gt;0,AA177&gt;0),MIN(D177,AA177),"-")</f>
        <v>-</v>
      </c>
      <c r="AY177" s="59" t="str">
        <f>IF(AND(E177&gt;0,AB177&gt;0),MIN(E177,AB177),"-")</f>
        <v>-</v>
      </c>
      <c r="AZ177" s="59" t="str">
        <f>IF(AND(F177&gt;0,AC177&gt;0),MIN(F177,AC177),"-")</f>
        <v>-</v>
      </c>
      <c r="BA177" s="59" t="str">
        <f>IF(AND(G177&gt;0,AD177&gt;0),MIN(G177,AD177),"-")</f>
        <v>-</v>
      </c>
      <c r="BB177" s="59" t="str">
        <f>IF(AND(H177&gt;0,AE177&gt;0),MIN(H177,AE177),"-")</f>
        <v>-</v>
      </c>
      <c r="BC177" s="59" t="str">
        <f>IF(AND(I177&gt;0,AF177&gt;0),MIN(I177,AF177),"-")</f>
        <v>-</v>
      </c>
      <c r="BD177" s="59" t="str">
        <f>IF(AND(J177&gt;0,AG177&gt;0),MIN(J177,AG177),"-")</f>
        <v>-</v>
      </c>
      <c r="BE177" s="59" t="str">
        <f>IF(AND(K177&gt;0,AH177&gt;0),MIN(K177,AH177),"-")</f>
        <v>-</v>
      </c>
      <c r="BF177" s="59" t="str">
        <f>IF(AND(L177&gt;0,AI177&gt;0),MIN(L177,AI177),"-")</f>
        <v>-</v>
      </c>
      <c r="BG177" s="59" t="str">
        <f t="shared" si="39"/>
        <v>-</v>
      </c>
      <c r="BH177" s="59" t="str">
        <f>IF(AND(N177&gt;0,AK177&gt;0),MIN(N177,AK177),"-")</f>
        <v>-</v>
      </c>
      <c r="BI177" s="59" t="str">
        <f>IF(AND(O177&gt;0,AL177&gt;0),MIN(O177,AL177),"-")</f>
        <v>-</v>
      </c>
      <c r="BJ177" s="59" t="str">
        <f>IF(AND(P177&gt;0,AM177&gt;0),MIN(P177,AM177),"-")</f>
        <v>-</v>
      </c>
      <c r="BK177" s="59" t="str">
        <f>IF(AND(Q177&gt;0,AN177&gt;0),MIN(Q177,AN177),"-")</f>
        <v>-</v>
      </c>
      <c r="BL177" s="59" t="str">
        <f>IF(AND(R177&gt;0,AO177&gt;0),MIN(R177,AO177),"-")</f>
        <v>-</v>
      </c>
      <c r="BM177" s="59" t="str">
        <f>IF(AND(S177&gt;0,AP177&gt;0),MIN(S177,AP177),"-")</f>
        <v>-</v>
      </c>
      <c r="BN177" s="59" t="str">
        <f>IF(AND(T177&gt;0,AQ177&gt;0),MIN(T177,AQ177),"-")</f>
        <v>-</v>
      </c>
      <c r="BO177" s="59" t="str">
        <f>IF(AND(U177&gt;0,AR177&gt;0),MIN(U177,AR177),"-")</f>
        <v>-</v>
      </c>
      <c r="BP177" s="59" t="str">
        <f>IF(AND(V177&gt;0,AS177&gt;0),MIN(V177,AS177),"-")</f>
        <v>-</v>
      </c>
      <c r="BQ177" s="59" t="str">
        <f t="shared" si="40"/>
        <v>-</v>
      </c>
      <c r="BR177" s="59" t="str">
        <f t="shared" si="41"/>
        <v>-</v>
      </c>
      <c r="BS177" s="59" t="str">
        <f t="shared" si="42"/>
        <v>-</v>
      </c>
      <c r="BT177" s="98" t="str">
        <f>IF(ISNUMBER(BS177),BS177-(C177*Rules!$P$9/100),"-")</f>
        <v>-</v>
      </c>
      <c r="BU177" s="59" t="e">
        <f>RANK($BT177,$BT$5:$BT$106,1)+COUNTIF(BT$5:BT177,BT177)-1</f>
        <v>#VALUE!</v>
      </c>
      <c r="BV177" s="59" t="e">
        <f t="shared" si="43"/>
        <v>#VALUE!</v>
      </c>
      <c r="BW177" s="59" t="str">
        <f t="shared" si="44"/>
        <v xml:space="preserve"> </v>
      </c>
      <c r="BX177" s="59">
        <f t="shared" si="44"/>
        <v>0</v>
      </c>
      <c r="BY177" s="59" t="str">
        <f t="shared" si="45"/>
        <v>-</v>
      </c>
      <c r="CD177" s="79"/>
      <c r="CE177" s="80"/>
      <c r="CF177" s="104"/>
      <c r="CL177" s="77">
        <v>1</v>
      </c>
    </row>
    <row r="178" spans="1:90" ht="17.45" customHeight="1">
      <c r="A178" s="58">
        <v>174</v>
      </c>
      <c r="B178" s="59" t="str">
        <f>'C Div'!A178 &amp; " " &amp; 'C Div'!B178</f>
        <v xml:space="preserve"> </v>
      </c>
      <c r="C178" s="59">
        <f>'C Div'!E178</f>
        <v>0</v>
      </c>
      <c r="D178" s="60"/>
      <c r="E178" s="60"/>
      <c r="F178" s="60"/>
      <c r="G178" s="60"/>
      <c r="H178" s="60"/>
      <c r="I178" s="60"/>
      <c r="J178" s="60"/>
      <c r="K178" s="60"/>
      <c r="L178" s="60"/>
      <c r="M178" s="74" t="str">
        <f t="shared" si="31"/>
        <v>-</v>
      </c>
      <c r="N178" s="60"/>
      <c r="O178" s="60"/>
      <c r="P178" s="60"/>
      <c r="Q178" s="60"/>
      <c r="R178" s="60"/>
      <c r="S178" s="60"/>
      <c r="T178" s="60"/>
      <c r="U178" s="60"/>
      <c r="V178" s="60"/>
      <c r="W178" s="74" t="str">
        <f t="shared" si="32"/>
        <v>-</v>
      </c>
      <c r="X178" s="155" t="str">
        <f t="shared" si="33"/>
        <v>-</v>
      </c>
      <c r="Y178" s="156" t="str">
        <f t="shared" si="34"/>
        <v>-</v>
      </c>
      <c r="AA178" s="60"/>
      <c r="AB178" s="60"/>
      <c r="AC178" s="60"/>
      <c r="AD178" s="60"/>
      <c r="AE178" s="60"/>
      <c r="AF178" s="60"/>
      <c r="AG178" s="60"/>
      <c r="AH178" s="60"/>
      <c r="AI178" s="60"/>
      <c r="AJ178" s="74" t="str">
        <f t="shared" si="35"/>
        <v>-</v>
      </c>
      <c r="AK178" s="60"/>
      <c r="AL178" s="60"/>
      <c r="AM178" s="60"/>
      <c r="AN178" s="60"/>
      <c r="AO178" s="60"/>
      <c r="AP178" s="60"/>
      <c r="AQ178" s="60"/>
      <c r="AR178" s="60"/>
      <c r="AS178" s="60"/>
      <c r="AT178" s="74" t="str">
        <f t="shared" si="36"/>
        <v>-</v>
      </c>
      <c r="AU178" s="155" t="str">
        <f t="shared" si="37"/>
        <v>-</v>
      </c>
      <c r="AV178" s="156" t="str">
        <f t="shared" si="38"/>
        <v>-</v>
      </c>
      <c r="AX178" s="59" t="str">
        <f>IF(AND(D178&gt;0,AA178&gt;0),MIN(D178,AA178),"-")</f>
        <v>-</v>
      </c>
      <c r="AY178" s="59" t="str">
        <f>IF(AND(E178&gt;0,AB178&gt;0),MIN(E178,AB178),"-")</f>
        <v>-</v>
      </c>
      <c r="AZ178" s="59" t="str">
        <f>IF(AND(F178&gt;0,AC178&gt;0),MIN(F178,AC178),"-")</f>
        <v>-</v>
      </c>
      <c r="BA178" s="59" t="str">
        <f>IF(AND(G178&gt;0,AD178&gt;0),MIN(G178,AD178),"-")</f>
        <v>-</v>
      </c>
      <c r="BB178" s="59" t="str">
        <f>IF(AND(H178&gt;0,AE178&gt;0),MIN(H178,AE178),"-")</f>
        <v>-</v>
      </c>
      <c r="BC178" s="59" t="str">
        <f>IF(AND(I178&gt;0,AF178&gt;0),MIN(I178,AF178),"-")</f>
        <v>-</v>
      </c>
      <c r="BD178" s="59" t="str">
        <f>IF(AND(J178&gt;0,AG178&gt;0),MIN(J178,AG178),"-")</f>
        <v>-</v>
      </c>
      <c r="BE178" s="59" t="str">
        <f>IF(AND(K178&gt;0,AH178&gt;0),MIN(K178,AH178),"-")</f>
        <v>-</v>
      </c>
      <c r="BF178" s="59" t="str">
        <f>IF(AND(L178&gt;0,AI178&gt;0),MIN(L178,AI178),"-")</f>
        <v>-</v>
      </c>
      <c r="BG178" s="59" t="str">
        <f t="shared" si="39"/>
        <v>-</v>
      </c>
      <c r="BH178" s="59" t="str">
        <f>IF(AND(N178&gt;0,AK178&gt;0),MIN(N178,AK178),"-")</f>
        <v>-</v>
      </c>
      <c r="BI178" s="59" t="str">
        <f>IF(AND(O178&gt;0,AL178&gt;0),MIN(O178,AL178),"-")</f>
        <v>-</v>
      </c>
      <c r="BJ178" s="59" t="str">
        <f>IF(AND(P178&gt;0,AM178&gt;0),MIN(P178,AM178),"-")</f>
        <v>-</v>
      </c>
      <c r="BK178" s="59" t="str">
        <f>IF(AND(Q178&gt;0,AN178&gt;0),MIN(Q178,AN178),"-")</f>
        <v>-</v>
      </c>
      <c r="BL178" s="59" t="str">
        <f>IF(AND(R178&gt;0,AO178&gt;0),MIN(R178,AO178),"-")</f>
        <v>-</v>
      </c>
      <c r="BM178" s="59" t="str">
        <f>IF(AND(S178&gt;0,AP178&gt;0),MIN(S178,AP178),"-")</f>
        <v>-</v>
      </c>
      <c r="BN178" s="59" t="str">
        <f>IF(AND(T178&gt;0,AQ178&gt;0),MIN(T178,AQ178),"-")</f>
        <v>-</v>
      </c>
      <c r="BO178" s="59" t="str">
        <f>IF(AND(U178&gt;0,AR178&gt;0),MIN(U178,AR178),"-")</f>
        <v>-</v>
      </c>
      <c r="BP178" s="59" t="str">
        <f>IF(AND(V178&gt;0,AS178&gt;0),MIN(V178,AS178),"-")</f>
        <v>-</v>
      </c>
      <c r="BQ178" s="59" t="str">
        <f t="shared" si="40"/>
        <v>-</v>
      </c>
      <c r="BR178" s="59" t="str">
        <f t="shared" si="41"/>
        <v>-</v>
      </c>
      <c r="BS178" s="59" t="str">
        <f t="shared" si="42"/>
        <v>-</v>
      </c>
      <c r="BT178" s="98" t="str">
        <f>IF(ISNUMBER(BS178),BS178-(C178*Rules!$P$9/100),"-")</f>
        <v>-</v>
      </c>
      <c r="BU178" s="59" t="e">
        <f>RANK($BT178,$BT$5:$BT$106,1)+COUNTIF(BT$5:BT178,BT178)-1</f>
        <v>#VALUE!</v>
      </c>
      <c r="BV178" s="59" t="e">
        <f t="shared" si="43"/>
        <v>#VALUE!</v>
      </c>
      <c r="BW178" s="59" t="str">
        <f t="shared" si="44"/>
        <v xml:space="preserve"> </v>
      </c>
      <c r="BX178" s="59">
        <f t="shared" si="44"/>
        <v>0</v>
      </c>
      <c r="BY178" s="59" t="str">
        <f t="shared" si="45"/>
        <v>-</v>
      </c>
      <c r="CD178" s="79"/>
      <c r="CE178" s="80"/>
      <c r="CF178" s="104"/>
      <c r="CL178" s="77">
        <v>1</v>
      </c>
    </row>
    <row r="179" spans="1:90" ht="17.45" customHeight="1">
      <c r="A179" s="58">
        <v>175</v>
      </c>
      <c r="B179" s="59" t="str">
        <f>'C Div'!A179 &amp; " " &amp; 'C Div'!B179</f>
        <v xml:space="preserve"> </v>
      </c>
      <c r="C179" s="59">
        <f>'C Div'!E179</f>
        <v>0</v>
      </c>
      <c r="D179" s="60"/>
      <c r="E179" s="60"/>
      <c r="F179" s="60"/>
      <c r="G179" s="60"/>
      <c r="H179" s="60"/>
      <c r="I179" s="60"/>
      <c r="J179" s="60"/>
      <c r="K179" s="60"/>
      <c r="L179" s="60"/>
      <c r="M179" s="74" t="str">
        <f t="shared" si="31"/>
        <v>-</v>
      </c>
      <c r="N179" s="60"/>
      <c r="O179" s="60"/>
      <c r="P179" s="60"/>
      <c r="Q179" s="60"/>
      <c r="R179" s="60"/>
      <c r="S179" s="60"/>
      <c r="T179" s="60"/>
      <c r="U179" s="60"/>
      <c r="V179" s="60"/>
      <c r="W179" s="74" t="str">
        <f t="shared" si="32"/>
        <v>-</v>
      </c>
      <c r="X179" s="155" t="str">
        <f t="shared" si="33"/>
        <v>-</v>
      </c>
      <c r="Y179" s="156" t="str">
        <f t="shared" si="34"/>
        <v>-</v>
      </c>
      <c r="AA179" s="60"/>
      <c r="AB179" s="60"/>
      <c r="AC179" s="60"/>
      <c r="AD179" s="60"/>
      <c r="AE179" s="60"/>
      <c r="AF179" s="60"/>
      <c r="AG179" s="60"/>
      <c r="AH179" s="60"/>
      <c r="AI179" s="60"/>
      <c r="AJ179" s="74" t="str">
        <f t="shared" si="35"/>
        <v>-</v>
      </c>
      <c r="AK179" s="60"/>
      <c r="AL179" s="60"/>
      <c r="AM179" s="60"/>
      <c r="AN179" s="60"/>
      <c r="AO179" s="60"/>
      <c r="AP179" s="60"/>
      <c r="AQ179" s="60"/>
      <c r="AR179" s="60"/>
      <c r="AS179" s="60"/>
      <c r="AT179" s="74" t="str">
        <f t="shared" si="36"/>
        <v>-</v>
      </c>
      <c r="AU179" s="155" t="str">
        <f t="shared" si="37"/>
        <v>-</v>
      </c>
      <c r="AV179" s="156" t="str">
        <f t="shared" si="38"/>
        <v>-</v>
      </c>
      <c r="AX179" s="59" t="str">
        <f>IF(AND(D179&gt;0,AA179&gt;0),MIN(D179,AA179),"-")</f>
        <v>-</v>
      </c>
      <c r="AY179" s="59" t="str">
        <f>IF(AND(E179&gt;0,AB179&gt;0),MIN(E179,AB179),"-")</f>
        <v>-</v>
      </c>
      <c r="AZ179" s="59" t="str">
        <f>IF(AND(F179&gt;0,AC179&gt;0),MIN(F179,AC179),"-")</f>
        <v>-</v>
      </c>
      <c r="BA179" s="59" t="str">
        <f>IF(AND(G179&gt;0,AD179&gt;0),MIN(G179,AD179),"-")</f>
        <v>-</v>
      </c>
      <c r="BB179" s="59" t="str">
        <f>IF(AND(H179&gt;0,AE179&gt;0),MIN(H179,AE179),"-")</f>
        <v>-</v>
      </c>
      <c r="BC179" s="59" t="str">
        <f>IF(AND(I179&gt;0,AF179&gt;0),MIN(I179,AF179),"-")</f>
        <v>-</v>
      </c>
      <c r="BD179" s="59" t="str">
        <f>IF(AND(J179&gt;0,AG179&gt;0),MIN(J179,AG179),"-")</f>
        <v>-</v>
      </c>
      <c r="BE179" s="59" t="str">
        <f>IF(AND(K179&gt;0,AH179&gt;0),MIN(K179,AH179),"-")</f>
        <v>-</v>
      </c>
      <c r="BF179" s="59" t="str">
        <f>IF(AND(L179&gt;0,AI179&gt;0),MIN(L179,AI179),"-")</f>
        <v>-</v>
      </c>
      <c r="BG179" s="59" t="str">
        <f t="shared" si="39"/>
        <v>-</v>
      </c>
      <c r="BH179" s="59" t="str">
        <f>IF(AND(N179&gt;0,AK179&gt;0),MIN(N179,AK179),"-")</f>
        <v>-</v>
      </c>
      <c r="BI179" s="59" t="str">
        <f>IF(AND(O179&gt;0,AL179&gt;0),MIN(O179,AL179),"-")</f>
        <v>-</v>
      </c>
      <c r="BJ179" s="59" t="str">
        <f>IF(AND(P179&gt;0,AM179&gt;0),MIN(P179,AM179),"-")</f>
        <v>-</v>
      </c>
      <c r="BK179" s="59" t="str">
        <f>IF(AND(Q179&gt;0,AN179&gt;0),MIN(Q179,AN179),"-")</f>
        <v>-</v>
      </c>
      <c r="BL179" s="59" t="str">
        <f>IF(AND(R179&gt;0,AO179&gt;0),MIN(R179,AO179),"-")</f>
        <v>-</v>
      </c>
      <c r="BM179" s="59" t="str">
        <f>IF(AND(S179&gt;0,AP179&gt;0),MIN(S179,AP179),"-")</f>
        <v>-</v>
      </c>
      <c r="BN179" s="59" t="str">
        <f>IF(AND(T179&gt;0,AQ179&gt;0),MIN(T179,AQ179),"-")</f>
        <v>-</v>
      </c>
      <c r="BO179" s="59" t="str">
        <f>IF(AND(U179&gt;0,AR179&gt;0),MIN(U179,AR179),"-")</f>
        <v>-</v>
      </c>
      <c r="BP179" s="59" t="str">
        <f>IF(AND(V179&gt;0,AS179&gt;0),MIN(V179,AS179),"-")</f>
        <v>-</v>
      </c>
      <c r="BQ179" s="59" t="str">
        <f t="shared" si="40"/>
        <v>-</v>
      </c>
      <c r="BR179" s="59" t="str">
        <f t="shared" si="41"/>
        <v>-</v>
      </c>
      <c r="BS179" s="59" t="str">
        <f t="shared" si="42"/>
        <v>-</v>
      </c>
      <c r="BT179" s="98" t="str">
        <f>IF(ISNUMBER(BS179),BS179-(C179*Rules!$P$9/100),"-")</f>
        <v>-</v>
      </c>
      <c r="BU179" s="59" t="e">
        <f>RANK($BT179,$BT$5:$BT$106,1)+COUNTIF(BT$5:BT179,BT179)-1</f>
        <v>#VALUE!</v>
      </c>
      <c r="BV179" s="59" t="e">
        <f t="shared" si="43"/>
        <v>#VALUE!</v>
      </c>
      <c r="BW179" s="59" t="str">
        <f t="shared" si="44"/>
        <v xml:space="preserve"> </v>
      </c>
      <c r="BX179" s="59">
        <f t="shared" si="44"/>
        <v>0</v>
      </c>
      <c r="BY179" s="59" t="str">
        <f t="shared" si="45"/>
        <v>-</v>
      </c>
      <c r="CD179" s="79"/>
      <c r="CE179" s="80"/>
      <c r="CF179" s="104"/>
      <c r="CL179" s="77">
        <v>1</v>
      </c>
    </row>
    <row r="180" spans="1:90" ht="17.45" customHeight="1">
      <c r="A180" s="58">
        <v>176</v>
      </c>
      <c r="B180" s="59" t="str">
        <f>'C Div'!A180 &amp; " " &amp; 'C Div'!B180</f>
        <v xml:space="preserve"> </v>
      </c>
      <c r="C180" s="59">
        <f>'C Div'!E180</f>
        <v>0</v>
      </c>
      <c r="D180" s="60"/>
      <c r="E180" s="60"/>
      <c r="F180" s="60"/>
      <c r="G180" s="60"/>
      <c r="H180" s="60"/>
      <c r="I180" s="60"/>
      <c r="J180" s="60"/>
      <c r="K180" s="60"/>
      <c r="L180" s="60"/>
      <c r="M180" s="74" t="str">
        <f t="shared" si="31"/>
        <v>-</v>
      </c>
      <c r="N180" s="60"/>
      <c r="O180" s="60"/>
      <c r="P180" s="60"/>
      <c r="Q180" s="60"/>
      <c r="R180" s="60"/>
      <c r="S180" s="60"/>
      <c r="T180" s="60"/>
      <c r="U180" s="60"/>
      <c r="V180" s="60"/>
      <c r="W180" s="74" t="str">
        <f t="shared" si="32"/>
        <v>-</v>
      </c>
      <c r="X180" s="155" t="str">
        <f t="shared" si="33"/>
        <v>-</v>
      </c>
      <c r="Y180" s="156" t="str">
        <f t="shared" si="34"/>
        <v>-</v>
      </c>
      <c r="AA180" s="60"/>
      <c r="AB180" s="60"/>
      <c r="AC180" s="60"/>
      <c r="AD180" s="60"/>
      <c r="AE180" s="60"/>
      <c r="AF180" s="60"/>
      <c r="AG180" s="60"/>
      <c r="AH180" s="60"/>
      <c r="AI180" s="60"/>
      <c r="AJ180" s="74" t="str">
        <f t="shared" si="35"/>
        <v>-</v>
      </c>
      <c r="AK180" s="60"/>
      <c r="AL180" s="60"/>
      <c r="AM180" s="60"/>
      <c r="AN180" s="60"/>
      <c r="AO180" s="60"/>
      <c r="AP180" s="60"/>
      <c r="AQ180" s="60"/>
      <c r="AR180" s="60"/>
      <c r="AS180" s="60"/>
      <c r="AT180" s="74" t="str">
        <f t="shared" si="36"/>
        <v>-</v>
      </c>
      <c r="AU180" s="155" t="str">
        <f t="shared" si="37"/>
        <v>-</v>
      </c>
      <c r="AV180" s="156" t="str">
        <f t="shared" si="38"/>
        <v>-</v>
      </c>
      <c r="AX180" s="59" t="str">
        <f>IF(AND(D180&gt;0,AA180&gt;0),MIN(D180,AA180),"-")</f>
        <v>-</v>
      </c>
      <c r="AY180" s="59" t="str">
        <f>IF(AND(E180&gt;0,AB180&gt;0),MIN(E180,AB180),"-")</f>
        <v>-</v>
      </c>
      <c r="AZ180" s="59" t="str">
        <f>IF(AND(F180&gt;0,AC180&gt;0),MIN(F180,AC180),"-")</f>
        <v>-</v>
      </c>
      <c r="BA180" s="59" t="str">
        <f>IF(AND(G180&gt;0,AD180&gt;0),MIN(G180,AD180),"-")</f>
        <v>-</v>
      </c>
      <c r="BB180" s="59" t="str">
        <f>IF(AND(H180&gt;0,AE180&gt;0),MIN(H180,AE180),"-")</f>
        <v>-</v>
      </c>
      <c r="BC180" s="59" t="str">
        <f>IF(AND(I180&gt;0,AF180&gt;0),MIN(I180,AF180),"-")</f>
        <v>-</v>
      </c>
      <c r="BD180" s="59" t="str">
        <f>IF(AND(J180&gt;0,AG180&gt;0),MIN(J180,AG180),"-")</f>
        <v>-</v>
      </c>
      <c r="BE180" s="59" t="str">
        <f>IF(AND(K180&gt;0,AH180&gt;0),MIN(K180,AH180),"-")</f>
        <v>-</v>
      </c>
      <c r="BF180" s="59" t="str">
        <f>IF(AND(L180&gt;0,AI180&gt;0),MIN(L180,AI180),"-")</f>
        <v>-</v>
      </c>
      <c r="BG180" s="59" t="str">
        <f t="shared" si="39"/>
        <v>-</v>
      </c>
      <c r="BH180" s="59" t="str">
        <f>IF(AND(N180&gt;0,AK180&gt;0),MIN(N180,AK180),"-")</f>
        <v>-</v>
      </c>
      <c r="BI180" s="59" t="str">
        <f>IF(AND(O180&gt;0,AL180&gt;0),MIN(O180,AL180),"-")</f>
        <v>-</v>
      </c>
      <c r="BJ180" s="59" t="str">
        <f>IF(AND(P180&gt;0,AM180&gt;0),MIN(P180,AM180),"-")</f>
        <v>-</v>
      </c>
      <c r="BK180" s="59" t="str">
        <f>IF(AND(Q180&gt;0,AN180&gt;0),MIN(Q180,AN180),"-")</f>
        <v>-</v>
      </c>
      <c r="BL180" s="59" t="str">
        <f>IF(AND(R180&gt;0,AO180&gt;0),MIN(R180,AO180),"-")</f>
        <v>-</v>
      </c>
      <c r="BM180" s="59" t="str">
        <f>IF(AND(S180&gt;0,AP180&gt;0),MIN(S180,AP180),"-")</f>
        <v>-</v>
      </c>
      <c r="BN180" s="59" t="str">
        <f>IF(AND(T180&gt;0,AQ180&gt;0),MIN(T180,AQ180),"-")</f>
        <v>-</v>
      </c>
      <c r="BO180" s="59" t="str">
        <f>IF(AND(U180&gt;0,AR180&gt;0),MIN(U180,AR180),"-")</f>
        <v>-</v>
      </c>
      <c r="BP180" s="59" t="str">
        <f>IF(AND(V180&gt;0,AS180&gt;0),MIN(V180,AS180),"-")</f>
        <v>-</v>
      </c>
      <c r="BQ180" s="59" t="str">
        <f t="shared" si="40"/>
        <v>-</v>
      </c>
      <c r="BR180" s="59" t="str">
        <f t="shared" si="41"/>
        <v>-</v>
      </c>
      <c r="BS180" s="59" t="str">
        <f t="shared" si="42"/>
        <v>-</v>
      </c>
      <c r="BT180" s="98" t="str">
        <f>IF(ISNUMBER(BS180),BS180-(C180*Rules!$P$9/100),"-")</f>
        <v>-</v>
      </c>
      <c r="BU180" s="59" t="e">
        <f>RANK($BT180,$BT$5:$BT$106,1)+COUNTIF(BT$5:BT180,BT180)-1</f>
        <v>#VALUE!</v>
      </c>
      <c r="BV180" s="59" t="e">
        <f t="shared" si="43"/>
        <v>#VALUE!</v>
      </c>
      <c r="BW180" s="59" t="str">
        <f t="shared" si="44"/>
        <v xml:space="preserve"> </v>
      </c>
      <c r="BX180" s="59">
        <f t="shared" si="44"/>
        <v>0</v>
      </c>
      <c r="BY180" s="59" t="str">
        <f t="shared" si="45"/>
        <v>-</v>
      </c>
      <c r="CD180" s="79"/>
      <c r="CE180" s="80"/>
      <c r="CF180" s="104"/>
      <c r="CL180" s="77">
        <v>1</v>
      </c>
    </row>
    <row r="181" spans="1:90" ht="17.45" customHeight="1">
      <c r="A181" s="58">
        <v>177</v>
      </c>
      <c r="B181" s="59" t="str">
        <f>'C Div'!A181 &amp; " " &amp; 'C Div'!B181</f>
        <v xml:space="preserve"> </v>
      </c>
      <c r="C181" s="59">
        <f>'C Div'!E181</f>
        <v>0</v>
      </c>
      <c r="D181" s="60"/>
      <c r="E181" s="60"/>
      <c r="F181" s="60"/>
      <c r="G181" s="60"/>
      <c r="H181" s="60"/>
      <c r="I181" s="60"/>
      <c r="J181" s="60"/>
      <c r="K181" s="60"/>
      <c r="L181" s="60"/>
      <c r="M181" s="74" t="str">
        <f t="shared" si="31"/>
        <v>-</v>
      </c>
      <c r="N181" s="60"/>
      <c r="O181" s="60"/>
      <c r="P181" s="60"/>
      <c r="Q181" s="60"/>
      <c r="R181" s="60"/>
      <c r="S181" s="60"/>
      <c r="T181" s="60"/>
      <c r="U181" s="60"/>
      <c r="V181" s="60"/>
      <c r="W181" s="74" t="str">
        <f t="shared" si="32"/>
        <v>-</v>
      </c>
      <c r="X181" s="155" t="str">
        <f t="shared" si="33"/>
        <v>-</v>
      </c>
      <c r="Y181" s="156" t="str">
        <f t="shared" si="34"/>
        <v>-</v>
      </c>
      <c r="AA181" s="60"/>
      <c r="AB181" s="60"/>
      <c r="AC181" s="60"/>
      <c r="AD181" s="60"/>
      <c r="AE181" s="60"/>
      <c r="AF181" s="60"/>
      <c r="AG181" s="60"/>
      <c r="AH181" s="60"/>
      <c r="AI181" s="60"/>
      <c r="AJ181" s="74" t="str">
        <f t="shared" si="35"/>
        <v>-</v>
      </c>
      <c r="AK181" s="60"/>
      <c r="AL181" s="60"/>
      <c r="AM181" s="60"/>
      <c r="AN181" s="60"/>
      <c r="AO181" s="60"/>
      <c r="AP181" s="60"/>
      <c r="AQ181" s="60"/>
      <c r="AR181" s="60"/>
      <c r="AS181" s="60"/>
      <c r="AT181" s="74" t="str">
        <f t="shared" si="36"/>
        <v>-</v>
      </c>
      <c r="AU181" s="155" t="str">
        <f t="shared" si="37"/>
        <v>-</v>
      </c>
      <c r="AV181" s="156" t="str">
        <f t="shared" si="38"/>
        <v>-</v>
      </c>
      <c r="AX181" s="59" t="str">
        <f>IF(AND(D181&gt;0,AA181&gt;0),MIN(D181,AA181),"-")</f>
        <v>-</v>
      </c>
      <c r="AY181" s="59" t="str">
        <f>IF(AND(E181&gt;0,AB181&gt;0),MIN(E181,AB181),"-")</f>
        <v>-</v>
      </c>
      <c r="AZ181" s="59" t="str">
        <f>IF(AND(F181&gt;0,AC181&gt;0),MIN(F181,AC181),"-")</f>
        <v>-</v>
      </c>
      <c r="BA181" s="59" t="str">
        <f>IF(AND(G181&gt;0,AD181&gt;0),MIN(G181,AD181),"-")</f>
        <v>-</v>
      </c>
      <c r="BB181" s="59" t="str">
        <f>IF(AND(H181&gt;0,AE181&gt;0),MIN(H181,AE181),"-")</f>
        <v>-</v>
      </c>
      <c r="BC181" s="59" t="str">
        <f>IF(AND(I181&gt;0,AF181&gt;0),MIN(I181,AF181),"-")</f>
        <v>-</v>
      </c>
      <c r="BD181" s="59" t="str">
        <f>IF(AND(J181&gt;0,AG181&gt;0),MIN(J181,AG181),"-")</f>
        <v>-</v>
      </c>
      <c r="BE181" s="59" t="str">
        <f>IF(AND(K181&gt;0,AH181&gt;0),MIN(K181,AH181),"-")</f>
        <v>-</v>
      </c>
      <c r="BF181" s="59" t="str">
        <f>IF(AND(L181&gt;0,AI181&gt;0),MIN(L181,AI181),"-")</f>
        <v>-</v>
      </c>
      <c r="BG181" s="59" t="str">
        <f t="shared" si="39"/>
        <v>-</v>
      </c>
      <c r="BH181" s="59" t="str">
        <f>IF(AND(N181&gt;0,AK181&gt;0),MIN(N181,AK181),"-")</f>
        <v>-</v>
      </c>
      <c r="BI181" s="59" t="str">
        <f>IF(AND(O181&gt;0,AL181&gt;0),MIN(O181,AL181),"-")</f>
        <v>-</v>
      </c>
      <c r="BJ181" s="59" t="str">
        <f>IF(AND(P181&gt;0,AM181&gt;0),MIN(P181,AM181),"-")</f>
        <v>-</v>
      </c>
      <c r="BK181" s="59" t="str">
        <f>IF(AND(Q181&gt;0,AN181&gt;0),MIN(Q181,AN181),"-")</f>
        <v>-</v>
      </c>
      <c r="BL181" s="59" t="str">
        <f>IF(AND(R181&gt;0,AO181&gt;0),MIN(R181,AO181),"-")</f>
        <v>-</v>
      </c>
      <c r="BM181" s="59" t="str">
        <f>IF(AND(S181&gt;0,AP181&gt;0),MIN(S181,AP181),"-")</f>
        <v>-</v>
      </c>
      <c r="BN181" s="59" t="str">
        <f>IF(AND(T181&gt;0,AQ181&gt;0),MIN(T181,AQ181),"-")</f>
        <v>-</v>
      </c>
      <c r="BO181" s="59" t="str">
        <f>IF(AND(U181&gt;0,AR181&gt;0),MIN(U181,AR181),"-")</f>
        <v>-</v>
      </c>
      <c r="BP181" s="59" t="str">
        <f>IF(AND(V181&gt;0,AS181&gt;0),MIN(V181,AS181),"-")</f>
        <v>-</v>
      </c>
      <c r="BQ181" s="59" t="str">
        <f t="shared" si="40"/>
        <v>-</v>
      </c>
      <c r="BR181" s="59" t="str">
        <f t="shared" si="41"/>
        <v>-</v>
      </c>
      <c r="BS181" s="59" t="str">
        <f t="shared" si="42"/>
        <v>-</v>
      </c>
      <c r="BT181" s="98" t="str">
        <f>IF(ISNUMBER(BS181),BS181-(C181*Rules!$P$9/100),"-")</f>
        <v>-</v>
      </c>
      <c r="BU181" s="59" t="e">
        <f>RANK($BT181,$BT$5:$BT$106,1)+COUNTIF(BT$5:BT181,BT181)-1</f>
        <v>#VALUE!</v>
      </c>
      <c r="BV181" s="59" t="e">
        <f t="shared" si="43"/>
        <v>#VALUE!</v>
      </c>
      <c r="BW181" s="59" t="str">
        <f t="shared" si="44"/>
        <v xml:space="preserve"> </v>
      </c>
      <c r="BX181" s="59">
        <f t="shared" si="44"/>
        <v>0</v>
      </c>
      <c r="BY181" s="59" t="str">
        <f t="shared" si="45"/>
        <v>-</v>
      </c>
      <c r="CD181" s="79"/>
      <c r="CE181" s="80"/>
      <c r="CF181" s="104"/>
      <c r="CL181" s="77">
        <v>1</v>
      </c>
    </row>
    <row r="182" spans="1:90" ht="17.45" customHeight="1">
      <c r="A182" s="58">
        <v>178</v>
      </c>
      <c r="B182" s="59" t="str">
        <f>'C Div'!A182 &amp; " " &amp; 'C Div'!B182</f>
        <v xml:space="preserve"> </v>
      </c>
      <c r="C182" s="59">
        <f>'C Div'!E182</f>
        <v>0</v>
      </c>
      <c r="D182" s="60"/>
      <c r="E182" s="60"/>
      <c r="F182" s="60"/>
      <c r="G182" s="60"/>
      <c r="H182" s="60"/>
      <c r="I182" s="60"/>
      <c r="J182" s="60"/>
      <c r="K182" s="60"/>
      <c r="L182" s="60"/>
      <c r="M182" s="74" t="str">
        <f t="shared" si="31"/>
        <v>-</v>
      </c>
      <c r="N182" s="60"/>
      <c r="O182" s="60"/>
      <c r="P182" s="60"/>
      <c r="Q182" s="60"/>
      <c r="R182" s="60"/>
      <c r="S182" s="60"/>
      <c r="T182" s="60"/>
      <c r="U182" s="60"/>
      <c r="V182" s="60"/>
      <c r="W182" s="74" t="str">
        <f t="shared" si="32"/>
        <v>-</v>
      </c>
      <c r="X182" s="155" t="str">
        <f t="shared" si="33"/>
        <v>-</v>
      </c>
      <c r="Y182" s="156" t="str">
        <f t="shared" si="34"/>
        <v>-</v>
      </c>
      <c r="AA182" s="60"/>
      <c r="AB182" s="60"/>
      <c r="AC182" s="60"/>
      <c r="AD182" s="60"/>
      <c r="AE182" s="60"/>
      <c r="AF182" s="60"/>
      <c r="AG182" s="60"/>
      <c r="AH182" s="60"/>
      <c r="AI182" s="60"/>
      <c r="AJ182" s="74" t="str">
        <f t="shared" si="35"/>
        <v>-</v>
      </c>
      <c r="AK182" s="60"/>
      <c r="AL182" s="60"/>
      <c r="AM182" s="60"/>
      <c r="AN182" s="60"/>
      <c r="AO182" s="60"/>
      <c r="AP182" s="60"/>
      <c r="AQ182" s="60"/>
      <c r="AR182" s="60"/>
      <c r="AS182" s="60"/>
      <c r="AT182" s="74" t="str">
        <f t="shared" si="36"/>
        <v>-</v>
      </c>
      <c r="AU182" s="155" t="str">
        <f t="shared" si="37"/>
        <v>-</v>
      </c>
      <c r="AV182" s="156" t="str">
        <f t="shared" si="38"/>
        <v>-</v>
      </c>
      <c r="AX182" s="59" t="str">
        <f>IF(AND(D182&gt;0,AA182&gt;0),MIN(D182,AA182),"-")</f>
        <v>-</v>
      </c>
      <c r="AY182" s="59" t="str">
        <f>IF(AND(E182&gt;0,AB182&gt;0),MIN(E182,AB182),"-")</f>
        <v>-</v>
      </c>
      <c r="AZ182" s="59" t="str">
        <f>IF(AND(F182&gt;0,AC182&gt;0),MIN(F182,AC182),"-")</f>
        <v>-</v>
      </c>
      <c r="BA182" s="59" t="str">
        <f>IF(AND(G182&gt;0,AD182&gt;0),MIN(G182,AD182),"-")</f>
        <v>-</v>
      </c>
      <c r="BB182" s="59" t="str">
        <f>IF(AND(H182&gt;0,AE182&gt;0),MIN(H182,AE182),"-")</f>
        <v>-</v>
      </c>
      <c r="BC182" s="59" t="str">
        <f>IF(AND(I182&gt;0,AF182&gt;0),MIN(I182,AF182),"-")</f>
        <v>-</v>
      </c>
      <c r="BD182" s="59" t="str">
        <f>IF(AND(J182&gt;0,AG182&gt;0),MIN(J182,AG182),"-")</f>
        <v>-</v>
      </c>
      <c r="BE182" s="59" t="str">
        <f>IF(AND(K182&gt;0,AH182&gt;0),MIN(K182,AH182),"-")</f>
        <v>-</v>
      </c>
      <c r="BF182" s="59" t="str">
        <f>IF(AND(L182&gt;0,AI182&gt;0),MIN(L182,AI182),"-")</f>
        <v>-</v>
      </c>
      <c r="BG182" s="59" t="str">
        <f t="shared" si="39"/>
        <v>-</v>
      </c>
      <c r="BH182" s="59" t="str">
        <f>IF(AND(N182&gt;0,AK182&gt;0),MIN(N182,AK182),"-")</f>
        <v>-</v>
      </c>
      <c r="BI182" s="59" t="str">
        <f>IF(AND(O182&gt;0,AL182&gt;0),MIN(O182,AL182),"-")</f>
        <v>-</v>
      </c>
      <c r="BJ182" s="59" t="str">
        <f>IF(AND(P182&gt;0,AM182&gt;0),MIN(P182,AM182),"-")</f>
        <v>-</v>
      </c>
      <c r="BK182" s="59" t="str">
        <f>IF(AND(Q182&gt;0,AN182&gt;0),MIN(Q182,AN182),"-")</f>
        <v>-</v>
      </c>
      <c r="BL182" s="59" t="str">
        <f>IF(AND(R182&gt;0,AO182&gt;0),MIN(R182,AO182),"-")</f>
        <v>-</v>
      </c>
      <c r="BM182" s="59" t="str">
        <f>IF(AND(S182&gt;0,AP182&gt;0),MIN(S182,AP182),"-")</f>
        <v>-</v>
      </c>
      <c r="BN182" s="59" t="str">
        <f>IF(AND(T182&gt;0,AQ182&gt;0),MIN(T182,AQ182),"-")</f>
        <v>-</v>
      </c>
      <c r="BO182" s="59" t="str">
        <f>IF(AND(U182&gt;0,AR182&gt;0),MIN(U182,AR182),"-")</f>
        <v>-</v>
      </c>
      <c r="BP182" s="59" t="str">
        <f>IF(AND(V182&gt;0,AS182&gt;0),MIN(V182,AS182),"-")</f>
        <v>-</v>
      </c>
      <c r="BQ182" s="59" t="str">
        <f t="shared" si="40"/>
        <v>-</v>
      </c>
      <c r="BR182" s="59" t="str">
        <f t="shared" si="41"/>
        <v>-</v>
      </c>
      <c r="BS182" s="59" t="str">
        <f t="shared" si="42"/>
        <v>-</v>
      </c>
      <c r="BT182" s="98" t="str">
        <f>IF(ISNUMBER(BS182),BS182-(C182*Rules!$P$9/100),"-")</f>
        <v>-</v>
      </c>
      <c r="BU182" s="59" t="e">
        <f>RANK($BT182,$BT$5:$BT$106,1)+COUNTIF(BT$5:BT182,BT182)-1</f>
        <v>#VALUE!</v>
      </c>
      <c r="BV182" s="59" t="e">
        <f t="shared" si="43"/>
        <v>#VALUE!</v>
      </c>
      <c r="BW182" s="59" t="str">
        <f t="shared" si="44"/>
        <v xml:space="preserve"> </v>
      </c>
      <c r="BX182" s="59">
        <f t="shared" si="44"/>
        <v>0</v>
      </c>
      <c r="BY182" s="59" t="str">
        <f t="shared" si="45"/>
        <v>-</v>
      </c>
      <c r="CD182" s="79"/>
      <c r="CE182" s="80"/>
      <c r="CF182" s="104"/>
      <c r="CL182" s="77">
        <v>1</v>
      </c>
    </row>
    <row r="183" spans="1:90" ht="17.45" customHeight="1">
      <c r="A183" s="58">
        <v>179</v>
      </c>
      <c r="B183" s="59" t="str">
        <f>'C Div'!A183 &amp; " " &amp; 'C Div'!B183</f>
        <v xml:space="preserve"> </v>
      </c>
      <c r="C183" s="59">
        <f>'C Div'!E183</f>
        <v>0</v>
      </c>
      <c r="D183" s="60"/>
      <c r="E183" s="60"/>
      <c r="F183" s="60"/>
      <c r="G183" s="60"/>
      <c r="H183" s="60"/>
      <c r="I183" s="60"/>
      <c r="J183" s="60"/>
      <c r="K183" s="60"/>
      <c r="L183" s="60"/>
      <c r="M183" s="74" t="str">
        <f t="shared" si="31"/>
        <v>-</v>
      </c>
      <c r="N183" s="60"/>
      <c r="O183" s="60"/>
      <c r="P183" s="60"/>
      <c r="Q183" s="60"/>
      <c r="R183" s="60"/>
      <c r="S183" s="60"/>
      <c r="T183" s="60"/>
      <c r="U183" s="60"/>
      <c r="V183" s="60"/>
      <c r="W183" s="74" t="str">
        <f t="shared" si="32"/>
        <v>-</v>
      </c>
      <c r="X183" s="155" t="str">
        <f t="shared" si="33"/>
        <v>-</v>
      </c>
      <c r="Y183" s="156" t="str">
        <f t="shared" si="34"/>
        <v>-</v>
      </c>
      <c r="AA183" s="60"/>
      <c r="AB183" s="60"/>
      <c r="AC183" s="60"/>
      <c r="AD183" s="60"/>
      <c r="AE183" s="60"/>
      <c r="AF183" s="60"/>
      <c r="AG183" s="60"/>
      <c r="AH183" s="60"/>
      <c r="AI183" s="60"/>
      <c r="AJ183" s="74" t="str">
        <f t="shared" si="35"/>
        <v>-</v>
      </c>
      <c r="AK183" s="60"/>
      <c r="AL183" s="60"/>
      <c r="AM183" s="60"/>
      <c r="AN183" s="60"/>
      <c r="AO183" s="60"/>
      <c r="AP183" s="60"/>
      <c r="AQ183" s="60"/>
      <c r="AR183" s="60"/>
      <c r="AS183" s="60"/>
      <c r="AT183" s="74" t="str">
        <f t="shared" si="36"/>
        <v>-</v>
      </c>
      <c r="AU183" s="155" t="str">
        <f t="shared" si="37"/>
        <v>-</v>
      </c>
      <c r="AV183" s="156" t="str">
        <f t="shared" si="38"/>
        <v>-</v>
      </c>
      <c r="AX183" s="59" t="str">
        <f>IF(AND(D183&gt;0,AA183&gt;0),MIN(D183,AA183),"-")</f>
        <v>-</v>
      </c>
      <c r="AY183" s="59" t="str">
        <f>IF(AND(E183&gt;0,AB183&gt;0),MIN(E183,AB183),"-")</f>
        <v>-</v>
      </c>
      <c r="AZ183" s="59" t="str">
        <f>IF(AND(F183&gt;0,AC183&gt;0),MIN(F183,AC183),"-")</f>
        <v>-</v>
      </c>
      <c r="BA183" s="59" t="str">
        <f>IF(AND(G183&gt;0,AD183&gt;0),MIN(G183,AD183),"-")</f>
        <v>-</v>
      </c>
      <c r="BB183" s="59" t="str">
        <f>IF(AND(H183&gt;0,AE183&gt;0),MIN(H183,AE183),"-")</f>
        <v>-</v>
      </c>
      <c r="BC183" s="59" t="str">
        <f>IF(AND(I183&gt;0,AF183&gt;0),MIN(I183,AF183),"-")</f>
        <v>-</v>
      </c>
      <c r="BD183" s="59" t="str">
        <f>IF(AND(J183&gt;0,AG183&gt;0),MIN(J183,AG183),"-")</f>
        <v>-</v>
      </c>
      <c r="BE183" s="59" t="str">
        <f>IF(AND(K183&gt;0,AH183&gt;0),MIN(K183,AH183),"-")</f>
        <v>-</v>
      </c>
      <c r="BF183" s="59" t="str">
        <f>IF(AND(L183&gt;0,AI183&gt;0),MIN(L183,AI183),"-")</f>
        <v>-</v>
      </c>
      <c r="BG183" s="59" t="str">
        <f t="shared" si="39"/>
        <v>-</v>
      </c>
      <c r="BH183" s="59" t="str">
        <f>IF(AND(N183&gt;0,AK183&gt;0),MIN(N183,AK183),"-")</f>
        <v>-</v>
      </c>
      <c r="BI183" s="59" t="str">
        <f>IF(AND(O183&gt;0,AL183&gt;0),MIN(O183,AL183),"-")</f>
        <v>-</v>
      </c>
      <c r="BJ183" s="59" t="str">
        <f>IF(AND(P183&gt;0,AM183&gt;0),MIN(P183,AM183),"-")</f>
        <v>-</v>
      </c>
      <c r="BK183" s="59" t="str">
        <f>IF(AND(Q183&gt;0,AN183&gt;0),MIN(Q183,AN183),"-")</f>
        <v>-</v>
      </c>
      <c r="BL183" s="59" t="str">
        <f>IF(AND(R183&gt;0,AO183&gt;0),MIN(R183,AO183),"-")</f>
        <v>-</v>
      </c>
      <c r="BM183" s="59" t="str">
        <f>IF(AND(S183&gt;0,AP183&gt;0),MIN(S183,AP183),"-")</f>
        <v>-</v>
      </c>
      <c r="BN183" s="59" t="str">
        <f>IF(AND(T183&gt;0,AQ183&gt;0),MIN(T183,AQ183),"-")</f>
        <v>-</v>
      </c>
      <c r="BO183" s="59" t="str">
        <f>IF(AND(U183&gt;0,AR183&gt;0),MIN(U183,AR183),"-")</f>
        <v>-</v>
      </c>
      <c r="BP183" s="59" t="str">
        <f>IF(AND(V183&gt;0,AS183&gt;0),MIN(V183,AS183),"-")</f>
        <v>-</v>
      </c>
      <c r="BQ183" s="59" t="str">
        <f t="shared" si="40"/>
        <v>-</v>
      </c>
      <c r="BR183" s="59" t="str">
        <f t="shared" si="41"/>
        <v>-</v>
      </c>
      <c r="BS183" s="59" t="str">
        <f t="shared" si="42"/>
        <v>-</v>
      </c>
      <c r="BT183" s="98" t="str">
        <f>IF(ISNUMBER(BS183),BS183-(C183*Rules!$P$9/100),"-")</f>
        <v>-</v>
      </c>
      <c r="BU183" s="59" t="e">
        <f>RANK($BT183,$BT$5:$BT$106,1)+COUNTIF(BT$5:BT183,BT183)-1</f>
        <v>#VALUE!</v>
      </c>
      <c r="BV183" s="59" t="e">
        <f t="shared" si="43"/>
        <v>#VALUE!</v>
      </c>
      <c r="BW183" s="59" t="str">
        <f t="shared" si="44"/>
        <v xml:space="preserve"> </v>
      </c>
      <c r="BX183" s="59">
        <f t="shared" si="44"/>
        <v>0</v>
      </c>
      <c r="BY183" s="59" t="str">
        <f t="shared" si="45"/>
        <v>-</v>
      </c>
      <c r="CD183" s="79"/>
      <c r="CE183" s="80"/>
      <c r="CF183" s="104"/>
      <c r="CL183" s="77">
        <v>1</v>
      </c>
    </row>
    <row r="184" spans="1:90" ht="17.45" customHeight="1">
      <c r="A184" s="58">
        <v>180</v>
      </c>
      <c r="B184" s="59" t="str">
        <f>'C Div'!A184 &amp; " " &amp; 'C Div'!B184</f>
        <v xml:space="preserve"> </v>
      </c>
      <c r="C184" s="59">
        <f>'C Div'!E184</f>
        <v>0</v>
      </c>
      <c r="D184" s="60"/>
      <c r="E184" s="60"/>
      <c r="F184" s="60"/>
      <c r="G184" s="60"/>
      <c r="H184" s="60"/>
      <c r="I184" s="60"/>
      <c r="J184" s="60"/>
      <c r="K184" s="60"/>
      <c r="L184" s="60"/>
      <c r="M184" s="74" t="str">
        <f t="shared" si="31"/>
        <v>-</v>
      </c>
      <c r="N184" s="60"/>
      <c r="O184" s="60"/>
      <c r="P184" s="60"/>
      <c r="Q184" s="60"/>
      <c r="R184" s="60"/>
      <c r="S184" s="60"/>
      <c r="T184" s="60"/>
      <c r="U184" s="60"/>
      <c r="V184" s="60"/>
      <c r="W184" s="74" t="str">
        <f t="shared" si="32"/>
        <v>-</v>
      </c>
      <c r="X184" s="155" t="str">
        <f t="shared" si="33"/>
        <v>-</v>
      </c>
      <c r="Y184" s="156" t="str">
        <f t="shared" si="34"/>
        <v>-</v>
      </c>
      <c r="AA184" s="60"/>
      <c r="AB184" s="60"/>
      <c r="AC184" s="60"/>
      <c r="AD184" s="60"/>
      <c r="AE184" s="60"/>
      <c r="AF184" s="60"/>
      <c r="AG184" s="60"/>
      <c r="AH184" s="60"/>
      <c r="AI184" s="60"/>
      <c r="AJ184" s="74" t="str">
        <f t="shared" si="35"/>
        <v>-</v>
      </c>
      <c r="AK184" s="60"/>
      <c r="AL184" s="60"/>
      <c r="AM184" s="60"/>
      <c r="AN184" s="60"/>
      <c r="AO184" s="60"/>
      <c r="AP184" s="60"/>
      <c r="AQ184" s="60"/>
      <c r="AR184" s="60"/>
      <c r="AS184" s="60"/>
      <c r="AT184" s="74" t="str">
        <f t="shared" si="36"/>
        <v>-</v>
      </c>
      <c r="AU184" s="155" t="str">
        <f t="shared" si="37"/>
        <v>-</v>
      </c>
      <c r="AV184" s="156" t="str">
        <f t="shared" si="38"/>
        <v>-</v>
      </c>
      <c r="AX184" s="59" t="str">
        <f>IF(AND(D184&gt;0,AA184&gt;0),MIN(D184,AA184),"-")</f>
        <v>-</v>
      </c>
      <c r="AY184" s="59" t="str">
        <f>IF(AND(E184&gt;0,AB184&gt;0),MIN(E184,AB184),"-")</f>
        <v>-</v>
      </c>
      <c r="AZ184" s="59" t="str">
        <f>IF(AND(F184&gt;0,AC184&gt;0),MIN(F184,AC184),"-")</f>
        <v>-</v>
      </c>
      <c r="BA184" s="59" t="str">
        <f>IF(AND(G184&gt;0,AD184&gt;0),MIN(G184,AD184),"-")</f>
        <v>-</v>
      </c>
      <c r="BB184" s="59" t="str">
        <f>IF(AND(H184&gt;0,AE184&gt;0),MIN(H184,AE184),"-")</f>
        <v>-</v>
      </c>
      <c r="BC184" s="59" t="str">
        <f>IF(AND(I184&gt;0,AF184&gt;0),MIN(I184,AF184),"-")</f>
        <v>-</v>
      </c>
      <c r="BD184" s="59" t="str">
        <f>IF(AND(J184&gt;0,AG184&gt;0),MIN(J184,AG184),"-")</f>
        <v>-</v>
      </c>
      <c r="BE184" s="59" t="str">
        <f>IF(AND(K184&gt;0,AH184&gt;0),MIN(K184,AH184),"-")</f>
        <v>-</v>
      </c>
      <c r="BF184" s="59" t="str">
        <f>IF(AND(L184&gt;0,AI184&gt;0),MIN(L184,AI184),"-")</f>
        <v>-</v>
      </c>
      <c r="BG184" s="59" t="str">
        <f t="shared" si="39"/>
        <v>-</v>
      </c>
      <c r="BH184" s="59" t="str">
        <f>IF(AND(N184&gt;0,AK184&gt;0),MIN(N184,AK184),"-")</f>
        <v>-</v>
      </c>
      <c r="BI184" s="59" t="str">
        <f>IF(AND(O184&gt;0,AL184&gt;0),MIN(O184,AL184),"-")</f>
        <v>-</v>
      </c>
      <c r="BJ184" s="59" t="str">
        <f>IF(AND(P184&gt;0,AM184&gt;0),MIN(P184,AM184),"-")</f>
        <v>-</v>
      </c>
      <c r="BK184" s="59" t="str">
        <f>IF(AND(Q184&gt;0,AN184&gt;0),MIN(Q184,AN184),"-")</f>
        <v>-</v>
      </c>
      <c r="BL184" s="59" t="str">
        <f>IF(AND(R184&gt;0,AO184&gt;0),MIN(R184,AO184),"-")</f>
        <v>-</v>
      </c>
      <c r="BM184" s="59" t="str">
        <f>IF(AND(S184&gt;0,AP184&gt;0),MIN(S184,AP184),"-")</f>
        <v>-</v>
      </c>
      <c r="BN184" s="59" t="str">
        <f>IF(AND(T184&gt;0,AQ184&gt;0),MIN(T184,AQ184),"-")</f>
        <v>-</v>
      </c>
      <c r="BO184" s="59" t="str">
        <f>IF(AND(U184&gt;0,AR184&gt;0),MIN(U184,AR184),"-")</f>
        <v>-</v>
      </c>
      <c r="BP184" s="59" t="str">
        <f>IF(AND(V184&gt;0,AS184&gt;0),MIN(V184,AS184),"-")</f>
        <v>-</v>
      </c>
      <c r="BQ184" s="59" t="str">
        <f t="shared" si="40"/>
        <v>-</v>
      </c>
      <c r="BR184" s="59" t="str">
        <f t="shared" si="41"/>
        <v>-</v>
      </c>
      <c r="BS184" s="59" t="str">
        <f t="shared" si="42"/>
        <v>-</v>
      </c>
      <c r="BT184" s="98" t="str">
        <f>IF(ISNUMBER(BS184),BS184-(C184*Rules!$P$9/100),"-")</f>
        <v>-</v>
      </c>
      <c r="BU184" s="59" t="e">
        <f>RANK($BT184,$BT$5:$BT$106,1)+COUNTIF(BT$5:BT184,BT184)-1</f>
        <v>#VALUE!</v>
      </c>
      <c r="BV184" s="59" t="e">
        <f t="shared" si="43"/>
        <v>#VALUE!</v>
      </c>
      <c r="BW184" s="59" t="str">
        <f t="shared" si="44"/>
        <v xml:space="preserve"> </v>
      </c>
      <c r="BX184" s="59">
        <f t="shared" si="44"/>
        <v>0</v>
      </c>
      <c r="BY184" s="59" t="str">
        <f t="shared" si="45"/>
        <v>-</v>
      </c>
      <c r="CD184" s="79"/>
      <c r="CE184" s="80"/>
      <c r="CF184" s="104"/>
      <c r="CL184" s="77">
        <v>1</v>
      </c>
    </row>
    <row r="185" spans="1:90" ht="17.45" customHeight="1">
      <c r="A185" s="58">
        <v>181</v>
      </c>
      <c r="B185" s="59" t="str">
        <f>'C Div'!A185 &amp; " " &amp; 'C Div'!B185</f>
        <v xml:space="preserve"> </v>
      </c>
      <c r="C185" s="59">
        <f>'C Div'!E185</f>
        <v>0</v>
      </c>
      <c r="D185" s="60"/>
      <c r="E185" s="60"/>
      <c r="F185" s="60"/>
      <c r="G185" s="60"/>
      <c r="H185" s="60"/>
      <c r="I185" s="60"/>
      <c r="J185" s="60"/>
      <c r="K185" s="60"/>
      <c r="L185" s="60"/>
      <c r="M185" s="74" t="str">
        <f t="shared" si="31"/>
        <v>-</v>
      </c>
      <c r="N185" s="60"/>
      <c r="O185" s="60"/>
      <c r="P185" s="60"/>
      <c r="Q185" s="60"/>
      <c r="R185" s="60"/>
      <c r="S185" s="60"/>
      <c r="T185" s="60"/>
      <c r="U185" s="60"/>
      <c r="V185" s="60"/>
      <c r="W185" s="74" t="str">
        <f t="shared" si="32"/>
        <v>-</v>
      </c>
      <c r="X185" s="155" t="str">
        <f t="shared" si="33"/>
        <v>-</v>
      </c>
      <c r="Y185" s="156" t="str">
        <f t="shared" si="34"/>
        <v>-</v>
      </c>
      <c r="AA185" s="60"/>
      <c r="AB185" s="60"/>
      <c r="AC185" s="60"/>
      <c r="AD185" s="60"/>
      <c r="AE185" s="60"/>
      <c r="AF185" s="60"/>
      <c r="AG185" s="60"/>
      <c r="AH185" s="60"/>
      <c r="AI185" s="60"/>
      <c r="AJ185" s="74" t="str">
        <f t="shared" si="35"/>
        <v>-</v>
      </c>
      <c r="AK185" s="60"/>
      <c r="AL185" s="60"/>
      <c r="AM185" s="60"/>
      <c r="AN185" s="60"/>
      <c r="AO185" s="60"/>
      <c r="AP185" s="60"/>
      <c r="AQ185" s="60"/>
      <c r="AR185" s="60"/>
      <c r="AS185" s="60"/>
      <c r="AT185" s="74" t="str">
        <f t="shared" si="36"/>
        <v>-</v>
      </c>
      <c r="AU185" s="155" t="str">
        <f t="shared" si="37"/>
        <v>-</v>
      </c>
      <c r="AV185" s="156" t="str">
        <f t="shared" si="38"/>
        <v>-</v>
      </c>
      <c r="AX185" s="59" t="str">
        <f>IF(AND(D185&gt;0,AA185&gt;0),MIN(D185,AA185),"-")</f>
        <v>-</v>
      </c>
      <c r="AY185" s="59" t="str">
        <f>IF(AND(E185&gt;0,AB185&gt;0),MIN(E185,AB185),"-")</f>
        <v>-</v>
      </c>
      <c r="AZ185" s="59" t="str">
        <f>IF(AND(F185&gt;0,AC185&gt;0),MIN(F185,AC185),"-")</f>
        <v>-</v>
      </c>
      <c r="BA185" s="59" t="str">
        <f>IF(AND(G185&gt;0,AD185&gt;0),MIN(G185,AD185),"-")</f>
        <v>-</v>
      </c>
      <c r="BB185" s="59" t="str">
        <f>IF(AND(H185&gt;0,AE185&gt;0),MIN(H185,AE185),"-")</f>
        <v>-</v>
      </c>
      <c r="BC185" s="59" t="str">
        <f>IF(AND(I185&gt;0,AF185&gt;0),MIN(I185,AF185),"-")</f>
        <v>-</v>
      </c>
      <c r="BD185" s="59" t="str">
        <f>IF(AND(J185&gt;0,AG185&gt;0),MIN(J185,AG185),"-")</f>
        <v>-</v>
      </c>
      <c r="BE185" s="59" t="str">
        <f>IF(AND(K185&gt;0,AH185&gt;0),MIN(K185,AH185),"-")</f>
        <v>-</v>
      </c>
      <c r="BF185" s="59" t="str">
        <f>IF(AND(L185&gt;0,AI185&gt;0),MIN(L185,AI185),"-")</f>
        <v>-</v>
      </c>
      <c r="BG185" s="59" t="str">
        <f t="shared" si="39"/>
        <v>-</v>
      </c>
      <c r="BH185" s="59" t="str">
        <f>IF(AND(N185&gt;0,AK185&gt;0),MIN(N185,AK185),"-")</f>
        <v>-</v>
      </c>
      <c r="BI185" s="59" t="str">
        <f>IF(AND(O185&gt;0,AL185&gt;0),MIN(O185,AL185),"-")</f>
        <v>-</v>
      </c>
      <c r="BJ185" s="59" t="str">
        <f>IF(AND(P185&gt;0,AM185&gt;0),MIN(P185,AM185),"-")</f>
        <v>-</v>
      </c>
      <c r="BK185" s="59" t="str">
        <f>IF(AND(Q185&gt;0,AN185&gt;0),MIN(Q185,AN185),"-")</f>
        <v>-</v>
      </c>
      <c r="BL185" s="59" t="str">
        <f>IF(AND(R185&gt;0,AO185&gt;0),MIN(R185,AO185),"-")</f>
        <v>-</v>
      </c>
      <c r="BM185" s="59" t="str">
        <f>IF(AND(S185&gt;0,AP185&gt;0),MIN(S185,AP185),"-")</f>
        <v>-</v>
      </c>
      <c r="BN185" s="59" t="str">
        <f>IF(AND(T185&gt;0,AQ185&gt;0),MIN(T185,AQ185),"-")</f>
        <v>-</v>
      </c>
      <c r="BO185" s="59" t="str">
        <f>IF(AND(U185&gt;0,AR185&gt;0),MIN(U185,AR185),"-")</f>
        <v>-</v>
      </c>
      <c r="BP185" s="59" t="str">
        <f>IF(AND(V185&gt;0,AS185&gt;0),MIN(V185,AS185),"-")</f>
        <v>-</v>
      </c>
      <c r="BQ185" s="59" t="str">
        <f t="shared" si="40"/>
        <v>-</v>
      </c>
      <c r="BR185" s="59" t="str">
        <f t="shared" si="41"/>
        <v>-</v>
      </c>
      <c r="BS185" s="59" t="str">
        <f t="shared" si="42"/>
        <v>-</v>
      </c>
      <c r="BT185" s="98" t="str">
        <f>IF(ISNUMBER(BS185),BS185-(C185*Rules!$P$9/100),"-")</f>
        <v>-</v>
      </c>
      <c r="BU185" s="59" t="e">
        <f>RANK($BT185,$BT$5:$BT$106,1)+COUNTIF(BT$5:BT185,BT185)-1</f>
        <v>#VALUE!</v>
      </c>
      <c r="BV185" s="59" t="e">
        <f t="shared" si="43"/>
        <v>#VALUE!</v>
      </c>
      <c r="BW185" s="59" t="str">
        <f t="shared" si="44"/>
        <v xml:space="preserve"> </v>
      </c>
      <c r="BX185" s="59">
        <f t="shared" si="44"/>
        <v>0</v>
      </c>
      <c r="BY185" s="59" t="str">
        <f t="shared" si="45"/>
        <v>-</v>
      </c>
      <c r="CD185" s="79"/>
      <c r="CE185" s="80"/>
      <c r="CF185" s="104"/>
      <c r="CL185" s="77">
        <v>1</v>
      </c>
    </row>
    <row r="186" spans="1:90" ht="17.45" customHeight="1">
      <c r="A186" s="58">
        <v>182</v>
      </c>
      <c r="B186" s="59" t="str">
        <f>'C Div'!A186 &amp; " " &amp; 'C Div'!B186</f>
        <v xml:space="preserve"> </v>
      </c>
      <c r="C186" s="59">
        <f>'C Div'!E186</f>
        <v>0</v>
      </c>
      <c r="D186" s="60"/>
      <c r="E186" s="60"/>
      <c r="F186" s="60"/>
      <c r="G186" s="60"/>
      <c r="H186" s="60"/>
      <c r="I186" s="60"/>
      <c r="J186" s="60"/>
      <c r="K186" s="60"/>
      <c r="L186" s="60"/>
      <c r="M186" s="74" t="str">
        <f t="shared" si="31"/>
        <v>-</v>
      </c>
      <c r="N186" s="60"/>
      <c r="O186" s="60"/>
      <c r="P186" s="60"/>
      <c r="Q186" s="60"/>
      <c r="R186" s="60"/>
      <c r="S186" s="60"/>
      <c r="T186" s="60"/>
      <c r="U186" s="60"/>
      <c r="V186" s="60"/>
      <c r="W186" s="74" t="str">
        <f t="shared" si="32"/>
        <v>-</v>
      </c>
      <c r="X186" s="155" t="str">
        <f t="shared" si="33"/>
        <v>-</v>
      </c>
      <c r="Y186" s="156" t="str">
        <f t="shared" si="34"/>
        <v>-</v>
      </c>
      <c r="AA186" s="60"/>
      <c r="AB186" s="60"/>
      <c r="AC186" s="60"/>
      <c r="AD186" s="60"/>
      <c r="AE186" s="60"/>
      <c r="AF186" s="60"/>
      <c r="AG186" s="60"/>
      <c r="AH186" s="60"/>
      <c r="AI186" s="60"/>
      <c r="AJ186" s="74" t="str">
        <f t="shared" si="35"/>
        <v>-</v>
      </c>
      <c r="AK186" s="60"/>
      <c r="AL186" s="60"/>
      <c r="AM186" s="60"/>
      <c r="AN186" s="60"/>
      <c r="AO186" s="60"/>
      <c r="AP186" s="60"/>
      <c r="AQ186" s="60"/>
      <c r="AR186" s="60"/>
      <c r="AS186" s="60"/>
      <c r="AT186" s="74" t="str">
        <f t="shared" si="36"/>
        <v>-</v>
      </c>
      <c r="AU186" s="155" t="str">
        <f t="shared" si="37"/>
        <v>-</v>
      </c>
      <c r="AV186" s="156" t="str">
        <f t="shared" si="38"/>
        <v>-</v>
      </c>
      <c r="AX186" s="59" t="str">
        <f>IF(AND(D186&gt;0,AA186&gt;0),MIN(D186,AA186),"-")</f>
        <v>-</v>
      </c>
      <c r="AY186" s="59" t="str">
        <f>IF(AND(E186&gt;0,AB186&gt;0),MIN(E186,AB186),"-")</f>
        <v>-</v>
      </c>
      <c r="AZ186" s="59" t="str">
        <f>IF(AND(F186&gt;0,AC186&gt;0),MIN(F186,AC186),"-")</f>
        <v>-</v>
      </c>
      <c r="BA186" s="59" t="str">
        <f>IF(AND(G186&gt;0,AD186&gt;0),MIN(G186,AD186),"-")</f>
        <v>-</v>
      </c>
      <c r="BB186" s="59" t="str">
        <f>IF(AND(H186&gt;0,AE186&gt;0),MIN(H186,AE186),"-")</f>
        <v>-</v>
      </c>
      <c r="BC186" s="59" t="str">
        <f>IF(AND(I186&gt;0,AF186&gt;0),MIN(I186,AF186),"-")</f>
        <v>-</v>
      </c>
      <c r="BD186" s="59" t="str">
        <f>IF(AND(J186&gt;0,AG186&gt;0),MIN(J186,AG186),"-")</f>
        <v>-</v>
      </c>
      <c r="BE186" s="59" t="str">
        <f>IF(AND(K186&gt;0,AH186&gt;0),MIN(K186,AH186),"-")</f>
        <v>-</v>
      </c>
      <c r="BF186" s="59" t="str">
        <f>IF(AND(L186&gt;0,AI186&gt;0),MIN(L186,AI186),"-")</f>
        <v>-</v>
      </c>
      <c r="BG186" s="59" t="str">
        <f t="shared" si="39"/>
        <v>-</v>
      </c>
      <c r="BH186" s="59" t="str">
        <f>IF(AND(N186&gt;0,AK186&gt;0),MIN(N186,AK186),"-")</f>
        <v>-</v>
      </c>
      <c r="BI186" s="59" t="str">
        <f>IF(AND(O186&gt;0,AL186&gt;0),MIN(O186,AL186),"-")</f>
        <v>-</v>
      </c>
      <c r="BJ186" s="59" t="str">
        <f>IF(AND(P186&gt;0,AM186&gt;0),MIN(P186,AM186),"-")</f>
        <v>-</v>
      </c>
      <c r="BK186" s="59" t="str">
        <f>IF(AND(Q186&gt;0,AN186&gt;0),MIN(Q186,AN186),"-")</f>
        <v>-</v>
      </c>
      <c r="BL186" s="59" t="str">
        <f>IF(AND(R186&gt;0,AO186&gt;0),MIN(R186,AO186),"-")</f>
        <v>-</v>
      </c>
      <c r="BM186" s="59" t="str">
        <f>IF(AND(S186&gt;0,AP186&gt;0),MIN(S186,AP186),"-")</f>
        <v>-</v>
      </c>
      <c r="BN186" s="59" t="str">
        <f>IF(AND(T186&gt;0,AQ186&gt;0),MIN(T186,AQ186),"-")</f>
        <v>-</v>
      </c>
      <c r="BO186" s="59" t="str">
        <f>IF(AND(U186&gt;0,AR186&gt;0),MIN(U186,AR186),"-")</f>
        <v>-</v>
      </c>
      <c r="BP186" s="59" t="str">
        <f>IF(AND(V186&gt;0,AS186&gt;0),MIN(V186,AS186),"-")</f>
        <v>-</v>
      </c>
      <c r="BQ186" s="59" t="str">
        <f t="shared" si="40"/>
        <v>-</v>
      </c>
      <c r="BR186" s="59" t="str">
        <f t="shared" si="41"/>
        <v>-</v>
      </c>
      <c r="BS186" s="59" t="str">
        <f t="shared" si="42"/>
        <v>-</v>
      </c>
      <c r="BT186" s="98" t="str">
        <f>IF(ISNUMBER(BS186),BS186-(C186*Rules!$P$9/100),"-")</f>
        <v>-</v>
      </c>
      <c r="BU186" s="59" t="e">
        <f>RANK($BT186,$BT$5:$BT$106,1)+COUNTIF(BT$5:BT186,BT186)-1</f>
        <v>#VALUE!</v>
      </c>
      <c r="BV186" s="59" t="e">
        <f t="shared" si="43"/>
        <v>#VALUE!</v>
      </c>
      <c r="BW186" s="59" t="str">
        <f t="shared" si="44"/>
        <v xml:space="preserve"> </v>
      </c>
      <c r="BX186" s="59">
        <f t="shared" si="44"/>
        <v>0</v>
      </c>
      <c r="BY186" s="59" t="str">
        <f t="shared" si="45"/>
        <v>-</v>
      </c>
      <c r="CD186" s="79"/>
      <c r="CE186" s="80"/>
      <c r="CF186" s="104"/>
      <c r="CL186" s="77">
        <v>1</v>
      </c>
    </row>
    <row r="187" spans="1:90" ht="17.45" customHeight="1">
      <c r="A187" s="58">
        <v>183</v>
      </c>
      <c r="B187" s="59" t="str">
        <f>'C Div'!A187 &amp; " " &amp; 'C Div'!B187</f>
        <v xml:space="preserve"> </v>
      </c>
      <c r="C187" s="59">
        <f>'C Div'!E187</f>
        <v>0</v>
      </c>
      <c r="D187" s="60"/>
      <c r="E187" s="60"/>
      <c r="F187" s="60"/>
      <c r="G187" s="60"/>
      <c r="H187" s="60"/>
      <c r="I187" s="60"/>
      <c r="J187" s="60"/>
      <c r="K187" s="60"/>
      <c r="L187" s="60"/>
      <c r="M187" s="74" t="str">
        <f t="shared" si="31"/>
        <v>-</v>
      </c>
      <c r="N187" s="60"/>
      <c r="O187" s="60"/>
      <c r="P187" s="60"/>
      <c r="Q187" s="60"/>
      <c r="R187" s="60"/>
      <c r="S187" s="60"/>
      <c r="T187" s="60"/>
      <c r="U187" s="60"/>
      <c r="V187" s="60"/>
      <c r="W187" s="74" t="str">
        <f t="shared" si="32"/>
        <v>-</v>
      </c>
      <c r="X187" s="155" t="str">
        <f t="shared" si="33"/>
        <v>-</v>
      </c>
      <c r="Y187" s="156" t="str">
        <f t="shared" si="34"/>
        <v>-</v>
      </c>
      <c r="AA187" s="60"/>
      <c r="AB187" s="60"/>
      <c r="AC187" s="60"/>
      <c r="AD187" s="60"/>
      <c r="AE187" s="60"/>
      <c r="AF187" s="60"/>
      <c r="AG187" s="60"/>
      <c r="AH187" s="60"/>
      <c r="AI187" s="60"/>
      <c r="AJ187" s="74" t="str">
        <f t="shared" si="35"/>
        <v>-</v>
      </c>
      <c r="AK187" s="60"/>
      <c r="AL187" s="60"/>
      <c r="AM187" s="60"/>
      <c r="AN187" s="60"/>
      <c r="AO187" s="60"/>
      <c r="AP187" s="60"/>
      <c r="AQ187" s="60"/>
      <c r="AR187" s="60"/>
      <c r="AS187" s="60"/>
      <c r="AT187" s="74" t="str">
        <f t="shared" si="36"/>
        <v>-</v>
      </c>
      <c r="AU187" s="155" t="str">
        <f t="shared" si="37"/>
        <v>-</v>
      </c>
      <c r="AV187" s="156" t="str">
        <f t="shared" si="38"/>
        <v>-</v>
      </c>
      <c r="AX187" s="59" t="str">
        <f>IF(AND(D187&gt;0,AA187&gt;0),MIN(D187,AA187),"-")</f>
        <v>-</v>
      </c>
      <c r="AY187" s="59" t="str">
        <f>IF(AND(E187&gt;0,AB187&gt;0),MIN(E187,AB187),"-")</f>
        <v>-</v>
      </c>
      <c r="AZ187" s="59" t="str">
        <f>IF(AND(F187&gt;0,AC187&gt;0),MIN(F187,AC187),"-")</f>
        <v>-</v>
      </c>
      <c r="BA187" s="59" t="str">
        <f>IF(AND(G187&gt;0,AD187&gt;0),MIN(G187,AD187),"-")</f>
        <v>-</v>
      </c>
      <c r="BB187" s="59" t="str">
        <f>IF(AND(H187&gt;0,AE187&gt;0),MIN(H187,AE187),"-")</f>
        <v>-</v>
      </c>
      <c r="BC187" s="59" t="str">
        <f>IF(AND(I187&gt;0,AF187&gt;0),MIN(I187,AF187),"-")</f>
        <v>-</v>
      </c>
      <c r="BD187" s="59" t="str">
        <f>IF(AND(J187&gt;0,AG187&gt;0),MIN(J187,AG187),"-")</f>
        <v>-</v>
      </c>
      <c r="BE187" s="59" t="str">
        <f>IF(AND(K187&gt;0,AH187&gt;0),MIN(K187,AH187),"-")</f>
        <v>-</v>
      </c>
      <c r="BF187" s="59" t="str">
        <f>IF(AND(L187&gt;0,AI187&gt;0),MIN(L187,AI187),"-")</f>
        <v>-</v>
      </c>
      <c r="BG187" s="59" t="str">
        <f t="shared" si="39"/>
        <v>-</v>
      </c>
      <c r="BH187" s="59" t="str">
        <f>IF(AND(N187&gt;0,AK187&gt;0),MIN(N187,AK187),"-")</f>
        <v>-</v>
      </c>
      <c r="BI187" s="59" t="str">
        <f>IF(AND(O187&gt;0,AL187&gt;0),MIN(O187,AL187),"-")</f>
        <v>-</v>
      </c>
      <c r="BJ187" s="59" t="str">
        <f>IF(AND(P187&gt;0,AM187&gt;0),MIN(P187,AM187),"-")</f>
        <v>-</v>
      </c>
      <c r="BK187" s="59" t="str">
        <f>IF(AND(Q187&gt;0,AN187&gt;0),MIN(Q187,AN187),"-")</f>
        <v>-</v>
      </c>
      <c r="BL187" s="59" t="str">
        <f>IF(AND(R187&gt;0,AO187&gt;0),MIN(R187,AO187),"-")</f>
        <v>-</v>
      </c>
      <c r="BM187" s="59" t="str">
        <f>IF(AND(S187&gt;0,AP187&gt;0),MIN(S187,AP187),"-")</f>
        <v>-</v>
      </c>
      <c r="BN187" s="59" t="str">
        <f>IF(AND(T187&gt;0,AQ187&gt;0),MIN(T187,AQ187),"-")</f>
        <v>-</v>
      </c>
      <c r="BO187" s="59" t="str">
        <f>IF(AND(U187&gt;0,AR187&gt;0),MIN(U187,AR187),"-")</f>
        <v>-</v>
      </c>
      <c r="BP187" s="59" t="str">
        <f>IF(AND(V187&gt;0,AS187&gt;0),MIN(V187,AS187),"-")</f>
        <v>-</v>
      </c>
      <c r="BQ187" s="59" t="str">
        <f t="shared" si="40"/>
        <v>-</v>
      </c>
      <c r="BR187" s="59" t="str">
        <f t="shared" si="41"/>
        <v>-</v>
      </c>
      <c r="BS187" s="59" t="str">
        <f t="shared" si="42"/>
        <v>-</v>
      </c>
      <c r="BT187" s="98" t="str">
        <f>IF(ISNUMBER(BS187),BS187-(C187*Rules!$P$9/100),"-")</f>
        <v>-</v>
      </c>
      <c r="BU187" s="59" t="e">
        <f>RANK($BT187,$BT$5:$BT$106,1)+COUNTIF(BT$5:BT187,BT187)-1</f>
        <v>#VALUE!</v>
      </c>
      <c r="BV187" s="59" t="e">
        <f t="shared" si="43"/>
        <v>#VALUE!</v>
      </c>
      <c r="BW187" s="59" t="str">
        <f t="shared" si="44"/>
        <v xml:space="preserve"> </v>
      </c>
      <c r="BX187" s="59">
        <f t="shared" si="44"/>
        <v>0</v>
      </c>
      <c r="BY187" s="59" t="str">
        <f t="shared" si="45"/>
        <v>-</v>
      </c>
      <c r="CD187" s="79"/>
      <c r="CE187" s="80"/>
      <c r="CF187" s="104"/>
      <c r="CL187" s="77">
        <v>1</v>
      </c>
    </row>
    <row r="188" spans="1:90" ht="17.45" customHeight="1">
      <c r="A188" s="58">
        <v>184</v>
      </c>
      <c r="B188" s="59" t="str">
        <f>'C Div'!A188 &amp; " " &amp; 'C Div'!B188</f>
        <v xml:space="preserve"> </v>
      </c>
      <c r="C188" s="59">
        <f>'C Div'!E188</f>
        <v>0</v>
      </c>
      <c r="D188" s="60"/>
      <c r="E188" s="60"/>
      <c r="F188" s="60"/>
      <c r="G188" s="60"/>
      <c r="H188" s="60"/>
      <c r="I188" s="60"/>
      <c r="J188" s="60"/>
      <c r="K188" s="60"/>
      <c r="L188" s="60"/>
      <c r="M188" s="74" t="str">
        <f t="shared" si="31"/>
        <v>-</v>
      </c>
      <c r="N188" s="60"/>
      <c r="O188" s="60"/>
      <c r="P188" s="60"/>
      <c r="Q188" s="60"/>
      <c r="R188" s="60"/>
      <c r="S188" s="60"/>
      <c r="T188" s="60"/>
      <c r="U188" s="60"/>
      <c r="V188" s="60"/>
      <c r="W188" s="74" t="str">
        <f t="shared" si="32"/>
        <v>-</v>
      </c>
      <c r="X188" s="155" t="str">
        <f t="shared" si="33"/>
        <v>-</v>
      </c>
      <c r="Y188" s="156" t="str">
        <f t="shared" si="34"/>
        <v>-</v>
      </c>
      <c r="AA188" s="60"/>
      <c r="AB188" s="60"/>
      <c r="AC188" s="60"/>
      <c r="AD188" s="60"/>
      <c r="AE188" s="60"/>
      <c r="AF188" s="60"/>
      <c r="AG188" s="60"/>
      <c r="AH188" s="60"/>
      <c r="AI188" s="60"/>
      <c r="AJ188" s="74" t="str">
        <f t="shared" si="35"/>
        <v>-</v>
      </c>
      <c r="AK188" s="60"/>
      <c r="AL188" s="60"/>
      <c r="AM188" s="60"/>
      <c r="AN188" s="60"/>
      <c r="AO188" s="60"/>
      <c r="AP188" s="60"/>
      <c r="AQ188" s="60"/>
      <c r="AR188" s="60"/>
      <c r="AS188" s="60"/>
      <c r="AT188" s="74" t="str">
        <f t="shared" si="36"/>
        <v>-</v>
      </c>
      <c r="AU188" s="155" t="str">
        <f t="shared" si="37"/>
        <v>-</v>
      </c>
      <c r="AV188" s="156" t="str">
        <f t="shared" si="38"/>
        <v>-</v>
      </c>
      <c r="AX188" s="59" t="str">
        <f>IF(AND(D188&gt;0,AA188&gt;0),MIN(D188,AA188),"-")</f>
        <v>-</v>
      </c>
      <c r="AY188" s="59" t="str">
        <f>IF(AND(E188&gt;0,AB188&gt;0),MIN(E188,AB188),"-")</f>
        <v>-</v>
      </c>
      <c r="AZ188" s="59" t="str">
        <f>IF(AND(F188&gt;0,AC188&gt;0),MIN(F188,AC188),"-")</f>
        <v>-</v>
      </c>
      <c r="BA188" s="59" t="str">
        <f>IF(AND(G188&gt;0,AD188&gt;0),MIN(G188,AD188),"-")</f>
        <v>-</v>
      </c>
      <c r="BB188" s="59" t="str">
        <f>IF(AND(H188&gt;0,AE188&gt;0),MIN(H188,AE188),"-")</f>
        <v>-</v>
      </c>
      <c r="BC188" s="59" t="str">
        <f>IF(AND(I188&gt;0,AF188&gt;0),MIN(I188,AF188),"-")</f>
        <v>-</v>
      </c>
      <c r="BD188" s="59" t="str">
        <f>IF(AND(J188&gt;0,AG188&gt;0),MIN(J188,AG188),"-")</f>
        <v>-</v>
      </c>
      <c r="BE188" s="59" t="str">
        <f>IF(AND(K188&gt;0,AH188&gt;0),MIN(K188,AH188),"-")</f>
        <v>-</v>
      </c>
      <c r="BF188" s="59" t="str">
        <f>IF(AND(L188&gt;0,AI188&gt;0),MIN(L188,AI188),"-")</f>
        <v>-</v>
      </c>
      <c r="BG188" s="59" t="str">
        <f t="shared" si="39"/>
        <v>-</v>
      </c>
      <c r="BH188" s="59" t="str">
        <f>IF(AND(N188&gt;0,AK188&gt;0),MIN(N188,AK188),"-")</f>
        <v>-</v>
      </c>
      <c r="BI188" s="59" t="str">
        <f>IF(AND(O188&gt;0,AL188&gt;0),MIN(O188,AL188),"-")</f>
        <v>-</v>
      </c>
      <c r="BJ188" s="59" t="str">
        <f>IF(AND(P188&gt;0,AM188&gt;0),MIN(P188,AM188),"-")</f>
        <v>-</v>
      </c>
      <c r="BK188" s="59" t="str">
        <f>IF(AND(Q188&gt;0,AN188&gt;0),MIN(Q188,AN188),"-")</f>
        <v>-</v>
      </c>
      <c r="BL188" s="59" t="str">
        <f>IF(AND(R188&gt;0,AO188&gt;0),MIN(R188,AO188),"-")</f>
        <v>-</v>
      </c>
      <c r="BM188" s="59" t="str">
        <f>IF(AND(S188&gt;0,AP188&gt;0),MIN(S188,AP188),"-")</f>
        <v>-</v>
      </c>
      <c r="BN188" s="59" t="str">
        <f>IF(AND(T188&gt;0,AQ188&gt;0),MIN(T188,AQ188),"-")</f>
        <v>-</v>
      </c>
      <c r="BO188" s="59" t="str">
        <f>IF(AND(U188&gt;0,AR188&gt;0),MIN(U188,AR188),"-")</f>
        <v>-</v>
      </c>
      <c r="BP188" s="59" t="str">
        <f>IF(AND(V188&gt;0,AS188&gt;0),MIN(V188,AS188),"-")</f>
        <v>-</v>
      </c>
      <c r="BQ188" s="59" t="str">
        <f t="shared" si="40"/>
        <v>-</v>
      </c>
      <c r="BR188" s="59" t="str">
        <f t="shared" si="41"/>
        <v>-</v>
      </c>
      <c r="BS188" s="59" t="str">
        <f t="shared" si="42"/>
        <v>-</v>
      </c>
      <c r="BT188" s="98" t="str">
        <f>IF(ISNUMBER(BS188),BS188-(C188*Rules!$P$9/100),"-")</f>
        <v>-</v>
      </c>
      <c r="BU188" s="59" t="e">
        <f>RANK($BT188,$BT$5:$BT$106,1)+COUNTIF(BT$5:BT188,BT188)-1</f>
        <v>#VALUE!</v>
      </c>
      <c r="BV188" s="59" t="e">
        <f t="shared" si="43"/>
        <v>#VALUE!</v>
      </c>
      <c r="BW188" s="59" t="str">
        <f t="shared" si="44"/>
        <v xml:space="preserve"> </v>
      </c>
      <c r="BX188" s="59">
        <f t="shared" si="44"/>
        <v>0</v>
      </c>
      <c r="BY188" s="59" t="str">
        <f t="shared" si="45"/>
        <v>-</v>
      </c>
      <c r="CD188" s="79"/>
      <c r="CE188" s="80"/>
      <c r="CF188" s="104"/>
      <c r="CL188" s="77">
        <v>1</v>
      </c>
    </row>
    <row r="189" spans="1:90" ht="17.45" customHeight="1">
      <c r="A189" s="58">
        <v>185</v>
      </c>
      <c r="B189" s="59" t="str">
        <f>'C Div'!A189 &amp; " " &amp; 'C Div'!B189</f>
        <v xml:space="preserve"> </v>
      </c>
      <c r="C189" s="59">
        <f>'C Div'!E189</f>
        <v>0</v>
      </c>
      <c r="D189" s="60"/>
      <c r="E189" s="60"/>
      <c r="F189" s="60"/>
      <c r="G189" s="60"/>
      <c r="H189" s="60"/>
      <c r="I189" s="60"/>
      <c r="J189" s="60"/>
      <c r="K189" s="60"/>
      <c r="L189" s="60"/>
      <c r="M189" s="74" t="str">
        <f t="shared" si="31"/>
        <v>-</v>
      </c>
      <c r="N189" s="60"/>
      <c r="O189" s="60"/>
      <c r="P189" s="60"/>
      <c r="Q189" s="60"/>
      <c r="R189" s="60"/>
      <c r="S189" s="60"/>
      <c r="T189" s="60"/>
      <c r="U189" s="60"/>
      <c r="V189" s="60"/>
      <c r="W189" s="74" t="str">
        <f t="shared" si="32"/>
        <v>-</v>
      </c>
      <c r="X189" s="155" t="str">
        <f t="shared" si="33"/>
        <v>-</v>
      </c>
      <c r="Y189" s="156" t="str">
        <f t="shared" si="34"/>
        <v>-</v>
      </c>
      <c r="AA189" s="60"/>
      <c r="AB189" s="60"/>
      <c r="AC189" s="60"/>
      <c r="AD189" s="60"/>
      <c r="AE189" s="60"/>
      <c r="AF189" s="60"/>
      <c r="AG189" s="60"/>
      <c r="AH189" s="60"/>
      <c r="AI189" s="60"/>
      <c r="AJ189" s="74" t="str">
        <f t="shared" si="35"/>
        <v>-</v>
      </c>
      <c r="AK189" s="60"/>
      <c r="AL189" s="60"/>
      <c r="AM189" s="60"/>
      <c r="AN189" s="60"/>
      <c r="AO189" s="60"/>
      <c r="AP189" s="60"/>
      <c r="AQ189" s="60"/>
      <c r="AR189" s="60"/>
      <c r="AS189" s="60"/>
      <c r="AT189" s="74" t="str">
        <f t="shared" si="36"/>
        <v>-</v>
      </c>
      <c r="AU189" s="155" t="str">
        <f t="shared" si="37"/>
        <v>-</v>
      </c>
      <c r="AV189" s="156" t="str">
        <f t="shared" si="38"/>
        <v>-</v>
      </c>
      <c r="AX189" s="59" t="str">
        <f>IF(AND(D189&gt;0,AA189&gt;0),MIN(D189,AA189),"-")</f>
        <v>-</v>
      </c>
      <c r="AY189" s="59" t="str">
        <f>IF(AND(E189&gt;0,AB189&gt;0),MIN(E189,AB189),"-")</f>
        <v>-</v>
      </c>
      <c r="AZ189" s="59" t="str">
        <f>IF(AND(F189&gt;0,AC189&gt;0),MIN(F189,AC189),"-")</f>
        <v>-</v>
      </c>
      <c r="BA189" s="59" t="str">
        <f>IF(AND(G189&gt;0,AD189&gt;0),MIN(G189,AD189),"-")</f>
        <v>-</v>
      </c>
      <c r="BB189" s="59" t="str">
        <f>IF(AND(H189&gt;0,AE189&gt;0),MIN(H189,AE189),"-")</f>
        <v>-</v>
      </c>
      <c r="BC189" s="59" t="str">
        <f>IF(AND(I189&gt;0,AF189&gt;0),MIN(I189,AF189),"-")</f>
        <v>-</v>
      </c>
      <c r="BD189" s="59" t="str">
        <f>IF(AND(J189&gt;0,AG189&gt;0),MIN(J189,AG189),"-")</f>
        <v>-</v>
      </c>
      <c r="BE189" s="59" t="str">
        <f>IF(AND(K189&gt;0,AH189&gt;0),MIN(K189,AH189),"-")</f>
        <v>-</v>
      </c>
      <c r="BF189" s="59" t="str">
        <f>IF(AND(L189&gt;0,AI189&gt;0),MIN(L189,AI189),"-")</f>
        <v>-</v>
      </c>
      <c r="BG189" s="59" t="str">
        <f t="shared" si="39"/>
        <v>-</v>
      </c>
      <c r="BH189" s="59" t="str">
        <f>IF(AND(N189&gt;0,AK189&gt;0),MIN(N189,AK189),"-")</f>
        <v>-</v>
      </c>
      <c r="BI189" s="59" t="str">
        <f>IF(AND(O189&gt;0,AL189&gt;0),MIN(O189,AL189),"-")</f>
        <v>-</v>
      </c>
      <c r="BJ189" s="59" t="str">
        <f>IF(AND(P189&gt;0,AM189&gt;0),MIN(P189,AM189),"-")</f>
        <v>-</v>
      </c>
      <c r="BK189" s="59" t="str">
        <f>IF(AND(Q189&gt;0,AN189&gt;0),MIN(Q189,AN189),"-")</f>
        <v>-</v>
      </c>
      <c r="BL189" s="59" t="str">
        <f>IF(AND(R189&gt;0,AO189&gt;0),MIN(R189,AO189),"-")</f>
        <v>-</v>
      </c>
      <c r="BM189" s="59" t="str">
        <f>IF(AND(S189&gt;0,AP189&gt;0),MIN(S189,AP189),"-")</f>
        <v>-</v>
      </c>
      <c r="BN189" s="59" t="str">
        <f>IF(AND(T189&gt;0,AQ189&gt;0),MIN(T189,AQ189),"-")</f>
        <v>-</v>
      </c>
      <c r="BO189" s="59" t="str">
        <f>IF(AND(U189&gt;0,AR189&gt;0),MIN(U189,AR189),"-")</f>
        <v>-</v>
      </c>
      <c r="BP189" s="59" t="str">
        <f>IF(AND(V189&gt;0,AS189&gt;0),MIN(V189,AS189),"-")</f>
        <v>-</v>
      </c>
      <c r="BQ189" s="59" t="str">
        <f t="shared" si="40"/>
        <v>-</v>
      </c>
      <c r="BR189" s="59" t="str">
        <f t="shared" si="41"/>
        <v>-</v>
      </c>
      <c r="BS189" s="59" t="str">
        <f t="shared" si="42"/>
        <v>-</v>
      </c>
      <c r="BT189" s="98" t="str">
        <f>IF(ISNUMBER(BS189),BS189-(C189*Rules!$P$9/100),"-")</f>
        <v>-</v>
      </c>
      <c r="BU189" s="59" t="e">
        <f>RANK($BT189,$BT$5:$BT$106,1)+COUNTIF(BT$5:BT189,BT189)-1</f>
        <v>#VALUE!</v>
      </c>
      <c r="BV189" s="59" t="e">
        <f t="shared" si="43"/>
        <v>#VALUE!</v>
      </c>
      <c r="BW189" s="59" t="str">
        <f t="shared" si="44"/>
        <v xml:space="preserve"> </v>
      </c>
      <c r="BX189" s="59">
        <f t="shared" si="44"/>
        <v>0</v>
      </c>
      <c r="BY189" s="59" t="str">
        <f t="shared" si="45"/>
        <v>-</v>
      </c>
      <c r="CD189" s="79"/>
      <c r="CE189" s="80"/>
      <c r="CF189" s="104"/>
      <c r="CL189" s="77">
        <v>1</v>
      </c>
    </row>
    <row r="190" spans="1:90" ht="17.45" customHeight="1">
      <c r="A190" s="58">
        <v>186</v>
      </c>
      <c r="B190" s="59" t="str">
        <f>'C Div'!A190 &amp; " " &amp; 'C Div'!B190</f>
        <v xml:space="preserve"> </v>
      </c>
      <c r="C190" s="59">
        <f>'C Div'!E190</f>
        <v>0</v>
      </c>
      <c r="D190" s="60"/>
      <c r="E190" s="60"/>
      <c r="F190" s="60"/>
      <c r="G190" s="60"/>
      <c r="H190" s="60"/>
      <c r="I190" s="60"/>
      <c r="J190" s="60"/>
      <c r="K190" s="60"/>
      <c r="L190" s="60"/>
      <c r="M190" s="74" t="str">
        <f t="shared" si="31"/>
        <v>-</v>
      </c>
      <c r="N190" s="60"/>
      <c r="O190" s="60"/>
      <c r="P190" s="60"/>
      <c r="Q190" s="60"/>
      <c r="R190" s="60"/>
      <c r="S190" s="60"/>
      <c r="T190" s="60"/>
      <c r="U190" s="60"/>
      <c r="V190" s="60"/>
      <c r="W190" s="74" t="str">
        <f t="shared" si="32"/>
        <v>-</v>
      </c>
      <c r="X190" s="155" t="str">
        <f t="shared" si="33"/>
        <v>-</v>
      </c>
      <c r="Y190" s="156" t="str">
        <f t="shared" si="34"/>
        <v>-</v>
      </c>
      <c r="AA190" s="60"/>
      <c r="AB190" s="60"/>
      <c r="AC190" s="60"/>
      <c r="AD190" s="60"/>
      <c r="AE190" s="60"/>
      <c r="AF190" s="60"/>
      <c r="AG190" s="60"/>
      <c r="AH190" s="60"/>
      <c r="AI190" s="60"/>
      <c r="AJ190" s="74" t="str">
        <f t="shared" si="35"/>
        <v>-</v>
      </c>
      <c r="AK190" s="60"/>
      <c r="AL190" s="60"/>
      <c r="AM190" s="60"/>
      <c r="AN190" s="60"/>
      <c r="AO190" s="60"/>
      <c r="AP190" s="60"/>
      <c r="AQ190" s="60"/>
      <c r="AR190" s="60"/>
      <c r="AS190" s="60"/>
      <c r="AT190" s="74" t="str">
        <f t="shared" si="36"/>
        <v>-</v>
      </c>
      <c r="AU190" s="155" t="str">
        <f t="shared" si="37"/>
        <v>-</v>
      </c>
      <c r="AV190" s="156" t="str">
        <f t="shared" si="38"/>
        <v>-</v>
      </c>
      <c r="AX190" s="59" t="str">
        <f>IF(AND(D190&gt;0,AA190&gt;0),MIN(D190,AA190),"-")</f>
        <v>-</v>
      </c>
      <c r="AY190" s="59" t="str">
        <f>IF(AND(E190&gt;0,AB190&gt;0),MIN(E190,AB190),"-")</f>
        <v>-</v>
      </c>
      <c r="AZ190" s="59" t="str">
        <f>IF(AND(F190&gt;0,AC190&gt;0),MIN(F190,AC190),"-")</f>
        <v>-</v>
      </c>
      <c r="BA190" s="59" t="str">
        <f>IF(AND(G190&gt;0,AD190&gt;0),MIN(G190,AD190),"-")</f>
        <v>-</v>
      </c>
      <c r="BB190" s="59" t="str">
        <f>IF(AND(H190&gt;0,AE190&gt;0),MIN(H190,AE190),"-")</f>
        <v>-</v>
      </c>
      <c r="BC190" s="59" t="str">
        <f>IF(AND(I190&gt;0,AF190&gt;0),MIN(I190,AF190),"-")</f>
        <v>-</v>
      </c>
      <c r="BD190" s="59" t="str">
        <f>IF(AND(J190&gt;0,AG190&gt;0),MIN(J190,AG190),"-")</f>
        <v>-</v>
      </c>
      <c r="BE190" s="59" t="str">
        <f>IF(AND(K190&gt;0,AH190&gt;0),MIN(K190,AH190),"-")</f>
        <v>-</v>
      </c>
      <c r="BF190" s="59" t="str">
        <f>IF(AND(L190&gt;0,AI190&gt;0),MIN(L190,AI190),"-")</f>
        <v>-</v>
      </c>
      <c r="BG190" s="59" t="str">
        <f t="shared" si="39"/>
        <v>-</v>
      </c>
      <c r="BH190" s="59" t="str">
        <f>IF(AND(N190&gt;0,AK190&gt;0),MIN(N190,AK190),"-")</f>
        <v>-</v>
      </c>
      <c r="BI190" s="59" t="str">
        <f>IF(AND(O190&gt;0,AL190&gt;0),MIN(O190,AL190),"-")</f>
        <v>-</v>
      </c>
      <c r="BJ190" s="59" t="str">
        <f>IF(AND(P190&gt;0,AM190&gt;0),MIN(P190,AM190),"-")</f>
        <v>-</v>
      </c>
      <c r="BK190" s="59" t="str">
        <f>IF(AND(Q190&gt;0,AN190&gt;0),MIN(Q190,AN190),"-")</f>
        <v>-</v>
      </c>
      <c r="BL190" s="59" t="str">
        <f>IF(AND(R190&gt;0,AO190&gt;0),MIN(R190,AO190),"-")</f>
        <v>-</v>
      </c>
      <c r="BM190" s="59" t="str">
        <f>IF(AND(S190&gt;0,AP190&gt;0),MIN(S190,AP190),"-")</f>
        <v>-</v>
      </c>
      <c r="BN190" s="59" t="str">
        <f>IF(AND(T190&gt;0,AQ190&gt;0),MIN(T190,AQ190),"-")</f>
        <v>-</v>
      </c>
      <c r="BO190" s="59" t="str">
        <f>IF(AND(U190&gt;0,AR190&gt;0),MIN(U190,AR190),"-")</f>
        <v>-</v>
      </c>
      <c r="BP190" s="59" t="str">
        <f>IF(AND(V190&gt;0,AS190&gt;0),MIN(V190,AS190),"-")</f>
        <v>-</v>
      </c>
      <c r="BQ190" s="59" t="str">
        <f t="shared" si="40"/>
        <v>-</v>
      </c>
      <c r="BR190" s="59" t="str">
        <f t="shared" si="41"/>
        <v>-</v>
      </c>
      <c r="BS190" s="59" t="str">
        <f t="shared" si="42"/>
        <v>-</v>
      </c>
      <c r="BT190" s="98" t="str">
        <f>IF(ISNUMBER(BS190),BS190-(C190*Rules!$P$9/100),"-")</f>
        <v>-</v>
      </c>
      <c r="BU190" s="59" t="e">
        <f>RANK($BT190,$BT$5:$BT$106,1)+COUNTIF(BT$5:BT190,BT190)-1</f>
        <v>#VALUE!</v>
      </c>
      <c r="BV190" s="59" t="e">
        <f t="shared" si="43"/>
        <v>#VALUE!</v>
      </c>
      <c r="BW190" s="59" t="str">
        <f t="shared" si="44"/>
        <v xml:space="preserve"> </v>
      </c>
      <c r="BX190" s="59">
        <f t="shared" si="44"/>
        <v>0</v>
      </c>
      <c r="BY190" s="59" t="str">
        <f t="shared" si="45"/>
        <v>-</v>
      </c>
      <c r="CD190" s="79"/>
      <c r="CE190" s="80"/>
      <c r="CF190" s="104"/>
      <c r="CL190" s="77">
        <v>1</v>
      </c>
    </row>
    <row r="191" spans="1:90" ht="17.45" customHeight="1">
      <c r="A191" s="58">
        <v>187</v>
      </c>
      <c r="B191" s="59" t="str">
        <f>'C Div'!A191 &amp; " " &amp; 'C Div'!B191</f>
        <v xml:space="preserve"> </v>
      </c>
      <c r="C191" s="59">
        <f>'C Div'!E191</f>
        <v>0</v>
      </c>
      <c r="D191" s="60"/>
      <c r="E191" s="60"/>
      <c r="F191" s="60"/>
      <c r="G191" s="60"/>
      <c r="H191" s="60"/>
      <c r="I191" s="60"/>
      <c r="J191" s="60"/>
      <c r="K191" s="60"/>
      <c r="L191" s="60"/>
      <c r="M191" s="74" t="str">
        <f t="shared" si="31"/>
        <v>-</v>
      </c>
      <c r="N191" s="60"/>
      <c r="O191" s="60"/>
      <c r="P191" s="60"/>
      <c r="Q191" s="60"/>
      <c r="R191" s="60"/>
      <c r="S191" s="60"/>
      <c r="T191" s="60"/>
      <c r="U191" s="60"/>
      <c r="V191" s="60"/>
      <c r="W191" s="74" t="str">
        <f t="shared" si="32"/>
        <v>-</v>
      </c>
      <c r="X191" s="155" t="str">
        <f t="shared" si="33"/>
        <v>-</v>
      </c>
      <c r="Y191" s="156" t="str">
        <f t="shared" si="34"/>
        <v>-</v>
      </c>
      <c r="AA191" s="60"/>
      <c r="AB191" s="60"/>
      <c r="AC191" s="60"/>
      <c r="AD191" s="60"/>
      <c r="AE191" s="60"/>
      <c r="AF191" s="60"/>
      <c r="AG191" s="60"/>
      <c r="AH191" s="60"/>
      <c r="AI191" s="60"/>
      <c r="AJ191" s="74" t="str">
        <f t="shared" si="35"/>
        <v>-</v>
      </c>
      <c r="AK191" s="60"/>
      <c r="AL191" s="60"/>
      <c r="AM191" s="60"/>
      <c r="AN191" s="60"/>
      <c r="AO191" s="60"/>
      <c r="AP191" s="60"/>
      <c r="AQ191" s="60"/>
      <c r="AR191" s="60"/>
      <c r="AS191" s="60"/>
      <c r="AT191" s="74" t="str">
        <f t="shared" si="36"/>
        <v>-</v>
      </c>
      <c r="AU191" s="155" t="str">
        <f t="shared" si="37"/>
        <v>-</v>
      </c>
      <c r="AV191" s="156" t="str">
        <f t="shared" si="38"/>
        <v>-</v>
      </c>
      <c r="AX191" s="59" t="str">
        <f>IF(AND(D191&gt;0,AA191&gt;0),MIN(D191,AA191),"-")</f>
        <v>-</v>
      </c>
      <c r="AY191" s="59" t="str">
        <f>IF(AND(E191&gt;0,AB191&gt;0),MIN(E191,AB191),"-")</f>
        <v>-</v>
      </c>
      <c r="AZ191" s="59" t="str">
        <f>IF(AND(F191&gt;0,AC191&gt;0),MIN(F191,AC191),"-")</f>
        <v>-</v>
      </c>
      <c r="BA191" s="59" t="str">
        <f>IF(AND(G191&gt;0,AD191&gt;0),MIN(G191,AD191),"-")</f>
        <v>-</v>
      </c>
      <c r="BB191" s="59" t="str">
        <f>IF(AND(H191&gt;0,AE191&gt;0),MIN(H191,AE191),"-")</f>
        <v>-</v>
      </c>
      <c r="BC191" s="59" t="str">
        <f>IF(AND(I191&gt;0,AF191&gt;0),MIN(I191,AF191),"-")</f>
        <v>-</v>
      </c>
      <c r="BD191" s="59" t="str">
        <f>IF(AND(J191&gt;0,AG191&gt;0),MIN(J191,AG191),"-")</f>
        <v>-</v>
      </c>
      <c r="BE191" s="59" t="str">
        <f>IF(AND(K191&gt;0,AH191&gt;0),MIN(K191,AH191),"-")</f>
        <v>-</v>
      </c>
      <c r="BF191" s="59" t="str">
        <f>IF(AND(L191&gt;0,AI191&gt;0),MIN(L191,AI191),"-")</f>
        <v>-</v>
      </c>
      <c r="BG191" s="59" t="str">
        <f t="shared" si="39"/>
        <v>-</v>
      </c>
      <c r="BH191" s="59" t="str">
        <f>IF(AND(N191&gt;0,AK191&gt;0),MIN(N191,AK191),"-")</f>
        <v>-</v>
      </c>
      <c r="BI191" s="59" t="str">
        <f>IF(AND(O191&gt;0,AL191&gt;0),MIN(O191,AL191),"-")</f>
        <v>-</v>
      </c>
      <c r="BJ191" s="59" t="str">
        <f>IF(AND(P191&gt;0,AM191&gt;0),MIN(P191,AM191),"-")</f>
        <v>-</v>
      </c>
      <c r="BK191" s="59" t="str">
        <f>IF(AND(Q191&gt;0,AN191&gt;0),MIN(Q191,AN191),"-")</f>
        <v>-</v>
      </c>
      <c r="BL191" s="59" t="str">
        <f>IF(AND(R191&gt;0,AO191&gt;0),MIN(R191,AO191),"-")</f>
        <v>-</v>
      </c>
      <c r="BM191" s="59" t="str">
        <f>IF(AND(S191&gt;0,AP191&gt;0),MIN(S191,AP191),"-")</f>
        <v>-</v>
      </c>
      <c r="BN191" s="59" t="str">
        <f>IF(AND(T191&gt;0,AQ191&gt;0),MIN(T191,AQ191),"-")</f>
        <v>-</v>
      </c>
      <c r="BO191" s="59" t="str">
        <f>IF(AND(U191&gt;0,AR191&gt;0),MIN(U191,AR191),"-")</f>
        <v>-</v>
      </c>
      <c r="BP191" s="59" t="str">
        <f>IF(AND(V191&gt;0,AS191&gt;0),MIN(V191,AS191),"-")</f>
        <v>-</v>
      </c>
      <c r="BQ191" s="59" t="str">
        <f t="shared" si="40"/>
        <v>-</v>
      </c>
      <c r="BR191" s="59" t="str">
        <f t="shared" si="41"/>
        <v>-</v>
      </c>
      <c r="BS191" s="59" t="str">
        <f t="shared" si="42"/>
        <v>-</v>
      </c>
      <c r="BT191" s="98" t="str">
        <f>IF(ISNUMBER(BS191),BS191-(C191*Rules!$P$9/100),"-")</f>
        <v>-</v>
      </c>
      <c r="BU191" s="59" t="e">
        <f>RANK($BT191,$BT$5:$BT$106,1)+COUNTIF(BT$5:BT191,BT191)-1</f>
        <v>#VALUE!</v>
      </c>
      <c r="BV191" s="59" t="e">
        <f t="shared" si="43"/>
        <v>#VALUE!</v>
      </c>
      <c r="BW191" s="59" t="str">
        <f t="shared" si="44"/>
        <v xml:space="preserve"> </v>
      </c>
      <c r="BX191" s="59">
        <f t="shared" si="44"/>
        <v>0</v>
      </c>
      <c r="BY191" s="59" t="str">
        <f t="shared" si="45"/>
        <v>-</v>
      </c>
      <c r="CD191" s="79"/>
      <c r="CE191" s="80"/>
      <c r="CF191" s="104"/>
      <c r="CL191" s="77">
        <v>1</v>
      </c>
    </row>
    <row r="192" spans="1:90" ht="17.45" customHeight="1">
      <c r="A192" s="58">
        <v>188</v>
      </c>
      <c r="B192" s="59" t="str">
        <f>'C Div'!A192 &amp; " " &amp; 'C Div'!B192</f>
        <v xml:space="preserve"> </v>
      </c>
      <c r="C192" s="59">
        <f>'C Div'!E192</f>
        <v>0</v>
      </c>
      <c r="D192" s="60"/>
      <c r="E192" s="60"/>
      <c r="F192" s="60"/>
      <c r="G192" s="60"/>
      <c r="H192" s="60"/>
      <c r="I192" s="60"/>
      <c r="J192" s="60"/>
      <c r="K192" s="60"/>
      <c r="L192" s="60"/>
      <c r="M192" s="74" t="str">
        <f t="shared" si="31"/>
        <v>-</v>
      </c>
      <c r="N192" s="60"/>
      <c r="O192" s="60"/>
      <c r="P192" s="60"/>
      <c r="Q192" s="60"/>
      <c r="R192" s="60"/>
      <c r="S192" s="60"/>
      <c r="T192" s="60"/>
      <c r="U192" s="60"/>
      <c r="V192" s="60"/>
      <c r="W192" s="74" t="str">
        <f t="shared" si="32"/>
        <v>-</v>
      </c>
      <c r="X192" s="155" t="str">
        <f t="shared" si="33"/>
        <v>-</v>
      </c>
      <c r="Y192" s="156" t="str">
        <f t="shared" si="34"/>
        <v>-</v>
      </c>
      <c r="AA192" s="60"/>
      <c r="AB192" s="60"/>
      <c r="AC192" s="60"/>
      <c r="AD192" s="60"/>
      <c r="AE192" s="60"/>
      <c r="AF192" s="60"/>
      <c r="AG192" s="60"/>
      <c r="AH192" s="60"/>
      <c r="AI192" s="60"/>
      <c r="AJ192" s="74" t="str">
        <f t="shared" si="35"/>
        <v>-</v>
      </c>
      <c r="AK192" s="60"/>
      <c r="AL192" s="60"/>
      <c r="AM192" s="60"/>
      <c r="AN192" s="60"/>
      <c r="AO192" s="60"/>
      <c r="AP192" s="60"/>
      <c r="AQ192" s="60"/>
      <c r="AR192" s="60"/>
      <c r="AS192" s="60"/>
      <c r="AT192" s="74" t="str">
        <f t="shared" si="36"/>
        <v>-</v>
      </c>
      <c r="AU192" s="155" t="str">
        <f t="shared" si="37"/>
        <v>-</v>
      </c>
      <c r="AV192" s="156" t="str">
        <f t="shared" si="38"/>
        <v>-</v>
      </c>
      <c r="AX192" s="59" t="str">
        <f>IF(AND(D192&gt;0,AA192&gt;0),MIN(D192,AA192),"-")</f>
        <v>-</v>
      </c>
      <c r="AY192" s="59" t="str">
        <f>IF(AND(E192&gt;0,AB192&gt;0),MIN(E192,AB192),"-")</f>
        <v>-</v>
      </c>
      <c r="AZ192" s="59" t="str">
        <f>IF(AND(F192&gt;0,AC192&gt;0),MIN(F192,AC192),"-")</f>
        <v>-</v>
      </c>
      <c r="BA192" s="59" t="str">
        <f>IF(AND(G192&gt;0,AD192&gt;0),MIN(G192,AD192),"-")</f>
        <v>-</v>
      </c>
      <c r="BB192" s="59" t="str">
        <f>IF(AND(H192&gt;0,AE192&gt;0),MIN(H192,AE192),"-")</f>
        <v>-</v>
      </c>
      <c r="BC192" s="59" t="str">
        <f>IF(AND(I192&gt;0,AF192&gt;0),MIN(I192,AF192),"-")</f>
        <v>-</v>
      </c>
      <c r="BD192" s="59" t="str">
        <f>IF(AND(J192&gt;0,AG192&gt;0),MIN(J192,AG192),"-")</f>
        <v>-</v>
      </c>
      <c r="BE192" s="59" t="str">
        <f>IF(AND(K192&gt;0,AH192&gt;0),MIN(K192,AH192),"-")</f>
        <v>-</v>
      </c>
      <c r="BF192" s="59" t="str">
        <f>IF(AND(L192&gt;0,AI192&gt;0),MIN(L192,AI192),"-")</f>
        <v>-</v>
      </c>
      <c r="BG192" s="59" t="str">
        <f t="shared" si="39"/>
        <v>-</v>
      </c>
      <c r="BH192" s="59" t="str">
        <f>IF(AND(N192&gt;0,AK192&gt;0),MIN(N192,AK192),"-")</f>
        <v>-</v>
      </c>
      <c r="BI192" s="59" t="str">
        <f>IF(AND(O192&gt;0,AL192&gt;0),MIN(O192,AL192),"-")</f>
        <v>-</v>
      </c>
      <c r="BJ192" s="59" t="str">
        <f>IF(AND(P192&gt;0,AM192&gt;0),MIN(P192,AM192),"-")</f>
        <v>-</v>
      </c>
      <c r="BK192" s="59" t="str">
        <f>IF(AND(Q192&gt;0,AN192&gt;0),MIN(Q192,AN192),"-")</f>
        <v>-</v>
      </c>
      <c r="BL192" s="59" t="str">
        <f>IF(AND(R192&gt;0,AO192&gt;0),MIN(R192,AO192),"-")</f>
        <v>-</v>
      </c>
      <c r="BM192" s="59" t="str">
        <f>IF(AND(S192&gt;0,AP192&gt;0),MIN(S192,AP192),"-")</f>
        <v>-</v>
      </c>
      <c r="BN192" s="59" t="str">
        <f>IF(AND(T192&gt;0,AQ192&gt;0),MIN(T192,AQ192),"-")</f>
        <v>-</v>
      </c>
      <c r="BO192" s="59" t="str">
        <f>IF(AND(U192&gt;0,AR192&gt;0),MIN(U192,AR192),"-")</f>
        <v>-</v>
      </c>
      <c r="BP192" s="59" t="str">
        <f>IF(AND(V192&gt;0,AS192&gt;0),MIN(V192,AS192),"-")</f>
        <v>-</v>
      </c>
      <c r="BQ192" s="59" t="str">
        <f t="shared" si="40"/>
        <v>-</v>
      </c>
      <c r="BR192" s="59" t="str">
        <f t="shared" si="41"/>
        <v>-</v>
      </c>
      <c r="BS192" s="59" t="str">
        <f t="shared" si="42"/>
        <v>-</v>
      </c>
      <c r="BT192" s="98" t="str">
        <f>IF(ISNUMBER(BS192),BS192-(C192*Rules!$P$9/100),"-")</f>
        <v>-</v>
      </c>
      <c r="BU192" s="59" t="e">
        <f>RANK($BT192,$BT$5:$BT$106,1)+COUNTIF(BT$5:BT192,BT192)-1</f>
        <v>#VALUE!</v>
      </c>
      <c r="BV192" s="59" t="e">
        <f t="shared" si="43"/>
        <v>#VALUE!</v>
      </c>
      <c r="BW192" s="59" t="str">
        <f t="shared" si="44"/>
        <v xml:space="preserve"> </v>
      </c>
      <c r="BX192" s="59">
        <f t="shared" si="44"/>
        <v>0</v>
      </c>
      <c r="BY192" s="59" t="str">
        <f t="shared" si="45"/>
        <v>-</v>
      </c>
      <c r="CD192" s="79"/>
      <c r="CE192" s="80"/>
      <c r="CF192" s="104"/>
      <c r="CL192" s="77">
        <v>1</v>
      </c>
    </row>
    <row r="193" spans="1:90" ht="17.45" customHeight="1">
      <c r="A193" s="58">
        <v>189</v>
      </c>
      <c r="B193" s="59" t="str">
        <f>'C Div'!A193 &amp; " " &amp; 'C Div'!B193</f>
        <v xml:space="preserve"> </v>
      </c>
      <c r="C193" s="59">
        <f>'C Div'!E193</f>
        <v>0</v>
      </c>
      <c r="D193" s="60"/>
      <c r="E193" s="60"/>
      <c r="F193" s="60"/>
      <c r="G193" s="60"/>
      <c r="H193" s="60"/>
      <c r="I193" s="60"/>
      <c r="J193" s="60"/>
      <c r="K193" s="60"/>
      <c r="L193" s="60"/>
      <c r="M193" s="74" t="str">
        <f t="shared" si="31"/>
        <v>-</v>
      </c>
      <c r="N193" s="60"/>
      <c r="O193" s="60"/>
      <c r="P193" s="60"/>
      <c r="Q193" s="60"/>
      <c r="R193" s="60"/>
      <c r="S193" s="60"/>
      <c r="T193" s="60"/>
      <c r="U193" s="60"/>
      <c r="V193" s="60"/>
      <c r="W193" s="74" t="str">
        <f t="shared" si="32"/>
        <v>-</v>
      </c>
      <c r="X193" s="155" t="str">
        <f t="shared" si="33"/>
        <v>-</v>
      </c>
      <c r="Y193" s="156" t="str">
        <f t="shared" si="34"/>
        <v>-</v>
      </c>
      <c r="AA193" s="60"/>
      <c r="AB193" s="60"/>
      <c r="AC193" s="60"/>
      <c r="AD193" s="60"/>
      <c r="AE193" s="60"/>
      <c r="AF193" s="60"/>
      <c r="AG193" s="60"/>
      <c r="AH193" s="60"/>
      <c r="AI193" s="60"/>
      <c r="AJ193" s="74" t="str">
        <f t="shared" si="35"/>
        <v>-</v>
      </c>
      <c r="AK193" s="60"/>
      <c r="AL193" s="60"/>
      <c r="AM193" s="60"/>
      <c r="AN193" s="60"/>
      <c r="AO193" s="60"/>
      <c r="AP193" s="60"/>
      <c r="AQ193" s="60"/>
      <c r="AR193" s="60"/>
      <c r="AS193" s="60"/>
      <c r="AT193" s="74" t="str">
        <f t="shared" si="36"/>
        <v>-</v>
      </c>
      <c r="AU193" s="155" t="str">
        <f t="shared" si="37"/>
        <v>-</v>
      </c>
      <c r="AV193" s="156" t="str">
        <f t="shared" si="38"/>
        <v>-</v>
      </c>
      <c r="AX193" s="59" t="str">
        <f>IF(AND(D193&gt;0,AA193&gt;0),MIN(D193,AA193),"-")</f>
        <v>-</v>
      </c>
      <c r="AY193" s="59" t="str">
        <f>IF(AND(E193&gt;0,AB193&gt;0),MIN(E193,AB193),"-")</f>
        <v>-</v>
      </c>
      <c r="AZ193" s="59" t="str">
        <f>IF(AND(F193&gt;0,AC193&gt;0),MIN(F193,AC193),"-")</f>
        <v>-</v>
      </c>
      <c r="BA193" s="59" t="str">
        <f>IF(AND(G193&gt;0,AD193&gt;0),MIN(G193,AD193),"-")</f>
        <v>-</v>
      </c>
      <c r="BB193" s="59" t="str">
        <f>IF(AND(H193&gt;0,AE193&gt;0),MIN(H193,AE193),"-")</f>
        <v>-</v>
      </c>
      <c r="BC193" s="59" t="str">
        <f>IF(AND(I193&gt;0,AF193&gt;0),MIN(I193,AF193),"-")</f>
        <v>-</v>
      </c>
      <c r="BD193" s="59" t="str">
        <f>IF(AND(J193&gt;0,AG193&gt;0),MIN(J193,AG193),"-")</f>
        <v>-</v>
      </c>
      <c r="BE193" s="59" t="str">
        <f>IF(AND(K193&gt;0,AH193&gt;0),MIN(K193,AH193),"-")</f>
        <v>-</v>
      </c>
      <c r="BF193" s="59" t="str">
        <f>IF(AND(L193&gt;0,AI193&gt;0),MIN(L193,AI193),"-")</f>
        <v>-</v>
      </c>
      <c r="BG193" s="59" t="str">
        <f t="shared" si="39"/>
        <v>-</v>
      </c>
      <c r="BH193" s="59" t="str">
        <f>IF(AND(N193&gt;0,AK193&gt;0),MIN(N193,AK193),"-")</f>
        <v>-</v>
      </c>
      <c r="BI193" s="59" t="str">
        <f>IF(AND(O193&gt;0,AL193&gt;0),MIN(O193,AL193),"-")</f>
        <v>-</v>
      </c>
      <c r="BJ193" s="59" t="str">
        <f>IF(AND(P193&gt;0,AM193&gt;0),MIN(P193,AM193),"-")</f>
        <v>-</v>
      </c>
      <c r="BK193" s="59" t="str">
        <f>IF(AND(Q193&gt;0,AN193&gt;0),MIN(Q193,AN193),"-")</f>
        <v>-</v>
      </c>
      <c r="BL193" s="59" t="str">
        <f>IF(AND(R193&gt;0,AO193&gt;0),MIN(R193,AO193),"-")</f>
        <v>-</v>
      </c>
      <c r="BM193" s="59" t="str">
        <f>IF(AND(S193&gt;0,AP193&gt;0),MIN(S193,AP193),"-")</f>
        <v>-</v>
      </c>
      <c r="BN193" s="59" t="str">
        <f>IF(AND(T193&gt;0,AQ193&gt;0),MIN(T193,AQ193),"-")</f>
        <v>-</v>
      </c>
      <c r="BO193" s="59" t="str">
        <f>IF(AND(U193&gt;0,AR193&gt;0),MIN(U193,AR193),"-")</f>
        <v>-</v>
      </c>
      <c r="BP193" s="59" t="str">
        <f>IF(AND(V193&gt;0,AS193&gt;0),MIN(V193,AS193),"-")</f>
        <v>-</v>
      </c>
      <c r="BQ193" s="59" t="str">
        <f t="shared" si="40"/>
        <v>-</v>
      </c>
      <c r="BR193" s="59" t="str">
        <f t="shared" si="41"/>
        <v>-</v>
      </c>
      <c r="BS193" s="59" t="str">
        <f t="shared" si="42"/>
        <v>-</v>
      </c>
      <c r="BT193" s="98" t="str">
        <f>IF(ISNUMBER(BS193),BS193-(C193*Rules!$P$9/100),"-")</f>
        <v>-</v>
      </c>
      <c r="BU193" s="59" t="e">
        <f>RANK($BT193,$BT$5:$BT$106,1)+COUNTIF(BT$5:BT193,BT193)-1</f>
        <v>#VALUE!</v>
      </c>
      <c r="BV193" s="59" t="e">
        <f t="shared" si="43"/>
        <v>#VALUE!</v>
      </c>
      <c r="BW193" s="59" t="str">
        <f t="shared" si="44"/>
        <v xml:space="preserve"> </v>
      </c>
      <c r="BX193" s="59">
        <f t="shared" si="44"/>
        <v>0</v>
      </c>
      <c r="BY193" s="59" t="str">
        <f t="shared" si="45"/>
        <v>-</v>
      </c>
      <c r="CD193" s="79"/>
      <c r="CE193" s="80"/>
      <c r="CF193" s="104"/>
      <c r="CL193" s="77">
        <v>1</v>
      </c>
    </row>
    <row r="194" spans="1:90" ht="17.45" customHeight="1">
      <c r="A194" s="58">
        <v>190</v>
      </c>
      <c r="B194" s="59" t="str">
        <f>'C Div'!A194 &amp; " " &amp; 'C Div'!B194</f>
        <v xml:space="preserve"> </v>
      </c>
      <c r="C194" s="59">
        <f>'C Div'!E194</f>
        <v>0</v>
      </c>
      <c r="D194" s="60"/>
      <c r="E194" s="60"/>
      <c r="F194" s="60"/>
      <c r="G194" s="60"/>
      <c r="H194" s="60"/>
      <c r="I194" s="60"/>
      <c r="J194" s="60"/>
      <c r="K194" s="60"/>
      <c r="L194" s="60"/>
      <c r="M194" s="74" t="str">
        <f t="shared" si="31"/>
        <v>-</v>
      </c>
      <c r="N194" s="60"/>
      <c r="O194" s="60"/>
      <c r="P194" s="60"/>
      <c r="Q194" s="60"/>
      <c r="R194" s="60"/>
      <c r="S194" s="60"/>
      <c r="T194" s="60"/>
      <c r="U194" s="60"/>
      <c r="V194" s="60"/>
      <c r="W194" s="74" t="str">
        <f t="shared" si="32"/>
        <v>-</v>
      </c>
      <c r="X194" s="155" t="str">
        <f t="shared" si="33"/>
        <v>-</v>
      </c>
      <c r="Y194" s="156" t="str">
        <f t="shared" si="34"/>
        <v>-</v>
      </c>
      <c r="AA194" s="60"/>
      <c r="AB194" s="60"/>
      <c r="AC194" s="60"/>
      <c r="AD194" s="60"/>
      <c r="AE194" s="60"/>
      <c r="AF194" s="60"/>
      <c r="AG194" s="60"/>
      <c r="AH194" s="60"/>
      <c r="AI194" s="60"/>
      <c r="AJ194" s="74" t="str">
        <f t="shared" si="35"/>
        <v>-</v>
      </c>
      <c r="AK194" s="60"/>
      <c r="AL194" s="60"/>
      <c r="AM194" s="60"/>
      <c r="AN194" s="60"/>
      <c r="AO194" s="60"/>
      <c r="AP194" s="60"/>
      <c r="AQ194" s="60"/>
      <c r="AR194" s="60"/>
      <c r="AS194" s="60"/>
      <c r="AT194" s="74" t="str">
        <f t="shared" si="36"/>
        <v>-</v>
      </c>
      <c r="AU194" s="155" t="str">
        <f t="shared" si="37"/>
        <v>-</v>
      </c>
      <c r="AV194" s="156" t="str">
        <f t="shared" si="38"/>
        <v>-</v>
      </c>
      <c r="AX194" s="59" t="str">
        <f>IF(AND(D194&gt;0,AA194&gt;0),MIN(D194,AA194),"-")</f>
        <v>-</v>
      </c>
      <c r="AY194" s="59" t="str">
        <f>IF(AND(E194&gt;0,AB194&gt;0),MIN(E194,AB194),"-")</f>
        <v>-</v>
      </c>
      <c r="AZ194" s="59" t="str">
        <f>IF(AND(F194&gt;0,AC194&gt;0),MIN(F194,AC194),"-")</f>
        <v>-</v>
      </c>
      <c r="BA194" s="59" t="str">
        <f>IF(AND(G194&gt;0,AD194&gt;0),MIN(G194,AD194),"-")</f>
        <v>-</v>
      </c>
      <c r="BB194" s="59" t="str">
        <f>IF(AND(H194&gt;0,AE194&gt;0),MIN(H194,AE194),"-")</f>
        <v>-</v>
      </c>
      <c r="BC194" s="59" t="str">
        <f>IF(AND(I194&gt;0,AF194&gt;0),MIN(I194,AF194),"-")</f>
        <v>-</v>
      </c>
      <c r="BD194" s="59" t="str">
        <f>IF(AND(J194&gt;0,AG194&gt;0),MIN(J194,AG194),"-")</f>
        <v>-</v>
      </c>
      <c r="BE194" s="59" t="str">
        <f>IF(AND(K194&gt;0,AH194&gt;0),MIN(K194,AH194),"-")</f>
        <v>-</v>
      </c>
      <c r="BF194" s="59" t="str">
        <f>IF(AND(L194&gt;0,AI194&gt;0),MIN(L194,AI194),"-")</f>
        <v>-</v>
      </c>
      <c r="BG194" s="59" t="str">
        <f t="shared" si="39"/>
        <v>-</v>
      </c>
      <c r="BH194" s="59" t="str">
        <f>IF(AND(N194&gt;0,AK194&gt;0),MIN(N194,AK194),"-")</f>
        <v>-</v>
      </c>
      <c r="BI194" s="59" t="str">
        <f>IF(AND(O194&gt;0,AL194&gt;0),MIN(O194,AL194),"-")</f>
        <v>-</v>
      </c>
      <c r="BJ194" s="59" t="str">
        <f>IF(AND(P194&gt;0,AM194&gt;0),MIN(P194,AM194),"-")</f>
        <v>-</v>
      </c>
      <c r="BK194" s="59" t="str">
        <f>IF(AND(Q194&gt;0,AN194&gt;0),MIN(Q194,AN194),"-")</f>
        <v>-</v>
      </c>
      <c r="BL194" s="59" t="str">
        <f>IF(AND(R194&gt;0,AO194&gt;0),MIN(R194,AO194),"-")</f>
        <v>-</v>
      </c>
      <c r="BM194" s="59" t="str">
        <f>IF(AND(S194&gt;0,AP194&gt;0),MIN(S194,AP194),"-")</f>
        <v>-</v>
      </c>
      <c r="BN194" s="59" t="str">
        <f>IF(AND(T194&gt;0,AQ194&gt;0),MIN(T194,AQ194),"-")</f>
        <v>-</v>
      </c>
      <c r="BO194" s="59" t="str">
        <f>IF(AND(U194&gt;0,AR194&gt;0),MIN(U194,AR194),"-")</f>
        <v>-</v>
      </c>
      <c r="BP194" s="59" t="str">
        <f>IF(AND(V194&gt;0,AS194&gt;0),MIN(V194,AS194),"-")</f>
        <v>-</v>
      </c>
      <c r="BQ194" s="59" t="str">
        <f t="shared" si="40"/>
        <v>-</v>
      </c>
      <c r="BR194" s="59" t="str">
        <f t="shared" si="41"/>
        <v>-</v>
      </c>
      <c r="BS194" s="59" t="str">
        <f t="shared" si="42"/>
        <v>-</v>
      </c>
      <c r="BT194" s="98" t="str">
        <f>IF(ISNUMBER(BS194),BS194-(C194*Rules!$P$9/100),"-")</f>
        <v>-</v>
      </c>
      <c r="BU194" s="59" t="e">
        <f>RANK($BT194,$BT$5:$BT$106,1)+COUNTIF(BT$5:BT194,BT194)-1</f>
        <v>#VALUE!</v>
      </c>
      <c r="BV194" s="59" t="e">
        <f t="shared" si="43"/>
        <v>#VALUE!</v>
      </c>
      <c r="BW194" s="59" t="str">
        <f t="shared" si="44"/>
        <v xml:space="preserve"> </v>
      </c>
      <c r="BX194" s="59">
        <f t="shared" si="44"/>
        <v>0</v>
      </c>
      <c r="BY194" s="59" t="str">
        <f t="shared" si="45"/>
        <v>-</v>
      </c>
      <c r="CD194" s="79"/>
      <c r="CE194" s="80"/>
      <c r="CF194" s="104"/>
      <c r="CL194" s="77">
        <v>1</v>
      </c>
    </row>
    <row r="195" spans="1:90" ht="17.45" customHeight="1">
      <c r="A195" s="58">
        <v>191</v>
      </c>
      <c r="B195" s="59" t="str">
        <f>'C Div'!A195 &amp; " " &amp; 'C Div'!B195</f>
        <v xml:space="preserve"> </v>
      </c>
      <c r="C195" s="59">
        <f>'C Div'!E195</f>
        <v>0</v>
      </c>
      <c r="D195" s="60"/>
      <c r="E195" s="60"/>
      <c r="F195" s="60"/>
      <c r="G195" s="60"/>
      <c r="H195" s="60"/>
      <c r="I195" s="60"/>
      <c r="J195" s="60"/>
      <c r="K195" s="60"/>
      <c r="L195" s="60"/>
      <c r="M195" s="74" t="str">
        <f t="shared" si="31"/>
        <v>-</v>
      </c>
      <c r="N195" s="60"/>
      <c r="O195" s="60"/>
      <c r="P195" s="60"/>
      <c r="Q195" s="60"/>
      <c r="R195" s="60"/>
      <c r="S195" s="60"/>
      <c r="T195" s="60"/>
      <c r="U195" s="60"/>
      <c r="V195" s="60"/>
      <c r="W195" s="74" t="str">
        <f t="shared" si="32"/>
        <v>-</v>
      </c>
      <c r="X195" s="155" t="str">
        <f t="shared" si="33"/>
        <v>-</v>
      </c>
      <c r="Y195" s="156" t="str">
        <f t="shared" si="34"/>
        <v>-</v>
      </c>
      <c r="AA195" s="60"/>
      <c r="AB195" s="60"/>
      <c r="AC195" s="60"/>
      <c r="AD195" s="60"/>
      <c r="AE195" s="60"/>
      <c r="AF195" s="60"/>
      <c r="AG195" s="60"/>
      <c r="AH195" s="60"/>
      <c r="AI195" s="60"/>
      <c r="AJ195" s="74" t="str">
        <f t="shared" si="35"/>
        <v>-</v>
      </c>
      <c r="AK195" s="60"/>
      <c r="AL195" s="60"/>
      <c r="AM195" s="60"/>
      <c r="AN195" s="60"/>
      <c r="AO195" s="60"/>
      <c r="AP195" s="60"/>
      <c r="AQ195" s="60"/>
      <c r="AR195" s="60"/>
      <c r="AS195" s="60"/>
      <c r="AT195" s="74" t="str">
        <f t="shared" si="36"/>
        <v>-</v>
      </c>
      <c r="AU195" s="155" t="str">
        <f t="shared" si="37"/>
        <v>-</v>
      </c>
      <c r="AV195" s="156" t="str">
        <f t="shared" si="38"/>
        <v>-</v>
      </c>
      <c r="AX195" s="59" t="str">
        <f>IF(AND(D195&gt;0,AA195&gt;0),MIN(D195,AA195),"-")</f>
        <v>-</v>
      </c>
      <c r="AY195" s="59" t="str">
        <f>IF(AND(E195&gt;0,AB195&gt;0),MIN(E195,AB195),"-")</f>
        <v>-</v>
      </c>
      <c r="AZ195" s="59" t="str">
        <f>IF(AND(F195&gt;0,AC195&gt;0),MIN(F195,AC195),"-")</f>
        <v>-</v>
      </c>
      <c r="BA195" s="59" t="str">
        <f>IF(AND(G195&gt;0,AD195&gt;0),MIN(G195,AD195),"-")</f>
        <v>-</v>
      </c>
      <c r="BB195" s="59" t="str">
        <f>IF(AND(H195&gt;0,AE195&gt;0),MIN(H195,AE195),"-")</f>
        <v>-</v>
      </c>
      <c r="BC195" s="59" t="str">
        <f>IF(AND(I195&gt;0,AF195&gt;0),MIN(I195,AF195),"-")</f>
        <v>-</v>
      </c>
      <c r="BD195" s="59" t="str">
        <f>IF(AND(J195&gt;0,AG195&gt;0),MIN(J195,AG195),"-")</f>
        <v>-</v>
      </c>
      <c r="BE195" s="59" t="str">
        <f>IF(AND(K195&gt;0,AH195&gt;0),MIN(K195,AH195),"-")</f>
        <v>-</v>
      </c>
      <c r="BF195" s="59" t="str">
        <f>IF(AND(L195&gt;0,AI195&gt;0),MIN(L195,AI195),"-")</f>
        <v>-</v>
      </c>
      <c r="BG195" s="59" t="str">
        <f t="shared" si="39"/>
        <v>-</v>
      </c>
      <c r="BH195" s="59" t="str">
        <f>IF(AND(N195&gt;0,AK195&gt;0),MIN(N195,AK195),"-")</f>
        <v>-</v>
      </c>
      <c r="BI195" s="59" t="str">
        <f>IF(AND(O195&gt;0,AL195&gt;0),MIN(O195,AL195),"-")</f>
        <v>-</v>
      </c>
      <c r="BJ195" s="59" t="str">
        <f>IF(AND(P195&gt;0,AM195&gt;0),MIN(P195,AM195),"-")</f>
        <v>-</v>
      </c>
      <c r="BK195" s="59" t="str">
        <f>IF(AND(Q195&gt;0,AN195&gt;0),MIN(Q195,AN195),"-")</f>
        <v>-</v>
      </c>
      <c r="BL195" s="59" t="str">
        <f>IF(AND(R195&gt;0,AO195&gt;0),MIN(R195,AO195),"-")</f>
        <v>-</v>
      </c>
      <c r="BM195" s="59" t="str">
        <f>IF(AND(S195&gt;0,AP195&gt;0),MIN(S195,AP195),"-")</f>
        <v>-</v>
      </c>
      <c r="BN195" s="59" t="str">
        <f>IF(AND(T195&gt;0,AQ195&gt;0),MIN(T195,AQ195),"-")</f>
        <v>-</v>
      </c>
      <c r="BO195" s="59" t="str">
        <f>IF(AND(U195&gt;0,AR195&gt;0),MIN(U195,AR195),"-")</f>
        <v>-</v>
      </c>
      <c r="BP195" s="59" t="str">
        <f>IF(AND(V195&gt;0,AS195&gt;0),MIN(V195,AS195),"-")</f>
        <v>-</v>
      </c>
      <c r="BQ195" s="59" t="str">
        <f t="shared" si="40"/>
        <v>-</v>
      </c>
      <c r="BR195" s="59" t="str">
        <f t="shared" si="41"/>
        <v>-</v>
      </c>
      <c r="BS195" s="59" t="str">
        <f t="shared" si="42"/>
        <v>-</v>
      </c>
      <c r="BT195" s="98" t="str">
        <f>IF(ISNUMBER(BS195),BS195-(C195*Rules!$P$9/100),"-")</f>
        <v>-</v>
      </c>
      <c r="BU195" s="59" t="e">
        <f>RANK($BT195,$BT$5:$BT$106,1)+COUNTIF(BT$5:BT195,BT195)-1</f>
        <v>#VALUE!</v>
      </c>
      <c r="BV195" s="59" t="e">
        <f t="shared" si="43"/>
        <v>#VALUE!</v>
      </c>
      <c r="BW195" s="59" t="str">
        <f t="shared" si="44"/>
        <v xml:space="preserve"> </v>
      </c>
      <c r="BX195" s="59">
        <f t="shared" si="44"/>
        <v>0</v>
      </c>
      <c r="BY195" s="59" t="str">
        <f t="shared" si="45"/>
        <v>-</v>
      </c>
      <c r="CD195" s="79"/>
      <c r="CE195" s="80"/>
      <c r="CF195" s="104"/>
      <c r="CL195" s="77">
        <v>1</v>
      </c>
    </row>
    <row r="196" spans="1:90" ht="17.45" customHeight="1">
      <c r="A196" s="58">
        <v>192</v>
      </c>
      <c r="B196" s="59" t="str">
        <f>'C Div'!A196 &amp; " " &amp; 'C Div'!B196</f>
        <v xml:space="preserve"> </v>
      </c>
      <c r="C196" s="59">
        <f>'C Div'!E196</f>
        <v>0</v>
      </c>
      <c r="D196" s="60"/>
      <c r="E196" s="60"/>
      <c r="F196" s="60"/>
      <c r="G196" s="60"/>
      <c r="H196" s="60"/>
      <c r="I196" s="60"/>
      <c r="J196" s="60"/>
      <c r="K196" s="60"/>
      <c r="L196" s="60"/>
      <c r="M196" s="74" t="str">
        <f t="shared" si="31"/>
        <v>-</v>
      </c>
      <c r="N196" s="60"/>
      <c r="O196" s="60"/>
      <c r="P196" s="60"/>
      <c r="Q196" s="60"/>
      <c r="R196" s="60"/>
      <c r="S196" s="60"/>
      <c r="T196" s="60"/>
      <c r="U196" s="60"/>
      <c r="V196" s="60"/>
      <c r="W196" s="74" t="str">
        <f t="shared" si="32"/>
        <v>-</v>
      </c>
      <c r="X196" s="155" t="str">
        <f t="shared" si="33"/>
        <v>-</v>
      </c>
      <c r="Y196" s="156" t="str">
        <f t="shared" si="34"/>
        <v>-</v>
      </c>
      <c r="AA196" s="60"/>
      <c r="AB196" s="60"/>
      <c r="AC196" s="60"/>
      <c r="AD196" s="60"/>
      <c r="AE196" s="60"/>
      <c r="AF196" s="60"/>
      <c r="AG196" s="60"/>
      <c r="AH196" s="60"/>
      <c r="AI196" s="60"/>
      <c r="AJ196" s="74" t="str">
        <f t="shared" si="35"/>
        <v>-</v>
      </c>
      <c r="AK196" s="60"/>
      <c r="AL196" s="60"/>
      <c r="AM196" s="60"/>
      <c r="AN196" s="60"/>
      <c r="AO196" s="60"/>
      <c r="AP196" s="60"/>
      <c r="AQ196" s="60"/>
      <c r="AR196" s="60"/>
      <c r="AS196" s="60"/>
      <c r="AT196" s="74" t="str">
        <f t="shared" si="36"/>
        <v>-</v>
      </c>
      <c r="AU196" s="155" t="str">
        <f t="shared" si="37"/>
        <v>-</v>
      </c>
      <c r="AV196" s="156" t="str">
        <f t="shared" si="38"/>
        <v>-</v>
      </c>
      <c r="AX196" s="59" t="str">
        <f>IF(AND(D196&gt;0,AA196&gt;0),MIN(D196,AA196),"-")</f>
        <v>-</v>
      </c>
      <c r="AY196" s="59" t="str">
        <f>IF(AND(E196&gt;0,AB196&gt;0),MIN(E196,AB196),"-")</f>
        <v>-</v>
      </c>
      <c r="AZ196" s="59" t="str">
        <f>IF(AND(F196&gt;0,AC196&gt;0),MIN(F196,AC196),"-")</f>
        <v>-</v>
      </c>
      <c r="BA196" s="59" t="str">
        <f>IF(AND(G196&gt;0,AD196&gt;0),MIN(G196,AD196),"-")</f>
        <v>-</v>
      </c>
      <c r="BB196" s="59" t="str">
        <f>IF(AND(H196&gt;0,AE196&gt;0),MIN(H196,AE196),"-")</f>
        <v>-</v>
      </c>
      <c r="BC196" s="59" t="str">
        <f>IF(AND(I196&gt;0,AF196&gt;0),MIN(I196,AF196),"-")</f>
        <v>-</v>
      </c>
      <c r="BD196" s="59" t="str">
        <f>IF(AND(J196&gt;0,AG196&gt;0),MIN(J196,AG196),"-")</f>
        <v>-</v>
      </c>
      <c r="BE196" s="59" t="str">
        <f>IF(AND(K196&gt;0,AH196&gt;0),MIN(K196,AH196),"-")</f>
        <v>-</v>
      </c>
      <c r="BF196" s="59" t="str">
        <f>IF(AND(L196&gt;0,AI196&gt;0),MIN(L196,AI196),"-")</f>
        <v>-</v>
      </c>
      <c r="BG196" s="59" t="str">
        <f t="shared" si="39"/>
        <v>-</v>
      </c>
      <c r="BH196" s="59" t="str">
        <f>IF(AND(N196&gt;0,AK196&gt;0),MIN(N196,AK196),"-")</f>
        <v>-</v>
      </c>
      <c r="BI196" s="59" t="str">
        <f>IF(AND(O196&gt;0,AL196&gt;0),MIN(O196,AL196),"-")</f>
        <v>-</v>
      </c>
      <c r="BJ196" s="59" t="str">
        <f>IF(AND(P196&gt;0,AM196&gt;0),MIN(P196,AM196),"-")</f>
        <v>-</v>
      </c>
      <c r="BK196" s="59" t="str">
        <f>IF(AND(Q196&gt;0,AN196&gt;0),MIN(Q196,AN196),"-")</f>
        <v>-</v>
      </c>
      <c r="BL196" s="59" t="str">
        <f>IF(AND(R196&gt;0,AO196&gt;0),MIN(R196,AO196),"-")</f>
        <v>-</v>
      </c>
      <c r="BM196" s="59" t="str">
        <f>IF(AND(S196&gt;0,AP196&gt;0),MIN(S196,AP196),"-")</f>
        <v>-</v>
      </c>
      <c r="BN196" s="59" t="str">
        <f>IF(AND(T196&gt;0,AQ196&gt;0),MIN(T196,AQ196),"-")</f>
        <v>-</v>
      </c>
      <c r="BO196" s="59" t="str">
        <f>IF(AND(U196&gt;0,AR196&gt;0),MIN(U196,AR196),"-")</f>
        <v>-</v>
      </c>
      <c r="BP196" s="59" t="str">
        <f>IF(AND(V196&gt;0,AS196&gt;0),MIN(V196,AS196),"-")</f>
        <v>-</v>
      </c>
      <c r="BQ196" s="59" t="str">
        <f t="shared" si="40"/>
        <v>-</v>
      </c>
      <c r="BR196" s="59" t="str">
        <f t="shared" si="41"/>
        <v>-</v>
      </c>
      <c r="BS196" s="59" t="str">
        <f t="shared" si="42"/>
        <v>-</v>
      </c>
      <c r="BT196" s="98" t="str">
        <f>IF(ISNUMBER(BS196),BS196-(C196*Rules!$P$9/100),"-")</f>
        <v>-</v>
      </c>
      <c r="BU196" s="59" t="e">
        <f>RANK($BT196,$BT$5:$BT$106,1)+COUNTIF(BT$5:BT196,BT196)-1</f>
        <v>#VALUE!</v>
      </c>
      <c r="BV196" s="59" t="e">
        <f t="shared" si="43"/>
        <v>#VALUE!</v>
      </c>
      <c r="BW196" s="59" t="str">
        <f t="shared" si="44"/>
        <v xml:space="preserve"> </v>
      </c>
      <c r="BX196" s="59">
        <f t="shared" si="44"/>
        <v>0</v>
      </c>
      <c r="BY196" s="59" t="str">
        <f t="shared" si="45"/>
        <v>-</v>
      </c>
      <c r="CD196" s="79"/>
      <c r="CE196" s="80"/>
      <c r="CF196" s="104"/>
      <c r="CL196" s="77">
        <v>1</v>
      </c>
    </row>
    <row r="197" spans="1:90" ht="17.45" customHeight="1">
      <c r="A197" s="58">
        <v>193</v>
      </c>
      <c r="B197" s="59" t="str">
        <f>'C Div'!A197 &amp; " " &amp; 'C Div'!B197</f>
        <v xml:space="preserve"> </v>
      </c>
      <c r="C197" s="59">
        <f>'C Div'!E197</f>
        <v>0</v>
      </c>
      <c r="D197" s="60"/>
      <c r="E197" s="60"/>
      <c r="F197" s="60"/>
      <c r="G197" s="60"/>
      <c r="H197" s="60"/>
      <c r="I197" s="60"/>
      <c r="J197" s="60"/>
      <c r="K197" s="60"/>
      <c r="L197" s="60"/>
      <c r="M197" s="74" t="str">
        <f t="shared" si="31"/>
        <v>-</v>
      </c>
      <c r="N197" s="60"/>
      <c r="O197" s="60"/>
      <c r="P197" s="60"/>
      <c r="Q197" s="60"/>
      <c r="R197" s="60"/>
      <c r="S197" s="60"/>
      <c r="T197" s="60"/>
      <c r="U197" s="60"/>
      <c r="V197" s="60"/>
      <c r="W197" s="74" t="str">
        <f t="shared" si="32"/>
        <v>-</v>
      </c>
      <c r="X197" s="155" t="str">
        <f t="shared" si="33"/>
        <v>-</v>
      </c>
      <c r="Y197" s="156" t="str">
        <f t="shared" si="34"/>
        <v>-</v>
      </c>
      <c r="AA197" s="60"/>
      <c r="AB197" s="60"/>
      <c r="AC197" s="60"/>
      <c r="AD197" s="60"/>
      <c r="AE197" s="60"/>
      <c r="AF197" s="60"/>
      <c r="AG197" s="60"/>
      <c r="AH197" s="60"/>
      <c r="AI197" s="60"/>
      <c r="AJ197" s="74" t="str">
        <f t="shared" si="35"/>
        <v>-</v>
      </c>
      <c r="AK197" s="60"/>
      <c r="AL197" s="60"/>
      <c r="AM197" s="60"/>
      <c r="AN197" s="60"/>
      <c r="AO197" s="60"/>
      <c r="AP197" s="60"/>
      <c r="AQ197" s="60"/>
      <c r="AR197" s="60"/>
      <c r="AS197" s="60"/>
      <c r="AT197" s="74" t="str">
        <f t="shared" si="36"/>
        <v>-</v>
      </c>
      <c r="AU197" s="155" t="str">
        <f t="shared" si="37"/>
        <v>-</v>
      </c>
      <c r="AV197" s="156" t="str">
        <f t="shared" si="38"/>
        <v>-</v>
      </c>
      <c r="AX197" s="59" t="str">
        <f>IF(AND(D197&gt;0,AA197&gt;0),MIN(D197,AA197),"-")</f>
        <v>-</v>
      </c>
      <c r="AY197" s="59" t="str">
        <f>IF(AND(E197&gt;0,AB197&gt;0),MIN(E197,AB197),"-")</f>
        <v>-</v>
      </c>
      <c r="AZ197" s="59" t="str">
        <f>IF(AND(F197&gt;0,AC197&gt;0),MIN(F197,AC197),"-")</f>
        <v>-</v>
      </c>
      <c r="BA197" s="59" t="str">
        <f>IF(AND(G197&gt;0,AD197&gt;0),MIN(G197,AD197),"-")</f>
        <v>-</v>
      </c>
      <c r="BB197" s="59" t="str">
        <f>IF(AND(H197&gt;0,AE197&gt;0),MIN(H197,AE197),"-")</f>
        <v>-</v>
      </c>
      <c r="BC197" s="59" t="str">
        <f>IF(AND(I197&gt;0,AF197&gt;0),MIN(I197,AF197),"-")</f>
        <v>-</v>
      </c>
      <c r="BD197" s="59" t="str">
        <f>IF(AND(J197&gt;0,AG197&gt;0),MIN(J197,AG197),"-")</f>
        <v>-</v>
      </c>
      <c r="BE197" s="59" t="str">
        <f>IF(AND(K197&gt;0,AH197&gt;0),MIN(K197,AH197),"-")</f>
        <v>-</v>
      </c>
      <c r="BF197" s="59" t="str">
        <f>IF(AND(L197&gt;0,AI197&gt;0),MIN(L197,AI197),"-")</f>
        <v>-</v>
      </c>
      <c r="BG197" s="59" t="str">
        <f t="shared" si="39"/>
        <v>-</v>
      </c>
      <c r="BH197" s="59" t="str">
        <f>IF(AND(N197&gt;0,AK197&gt;0),MIN(N197,AK197),"-")</f>
        <v>-</v>
      </c>
      <c r="BI197" s="59" t="str">
        <f>IF(AND(O197&gt;0,AL197&gt;0),MIN(O197,AL197),"-")</f>
        <v>-</v>
      </c>
      <c r="BJ197" s="59" t="str">
        <f>IF(AND(P197&gt;0,AM197&gt;0),MIN(P197,AM197),"-")</f>
        <v>-</v>
      </c>
      <c r="BK197" s="59" t="str">
        <f>IF(AND(Q197&gt;0,AN197&gt;0),MIN(Q197,AN197),"-")</f>
        <v>-</v>
      </c>
      <c r="BL197" s="59" t="str">
        <f>IF(AND(R197&gt;0,AO197&gt;0),MIN(R197,AO197),"-")</f>
        <v>-</v>
      </c>
      <c r="BM197" s="59" t="str">
        <f>IF(AND(S197&gt;0,AP197&gt;0),MIN(S197,AP197),"-")</f>
        <v>-</v>
      </c>
      <c r="BN197" s="59" t="str">
        <f>IF(AND(T197&gt;0,AQ197&gt;0),MIN(T197,AQ197),"-")</f>
        <v>-</v>
      </c>
      <c r="BO197" s="59" t="str">
        <f>IF(AND(U197&gt;0,AR197&gt;0),MIN(U197,AR197),"-")</f>
        <v>-</v>
      </c>
      <c r="BP197" s="59" t="str">
        <f>IF(AND(V197&gt;0,AS197&gt;0),MIN(V197,AS197),"-")</f>
        <v>-</v>
      </c>
      <c r="BQ197" s="59" t="str">
        <f t="shared" si="40"/>
        <v>-</v>
      </c>
      <c r="BR197" s="59" t="str">
        <f t="shared" si="41"/>
        <v>-</v>
      </c>
      <c r="BS197" s="59" t="str">
        <f t="shared" si="42"/>
        <v>-</v>
      </c>
      <c r="BT197" s="98" t="str">
        <f>IF(ISNUMBER(BS197),BS197-(C197*Rules!$P$9/100),"-")</f>
        <v>-</v>
      </c>
      <c r="BU197" s="59" t="e">
        <f>RANK($BT197,$BT$5:$BT$106,1)+COUNTIF(BT$5:BT197,BT197)-1</f>
        <v>#VALUE!</v>
      </c>
      <c r="BV197" s="59" t="e">
        <f t="shared" si="43"/>
        <v>#VALUE!</v>
      </c>
      <c r="BW197" s="59" t="str">
        <f t="shared" si="44"/>
        <v xml:space="preserve"> </v>
      </c>
      <c r="BX197" s="59">
        <f t="shared" si="44"/>
        <v>0</v>
      </c>
      <c r="BY197" s="59" t="str">
        <f t="shared" si="45"/>
        <v>-</v>
      </c>
      <c r="CD197" s="79"/>
      <c r="CE197" s="80"/>
      <c r="CF197" s="104"/>
      <c r="CL197" s="77">
        <v>1</v>
      </c>
    </row>
    <row r="198" spans="1:90" ht="17.45" customHeight="1">
      <c r="A198" s="58">
        <v>194</v>
      </c>
      <c r="B198" s="59" t="str">
        <f>'C Div'!A198 &amp; " " &amp; 'C Div'!B198</f>
        <v xml:space="preserve"> </v>
      </c>
      <c r="C198" s="59">
        <f>'C Div'!E198</f>
        <v>0</v>
      </c>
      <c r="D198" s="60"/>
      <c r="E198" s="60"/>
      <c r="F198" s="60"/>
      <c r="G198" s="60"/>
      <c r="H198" s="60"/>
      <c r="I198" s="60"/>
      <c r="J198" s="60"/>
      <c r="K198" s="60"/>
      <c r="L198" s="60"/>
      <c r="M198" s="74" t="str">
        <f t="shared" ref="M198:M215" si="46">IF(COUNTIF(D198:L198,"&lt;&gt;"&amp;"")=9,SUM(D198:L198),"-")</f>
        <v>-</v>
      </c>
      <c r="N198" s="60"/>
      <c r="O198" s="60"/>
      <c r="P198" s="60"/>
      <c r="Q198" s="60"/>
      <c r="R198" s="60"/>
      <c r="S198" s="60"/>
      <c r="T198" s="60"/>
      <c r="U198" s="60"/>
      <c r="V198" s="60"/>
      <c r="W198" s="74" t="str">
        <f t="shared" ref="W198:W215" si="47">IF(COUNTIF(N198:V198,"&lt;&gt;"&amp;"")=9,SUM(N198:V198),"-")</f>
        <v>-</v>
      </c>
      <c r="X198" s="155" t="str">
        <f t="shared" ref="X198:X215" si="48">IF(AND(ISNUMBER(M198),ISNUMBER(W198)),M198+W198,"-")</f>
        <v>-</v>
      </c>
      <c r="Y198" s="156" t="str">
        <f t="shared" ref="Y198:Y215" si="49">IF(ISNUMBER(X198),X198-C198,"-")</f>
        <v>-</v>
      </c>
      <c r="AA198" s="60"/>
      <c r="AB198" s="60"/>
      <c r="AC198" s="60"/>
      <c r="AD198" s="60"/>
      <c r="AE198" s="60"/>
      <c r="AF198" s="60"/>
      <c r="AG198" s="60"/>
      <c r="AH198" s="60"/>
      <c r="AI198" s="60"/>
      <c r="AJ198" s="74" t="str">
        <f t="shared" ref="AJ198:AJ215" si="50">IF(COUNTIF(AA198:AI198,"&lt;&gt;"&amp;"")=9,SUM(AA198:AI198),"-")</f>
        <v>-</v>
      </c>
      <c r="AK198" s="60"/>
      <c r="AL198" s="60"/>
      <c r="AM198" s="60"/>
      <c r="AN198" s="60"/>
      <c r="AO198" s="60"/>
      <c r="AP198" s="60"/>
      <c r="AQ198" s="60"/>
      <c r="AR198" s="60"/>
      <c r="AS198" s="60"/>
      <c r="AT198" s="74" t="str">
        <f t="shared" ref="AT198:AT215" si="51">IF(COUNTIF(AK198:AS198,"&lt;&gt;"&amp;"")=9,SUM(AK198:AS198),"-")</f>
        <v>-</v>
      </c>
      <c r="AU198" s="155" t="str">
        <f t="shared" ref="AU198:AU215" si="52">IF(AND(ISNUMBER(AJ198),ISNUMBER(AT198)),AJ198+AT198,"-")</f>
        <v>-</v>
      </c>
      <c r="AV198" s="156" t="str">
        <f t="shared" ref="AV198:AV215" si="53">IF(ISNUMBER(AU198),AU198-C198,"-")</f>
        <v>-</v>
      </c>
      <c r="AX198" s="59" t="str">
        <f>IF(AND(D198&gt;0,AA198&gt;0),MIN(D198,AA198),"-")</f>
        <v>-</v>
      </c>
      <c r="AY198" s="59" t="str">
        <f>IF(AND(E198&gt;0,AB198&gt;0),MIN(E198,AB198),"-")</f>
        <v>-</v>
      </c>
      <c r="AZ198" s="59" t="str">
        <f>IF(AND(F198&gt;0,AC198&gt;0),MIN(F198,AC198),"-")</f>
        <v>-</v>
      </c>
      <c r="BA198" s="59" t="str">
        <f>IF(AND(G198&gt;0,AD198&gt;0),MIN(G198,AD198),"-")</f>
        <v>-</v>
      </c>
      <c r="BB198" s="59" t="str">
        <f>IF(AND(H198&gt;0,AE198&gt;0),MIN(H198,AE198),"-")</f>
        <v>-</v>
      </c>
      <c r="BC198" s="59" t="str">
        <f>IF(AND(I198&gt;0,AF198&gt;0),MIN(I198,AF198),"-")</f>
        <v>-</v>
      </c>
      <c r="BD198" s="59" t="str">
        <f>IF(AND(J198&gt;0,AG198&gt;0),MIN(J198,AG198),"-")</f>
        <v>-</v>
      </c>
      <c r="BE198" s="59" t="str">
        <f>IF(AND(K198&gt;0,AH198&gt;0),MIN(K198,AH198),"-")</f>
        <v>-</v>
      </c>
      <c r="BF198" s="59" t="str">
        <f>IF(AND(L198&gt;0,AI198&gt;0),MIN(L198,AI198),"-")</f>
        <v>-</v>
      </c>
      <c r="BG198" s="59" t="str">
        <f t="shared" ref="BG198:BG215" si="54">IF(COUNTIF(AX198:BF198,"&lt;&gt;-")=9,SUM(AX198:BF198),"-")</f>
        <v>-</v>
      </c>
      <c r="BH198" s="59" t="str">
        <f>IF(AND(N198&gt;0,AK198&gt;0),MIN(N198,AK198),"-")</f>
        <v>-</v>
      </c>
      <c r="BI198" s="59" t="str">
        <f>IF(AND(O198&gt;0,AL198&gt;0),MIN(O198,AL198),"-")</f>
        <v>-</v>
      </c>
      <c r="BJ198" s="59" t="str">
        <f>IF(AND(P198&gt;0,AM198&gt;0),MIN(P198,AM198),"-")</f>
        <v>-</v>
      </c>
      <c r="BK198" s="59" t="str">
        <f>IF(AND(Q198&gt;0,AN198&gt;0),MIN(Q198,AN198),"-")</f>
        <v>-</v>
      </c>
      <c r="BL198" s="59" t="str">
        <f>IF(AND(R198&gt;0,AO198&gt;0),MIN(R198,AO198),"-")</f>
        <v>-</v>
      </c>
      <c r="BM198" s="59" t="str">
        <f>IF(AND(S198&gt;0,AP198&gt;0),MIN(S198,AP198),"-")</f>
        <v>-</v>
      </c>
      <c r="BN198" s="59" t="str">
        <f>IF(AND(T198&gt;0,AQ198&gt;0),MIN(T198,AQ198),"-")</f>
        <v>-</v>
      </c>
      <c r="BO198" s="59" t="str">
        <f>IF(AND(U198&gt;0,AR198&gt;0),MIN(U198,AR198),"-")</f>
        <v>-</v>
      </c>
      <c r="BP198" s="59" t="str">
        <f>IF(AND(V198&gt;0,AS198&gt;0),MIN(V198,AS198),"-")</f>
        <v>-</v>
      </c>
      <c r="BQ198" s="59" t="str">
        <f t="shared" ref="BQ198:BQ215" si="55">IF(COUNTIF(BH198:BP198,"&lt;&gt;-")=9,SUM(BH198:BP198),"-")</f>
        <v>-</v>
      </c>
      <c r="BR198" s="59" t="str">
        <f t="shared" ref="BR198:BR215" si="56">BG198</f>
        <v>-</v>
      </c>
      <c r="BS198" s="59" t="str">
        <f t="shared" ref="BS198:BS215" si="57">IF(COUNTIF(BQ198:BR198,"&lt;&gt;-")=2,SUM(BQ198:BR198),"-")</f>
        <v>-</v>
      </c>
      <c r="BT198" s="98" t="str">
        <f>IF(ISNUMBER(BS198),BS198-(C198*Rules!$P$9/100),"-")</f>
        <v>-</v>
      </c>
      <c r="BU198" s="59" t="e">
        <f>RANK($BT198,$BT$5:$BT$106,1)+COUNTIF(BT$5:BT198,BT198)-1</f>
        <v>#VALUE!</v>
      </c>
      <c r="BV198" s="59" t="e">
        <f t="shared" ref="BV198:BV215" si="58">RANK(BT198,$BT$5:$BT$215,1)</f>
        <v>#VALUE!</v>
      </c>
      <c r="BW198" s="59" t="str">
        <f t="shared" ref="BW198:BX215" si="59">B198</f>
        <v xml:space="preserve"> </v>
      </c>
      <c r="BX198" s="59">
        <f t="shared" si="59"/>
        <v>0</v>
      </c>
      <c r="BY198" s="59" t="str">
        <f t="shared" ref="BY198:BY215" si="60">BT198</f>
        <v>-</v>
      </c>
      <c r="CD198" s="79"/>
      <c r="CE198" s="80"/>
      <c r="CF198" s="104"/>
      <c r="CL198" s="77">
        <v>1</v>
      </c>
    </row>
    <row r="199" spans="1:90" ht="17.45" customHeight="1">
      <c r="A199" s="58">
        <v>195</v>
      </c>
      <c r="B199" s="59" t="str">
        <f>'C Div'!A199 &amp; " " &amp; 'C Div'!B199</f>
        <v xml:space="preserve"> </v>
      </c>
      <c r="C199" s="59">
        <f>'C Div'!E199</f>
        <v>0</v>
      </c>
      <c r="D199" s="60"/>
      <c r="E199" s="60"/>
      <c r="F199" s="60"/>
      <c r="G199" s="60"/>
      <c r="H199" s="60"/>
      <c r="I199" s="60"/>
      <c r="J199" s="60"/>
      <c r="K199" s="60"/>
      <c r="L199" s="60"/>
      <c r="M199" s="74" t="str">
        <f t="shared" si="46"/>
        <v>-</v>
      </c>
      <c r="N199" s="60"/>
      <c r="O199" s="60"/>
      <c r="P199" s="60"/>
      <c r="Q199" s="60"/>
      <c r="R199" s="60"/>
      <c r="S199" s="60"/>
      <c r="T199" s="60"/>
      <c r="U199" s="60"/>
      <c r="V199" s="60"/>
      <c r="W199" s="74" t="str">
        <f t="shared" si="47"/>
        <v>-</v>
      </c>
      <c r="X199" s="155" t="str">
        <f t="shared" si="48"/>
        <v>-</v>
      </c>
      <c r="Y199" s="156" t="str">
        <f t="shared" si="49"/>
        <v>-</v>
      </c>
      <c r="AA199" s="60"/>
      <c r="AB199" s="60"/>
      <c r="AC199" s="60"/>
      <c r="AD199" s="60"/>
      <c r="AE199" s="60"/>
      <c r="AF199" s="60"/>
      <c r="AG199" s="60"/>
      <c r="AH199" s="60"/>
      <c r="AI199" s="60"/>
      <c r="AJ199" s="74" t="str">
        <f t="shared" si="50"/>
        <v>-</v>
      </c>
      <c r="AK199" s="60"/>
      <c r="AL199" s="60"/>
      <c r="AM199" s="60"/>
      <c r="AN199" s="60"/>
      <c r="AO199" s="60"/>
      <c r="AP199" s="60"/>
      <c r="AQ199" s="60"/>
      <c r="AR199" s="60"/>
      <c r="AS199" s="60"/>
      <c r="AT199" s="74" t="str">
        <f t="shared" si="51"/>
        <v>-</v>
      </c>
      <c r="AU199" s="155" t="str">
        <f t="shared" si="52"/>
        <v>-</v>
      </c>
      <c r="AV199" s="156" t="str">
        <f t="shared" si="53"/>
        <v>-</v>
      </c>
      <c r="AX199" s="59" t="str">
        <f>IF(AND(D199&gt;0,AA199&gt;0),MIN(D199,AA199),"-")</f>
        <v>-</v>
      </c>
      <c r="AY199" s="59" t="str">
        <f>IF(AND(E199&gt;0,AB199&gt;0),MIN(E199,AB199),"-")</f>
        <v>-</v>
      </c>
      <c r="AZ199" s="59" t="str">
        <f>IF(AND(F199&gt;0,AC199&gt;0),MIN(F199,AC199),"-")</f>
        <v>-</v>
      </c>
      <c r="BA199" s="59" t="str">
        <f>IF(AND(G199&gt;0,AD199&gt;0),MIN(G199,AD199),"-")</f>
        <v>-</v>
      </c>
      <c r="BB199" s="59" t="str">
        <f>IF(AND(H199&gt;0,AE199&gt;0),MIN(H199,AE199),"-")</f>
        <v>-</v>
      </c>
      <c r="BC199" s="59" t="str">
        <f>IF(AND(I199&gt;0,AF199&gt;0),MIN(I199,AF199),"-")</f>
        <v>-</v>
      </c>
      <c r="BD199" s="59" t="str">
        <f>IF(AND(J199&gt;0,AG199&gt;0),MIN(J199,AG199),"-")</f>
        <v>-</v>
      </c>
      <c r="BE199" s="59" t="str">
        <f>IF(AND(K199&gt;0,AH199&gt;0),MIN(K199,AH199),"-")</f>
        <v>-</v>
      </c>
      <c r="BF199" s="59" t="str">
        <f>IF(AND(L199&gt;0,AI199&gt;0),MIN(L199,AI199),"-")</f>
        <v>-</v>
      </c>
      <c r="BG199" s="59" t="str">
        <f t="shared" si="54"/>
        <v>-</v>
      </c>
      <c r="BH199" s="59" t="str">
        <f>IF(AND(N199&gt;0,AK199&gt;0),MIN(N199,AK199),"-")</f>
        <v>-</v>
      </c>
      <c r="BI199" s="59" t="str">
        <f>IF(AND(O199&gt;0,AL199&gt;0),MIN(O199,AL199),"-")</f>
        <v>-</v>
      </c>
      <c r="BJ199" s="59" t="str">
        <f>IF(AND(P199&gt;0,AM199&gt;0),MIN(P199,AM199),"-")</f>
        <v>-</v>
      </c>
      <c r="BK199" s="59" t="str">
        <f>IF(AND(Q199&gt;0,AN199&gt;0),MIN(Q199,AN199),"-")</f>
        <v>-</v>
      </c>
      <c r="BL199" s="59" t="str">
        <f>IF(AND(R199&gt;0,AO199&gt;0),MIN(R199,AO199),"-")</f>
        <v>-</v>
      </c>
      <c r="BM199" s="59" t="str">
        <f>IF(AND(S199&gt;0,AP199&gt;0),MIN(S199,AP199),"-")</f>
        <v>-</v>
      </c>
      <c r="BN199" s="59" t="str">
        <f>IF(AND(T199&gt;0,AQ199&gt;0),MIN(T199,AQ199),"-")</f>
        <v>-</v>
      </c>
      <c r="BO199" s="59" t="str">
        <f>IF(AND(U199&gt;0,AR199&gt;0),MIN(U199,AR199),"-")</f>
        <v>-</v>
      </c>
      <c r="BP199" s="59" t="str">
        <f>IF(AND(V199&gt;0,AS199&gt;0),MIN(V199,AS199),"-")</f>
        <v>-</v>
      </c>
      <c r="BQ199" s="59" t="str">
        <f t="shared" si="55"/>
        <v>-</v>
      </c>
      <c r="BR199" s="59" t="str">
        <f t="shared" si="56"/>
        <v>-</v>
      </c>
      <c r="BS199" s="59" t="str">
        <f t="shared" si="57"/>
        <v>-</v>
      </c>
      <c r="BT199" s="98" t="str">
        <f>IF(ISNUMBER(BS199),BS199-(C199*Rules!$P$9/100),"-")</f>
        <v>-</v>
      </c>
      <c r="BU199" s="59" t="e">
        <f>RANK($BT199,$BT$5:$BT$106,1)+COUNTIF(BT$5:BT199,BT199)-1</f>
        <v>#VALUE!</v>
      </c>
      <c r="BV199" s="59" t="e">
        <f t="shared" si="58"/>
        <v>#VALUE!</v>
      </c>
      <c r="BW199" s="59" t="str">
        <f t="shared" si="59"/>
        <v xml:space="preserve"> </v>
      </c>
      <c r="BX199" s="59">
        <f t="shared" si="59"/>
        <v>0</v>
      </c>
      <c r="BY199" s="59" t="str">
        <f t="shared" si="60"/>
        <v>-</v>
      </c>
      <c r="CD199" s="79"/>
      <c r="CE199" s="80"/>
      <c r="CF199" s="104"/>
      <c r="CL199" s="77">
        <v>1</v>
      </c>
    </row>
    <row r="200" spans="1:90" ht="17.45" customHeight="1">
      <c r="A200" s="58">
        <v>196</v>
      </c>
      <c r="B200" s="59" t="str">
        <f>'C Div'!A200 &amp; " " &amp; 'C Div'!B200</f>
        <v xml:space="preserve"> </v>
      </c>
      <c r="C200" s="59">
        <f>'C Div'!E200</f>
        <v>0</v>
      </c>
      <c r="D200" s="60"/>
      <c r="E200" s="60"/>
      <c r="F200" s="60"/>
      <c r="G200" s="60"/>
      <c r="H200" s="60"/>
      <c r="I200" s="60"/>
      <c r="J200" s="60"/>
      <c r="K200" s="60"/>
      <c r="L200" s="60"/>
      <c r="M200" s="74" t="str">
        <f t="shared" si="46"/>
        <v>-</v>
      </c>
      <c r="N200" s="60"/>
      <c r="O200" s="60"/>
      <c r="P200" s="60"/>
      <c r="Q200" s="60"/>
      <c r="R200" s="60"/>
      <c r="S200" s="60"/>
      <c r="T200" s="60"/>
      <c r="U200" s="60"/>
      <c r="V200" s="60"/>
      <c r="W200" s="74" t="str">
        <f t="shared" si="47"/>
        <v>-</v>
      </c>
      <c r="X200" s="155" t="str">
        <f t="shared" si="48"/>
        <v>-</v>
      </c>
      <c r="Y200" s="156" t="str">
        <f t="shared" si="49"/>
        <v>-</v>
      </c>
      <c r="AA200" s="60"/>
      <c r="AB200" s="60"/>
      <c r="AC200" s="60"/>
      <c r="AD200" s="60"/>
      <c r="AE200" s="60"/>
      <c r="AF200" s="60"/>
      <c r="AG200" s="60"/>
      <c r="AH200" s="60"/>
      <c r="AI200" s="60"/>
      <c r="AJ200" s="74" t="str">
        <f t="shared" si="50"/>
        <v>-</v>
      </c>
      <c r="AK200" s="60"/>
      <c r="AL200" s="60"/>
      <c r="AM200" s="60"/>
      <c r="AN200" s="60"/>
      <c r="AO200" s="60"/>
      <c r="AP200" s="60"/>
      <c r="AQ200" s="60"/>
      <c r="AR200" s="60"/>
      <c r="AS200" s="60"/>
      <c r="AT200" s="74" t="str">
        <f t="shared" si="51"/>
        <v>-</v>
      </c>
      <c r="AU200" s="155" t="str">
        <f t="shared" si="52"/>
        <v>-</v>
      </c>
      <c r="AV200" s="156" t="str">
        <f t="shared" si="53"/>
        <v>-</v>
      </c>
      <c r="AX200" s="59" t="str">
        <f>IF(AND(D200&gt;0,AA200&gt;0),MIN(D200,AA200),"-")</f>
        <v>-</v>
      </c>
      <c r="AY200" s="59" t="str">
        <f>IF(AND(E200&gt;0,AB200&gt;0),MIN(E200,AB200),"-")</f>
        <v>-</v>
      </c>
      <c r="AZ200" s="59" t="str">
        <f>IF(AND(F200&gt;0,AC200&gt;0),MIN(F200,AC200),"-")</f>
        <v>-</v>
      </c>
      <c r="BA200" s="59" t="str">
        <f>IF(AND(G200&gt;0,AD200&gt;0),MIN(G200,AD200),"-")</f>
        <v>-</v>
      </c>
      <c r="BB200" s="59" t="str">
        <f>IF(AND(H200&gt;0,AE200&gt;0),MIN(H200,AE200),"-")</f>
        <v>-</v>
      </c>
      <c r="BC200" s="59" t="str">
        <f>IF(AND(I200&gt;0,AF200&gt;0),MIN(I200,AF200),"-")</f>
        <v>-</v>
      </c>
      <c r="BD200" s="59" t="str">
        <f>IF(AND(J200&gt;0,AG200&gt;0),MIN(J200,AG200),"-")</f>
        <v>-</v>
      </c>
      <c r="BE200" s="59" t="str">
        <f>IF(AND(K200&gt;0,AH200&gt;0),MIN(K200,AH200),"-")</f>
        <v>-</v>
      </c>
      <c r="BF200" s="59" t="str">
        <f>IF(AND(L200&gt;0,AI200&gt;0),MIN(L200,AI200),"-")</f>
        <v>-</v>
      </c>
      <c r="BG200" s="59" t="str">
        <f t="shared" si="54"/>
        <v>-</v>
      </c>
      <c r="BH200" s="59" t="str">
        <f>IF(AND(N200&gt;0,AK200&gt;0),MIN(N200,AK200),"-")</f>
        <v>-</v>
      </c>
      <c r="BI200" s="59" t="str">
        <f>IF(AND(O200&gt;0,AL200&gt;0),MIN(O200,AL200),"-")</f>
        <v>-</v>
      </c>
      <c r="BJ200" s="59" t="str">
        <f>IF(AND(P200&gt;0,AM200&gt;0),MIN(P200,AM200),"-")</f>
        <v>-</v>
      </c>
      <c r="BK200" s="59" t="str">
        <f>IF(AND(Q200&gt;0,AN200&gt;0),MIN(Q200,AN200),"-")</f>
        <v>-</v>
      </c>
      <c r="BL200" s="59" t="str">
        <f>IF(AND(R200&gt;0,AO200&gt;0),MIN(R200,AO200),"-")</f>
        <v>-</v>
      </c>
      <c r="BM200" s="59" t="str">
        <f>IF(AND(S200&gt;0,AP200&gt;0),MIN(S200,AP200),"-")</f>
        <v>-</v>
      </c>
      <c r="BN200" s="59" t="str">
        <f>IF(AND(T200&gt;0,AQ200&gt;0),MIN(T200,AQ200),"-")</f>
        <v>-</v>
      </c>
      <c r="BO200" s="59" t="str">
        <f>IF(AND(U200&gt;0,AR200&gt;0),MIN(U200,AR200),"-")</f>
        <v>-</v>
      </c>
      <c r="BP200" s="59" t="str">
        <f>IF(AND(V200&gt;0,AS200&gt;0),MIN(V200,AS200),"-")</f>
        <v>-</v>
      </c>
      <c r="BQ200" s="59" t="str">
        <f t="shared" si="55"/>
        <v>-</v>
      </c>
      <c r="BR200" s="59" t="str">
        <f t="shared" si="56"/>
        <v>-</v>
      </c>
      <c r="BS200" s="59" t="str">
        <f t="shared" si="57"/>
        <v>-</v>
      </c>
      <c r="BT200" s="98" t="str">
        <f>IF(ISNUMBER(BS200),BS200-(C200*Rules!$P$9/100),"-")</f>
        <v>-</v>
      </c>
      <c r="BU200" s="59" t="e">
        <f>RANK($BT200,$BT$5:$BT$106,1)+COUNTIF(BT$5:BT200,BT200)-1</f>
        <v>#VALUE!</v>
      </c>
      <c r="BV200" s="59" t="e">
        <f t="shared" si="58"/>
        <v>#VALUE!</v>
      </c>
      <c r="BW200" s="59" t="str">
        <f t="shared" si="59"/>
        <v xml:space="preserve"> </v>
      </c>
      <c r="BX200" s="59">
        <f t="shared" si="59"/>
        <v>0</v>
      </c>
      <c r="BY200" s="59" t="str">
        <f t="shared" si="60"/>
        <v>-</v>
      </c>
      <c r="CD200" s="79"/>
      <c r="CE200" s="80"/>
      <c r="CF200" s="104"/>
      <c r="CL200" s="77">
        <v>1</v>
      </c>
    </row>
    <row r="201" spans="1:90" ht="17.45" customHeight="1">
      <c r="A201" s="58">
        <v>197</v>
      </c>
      <c r="B201" s="59" t="str">
        <f>'C Div'!A201 &amp; " " &amp; 'C Div'!B201</f>
        <v xml:space="preserve"> </v>
      </c>
      <c r="C201" s="59">
        <f>'C Div'!E201</f>
        <v>0</v>
      </c>
      <c r="D201" s="60"/>
      <c r="E201" s="60"/>
      <c r="F201" s="60"/>
      <c r="G201" s="60"/>
      <c r="H201" s="60"/>
      <c r="I201" s="60"/>
      <c r="J201" s="60"/>
      <c r="K201" s="60"/>
      <c r="L201" s="60"/>
      <c r="M201" s="74" t="str">
        <f t="shared" si="46"/>
        <v>-</v>
      </c>
      <c r="N201" s="60"/>
      <c r="O201" s="60"/>
      <c r="P201" s="60"/>
      <c r="Q201" s="60"/>
      <c r="R201" s="60"/>
      <c r="S201" s="60"/>
      <c r="T201" s="60"/>
      <c r="U201" s="60"/>
      <c r="V201" s="60"/>
      <c r="W201" s="74" t="str">
        <f t="shared" si="47"/>
        <v>-</v>
      </c>
      <c r="X201" s="155" t="str">
        <f t="shared" si="48"/>
        <v>-</v>
      </c>
      <c r="Y201" s="156" t="str">
        <f t="shared" si="49"/>
        <v>-</v>
      </c>
      <c r="AA201" s="60"/>
      <c r="AB201" s="60"/>
      <c r="AC201" s="60"/>
      <c r="AD201" s="60"/>
      <c r="AE201" s="60"/>
      <c r="AF201" s="60"/>
      <c r="AG201" s="60"/>
      <c r="AH201" s="60"/>
      <c r="AI201" s="60"/>
      <c r="AJ201" s="74" t="str">
        <f t="shared" si="50"/>
        <v>-</v>
      </c>
      <c r="AK201" s="60"/>
      <c r="AL201" s="60"/>
      <c r="AM201" s="60"/>
      <c r="AN201" s="60"/>
      <c r="AO201" s="60"/>
      <c r="AP201" s="60"/>
      <c r="AQ201" s="60"/>
      <c r="AR201" s="60"/>
      <c r="AS201" s="60"/>
      <c r="AT201" s="74" t="str">
        <f t="shared" si="51"/>
        <v>-</v>
      </c>
      <c r="AU201" s="155" t="str">
        <f t="shared" si="52"/>
        <v>-</v>
      </c>
      <c r="AV201" s="156" t="str">
        <f t="shared" si="53"/>
        <v>-</v>
      </c>
      <c r="AX201" s="59" t="str">
        <f>IF(AND(D201&gt;0,AA201&gt;0),MIN(D201,AA201),"-")</f>
        <v>-</v>
      </c>
      <c r="AY201" s="59" t="str">
        <f>IF(AND(E201&gt;0,AB201&gt;0),MIN(E201,AB201),"-")</f>
        <v>-</v>
      </c>
      <c r="AZ201" s="59" t="str">
        <f>IF(AND(F201&gt;0,AC201&gt;0),MIN(F201,AC201),"-")</f>
        <v>-</v>
      </c>
      <c r="BA201" s="59" t="str">
        <f>IF(AND(G201&gt;0,AD201&gt;0),MIN(G201,AD201),"-")</f>
        <v>-</v>
      </c>
      <c r="BB201" s="59" t="str">
        <f>IF(AND(H201&gt;0,AE201&gt;0),MIN(H201,AE201),"-")</f>
        <v>-</v>
      </c>
      <c r="BC201" s="59" t="str">
        <f>IF(AND(I201&gt;0,AF201&gt;0),MIN(I201,AF201),"-")</f>
        <v>-</v>
      </c>
      <c r="BD201" s="59" t="str">
        <f>IF(AND(J201&gt;0,AG201&gt;0),MIN(J201,AG201),"-")</f>
        <v>-</v>
      </c>
      <c r="BE201" s="59" t="str">
        <f>IF(AND(K201&gt;0,AH201&gt;0),MIN(K201,AH201),"-")</f>
        <v>-</v>
      </c>
      <c r="BF201" s="59" t="str">
        <f>IF(AND(L201&gt;0,AI201&gt;0),MIN(L201,AI201),"-")</f>
        <v>-</v>
      </c>
      <c r="BG201" s="59" t="str">
        <f t="shared" si="54"/>
        <v>-</v>
      </c>
      <c r="BH201" s="59" t="str">
        <f>IF(AND(N201&gt;0,AK201&gt;0),MIN(N201,AK201),"-")</f>
        <v>-</v>
      </c>
      <c r="BI201" s="59" t="str">
        <f>IF(AND(O201&gt;0,AL201&gt;0),MIN(O201,AL201),"-")</f>
        <v>-</v>
      </c>
      <c r="BJ201" s="59" t="str">
        <f>IF(AND(P201&gt;0,AM201&gt;0),MIN(P201,AM201),"-")</f>
        <v>-</v>
      </c>
      <c r="BK201" s="59" t="str">
        <f>IF(AND(Q201&gt;0,AN201&gt;0),MIN(Q201,AN201),"-")</f>
        <v>-</v>
      </c>
      <c r="BL201" s="59" t="str">
        <f>IF(AND(R201&gt;0,AO201&gt;0),MIN(R201,AO201),"-")</f>
        <v>-</v>
      </c>
      <c r="BM201" s="59" t="str">
        <f>IF(AND(S201&gt;0,AP201&gt;0),MIN(S201,AP201),"-")</f>
        <v>-</v>
      </c>
      <c r="BN201" s="59" t="str">
        <f>IF(AND(T201&gt;0,AQ201&gt;0),MIN(T201,AQ201),"-")</f>
        <v>-</v>
      </c>
      <c r="BO201" s="59" t="str">
        <f>IF(AND(U201&gt;0,AR201&gt;0),MIN(U201,AR201),"-")</f>
        <v>-</v>
      </c>
      <c r="BP201" s="59" t="str">
        <f>IF(AND(V201&gt;0,AS201&gt;0),MIN(V201,AS201),"-")</f>
        <v>-</v>
      </c>
      <c r="BQ201" s="59" t="str">
        <f t="shared" si="55"/>
        <v>-</v>
      </c>
      <c r="BR201" s="59" t="str">
        <f t="shared" si="56"/>
        <v>-</v>
      </c>
      <c r="BS201" s="59" t="str">
        <f t="shared" si="57"/>
        <v>-</v>
      </c>
      <c r="BT201" s="98" t="str">
        <f>IF(ISNUMBER(BS201),BS201-(C201*Rules!$P$9/100),"-")</f>
        <v>-</v>
      </c>
      <c r="BU201" s="59" t="e">
        <f>RANK($BT201,$BT$5:$BT$106,1)+COUNTIF(BT$5:BT201,BT201)-1</f>
        <v>#VALUE!</v>
      </c>
      <c r="BV201" s="59" t="e">
        <f t="shared" si="58"/>
        <v>#VALUE!</v>
      </c>
      <c r="BW201" s="59" t="str">
        <f t="shared" si="59"/>
        <v xml:space="preserve"> </v>
      </c>
      <c r="BX201" s="59">
        <f t="shared" si="59"/>
        <v>0</v>
      </c>
      <c r="BY201" s="59" t="str">
        <f t="shared" si="60"/>
        <v>-</v>
      </c>
      <c r="CD201" s="79"/>
      <c r="CE201" s="80"/>
      <c r="CF201" s="104"/>
      <c r="CL201" s="77">
        <v>1</v>
      </c>
    </row>
    <row r="202" spans="1:90" ht="17.45" customHeight="1">
      <c r="A202" s="58">
        <v>198</v>
      </c>
      <c r="B202" s="59" t="str">
        <f>'C Div'!A202 &amp; " " &amp; 'C Div'!B202</f>
        <v xml:space="preserve"> </v>
      </c>
      <c r="C202" s="59">
        <f>'C Div'!E202</f>
        <v>0</v>
      </c>
      <c r="D202" s="60"/>
      <c r="E202" s="60"/>
      <c r="F202" s="60"/>
      <c r="G202" s="60"/>
      <c r="H202" s="60"/>
      <c r="I202" s="60"/>
      <c r="J202" s="60"/>
      <c r="K202" s="60"/>
      <c r="L202" s="60"/>
      <c r="M202" s="74" t="str">
        <f t="shared" si="46"/>
        <v>-</v>
      </c>
      <c r="N202" s="60"/>
      <c r="O202" s="60"/>
      <c r="P202" s="60"/>
      <c r="Q202" s="60"/>
      <c r="R202" s="60"/>
      <c r="S202" s="60"/>
      <c r="T202" s="60"/>
      <c r="U202" s="60"/>
      <c r="V202" s="60"/>
      <c r="W202" s="74" t="str">
        <f t="shared" si="47"/>
        <v>-</v>
      </c>
      <c r="X202" s="155" t="str">
        <f t="shared" si="48"/>
        <v>-</v>
      </c>
      <c r="Y202" s="156" t="str">
        <f t="shared" si="49"/>
        <v>-</v>
      </c>
      <c r="AA202" s="60"/>
      <c r="AB202" s="60"/>
      <c r="AC202" s="60"/>
      <c r="AD202" s="60"/>
      <c r="AE202" s="60"/>
      <c r="AF202" s="60"/>
      <c r="AG202" s="60"/>
      <c r="AH202" s="60"/>
      <c r="AI202" s="60"/>
      <c r="AJ202" s="74" t="str">
        <f t="shared" si="50"/>
        <v>-</v>
      </c>
      <c r="AK202" s="60"/>
      <c r="AL202" s="60"/>
      <c r="AM202" s="60"/>
      <c r="AN202" s="60"/>
      <c r="AO202" s="60"/>
      <c r="AP202" s="60"/>
      <c r="AQ202" s="60"/>
      <c r="AR202" s="60"/>
      <c r="AS202" s="60"/>
      <c r="AT202" s="74" t="str">
        <f t="shared" si="51"/>
        <v>-</v>
      </c>
      <c r="AU202" s="155" t="str">
        <f t="shared" si="52"/>
        <v>-</v>
      </c>
      <c r="AV202" s="156" t="str">
        <f t="shared" si="53"/>
        <v>-</v>
      </c>
      <c r="AX202" s="59" t="str">
        <f>IF(AND(D202&gt;0,AA202&gt;0),MIN(D202,AA202),"-")</f>
        <v>-</v>
      </c>
      <c r="AY202" s="59" t="str">
        <f>IF(AND(E202&gt;0,AB202&gt;0),MIN(E202,AB202),"-")</f>
        <v>-</v>
      </c>
      <c r="AZ202" s="59" t="str">
        <f>IF(AND(F202&gt;0,AC202&gt;0),MIN(F202,AC202),"-")</f>
        <v>-</v>
      </c>
      <c r="BA202" s="59" t="str">
        <f>IF(AND(G202&gt;0,AD202&gt;0),MIN(G202,AD202),"-")</f>
        <v>-</v>
      </c>
      <c r="BB202" s="59" t="str">
        <f>IF(AND(H202&gt;0,AE202&gt;0),MIN(H202,AE202),"-")</f>
        <v>-</v>
      </c>
      <c r="BC202" s="59" t="str">
        <f>IF(AND(I202&gt;0,AF202&gt;0),MIN(I202,AF202),"-")</f>
        <v>-</v>
      </c>
      <c r="BD202" s="59" t="str">
        <f>IF(AND(J202&gt;0,AG202&gt;0),MIN(J202,AG202),"-")</f>
        <v>-</v>
      </c>
      <c r="BE202" s="59" t="str">
        <f>IF(AND(K202&gt;0,AH202&gt;0),MIN(K202,AH202),"-")</f>
        <v>-</v>
      </c>
      <c r="BF202" s="59" t="str">
        <f>IF(AND(L202&gt;0,AI202&gt;0),MIN(L202,AI202),"-")</f>
        <v>-</v>
      </c>
      <c r="BG202" s="59" t="str">
        <f t="shared" si="54"/>
        <v>-</v>
      </c>
      <c r="BH202" s="59" t="str">
        <f>IF(AND(N202&gt;0,AK202&gt;0),MIN(N202,AK202),"-")</f>
        <v>-</v>
      </c>
      <c r="BI202" s="59" t="str">
        <f>IF(AND(O202&gt;0,AL202&gt;0),MIN(O202,AL202),"-")</f>
        <v>-</v>
      </c>
      <c r="BJ202" s="59" t="str">
        <f>IF(AND(P202&gt;0,AM202&gt;0),MIN(P202,AM202),"-")</f>
        <v>-</v>
      </c>
      <c r="BK202" s="59" t="str">
        <f>IF(AND(Q202&gt;0,AN202&gt;0),MIN(Q202,AN202),"-")</f>
        <v>-</v>
      </c>
      <c r="BL202" s="59" t="str">
        <f>IF(AND(R202&gt;0,AO202&gt;0),MIN(R202,AO202),"-")</f>
        <v>-</v>
      </c>
      <c r="BM202" s="59" t="str">
        <f>IF(AND(S202&gt;0,AP202&gt;0),MIN(S202,AP202),"-")</f>
        <v>-</v>
      </c>
      <c r="BN202" s="59" t="str">
        <f>IF(AND(T202&gt;0,AQ202&gt;0),MIN(T202,AQ202),"-")</f>
        <v>-</v>
      </c>
      <c r="BO202" s="59" t="str">
        <f>IF(AND(U202&gt;0,AR202&gt;0),MIN(U202,AR202),"-")</f>
        <v>-</v>
      </c>
      <c r="BP202" s="59" t="str">
        <f>IF(AND(V202&gt;0,AS202&gt;0),MIN(V202,AS202),"-")</f>
        <v>-</v>
      </c>
      <c r="BQ202" s="59" t="str">
        <f t="shared" si="55"/>
        <v>-</v>
      </c>
      <c r="BR202" s="59" t="str">
        <f t="shared" si="56"/>
        <v>-</v>
      </c>
      <c r="BS202" s="59" t="str">
        <f t="shared" si="57"/>
        <v>-</v>
      </c>
      <c r="BT202" s="98" t="str">
        <f>IF(ISNUMBER(BS202),BS202-(C202*Rules!$P$9/100),"-")</f>
        <v>-</v>
      </c>
      <c r="BU202" s="59" t="e">
        <f>RANK($BT202,$BT$5:$BT$106,1)+COUNTIF(BT$5:BT202,BT202)-1</f>
        <v>#VALUE!</v>
      </c>
      <c r="BV202" s="59" t="e">
        <f t="shared" si="58"/>
        <v>#VALUE!</v>
      </c>
      <c r="BW202" s="59" t="str">
        <f t="shared" si="59"/>
        <v xml:space="preserve"> </v>
      </c>
      <c r="BX202" s="59">
        <f t="shared" si="59"/>
        <v>0</v>
      </c>
      <c r="BY202" s="59" t="str">
        <f t="shared" si="60"/>
        <v>-</v>
      </c>
      <c r="CD202" s="79"/>
      <c r="CE202" s="80"/>
      <c r="CF202" s="104"/>
      <c r="CL202" s="77">
        <v>1</v>
      </c>
    </row>
    <row r="203" spans="1:90" ht="17.45" customHeight="1">
      <c r="A203" s="58">
        <v>199</v>
      </c>
      <c r="B203" s="59" t="str">
        <f>'C Div'!A203 &amp; " " &amp; 'C Div'!B203</f>
        <v xml:space="preserve"> </v>
      </c>
      <c r="C203" s="59">
        <f>'C Div'!E203</f>
        <v>0</v>
      </c>
      <c r="D203" s="60"/>
      <c r="E203" s="60"/>
      <c r="F203" s="60"/>
      <c r="G203" s="60"/>
      <c r="H203" s="60"/>
      <c r="I203" s="60"/>
      <c r="J203" s="60"/>
      <c r="K203" s="60"/>
      <c r="L203" s="60"/>
      <c r="M203" s="74" t="str">
        <f t="shared" si="46"/>
        <v>-</v>
      </c>
      <c r="N203" s="60"/>
      <c r="O203" s="60"/>
      <c r="P203" s="60"/>
      <c r="Q203" s="60"/>
      <c r="R203" s="60"/>
      <c r="S203" s="60"/>
      <c r="T203" s="60"/>
      <c r="U203" s="60"/>
      <c r="V203" s="60"/>
      <c r="W203" s="74" t="str">
        <f t="shared" si="47"/>
        <v>-</v>
      </c>
      <c r="X203" s="155" t="str">
        <f t="shared" si="48"/>
        <v>-</v>
      </c>
      <c r="Y203" s="156" t="str">
        <f t="shared" si="49"/>
        <v>-</v>
      </c>
      <c r="AA203" s="60"/>
      <c r="AB203" s="60"/>
      <c r="AC203" s="60"/>
      <c r="AD203" s="60"/>
      <c r="AE203" s="60"/>
      <c r="AF203" s="60"/>
      <c r="AG203" s="60"/>
      <c r="AH203" s="60"/>
      <c r="AI203" s="60"/>
      <c r="AJ203" s="74" t="str">
        <f t="shared" si="50"/>
        <v>-</v>
      </c>
      <c r="AK203" s="60"/>
      <c r="AL203" s="60"/>
      <c r="AM203" s="60"/>
      <c r="AN203" s="60"/>
      <c r="AO203" s="60"/>
      <c r="AP203" s="60"/>
      <c r="AQ203" s="60"/>
      <c r="AR203" s="60"/>
      <c r="AS203" s="60"/>
      <c r="AT203" s="74" t="str">
        <f t="shared" si="51"/>
        <v>-</v>
      </c>
      <c r="AU203" s="155" t="str">
        <f t="shared" si="52"/>
        <v>-</v>
      </c>
      <c r="AV203" s="156" t="str">
        <f t="shared" si="53"/>
        <v>-</v>
      </c>
      <c r="AX203" s="59" t="str">
        <f>IF(AND(D203&gt;0,AA203&gt;0),MIN(D203,AA203),"-")</f>
        <v>-</v>
      </c>
      <c r="AY203" s="59" t="str">
        <f>IF(AND(E203&gt;0,AB203&gt;0),MIN(E203,AB203),"-")</f>
        <v>-</v>
      </c>
      <c r="AZ203" s="59" t="str">
        <f>IF(AND(F203&gt;0,AC203&gt;0),MIN(F203,AC203),"-")</f>
        <v>-</v>
      </c>
      <c r="BA203" s="59" t="str">
        <f>IF(AND(G203&gt;0,AD203&gt;0),MIN(G203,AD203),"-")</f>
        <v>-</v>
      </c>
      <c r="BB203" s="59" t="str">
        <f>IF(AND(H203&gt;0,AE203&gt;0),MIN(H203,AE203),"-")</f>
        <v>-</v>
      </c>
      <c r="BC203" s="59" t="str">
        <f>IF(AND(I203&gt;0,AF203&gt;0),MIN(I203,AF203),"-")</f>
        <v>-</v>
      </c>
      <c r="BD203" s="59" t="str">
        <f>IF(AND(J203&gt;0,AG203&gt;0),MIN(J203,AG203),"-")</f>
        <v>-</v>
      </c>
      <c r="BE203" s="59" t="str">
        <f>IF(AND(K203&gt;0,AH203&gt;0),MIN(K203,AH203),"-")</f>
        <v>-</v>
      </c>
      <c r="BF203" s="59" t="str">
        <f>IF(AND(L203&gt;0,AI203&gt;0),MIN(L203,AI203),"-")</f>
        <v>-</v>
      </c>
      <c r="BG203" s="59" t="str">
        <f t="shared" si="54"/>
        <v>-</v>
      </c>
      <c r="BH203" s="59" t="str">
        <f>IF(AND(N203&gt;0,AK203&gt;0),MIN(N203,AK203),"-")</f>
        <v>-</v>
      </c>
      <c r="BI203" s="59" t="str">
        <f>IF(AND(O203&gt;0,AL203&gt;0),MIN(O203,AL203),"-")</f>
        <v>-</v>
      </c>
      <c r="BJ203" s="59" t="str">
        <f>IF(AND(P203&gt;0,AM203&gt;0),MIN(P203,AM203),"-")</f>
        <v>-</v>
      </c>
      <c r="BK203" s="59" t="str">
        <f>IF(AND(Q203&gt;0,AN203&gt;0),MIN(Q203,AN203),"-")</f>
        <v>-</v>
      </c>
      <c r="BL203" s="59" t="str">
        <f>IF(AND(R203&gt;0,AO203&gt;0),MIN(R203,AO203),"-")</f>
        <v>-</v>
      </c>
      <c r="BM203" s="59" t="str">
        <f>IF(AND(S203&gt;0,AP203&gt;0),MIN(S203,AP203),"-")</f>
        <v>-</v>
      </c>
      <c r="BN203" s="59" t="str">
        <f>IF(AND(T203&gt;0,AQ203&gt;0),MIN(T203,AQ203),"-")</f>
        <v>-</v>
      </c>
      <c r="BO203" s="59" t="str">
        <f>IF(AND(U203&gt;0,AR203&gt;0),MIN(U203,AR203),"-")</f>
        <v>-</v>
      </c>
      <c r="BP203" s="59" t="str">
        <f>IF(AND(V203&gt;0,AS203&gt;0),MIN(V203,AS203),"-")</f>
        <v>-</v>
      </c>
      <c r="BQ203" s="59" t="str">
        <f t="shared" si="55"/>
        <v>-</v>
      </c>
      <c r="BR203" s="59" t="str">
        <f t="shared" si="56"/>
        <v>-</v>
      </c>
      <c r="BS203" s="59" t="str">
        <f t="shared" si="57"/>
        <v>-</v>
      </c>
      <c r="BT203" s="98" t="str">
        <f>IF(ISNUMBER(BS203),BS203-(C203*Rules!$P$9/100),"-")</f>
        <v>-</v>
      </c>
      <c r="BU203" s="59" t="e">
        <f>RANK($BT203,$BT$5:$BT$106,1)+COUNTIF(BT$5:BT203,BT203)-1</f>
        <v>#VALUE!</v>
      </c>
      <c r="BV203" s="59" t="e">
        <f t="shared" si="58"/>
        <v>#VALUE!</v>
      </c>
      <c r="BW203" s="59" t="str">
        <f t="shared" si="59"/>
        <v xml:space="preserve"> </v>
      </c>
      <c r="BX203" s="59">
        <f t="shared" si="59"/>
        <v>0</v>
      </c>
      <c r="BY203" s="59" t="str">
        <f t="shared" si="60"/>
        <v>-</v>
      </c>
      <c r="CD203" s="79"/>
      <c r="CE203" s="80"/>
      <c r="CF203" s="104"/>
      <c r="CL203" s="77">
        <v>1</v>
      </c>
    </row>
    <row r="204" spans="1:90" ht="17.45" customHeight="1">
      <c r="A204" s="58">
        <v>200</v>
      </c>
      <c r="B204" s="59" t="str">
        <f>'C Div'!A204 &amp; " " &amp; 'C Div'!B204</f>
        <v xml:space="preserve"> </v>
      </c>
      <c r="C204" s="59">
        <f>'C Div'!E204</f>
        <v>0</v>
      </c>
      <c r="D204" s="60"/>
      <c r="E204" s="60"/>
      <c r="F204" s="60"/>
      <c r="G204" s="60"/>
      <c r="H204" s="60"/>
      <c r="I204" s="60"/>
      <c r="J204" s="60"/>
      <c r="K204" s="60"/>
      <c r="L204" s="60"/>
      <c r="M204" s="74" t="str">
        <f t="shared" si="46"/>
        <v>-</v>
      </c>
      <c r="N204" s="60"/>
      <c r="O204" s="60"/>
      <c r="P204" s="60"/>
      <c r="Q204" s="60"/>
      <c r="R204" s="60"/>
      <c r="S204" s="60"/>
      <c r="T204" s="60"/>
      <c r="U204" s="60"/>
      <c r="V204" s="60"/>
      <c r="W204" s="74" t="str">
        <f t="shared" si="47"/>
        <v>-</v>
      </c>
      <c r="X204" s="155" t="str">
        <f t="shared" si="48"/>
        <v>-</v>
      </c>
      <c r="Y204" s="156" t="str">
        <f t="shared" si="49"/>
        <v>-</v>
      </c>
      <c r="AA204" s="60"/>
      <c r="AB204" s="60"/>
      <c r="AC204" s="60"/>
      <c r="AD204" s="60"/>
      <c r="AE204" s="60"/>
      <c r="AF204" s="60"/>
      <c r="AG204" s="60"/>
      <c r="AH204" s="60"/>
      <c r="AI204" s="60"/>
      <c r="AJ204" s="74" t="str">
        <f t="shared" si="50"/>
        <v>-</v>
      </c>
      <c r="AK204" s="60"/>
      <c r="AL204" s="60"/>
      <c r="AM204" s="60"/>
      <c r="AN204" s="60"/>
      <c r="AO204" s="60"/>
      <c r="AP204" s="60"/>
      <c r="AQ204" s="60"/>
      <c r="AR204" s="60"/>
      <c r="AS204" s="60"/>
      <c r="AT204" s="74" t="str">
        <f t="shared" si="51"/>
        <v>-</v>
      </c>
      <c r="AU204" s="155" t="str">
        <f t="shared" si="52"/>
        <v>-</v>
      </c>
      <c r="AV204" s="156" t="str">
        <f t="shared" si="53"/>
        <v>-</v>
      </c>
      <c r="AX204" s="59" t="str">
        <f>IF(AND(D204&gt;0,AA204&gt;0),MIN(D204,AA204),"-")</f>
        <v>-</v>
      </c>
      <c r="AY204" s="59" t="str">
        <f>IF(AND(E204&gt;0,AB204&gt;0),MIN(E204,AB204),"-")</f>
        <v>-</v>
      </c>
      <c r="AZ204" s="59" t="str">
        <f>IF(AND(F204&gt;0,AC204&gt;0),MIN(F204,AC204),"-")</f>
        <v>-</v>
      </c>
      <c r="BA204" s="59" t="str">
        <f>IF(AND(G204&gt;0,AD204&gt;0),MIN(G204,AD204),"-")</f>
        <v>-</v>
      </c>
      <c r="BB204" s="59" t="str">
        <f>IF(AND(H204&gt;0,AE204&gt;0),MIN(H204,AE204),"-")</f>
        <v>-</v>
      </c>
      <c r="BC204" s="59" t="str">
        <f>IF(AND(I204&gt;0,AF204&gt;0),MIN(I204,AF204),"-")</f>
        <v>-</v>
      </c>
      <c r="BD204" s="59" t="str">
        <f>IF(AND(J204&gt;0,AG204&gt;0),MIN(J204,AG204),"-")</f>
        <v>-</v>
      </c>
      <c r="BE204" s="59" t="str">
        <f>IF(AND(K204&gt;0,AH204&gt;0),MIN(K204,AH204),"-")</f>
        <v>-</v>
      </c>
      <c r="BF204" s="59" t="str">
        <f>IF(AND(L204&gt;0,AI204&gt;0),MIN(L204,AI204),"-")</f>
        <v>-</v>
      </c>
      <c r="BG204" s="59" t="str">
        <f t="shared" si="54"/>
        <v>-</v>
      </c>
      <c r="BH204" s="59" t="str">
        <f>IF(AND(N204&gt;0,AK204&gt;0),MIN(N204,AK204),"-")</f>
        <v>-</v>
      </c>
      <c r="BI204" s="59" t="str">
        <f>IF(AND(O204&gt;0,AL204&gt;0),MIN(O204,AL204),"-")</f>
        <v>-</v>
      </c>
      <c r="BJ204" s="59" t="str">
        <f>IF(AND(P204&gt;0,AM204&gt;0),MIN(P204,AM204),"-")</f>
        <v>-</v>
      </c>
      <c r="BK204" s="59" t="str">
        <f>IF(AND(Q204&gt;0,AN204&gt;0),MIN(Q204,AN204),"-")</f>
        <v>-</v>
      </c>
      <c r="BL204" s="59" t="str">
        <f>IF(AND(R204&gt;0,AO204&gt;0),MIN(R204,AO204),"-")</f>
        <v>-</v>
      </c>
      <c r="BM204" s="59" t="str">
        <f>IF(AND(S204&gt;0,AP204&gt;0),MIN(S204,AP204),"-")</f>
        <v>-</v>
      </c>
      <c r="BN204" s="59" t="str">
        <f>IF(AND(T204&gt;0,AQ204&gt;0),MIN(T204,AQ204),"-")</f>
        <v>-</v>
      </c>
      <c r="BO204" s="59" t="str">
        <f>IF(AND(U204&gt;0,AR204&gt;0),MIN(U204,AR204),"-")</f>
        <v>-</v>
      </c>
      <c r="BP204" s="59" t="str">
        <f>IF(AND(V204&gt;0,AS204&gt;0),MIN(V204,AS204),"-")</f>
        <v>-</v>
      </c>
      <c r="BQ204" s="59" t="str">
        <f t="shared" si="55"/>
        <v>-</v>
      </c>
      <c r="BR204" s="59" t="str">
        <f t="shared" si="56"/>
        <v>-</v>
      </c>
      <c r="BS204" s="59" t="str">
        <f t="shared" si="57"/>
        <v>-</v>
      </c>
      <c r="BT204" s="98" t="str">
        <f>IF(ISNUMBER(BS204),BS204-(C204*Rules!$P$9/100),"-")</f>
        <v>-</v>
      </c>
      <c r="BU204" s="59" t="e">
        <f>RANK($BT204,$BT$5:$BT$106,1)+COUNTIF(BT$5:BT204,BT204)-1</f>
        <v>#VALUE!</v>
      </c>
      <c r="BV204" s="59" t="e">
        <f t="shared" si="58"/>
        <v>#VALUE!</v>
      </c>
      <c r="BW204" s="59" t="str">
        <f t="shared" si="59"/>
        <v xml:space="preserve"> </v>
      </c>
      <c r="BX204" s="59">
        <f t="shared" si="59"/>
        <v>0</v>
      </c>
      <c r="BY204" s="59" t="str">
        <f t="shared" si="60"/>
        <v>-</v>
      </c>
      <c r="CD204" s="79"/>
      <c r="CE204" s="80"/>
      <c r="CF204" s="104"/>
      <c r="CL204" s="77">
        <v>1</v>
      </c>
    </row>
    <row r="205" spans="1:90" ht="17.45" customHeight="1">
      <c r="A205" s="58">
        <v>201</v>
      </c>
      <c r="B205" s="59" t="str">
        <f>'C Div'!A205 &amp; " " &amp; 'C Div'!B205</f>
        <v xml:space="preserve"> </v>
      </c>
      <c r="C205" s="59">
        <f>'C Div'!E205</f>
        <v>0</v>
      </c>
      <c r="D205" s="60"/>
      <c r="E205" s="60"/>
      <c r="F205" s="60"/>
      <c r="G205" s="60"/>
      <c r="H205" s="60"/>
      <c r="I205" s="60"/>
      <c r="J205" s="60"/>
      <c r="K205" s="60"/>
      <c r="L205" s="60"/>
      <c r="M205" s="74" t="str">
        <f t="shared" si="46"/>
        <v>-</v>
      </c>
      <c r="N205" s="60"/>
      <c r="O205" s="60"/>
      <c r="P205" s="60"/>
      <c r="Q205" s="60"/>
      <c r="R205" s="60"/>
      <c r="S205" s="60"/>
      <c r="T205" s="60"/>
      <c r="U205" s="60"/>
      <c r="V205" s="60"/>
      <c r="W205" s="74" t="str">
        <f t="shared" si="47"/>
        <v>-</v>
      </c>
      <c r="X205" s="155" t="str">
        <f t="shared" si="48"/>
        <v>-</v>
      </c>
      <c r="Y205" s="156" t="str">
        <f t="shared" si="49"/>
        <v>-</v>
      </c>
      <c r="AA205" s="60"/>
      <c r="AB205" s="60"/>
      <c r="AC205" s="60"/>
      <c r="AD205" s="60"/>
      <c r="AE205" s="60"/>
      <c r="AF205" s="60"/>
      <c r="AG205" s="60"/>
      <c r="AH205" s="60"/>
      <c r="AI205" s="60"/>
      <c r="AJ205" s="74" t="str">
        <f t="shared" si="50"/>
        <v>-</v>
      </c>
      <c r="AK205" s="60"/>
      <c r="AL205" s="60"/>
      <c r="AM205" s="60"/>
      <c r="AN205" s="60"/>
      <c r="AO205" s="60"/>
      <c r="AP205" s="60"/>
      <c r="AQ205" s="60"/>
      <c r="AR205" s="60"/>
      <c r="AS205" s="60"/>
      <c r="AT205" s="74" t="str">
        <f t="shared" si="51"/>
        <v>-</v>
      </c>
      <c r="AU205" s="155" t="str">
        <f t="shared" si="52"/>
        <v>-</v>
      </c>
      <c r="AV205" s="156" t="str">
        <f t="shared" si="53"/>
        <v>-</v>
      </c>
      <c r="AX205" s="59" t="str">
        <f>IF(AND(D205&gt;0,AA205&gt;0),MIN(D205,AA205),"-")</f>
        <v>-</v>
      </c>
      <c r="AY205" s="59" t="str">
        <f>IF(AND(E205&gt;0,AB205&gt;0),MIN(E205,AB205),"-")</f>
        <v>-</v>
      </c>
      <c r="AZ205" s="59" t="str">
        <f>IF(AND(F205&gt;0,AC205&gt;0),MIN(F205,AC205),"-")</f>
        <v>-</v>
      </c>
      <c r="BA205" s="59" t="str">
        <f>IF(AND(G205&gt;0,AD205&gt;0),MIN(G205,AD205),"-")</f>
        <v>-</v>
      </c>
      <c r="BB205" s="59" t="str">
        <f>IF(AND(H205&gt;0,AE205&gt;0),MIN(H205,AE205),"-")</f>
        <v>-</v>
      </c>
      <c r="BC205" s="59" t="str">
        <f>IF(AND(I205&gt;0,AF205&gt;0),MIN(I205,AF205),"-")</f>
        <v>-</v>
      </c>
      <c r="BD205" s="59" t="str">
        <f>IF(AND(J205&gt;0,AG205&gt;0),MIN(J205,AG205),"-")</f>
        <v>-</v>
      </c>
      <c r="BE205" s="59" t="str">
        <f>IF(AND(K205&gt;0,AH205&gt;0),MIN(K205,AH205),"-")</f>
        <v>-</v>
      </c>
      <c r="BF205" s="59" t="str">
        <f>IF(AND(L205&gt;0,AI205&gt;0),MIN(L205,AI205),"-")</f>
        <v>-</v>
      </c>
      <c r="BG205" s="59" t="str">
        <f t="shared" si="54"/>
        <v>-</v>
      </c>
      <c r="BH205" s="59" t="str">
        <f>IF(AND(N205&gt;0,AK205&gt;0),MIN(N205,AK205),"-")</f>
        <v>-</v>
      </c>
      <c r="BI205" s="59" t="str">
        <f>IF(AND(O205&gt;0,AL205&gt;0),MIN(O205,AL205),"-")</f>
        <v>-</v>
      </c>
      <c r="BJ205" s="59" t="str">
        <f>IF(AND(P205&gt;0,AM205&gt;0),MIN(P205,AM205),"-")</f>
        <v>-</v>
      </c>
      <c r="BK205" s="59" t="str">
        <f>IF(AND(Q205&gt;0,AN205&gt;0),MIN(Q205,AN205),"-")</f>
        <v>-</v>
      </c>
      <c r="BL205" s="59" t="str">
        <f>IF(AND(R205&gt;0,AO205&gt;0),MIN(R205,AO205),"-")</f>
        <v>-</v>
      </c>
      <c r="BM205" s="59" t="str">
        <f>IF(AND(S205&gt;0,AP205&gt;0),MIN(S205,AP205),"-")</f>
        <v>-</v>
      </c>
      <c r="BN205" s="59" t="str">
        <f>IF(AND(T205&gt;0,AQ205&gt;0),MIN(T205,AQ205),"-")</f>
        <v>-</v>
      </c>
      <c r="BO205" s="59" t="str">
        <f>IF(AND(U205&gt;0,AR205&gt;0),MIN(U205,AR205),"-")</f>
        <v>-</v>
      </c>
      <c r="BP205" s="59" t="str">
        <f>IF(AND(V205&gt;0,AS205&gt;0),MIN(V205,AS205),"-")</f>
        <v>-</v>
      </c>
      <c r="BQ205" s="59" t="str">
        <f t="shared" si="55"/>
        <v>-</v>
      </c>
      <c r="BR205" s="59" t="str">
        <f t="shared" si="56"/>
        <v>-</v>
      </c>
      <c r="BS205" s="59" t="str">
        <f t="shared" si="57"/>
        <v>-</v>
      </c>
      <c r="BT205" s="98" t="str">
        <f>IF(ISNUMBER(BS205),BS205-(C205*Rules!$P$9/100),"-")</f>
        <v>-</v>
      </c>
      <c r="BU205" s="59" t="e">
        <f>RANK($BT205,$BT$5:$BT$106,1)+COUNTIF(BT$5:BT205,BT205)-1</f>
        <v>#VALUE!</v>
      </c>
      <c r="BV205" s="59" t="e">
        <f t="shared" si="58"/>
        <v>#VALUE!</v>
      </c>
      <c r="BW205" s="59" t="str">
        <f t="shared" si="59"/>
        <v xml:space="preserve"> </v>
      </c>
      <c r="BX205" s="59">
        <f t="shared" si="59"/>
        <v>0</v>
      </c>
      <c r="BY205" s="59" t="str">
        <f t="shared" si="60"/>
        <v>-</v>
      </c>
      <c r="CD205" s="79"/>
      <c r="CE205" s="80"/>
      <c r="CF205" s="104"/>
      <c r="CL205" s="77">
        <v>1</v>
      </c>
    </row>
    <row r="206" spans="1:90" ht="17.45" customHeight="1">
      <c r="A206" s="58">
        <v>202</v>
      </c>
      <c r="B206" s="59" t="str">
        <f>'C Div'!A206 &amp; " " &amp; 'C Div'!B206</f>
        <v xml:space="preserve"> </v>
      </c>
      <c r="C206" s="59">
        <f>'C Div'!E206</f>
        <v>0</v>
      </c>
      <c r="D206" s="60"/>
      <c r="E206" s="60"/>
      <c r="F206" s="60"/>
      <c r="G206" s="60"/>
      <c r="H206" s="60"/>
      <c r="I206" s="60"/>
      <c r="J206" s="60"/>
      <c r="K206" s="60"/>
      <c r="L206" s="60"/>
      <c r="M206" s="74" t="str">
        <f t="shared" si="46"/>
        <v>-</v>
      </c>
      <c r="N206" s="60"/>
      <c r="O206" s="60"/>
      <c r="P206" s="60"/>
      <c r="Q206" s="60"/>
      <c r="R206" s="60"/>
      <c r="S206" s="60"/>
      <c r="T206" s="60"/>
      <c r="U206" s="60"/>
      <c r="V206" s="60"/>
      <c r="W206" s="74" t="str">
        <f t="shared" si="47"/>
        <v>-</v>
      </c>
      <c r="X206" s="155" t="str">
        <f t="shared" si="48"/>
        <v>-</v>
      </c>
      <c r="Y206" s="156" t="str">
        <f t="shared" si="49"/>
        <v>-</v>
      </c>
      <c r="AA206" s="60"/>
      <c r="AB206" s="60"/>
      <c r="AC206" s="60"/>
      <c r="AD206" s="60"/>
      <c r="AE206" s="60"/>
      <c r="AF206" s="60"/>
      <c r="AG206" s="60"/>
      <c r="AH206" s="60"/>
      <c r="AI206" s="60"/>
      <c r="AJ206" s="74" t="str">
        <f t="shared" si="50"/>
        <v>-</v>
      </c>
      <c r="AK206" s="60"/>
      <c r="AL206" s="60"/>
      <c r="AM206" s="60"/>
      <c r="AN206" s="60"/>
      <c r="AO206" s="60"/>
      <c r="AP206" s="60"/>
      <c r="AQ206" s="60"/>
      <c r="AR206" s="60"/>
      <c r="AS206" s="60"/>
      <c r="AT206" s="74" t="str">
        <f t="shared" si="51"/>
        <v>-</v>
      </c>
      <c r="AU206" s="155" t="str">
        <f t="shared" si="52"/>
        <v>-</v>
      </c>
      <c r="AV206" s="156" t="str">
        <f t="shared" si="53"/>
        <v>-</v>
      </c>
      <c r="AX206" s="59" t="str">
        <f>IF(AND(D206&gt;0,AA206&gt;0),MIN(D206,AA206),"-")</f>
        <v>-</v>
      </c>
      <c r="AY206" s="59" t="str">
        <f>IF(AND(E206&gt;0,AB206&gt;0),MIN(E206,AB206),"-")</f>
        <v>-</v>
      </c>
      <c r="AZ206" s="59" t="str">
        <f>IF(AND(F206&gt;0,AC206&gt;0),MIN(F206,AC206),"-")</f>
        <v>-</v>
      </c>
      <c r="BA206" s="59" t="str">
        <f>IF(AND(G206&gt;0,AD206&gt;0),MIN(G206,AD206),"-")</f>
        <v>-</v>
      </c>
      <c r="BB206" s="59" t="str">
        <f>IF(AND(H206&gt;0,AE206&gt;0),MIN(H206,AE206),"-")</f>
        <v>-</v>
      </c>
      <c r="BC206" s="59" t="str">
        <f>IF(AND(I206&gt;0,AF206&gt;0),MIN(I206,AF206),"-")</f>
        <v>-</v>
      </c>
      <c r="BD206" s="59" t="str">
        <f>IF(AND(J206&gt;0,AG206&gt;0),MIN(J206,AG206),"-")</f>
        <v>-</v>
      </c>
      <c r="BE206" s="59" t="str">
        <f>IF(AND(K206&gt;0,AH206&gt;0),MIN(K206,AH206),"-")</f>
        <v>-</v>
      </c>
      <c r="BF206" s="59" t="str">
        <f>IF(AND(L206&gt;0,AI206&gt;0),MIN(L206,AI206),"-")</f>
        <v>-</v>
      </c>
      <c r="BG206" s="59" t="str">
        <f t="shared" si="54"/>
        <v>-</v>
      </c>
      <c r="BH206" s="59" t="str">
        <f>IF(AND(N206&gt;0,AK206&gt;0),MIN(N206,AK206),"-")</f>
        <v>-</v>
      </c>
      <c r="BI206" s="59" t="str">
        <f>IF(AND(O206&gt;0,AL206&gt;0),MIN(O206,AL206),"-")</f>
        <v>-</v>
      </c>
      <c r="BJ206" s="59" t="str">
        <f>IF(AND(P206&gt;0,AM206&gt;0),MIN(P206,AM206),"-")</f>
        <v>-</v>
      </c>
      <c r="BK206" s="59" t="str">
        <f>IF(AND(Q206&gt;0,AN206&gt;0),MIN(Q206,AN206),"-")</f>
        <v>-</v>
      </c>
      <c r="BL206" s="59" t="str">
        <f>IF(AND(R206&gt;0,AO206&gt;0),MIN(R206,AO206),"-")</f>
        <v>-</v>
      </c>
      <c r="BM206" s="59" t="str">
        <f>IF(AND(S206&gt;0,AP206&gt;0),MIN(S206,AP206),"-")</f>
        <v>-</v>
      </c>
      <c r="BN206" s="59" t="str">
        <f>IF(AND(T206&gt;0,AQ206&gt;0),MIN(T206,AQ206),"-")</f>
        <v>-</v>
      </c>
      <c r="BO206" s="59" t="str">
        <f>IF(AND(U206&gt;0,AR206&gt;0),MIN(U206,AR206),"-")</f>
        <v>-</v>
      </c>
      <c r="BP206" s="59" t="str">
        <f>IF(AND(V206&gt;0,AS206&gt;0),MIN(V206,AS206),"-")</f>
        <v>-</v>
      </c>
      <c r="BQ206" s="59" t="str">
        <f t="shared" si="55"/>
        <v>-</v>
      </c>
      <c r="BR206" s="59" t="str">
        <f t="shared" si="56"/>
        <v>-</v>
      </c>
      <c r="BS206" s="59" t="str">
        <f t="shared" si="57"/>
        <v>-</v>
      </c>
      <c r="BT206" s="98" t="str">
        <f>IF(ISNUMBER(BS206),BS206-(C206*Rules!$P$9/100),"-")</f>
        <v>-</v>
      </c>
      <c r="BU206" s="59" t="e">
        <f>RANK($BT206,$BT$5:$BT$106,1)+COUNTIF(BT$5:BT206,BT206)-1</f>
        <v>#VALUE!</v>
      </c>
      <c r="BV206" s="59" t="e">
        <f t="shared" si="58"/>
        <v>#VALUE!</v>
      </c>
      <c r="BW206" s="59" t="str">
        <f t="shared" si="59"/>
        <v xml:space="preserve"> </v>
      </c>
      <c r="BX206" s="59">
        <f t="shared" si="59"/>
        <v>0</v>
      </c>
      <c r="BY206" s="59" t="str">
        <f t="shared" si="60"/>
        <v>-</v>
      </c>
      <c r="CD206" s="79"/>
      <c r="CE206" s="80"/>
      <c r="CF206" s="104"/>
      <c r="CL206" s="77">
        <v>1</v>
      </c>
    </row>
    <row r="207" spans="1:90" ht="17.45" customHeight="1">
      <c r="A207" s="58">
        <v>203</v>
      </c>
      <c r="B207" s="59" t="str">
        <f>'C Div'!A207 &amp; " " &amp; 'C Div'!B207</f>
        <v xml:space="preserve"> </v>
      </c>
      <c r="C207" s="59">
        <f>'C Div'!E207</f>
        <v>0</v>
      </c>
      <c r="D207" s="60"/>
      <c r="E207" s="60"/>
      <c r="F207" s="60"/>
      <c r="G207" s="60"/>
      <c r="H207" s="60"/>
      <c r="I207" s="60"/>
      <c r="J207" s="60"/>
      <c r="K207" s="60"/>
      <c r="L207" s="60"/>
      <c r="M207" s="74" t="str">
        <f t="shared" si="46"/>
        <v>-</v>
      </c>
      <c r="N207" s="60"/>
      <c r="O207" s="60"/>
      <c r="P207" s="60"/>
      <c r="Q207" s="60"/>
      <c r="R207" s="60"/>
      <c r="S207" s="60"/>
      <c r="T207" s="60"/>
      <c r="U207" s="60"/>
      <c r="V207" s="60"/>
      <c r="W207" s="74" t="str">
        <f t="shared" si="47"/>
        <v>-</v>
      </c>
      <c r="X207" s="155" t="str">
        <f t="shared" si="48"/>
        <v>-</v>
      </c>
      <c r="Y207" s="156" t="str">
        <f t="shared" si="49"/>
        <v>-</v>
      </c>
      <c r="AA207" s="60"/>
      <c r="AB207" s="60"/>
      <c r="AC207" s="60"/>
      <c r="AD207" s="60"/>
      <c r="AE207" s="60"/>
      <c r="AF207" s="60"/>
      <c r="AG207" s="60"/>
      <c r="AH207" s="60"/>
      <c r="AI207" s="60"/>
      <c r="AJ207" s="74" t="str">
        <f t="shared" si="50"/>
        <v>-</v>
      </c>
      <c r="AK207" s="60"/>
      <c r="AL207" s="60"/>
      <c r="AM207" s="60"/>
      <c r="AN207" s="60"/>
      <c r="AO207" s="60"/>
      <c r="AP207" s="60"/>
      <c r="AQ207" s="60"/>
      <c r="AR207" s="60"/>
      <c r="AS207" s="60"/>
      <c r="AT207" s="74" t="str">
        <f t="shared" si="51"/>
        <v>-</v>
      </c>
      <c r="AU207" s="155" t="str">
        <f t="shared" si="52"/>
        <v>-</v>
      </c>
      <c r="AV207" s="156" t="str">
        <f t="shared" si="53"/>
        <v>-</v>
      </c>
      <c r="AX207" s="59" t="str">
        <f>IF(AND(D207&gt;0,AA207&gt;0),MIN(D207,AA207),"-")</f>
        <v>-</v>
      </c>
      <c r="AY207" s="59" t="str">
        <f>IF(AND(E207&gt;0,AB207&gt;0),MIN(E207,AB207),"-")</f>
        <v>-</v>
      </c>
      <c r="AZ207" s="59" t="str">
        <f>IF(AND(F207&gt;0,AC207&gt;0),MIN(F207,AC207),"-")</f>
        <v>-</v>
      </c>
      <c r="BA207" s="59" t="str">
        <f>IF(AND(G207&gt;0,AD207&gt;0),MIN(G207,AD207),"-")</f>
        <v>-</v>
      </c>
      <c r="BB207" s="59" t="str">
        <f>IF(AND(H207&gt;0,AE207&gt;0),MIN(H207,AE207),"-")</f>
        <v>-</v>
      </c>
      <c r="BC207" s="59" t="str">
        <f>IF(AND(I207&gt;0,AF207&gt;0),MIN(I207,AF207),"-")</f>
        <v>-</v>
      </c>
      <c r="BD207" s="59" t="str">
        <f>IF(AND(J207&gt;0,AG207&gt;0),MIN(J207,AG207),"-")</f>
        <v>-</v>
      </c>
      <c r="BE207" s="59" t="str">
        <f>IF(AND(K207&gt;0,AH207&gt;0),MIN(K207,AH207),"-")</f>
        <v>-</v>
      </c>
      <c r="BF207" s="59" t="str">
        <f>IF(AND(L207&gt;0,AI207&gt;0),MIN(L207,AI207),"-")</f>
        <v>-</v>
      </c>
      <c r="BG207" s="59" t="str">
        <f t="shared" si="54"/>
        <v>-</v>
      </c>
      <c r="BH207" s="59" t="str">
        <f>IF(AND(N207&gt;0,AK207&gt;0),MIN(N207,AK207),"-")</f>
        <v>-</v>
      </c>
      <c r="BI207" s="59" t="str">
        <f>IF(AND(O207&gt;0,AL207&gt;0),MIN(O207,AL207),"-")</f>
        <v>-</v>
      </c>
      <c r="BJ207" s="59" t="str">
        <f>IF(AND(P207&gt;0,AM207&gt;0),MIN(P207,AM207),"-")</f>
        <v>-</v>
      </c>
      <c r="BK207" s="59" t="str">
        <f>IF(AND(Q207&gt;0,AN207&gt;0),MIN(Q207,AN207),"-")</f>
        <v>-</v>
      </c>
      <c r="BL207" s="59" t="str">
        <f>IF(AND(R207&gt;0,AO207&gt;0),MIN(R207,AO207),"-")</f>
        <v>-</v>
      </c>
      <c r="BM207" s="59" t="str">
        <f>IF(AND(S207&gt;0,AP207&gt;0),MIN(S207,AP207),"-")</f>
        <v>-</v>
      </c>
      <c r="BN207" s="59" t="str">
        <f>IF(AND(T207&gt;0,AQ207&gt;0),MIN(T207,AQ207),"-")</f>
        <v>-</v>
      </c>
      <c r="BO207" s="59" t="str">
        <f>IF(AND(U207&gt;0,AR207&gt;0),MIN(U207,AR207),"-")</f>
        <v>-</v>
      </c>
      <c r="BP207" s="59" t="str">
        <f>IF(AND(V207&gt;0,AS207&gt;0),MIN(V207,AS207),"-")</f>
        <v>-</v>
      </c>
      <c r="BQ207" s="59" t="str">
        <f t="shared" si="55"/>
        <v>-</v>
      </c>
      <c r="BR207" s="59" t="str">
        <f t="shared" si="56"/>
        <v>-</v>
      </c>
      <c r="BS207" s="59" t="str">
        <f t="shared" si="57"/>
        <v>-</v>
      </c>
      <c r="BT207" s="98" t="str">
        <f>IF(ISNUMBER(BS207),BS207-(C207*Rules!$P$9/100),"-")</f>
        <v>-</v>
      </c>
      <c r="BU207" s="59" t="e">
        <f>RANK($BT207,$BT$5:$BT$106,1)+COUNTIF(BT$5:BT207,BT207)-1</f>
        <v>#VALUE!</v>
      </c>
      <c r="BV207" s="59" t="e">
        <f t="shared" si="58"/>
        <v>#VALUE!</v>
      </c>
      <c r="BW207" s="59" t="str">
        <f t="shared" si="59"/>
        <v xml:space="preserve"> </v>
      </c>
      <c r="BX207" s="59">
        <f t="shared" si="59"/>
        <v>0</v>
      </c>
      <c r="BY207" s="59" t="str">
        <f t="shared" si="60"/>
        <v>-</v>
      </c>
      <c r="CD207" s="79"/>
      <c r="CE207" s="80"/>
      <c r="CF207" s="104"/>
      <c r="CL207" s="77">
        <v>1</v>
      </c>
    </row>
    <row r="208" spans="1:90" ht="17.45" customHeight="1">
      <c r="A208" s="58">
        <v>204</v>
      </c>
      <c r="B208" s="59" t="str">
        <f>'C Div'!A208 &amp; " " &amp; 'C Div'!B208</f>
        <v xml:space="preserve"> </v>
      </c>
      <c r="C208" s="59">
        <f>'C Div'!E208</f>
        <v>0</v>
      </c>
      <c r="D208" s="60"/>
      <c r="E208" s="60"/>
      <c r="F208" s="60"/>
      <c r="G208" s="60"/>
      <c r="H208" s="60"/>
      <c r="I208" s="60"/>
      <c r="J208" s="60"/>
      <c r="K208" s="60"/>
      <c r="L208" s="60"/>
      <c r="M208" s="74" t="str">
        <f t="shared" si="46"/>
        <v>-</v>
      </c>
      <c r="N208" s="60"/>
      <c r="O208" s="60"/>
      <c r="P208" s="60"/>
      <c r="Q208" s="60"/>
      <c r="R208" s="60"/>
      <c r="S208" s="60"/>
      <c r="T208" s="60"/>
      <c r="U208" s="60"/>
      <c r="V208" s="60"/>
      <c r="W208" s="74" t="str">
        <f t="shared" si="47"/>
        <v>-</v>
      </c>
      <c r="X208" s="155" t="str">
        <f t="shared" si="48"/>
        <v>-</v>
      </c>
      <c r="Y208" s="156" t="str">
        <f t="shared" si="49"/>
        <v>-</v>
      </c>
      <c r="AA208" s="60"/>
      <c r="AB208" s="60"/>
      <c r="AC208" s="60"/>
      <c r="AD208" s="60"/>
      <c r="AE208" s="60"/>
      <c r="AF208" s="60"/>
      <c r="AG208" s="60"/>
      <c r="AH208" s="60"/>
      <c r="AI208" s="60"/>
      <c r="AJ208" s="74" t="str">
        <f t="shared" si="50"/>
        <v>-</v>
      </c>
      <c r="AK208" s="60"/>
      <c r="AL208" s="60"/>
      <c r="AM208" s="60"/>
      <c r="AN208" s="60"/>
      <c r="AO208" s="60"/>
      <c r="AP208" s="60"/>
      <c r="AQ208" s="60"/>
      <c r="AR208" s="60"/>
      <c r="AS208" s="60"/>
      <c r="AT208" s="74" t="str">
        <f t="shared" si="51"/>
        <v>-</v>
      </c>
      <c r="AU208" s="155" t="str">
        <f t="shared" si="52"/>
        <v>-</v>
      </c>
      <c r="AV208" s="156" t="str">
        <f t="shared" si="53"/>
        <v>-</v>
      </c>
      <c r="AX208" s="59" t="str">
        <f>IF(AND(D208&gt;0,AA208&gt;0),MIN(D208,AA208),"-")</f>
        <v>-</v>
      </c>
      <c r="AY208" s="59" t="str">
        <f>IF(AND(E208&gt;0,AB208&gt;0),MIN(E208,AB208),"-")</f>
        <v>-</v>
      </c>
      <c r="AZ208" s="59" t="str">
        <f>IF(AND(F208&gt;0,AC208&gt;0),MIN(F208,AC208),"-")</f>
        <v>-</v>
      </c>
      <c r="BA208" s="59" t="str">
        <f>IF(AND(G208&gt;0,AD208&gt;0),MIN(G208,AD208),"-")</f>
        <v>-</v>
      </c>
      <c r="BB208" s="59" t="str">
        <f>IF(AND(H208&gt;0,AE208&gt;0),MIN(H208,AE208),"-")</f>
        <v>-</v>
      </c>
      <c r="BC208" s="59" t="str">
        <f>IF(AND(I208&gt;0,AF208&gt;0),MIN(I208,AF208),"-")</f>
        <v>-</v>
      </c>
      <c r="BD208" s="59" t="str">
        <f>IF(AND(J208&gt;0,AG208&gt;0),MIN(J208,AG208),"-")</f>
        <v>-</v>
      </c>
      <c r="BE208" s="59" t="str">
        <f>IF(AND(K208&gt;0,AH208&gt;0),MIN(K208,AH208),"-")</f>
        <v>-</v>
      </c>
      <c r="BF208" s="59" t="str">
        <f>IF(AND(L208&gt;0,AI208&gt;0),MIN(L208,AI208),"-")</f>
        <v>-</v>
      </c>
      <c r="BG208" s="59" t="str">
        <f t="shared" si="54"/>
        <v>-</v>
      </c>
      <c r="BH208" s="59" t="str">
        <f>IF(AND(N208&gt;0,AK208&gt;0),MIN(N208,AK208),"-")</f>
        <v>-</v>
      </c>
      <c r="BI208" s="59" t="str">
        <f>IF(AND(O208&gt;0,AL208&gt;0),MIN(O208,AL208),"-")</f>
        <v>-</v>
      </c>
      <c r="BJ208" s="59" t="str">
        <f>IF(AND(P208&gt;0,AM208&gt;0),MIN(P208,AM208),"-")</f>
        <v>-</v>
      </c>
      <c r="BK208" s="59" t="str">
        <f>IF(AND(Q208&gt;0,AN208&gt;0),MIN(Q208,AN208),"-")</f>
        <v>-</v>
      </c>
      <c r="BL208" s="59" t="str">
        <f>IF(AND(R208&gt;0,AO208&gt;0),MIN(R208,AO208),"-")</f>
        <v>-</v>
      </c>
      <c r="BM208" s="59" t="str">
        <f>IF(AND(S208&gt;0,AP208&gt;0),MIN(S208,AP208),"-")</f>
        <v>-</v>
      </c>
      <c r="BN208" s="59" t="str">
        <f>IF(AND(T208&gt;0,AQ208&gt;0),MIN(T208,AQ208),"-")</f>
        <v>-</v>
      </c>
      <c r="BO208" s="59" t="str">
        <f>IF(AND(U208&gt;0,AR208&gt;0),MIN(U208,AR208),"-")</f>
        <v>-</v>
      </c>
      <c r="BP208" s="59" t="str">
        <f>IF(AND(V208&gt;0,AS208&gt;0),MIN(V208,AS208),"-")</f>
        <v>-</v>
      </c>
      <c r="BQ208" s="59" t="str">
        <f t="shared" si="55"/>
        <v>-</v>
      </c>
      <c r="BR208" s="59" t="str">
        <f t="shared" si="56"/>
        <v>-</v>
      </c>
      <c r="BS208" s="59" t="str">
        <f t="shared" si="57"/>
        <v>-</v>
      </c>
      <c r="BT208" s="98" t="str">
        <f>IF(ISNUMBER(BS208),BS208-(C208*Rules!$P$9/100),"-")</f>
        <v>-</v>
      </c>
      <c r="BU208" s="59" t="e">
        <f>RANK($BT208,$BT$5:$BT$106,1)+COUNTIF(BT$5:BT208,BT208)-1</f>
        <v>#VALUE!</v>
      </c>
      <c r="BV208" s="59" t="e">
        <f t="shared" si="58"/>
        <v>#VALUE!</v>
      </c>
      <c r="BW208" s="59" t="str">
        <f t="shared" si="59"/>
        <v xml:space="preserve"> </v>
      </c>
      <c r="BX208" s="59">
        <f t="shared" si="59"/>
        <v>0</v>
      </c>
      <c r="BY208" s="59" t="str">
        <f t="shared" si="60"/>
        <v>-</v>
      </c>
      <c r="CD208" s="79"/>
      <c r="CE208" s="80"/>
      <c r="CF208" s="104"/>
      <c r="CL208" s="77">
        <v>1</v>
      </c>
    </row>
    <row r="209" spans="1:90" ht="17.45" customHeight="1">
      <c r="A209" s="58">
        <v>205</v>
      </c>
      <c r="B209" s="59" t="str">
        <f>'C Div'!A209 &amp; " " &amp; 'C Div'!B209</f>
        <v xml:space="preserve"> </v>
      </c>
      <c r="C209" s="59">
        <f>'C Div'!E209</f>
        <v>0</v>
      </c>
      <c r="D209" s="60"/>
      <c r="E209" s="60"/>
      <c r="F209" s="60"/>
      <c r="G209" s="60"/>
      <c r="H209" s="60"/>
      <c r="I209" s="60"/>
      <c r="J209" s="60"/>
      <c r="K209" s="60"/>
      <c r="L209" s="60"/>
      <c r="M209" s="74" t="str">
        <f t="shared" si="46"/>
        <v>-</v>
      </c>
      <c r="N209" s="60"/>
      <c r="O209" s="60"/>
      <c r="P209" s="60"/>
      <c r="Q209" s="60"/>
      <c r="R209" s="60"/>
      <c r="S209" s="60"/>
      <c r="T209" s="60"/>
      <c r="U209" s="60"/>
      <c r="V209" s="60"/>
      <c r="W209" s="74" t="str">
        <f t="shared" si="47"/>
        <v>-</v>
      </c>
      <c r="X209" s="155" t="str">
        <f t="shared" si="48"/>
        <v>-</v>
      </c>
      <c r="Y209" s="156" t="str">
        <f t="shared" si="49"/>
        <v>-</v>
      </c>
      <c r="AA209" s="60"/>
      <c r="AB209" s="60"/>
      <c r="AC209" s="60"/>
      <c r="AD209" s="60"/>
      <c r="AE209" s="60"/>
      <c r="AF209" s="60"/>
      <c r="AG209" s="60"/>
      <c r="AH209" s="60"/>
      <c r="AI209" s="60"/>
      <c r="AJ209" s="74" t="str">
        <f t="shared" si="50"/>
        <v>-</v>
      </c>
      <c r="AK209" s="60"/>
      <c r="AL209" s="60"/>
      <c r="AM209" s="60"/>
      <c r="AN209" s="60"/>
      <c r="AO209" s="60"/>
      <c r="AP209" s="60"/>
      <c r="AQ209" s="60"/>
      <c r="AR209" s="60"/>
      <c r="AS209" s="60"/>
      <c r="AT209" s="74" t="str">
        <f t="shared" si="51"/>
        <v>-</v>
      </c>
      <c r="AU209" s="155" t="str">
        <f t="shared" si="52"/>
        <v>-</v>
      </c>
      <c r="AV209" s="156" t="str">
        <f t="shared" si="53"/>
        <v>-</v>
      </c>
      <c r="AX209" s="59" t="str">
        <f>IF(AND(D209&gt;0,AA209&gt;0),MIN(D209,AA209),"-")</f>
        <v>-</v>
      </c>
      <c r="AY209" s="59" t="str">
        <f>IF(AND(E209&gt;0,AB209&gt;0),MIN(E209,AB209),"-")</f>
        <v>-</v>
      </c>
      <c r="AZ209" s="59" t="str">
        <f>IF(AND(F209&gt;0,AC209&gt;0),MIN(F209,AC209),"-")</f>
        <v>-</v>
      </c>
      <c r="BA209" s="59" t="str">
        <f>IF(AND(G209&gt;0,AD209&gt;0),MIN(G209,AD209),"-")</f>
        <v>-</v>
      </c>
      <c r="BB209" s="59" t="str">
        <f>IF(AND(H209&gt;0,AE209&gt;0),MIN(H209,AE209),"-")</f>
        <v>-</v>
      </c>
      <c r="BC209" s="59" t="str">
        <f>IF(AND(I209&gt;0,AF209&gt;0),MIN(I209,AF209),"-")</f>
        <v>-</v>
      </c>
      <c r="BD209" s="59" t="str">
        <f>IF(AND(J209&gt;0,AG209&gt;0),MIN(J209,AG209),"-")</f>
        <v>-</v>
      </c>
      <c r="BE209" s="59" t="str">
        <f>IF(AND(K209&gt;0,AH209&gt;0),MIN(K209,AH209),"-")</f>
        <v>-</v>
      </c>
      <c r="BF209" s="59" t="str">
        <f>IF(AND(L209&gt;0,AI209&gt;0),MIN(L209,AI209),"-")</f>
        <v>-</v>
      </c>
      <c r="BG209" s="59" t="str">
        <f t="shared" si="54"/>
        <v>-</v>
      </c>
      <c r="BH209" s="59" t="str">
        <f>IF(AND(N209&gt;0,AK209&gt;0),MIN(N209,AK209),"-")</f>
        <v>-</v>
      </c>
      <c r="BI209" s="59" t="str">
        <f>IF(AND(O209&gt;0,AL209&gt;0),MIN(O209,AL209),"-")</f>
        <v>-</v>
      </c>
      <c r="BJ209" s="59" t="str">
        <f>IF(AND(P209&gt;0,AM209&gt;0),MIN(P209,AM209),"-")</f>
        <v>-</v>
      </c>
      <c r="BK209" s="59" t="str">
        <f>IF(AND(Q209&gt;0,AN209&gt;0),MIN(Q209,AN209),"-")</f>
        <v>-</v>
      </c>
      <c r="BL209" s="59" t="str">
        <f>IF(AND(R209&gt;0,AO209&gt;0),MIN(R209,AO209),"-")</f>
        <v>-</v>
      </c>
      <c r="BM209" s="59" t="str">
        <f>IF(AND(S209&gt;0,AP209&gt;0),MIN(S209,AP209),"-")</f>
        <v>-</v>
      </c>
      <c r="BN209" s="59" t="str">
        <f>IF(AND(T209&gt;0,AQ209&gt;0),MIN(T209,AQ209),"-")</f>
        <v>-</v>
      </c>
      <c r="BO209" s="59" t="str">
        <f>IF(AND(U209&gt;0,AR209&gt;0),MIN(U209,AR209),"-")</f>
        <v>-</v>
      </c>
      <c r="BP209" s="59" t="str">
        <f>IF(AND(V209&gt;0,AS209&gt;0),MIN(V209,AS209),"-")</f>
        <v>-</v>
      </c>
      <c r="BQ209" s="59" t="str">
        <f t="shared" si="55"/>
        <v>-</v>
      </c>
      <c r="BR209" s="59" t="str">
        <f t="shared" si="56"/>
        <v>-</v>
      </c>
      <c r="BS209" s="59" t="str">
        <f t="shared" si="57"/>
        <v>-</v>
      </c>
      <c r="BT209" s="98" t="str">
        <f>IF(ISNUMBER(BS209),BS209-(C209*Rules!$P$9/100),"-")</f>
        <v>-</v>
      </c>
      <c r="BU209" s="59" t="e">
        <f>RANK($BT209,$BT$5:$BT$106,1)+COUNTIF(BT$5:BT209,BT209)-1</f>
        <v>#VALUE!</v>
      </c>
      <c r="BV209" s="59" t="e">
        <f t="shared" si="58"/>
        <v>#VALUE!</v>
      </c>
      <c r="BW209" s="59" t="str">
        <f t="shared" si="59"/>
        <v xml:space="preserve"> </v>
      </c>
      <c r="BX209" s="59">
        <f t="shared" si="59"/>
        <v>0</v>
      </c>
      <c r="BY209" s="59" t="str">
        <f t="shared" si="60"/>
        <v>-</v>
      </c>
      <c r="CD209" s="79"/>
      <c r="CE209" s="80"/>
      <c r="CF209" s="104"/>
      <c r="CL209" s="77">
        <v>1</v>
      </c>
    </row>
    <row r="210" spans="1:90" ht="17.45" customHeight="1">
      <c r="A210" s="58">
        <v>206</v>
      </c>
      <c r="B210" s="59" t="str">
        <f>'C Div'!A210 &amp; " " &amp; 'C Div'!B210</f>
        <v xml:space="preserve"> </v>
      </c>
      <c r="C210" s="59">
        <f>'C Div'!E210</f>
        <v>0</v>
      </c>
      <c r="D210" s="60"/>
      <c r="E210" s="60"/>
      <c r="F210" s="60"/>
      <c r="G210" s="60"/>
      <c r="H210" s="60"/>
      <c r="I210" s="60"/>
      <c r="J210" s="60"/>
      <c r="K210" s="60"/>
      <c r="L210" s="60"/>
      <c r="M210" s="74" t="str">
        <f t="shared" si="46"/>
        <v>-</v>
      </c>
      <c r="N210" s="60"/>
      <c r="O210" s="60"/>
      <c r="P210" s="60"/>
      <c r="Q210" s="60"/>
      <c r="R210" s="60"/>
      <c r="S210" s="60"/>
      <c r="T210" s="60"/>
      <c r="U210" s="60"/>
      <c r="V210" s="60"/>
      <c r="W210" s="74" t="str">
        <f t="shared" si="47"/>
        <v>-</v>
      </c>
      <c r="X210" s="155" t="str">
        <f t="shared" si="48"/>
        <v>-</v>
      </c>
      <c r="Y210" s="156" t="str">
        <f t="shared" si="49"/>
        <v>-</v>
      </c>
      <c r="AA210" s="60"/>
      <c r="AB210" s="60"/>
      <c r="AC210" s="60"/>
      <c r="AD210" s="60"/>
      <c r="AE210" s="60"/>
      <c r="AF210" s="60"/>
      <c r="AG210" s="60"/>
      <c r="AH210" s="60"/>
      <c r="AI210" s="60"/>
      <c r="AJ210" s="74" t="str">
        <f t="shared" si="50"/>
        <v>-</v>
      </c>
      <c r="AK210" s="60"/>
      <c r="AL210" s="60"/>
      <c r="AM210" s="60"/>
      <c r="AN210" s="60"/>
      <c r="AO210" s="60"/>
      <c r="AP210" s="60"/>
      <c r="AQ210" s="60"/>
      <c r="AR210" s="60"/>
      <c r="AS210" s="60"/>
      <c r="AT210" s="74" t="str">
        <f t="shared" si="51"/>
        <v>-</v>
      </c>
      <c r="AU210" s="155" t="str">
        <f t="shared" si="52"/>
        <v>-</v>
      </c>
      <c r="AV210" s="156" t="str">
        <f t="shared" si="53"/>
        <v>-</v>
      </c>
      <c r="AX210" s="59" t="str">
        <f>IF(AND(D210&gt;0,AA210&gt;0),MIN(D210,AA210),"-")</f>
        <v>-</v>
      </c>
      <c r="AY210" s="59" t="str">
        <f>IF(AND(E210&gt;0,AB210&gt;0),MIN(E210,AB210),"-")</f>
        <v>-</v>
      </c>
      <c r="AZ210" s="59" t="str">
        <f>IF(AND(F210&gt;0,AC210&gt;0),MIN(F210,AC210),"-")</f>
        <v>-</v>
      </c>
      <c r="BA210" s="59" t="str">
        <f>IF(AND(G210&gt;0,AD210&gt;0),MIN(G210,AD210),"-")</f>
        <v>-</v>
      </c>
      <c r="BB210" s="59" t="str">
        <f>IF(AND(H210&gt;0,AE210&gt;0),MIN(H210,AE210),"-")</f>
        <v>-</v>
      </c>
      <c r="BC210" s="59" t="str">
        <f>IF(AND(I210&gt;0,AF210&gt;0),MIN(I210,AF210),"-")</f>
        <v>-</v>
      </c>
      <c r="BD210" s="59" t="str">
        <f>IF(AND(J210&gt;0,AG210&gt;0),MIN(J210,AG210),"-")</f>
        <v>-</v>
      </c>
      <c r="BE210" s="59" t="str">
        <f>IF(AND(K210&gt;0,AH210&gt;0),MIN(K210,AH210),"-")</f>
        <v>-</v>
      </c>
      <c r="BF210" s="59" t="str">
        <f>IF(AND(L210&gt;0,AI210&gt;0),MIN(L210,AI210),"-")</f>
        <v>-</v>
      </c>
      <c r="BG210" s="59" t="str">
        <f t="shared" si="54"/>
        <v>-</v>
      </c>
      <c r="BH210" s="59" t="str">
        <f>IF(AND(N210&gt;0,AK210&gt;0),MIN(N210,AK210),"-")</f>
        <v>-</v>
      </c>
      <c r="BI210" s="59" t="str">
        <f>IF(AND(O210&gt;0,AL210&gt;0),MIN(O210,AL210),"-")</f>
        <v>-</v>
      </c>
      <c r="BJ210" s="59" t="str">
        <f>IF(AND(P210&gt;0,AM210&gt;0),MIN(P210,AM210),"-")</f>
        <v>-</v>
      </c>
      <c r="BK210" s="59" t="str">
        <f>IF(AND(Q210&gt;0,AN210&gt;0),MIN(Q210,AN210),"-")</f>
        <v>-</v>
      </c>
      <c r="BL210" s="59" t="str">
        <f>IF(AND(R210&gt;0,AO210&gt;0),MIN(R210,AO210),"-")</f>
        <v>-</v>
      </c>
      <c r="BM210" s="59" t="str">
        <f>IF(AND(S210&gt;0,AP210&gt;0),MIN(S210,AP210),"-")</f>
        <v>-</v>
      </c>
      <c r="BN210" s="59" t="str">
        <f>IF(AND(T210&gt;0,AQ210&gt;0),MIN(T210,AQ210),"-")</f>
        <v>-</v>
      </c>
      <c r="BO210" s="59" t="str">
        <f>IF(AND(U210&gt;0,AR210&gt;0),MIN(U210,AR210),"-")</f>
        <v>-</v>
      </c>
      <c r="BP210" s="59" t="str">
        <f>IF(AND(V210&gt;0,AS210&gt;0),MIN(V210,AS210),"-")</f>
        <v>-</v>
      </c>
      <c r="BQ210" s="59" t="str">
        <f t="shared" si="55"/>
        <v>-</v>
      </c>
      <c r="BR210" s="59" t="str">
        <f t="shared" si="56"/>
        <v>-</v>
      </c>
      <c r="BS210" s="59" t="str">
        <f t="shared" si="57"/>
        <v>-</v>
      </c>
      <c r="BT210" s="98" t="str">
        <f>IF(ISNUMBER(BS210),BS210-(C210*Rules!$P$9/100),"-")</f>
        <v>-</v>
      </c>
      <c r="BU210" s="59" t="e">
        <f>RANK($BT210,$BT$5:$BT$106,1)+COUNTIF(BT$5:BT210,BT210)-1</f>
        <v>#VALUE!</v>
      </c>
      <c r="BV210" s="59" t="e">
        <f t="shared" si="58"/>
        <v>#VALUE!</v>
      </c>
      <c r="BW210" s="59" t="str">
        <f t="shared" si="59"/>
        <v xml:space="preserve"> </v>
      </c>
      <c r="BX210" s="59">
        <f t="shared" si="59"/>
        <v>0</v>
      </c>
      <c r="BY210" s="59" t="str">
        <f t="shared" si="60"/>
        <v>-</v>
      </c>
      <c r="CD210" s="79"/>
      <c r="CE210" s="80"/>
      <c r="CF210" s="104"/>
      <c r="CL210" s="77">
        <v>1</v>
      </c>
    </row>
    <row r="211" spans="1:90" ht="17.45" customHeight="1">
      <c r="A211" s="58">
        <v>207</v>
      </c>
      <c r="B211" s="59" t="str">
        <f>'C Div'!A211 &amp; " " &amp; 'C Div'!B211</f>
        <v xml:space="preserve"> </v>
      </c>
      <c r="C211" s="59">
        <f>'C Div'!E211</f>
        <v>0</v>
      </c>
      <c r="D211" s="60"/>
      <c r="E211" s="60"/>
      <c r="F211" s="60"/>
      <c r="G211" s="60"/>
      <c r="H211" s="60"/>
      <c r="I211" s="60"/>
      <c r="J211" s="60"/>
      <c r="K211" s="60"/>
      <c r="L211" s="60"/>
      <c r="M211" s="74" t="str">
        <f t="shared" si="46"/>
        <v>-</v>
      </c>
      <c r="N211" s="60"/>
      <c r="O211" s="60"/>
      <c r="P211" s="60"/>
      <c r="Q211" s="60"/>
      <c r="R211" s="60"/>
      <c r="S211" s="60"/>
      <c r="T211" s="60"/>
      <c r="U211" s="60"/>
      <c r="V211" s="60"/>
      <c r="W211" s="74" t="str">
        <f t="shared" si="47"/>
        <v>-</v>
      </c>
      <c r="X211" s="155" t="str">
        <f t="shared" si="48"/>
        <v>-</v>
      </c>
      <c r="Y211" s="156" t="str">
        <f t="shared" si="49"/>
        <v>-</v>
      </c>
      <c r="AA211" s="60"/>
      <c r="AB211" s="60"/>
      <c r="AC211" s="60"/>
      <c r="AD211" s="60"/>
      <c r="AE211" s="60"/>
      <c r="AF211" s="60"/>
      <c r="AG211" s="60"/>
      <c r="AH211" s="60"/>
      <c r="AI211" s="60"/>
      <c r="AJ211" s="74" t="str">
        <f t="shared" si="50"/>
        <v>-</v>
      </c>
      <c r="AK211" s="60"/>
      <c r="AL211" s="60"/>
      <c r="AM211" s="60"/>
      <c r="AN211" s="60"/>
      <c r="AO211" s="60"/>
      <c r="AP211" s="60"/>
      <c r="AQ211" s="60"/>
      <c r="AR211" s="60"/>
      <c r="AS211" s="60"/>
      <c r="AT211" s="74" t="str">
        <f t="shared" si="51"/>
        <v>-</v>
      </c>
      <c r="AU211" s="155" t="str">
        <f t="shared" si="52"/>
        <v>-</v>
      </c>
      <c r="AV211" s="156" t="str">
        <f t="shared" si="53"/>
        <v>-</v>
      </c>
      <c r="AX211" s="59" t="str">
        <f>IF(AND(D211&gt;0,AA211&gt;0),MIN(D211,AA211),"-")</f>
        <v>-</v>
      </c>
      <c r="AY211" s="59" t="str">
        <f>IF(AND(E211&gt;0,AB211&gt;0),MIN(E211,AB211),"-")</f>
        <v>-</v>
      </c>
      <c r="AZ211" s="59" t="str">
        <f>IF(AND(F211&gt;0,AC211&gt;0),MIN(F211,AC211),"-")</f>
        <v>-</v>
      </c>
      <c r="BA211" s="59" t="str">
        <f>IF(AND(G211&gt;0,AD211&gt;0),MIN(G211,AD211),"-")</f>
        <v>-</v>
      </c>
      <c r="BB211" s="59" t="str">
        <f>IF(AND(H211&gt;0,AE211&gt;0),MIN(H211,AE211),"-")</f>
        <v>-</v>
      </c>
      <c r="BC211" s="59" t="str">
        <f>IF(AND(I211&gt;0,AF211&gt;0),MIN(I211,AF211),"-")</f>
        <v>-</v>
      </c>
      <c r="BD211" s="59" t="str">
        <f>IF(AND(J211&gt;0,AG211&gt;0),MIN(J211,AG211),"-")</f>
        <v>-</v>
      </c>
      <c r="BE211" s="59" t="str">
        <f>IF(AND(K211&gt;0,AH211&gt;0),MIN(K211,AH211),"-")</f>
        <v>-</v>
      </c>
      <c r="BF211" s="59" t="str">
        <f>IF(AND(L211&gt;0,AI211&gt;0),MIN(L211,AI211),"-")</f>
        <v>-</v>
      </c>
      <c r="BG211" s="59" t="str">
        <f t="shared" si="54"/>
        <v>-</v>
      </c>
      <c r="BH211" s="59" t="str">
        <f>IF(AND(N211&gt;0,AK211&gt;0),MIN(N211,AK211),"-")</f>
        <v>-</v>
      </c>
      <c r="BI211" s="59" t="str">
        <f>IF(AND(O211&gt;0,AL211&gt;0),MIN(O211,AL211),"-")</f>
        <v>-</v>
      </c>
      <c r="BJ211" s="59" t="str">
        <f>IF(AND(P211&gt;0,AM211&gt;0),MIN(P211,AM211),"-")</f>
        <v>-</v>
      </c>
      <c r="BK211" s="59" t="str">
        <f>IF(AND(Q211&gt;0,AN211&gt;0),MIN(Q211,AN211),"-")</f>
        <v>-</v>
      </c>
      <c r="BL211" s="59" t="str">
        <f>IF(AND(R211&gt;0,AO211&gt;0),MIN(R211,AO211),"-")</f>
        <v>-</v>
      </c>
      <c r="BM211" s="59" t="str">
        <f>IF(AND(S211&gt;0,AP211&gt;0),MIN(S211,AP211),"-")</f>
        <v>-</v>
      </c>
      <c r="BN211" s="59" t="str">
        <f>IF(AND(T211&gt;0,AQ211&gt;0),MIN(T211,AQ211),"-")</f>
        <v>-</v>
      </c>
      <c r="BO211" s="59" t="str">
        <f>IF(AND(U211&gt;0,AR211&gt;0),MIN(U211,AR211),"-")</f>
        <v>-</v>
      </c>
      <c r="BP211" s="59" t="str">
        <f>IF(AND(V211&gt;0,AS211&gt;0),MIN(V211,AS211),"-")</f>
        <v>-</v>
      </c>
      <c r="BQ211" s="59" t="str">
        <f t="shared" si="55"/>
        <v>-</v>
      </c>
      <c r="BR211" s="59" t="str">
        <f t="shared" si="56"/>
        <v>-</v>
      </c>
      <c r="BS211" s="59" t="str">
        <f t="shared" si="57"/>
        <v>-</v>
      </c>
      <c r="BT211" s="98" t="str">
        <f>IF(ISNUMBER(BS211),BS211-(C211*Rules!$P$9/100),"-")</f>
        <v>-</v>
      </c>
      <c r="BU211" s="59" t="e">
        <f>RANK($BT211,$BT$5:$BT$106,1)+COUNTIF(BT$5:BT211,BT211)-1</f>
        <v>#VALUE!</v>
      </c>
      <c r="BV211" s="59" t="e">
        <f t="shared" si="58"/>
        <v>#VALUE!</v>
      </c>
      <c r="BW211" s="59" t="str">
        <f t="shared" si="59"/>
        <v xml:space="preserve"> </v>
      </c>
      <c r="BX211" s="59">
        <f t="shared" si="59"/>
        <v>0</v>
      </c>
      <c r="BY211" s="59" t="str">
        <f t="shared" si="60"/>
        <v>-</v>
      </c>
      <c r="CD211" s="79"/>
      <c r="CE211" s="80"/>
      <c r="CF211" s="104"/>
      <c r="CL211" s="77">
        <v>1</v>
      </c>
    </row>
    <row r="212" spans="1:90" ht="17.45" customHeight="1">
      <c r="A212" s="58">
        <v>208</v>
      </c>
      <c r="B212" s="59" t="str">
        <f>'C Div'!A212 &amp; " " &amp; 'C Div'!B212</f>
        <v xml:space="preserve"> </v>
      </c>
      <c r="C212" s="59">
        <f>'C Div'!E212</f>
        <v>0</v>
      </c>
      <c r="D212" s="60"/>
      <c r="E212" s="60"/>
      <c r="F212" s="60"/>
      <c r="G212" s="60"/>
      <c r="H212" s="60"/>
      <c r="I212" s="60"/>
      <c r="J212" s="60"/>
      <c r="K212" s="60"/>
      <c r="L212" s="60"/>
      <c r="M212" s="74" t="str">
        <f t="shared" si="46"/>
        <v>-</v>
      </c>
      <c r="N212" s="60"/>
      <c r="O212" s="60"/>
      <c r="P212" s="60"/>
      <c r="Q212" s="60"/>
      <c r="R212" s="60"/>
      <c r="S212" s="60"/>
      <c r="T212" s="60"/>
      <c r="U212" s="60"/>
      <c r="V212" s="60"/>
      <c r="W212" s="74" t="str">
        <f t="shared" si="47"/>
        <v>-</v>
      </c>
      <c r="X212" s="155" t="str">
        <f t="shared" si="48"/>
        <v>-</v>
      </c>
      <c r="Y212" s="156" t="str">
        <f t="shared" si="49"/>
        <v>-</v>
      </c>
      <c r="AA212" s="60"/>
      <c r="AB212" s="60"/>
      <c r="AC212" s="60"/>
      <c r="AD212" s="60"/>
      <c r="AE212" s="60"/>
      <c r="AF212" s="60"/>
      <c r="AG212" s="60"/>
      <c r="AH212" s="60"/>
      <c r="AI212" s="60"/>
      <c r="AJ212" s="74" t="str">
        <f t="shared" si="50"/>
        <v>-</v>
      </c>
      <c r="AK212" s="60"/>
      <c r="AL212" s="60"/>
      <c r="AM212" s="60"/>
      <c r="AN212" s="60"/>
      <c r="AO212" s="60"/>
      <c r="AP212" s="60"/>
      <c r="AQ212" s="60"/>
      <c r="AR212" s="60"/>
      <c r="AS212" s="60"/>
      <c r="AT212" s="74" t="str">
        <f t="shared" si="51"/>
        <v>-</v>
      </c>
      <c r="AU212" s="155" t="str">
        <f t="shared" si="52"/>
        <v>-</v>
      </c>
      <c r="AV212" s="156" t="str">
        <f t="shared" si="53"/>
        <v>-</v>
      </c>
      <c r="AX212" s="59" t="str">
        <f>IF(AND(D212&gt;0,AA212&gt;0),MIN(D212,AA212),"-")</f>
        <v>-</v>
      </c>
      <c r="AY212" s="59" t="str">
        <f>IF(AND(E212&gt;0,AB212&gt;0),MIN(E212,AB212),"-")</f>
        <v>-</v>
      </c>
      <c r="AZ212" s="59" t="str">
        <f>IF(AND(F212&gt;0,AC212&gt;0),MIN(F212,AC212),"-")</f>
        <v>-</v>
      </c>
      <c r="BA212" s="59" t="str">
        <f>IF(AND(G212&gt;0,AD212&gt;0),MIN(G212,AD212),"-")</f>
        <v>-</v>
      </c>
      <c r="BB212" s="59" t="str">
        <f>IF(AND(H212&gt;0,AE212&gt;0),MIN(H212,AE212),"-")</f>
        <v>-</v>
      </c>
      <c r="BC212" s="59" t="str">
        <f>IF(AND(I212&gt;0,AF212&gt;0),MIN(I212,AF212),"-")</f>
        <v>-</v>
      </c>
      <c r="BD212" s="59" t="str">
        <f>IF(AND(J212&gt;0,AG212&gt;0),MIN(J212,AG212),"-")</f>
        <v>-</v>
      </c>
      <c r="BE212" s="59" t="str">
        <f>IF(AND(K212&gt;0,AH212&gt;0),MIN(K212,AH212),"-")</f>
        <v>-</v>
      </c>
      <c r="BF212" s="59" t="str">
        <f>IF(AND(L212&gt;0,AI212&gt;0),MIN(L212,AI212),"-")</f>
        <v>-</v>
      </c>
      <c r="BG212" s="59" t="str">
        <f t="shared" si="54"/>
        <v>-</v>
      </c>
      <c r="BH212" s="59" t="str">
        <f>IF(AND(N212&gt;0,AK212&gt;0),MIN(N212,AK212),"-")</f>
        <v>-</v>
      </c>
      <c r="BI212" s="59" t="str">
        <f>IF(AND(O212&gt;0,AL212&gt;0),MIN(O212,AL212),"-")</f>
        <v>-</v>
      </c>
      <c r="BJ212" s="59" t="str">
        <f>IF(AND(P212&gt;0,AM212&gt;0),MIN(P212,AM212),"-")</f>
        <v>-</v>
      </c>
      <c r="BK212" s="59" t="str">
        <f>IF(AND(Q212&gt;0,AN212&gt;0),MIN(Q212,AN212),"-")</f>
        <v>-</v>
      </c>
      <c r="BL212" s="59" t="str">
        <f>IF(AND(R212&gt;0,AO212&gt;0),MIN(R212,AO212),"-")</f>
        <v>-</v>
      </c>
      <c r="BM212" s="59" t="str">
        <f>IF(AND(S212&gt;0,AP212&gt;0),MIN(S212,AP212),"-")</f>
        <v>-</v>
      </c>
      <c r="BN212" s="59" t="str">
        <f>IF(AND(T212&gt;0,AQ212&gt;0),MIN(T212,AQ212),"-")</f>
        <v>-</v>
      </c>
      <c r="BO212" s="59" t="str">
        <f>IF(AND(U212&gt;0,AR212&gt;0),MIN(U212,AR212),"-")</f>
        <v>-</v>
      </c>
      <c r="BP212" s="59" t="str">
        <f>IF(AND(V212&gt;0,AS212&gt;0),MIN(V212,AS212),"-")</f>
        <v>-</v>
      </c>
      <c r="BQ212" s="59" t="str">
        <f t="shared" si="55"/>
        <v>-</v>
      </c>
      <c r="BR212" s="59" t="str">
        <f t="shared" si="56"/>
        <v>-</v>
      </c>
      <c r="BS212" s="59" t="str">
        <f t="shared" si="57"/>
        <v>-</v>
      </c>
      <c r="BT212" s="98" t="str">
        <f>IF(ISNUMBER(BS212),BS212-(C212*Rules!$P$9/100),"-")</f>
        <v>-</v>
      </c>
      <c r="BU212" s="59" t="e">
        <f>RANK($BT212,$BT$5:$BT$106,1)+COUNTIF(BT$5:BT212,BT212)-1</f>
        <v>#VALUE!</v>
      </c>
      <c r="BV212" s="59" t="e">
        <f t="shared" si="58"/>
        <v>#VALUE!</v>
      </c>
      <c r="BW212" s="59" t="str">
        <f t="shared" si="59"/>
        <v xml:space="preserve"> </v>
      </c>
      <c r="BX212" s="59">
        <f t="shared" si="59"/>
        <v>0</v>
      </c>
      <c r="BY212" s="59" t="str">
        <f t="shared" si="60"/>
        <v>-</v>
      </c>
      <c r="CD212" s="79"/>
      <c r="CE212" s="80"/>
      <c r="CF212" s="104"/>
      <c r="CL212" s="77">
        <v>1</v>
      </c>
    </row>
    <row r="213" spans="1:90" ht="17.45" customHeight="1">
      <c r="A213" s="58">
        <v>209</v>
      </c>
      <c r="B213" s="59" t="str">
        <f>'C Div'!A213 &amp; " " &amp; 'C Div'!B213</f>
        <v xml:space="preserve"> </v>
      </c>
      <c r="C213" s="59">
        <f>'C Div'!E213</f>
        <v>0</v>
      </c>
      <c r="D213" s="60"/>
      <c r="E213" s="60"/>
      <c r="F213" s="60"/>
      <c r="G213" s="60"/>
      <c r="H213" s="60"/>
      <c r="I213" s="60"/>
      <c r="J213" s="60"/>
      <c r="K213" s="60"/>
      <c r="L213" s="60"/>
      <c r="M213" s="74" t="str">
        <f t="shared" si="46"/>
        <v>-</v>
      </c>
      <c r="N213" s="60"/>
      <c r="O213" s="60"/>
      <c r="P213" s="60"/>
      <c r="Q213" s="60"/>
      <c r="R213" s="60"/>
      <c r="S213" s="60"/>
      <c r="T213" s="60"/>
      <c r="U213" s="60"/>
      <c r="V213" s="60"/>
      <c r="W213" s="74" t="str">
        <f t="shared" si="47"/>
        <v>-</v>
      </c>
      <c r="X213" s="155" t="str">
        <f t="shared" si="48"/>
        <v>-</v>
      </c>
      <c r="Y213" s="156" t="str">
        <f t="shared" si="49"/>
        <v>-</v>
      </c>
      <c r="AA213" s="60"/>
      <c r="AB213" s="60"/>
      <c r="AC213" s="60"/>
      <c r="AD213" s="60"/>
      <c r="AE213" s="60"/>
      <c r="AF213" s="60"/>
      <c r="AG213" s="60"/>
      <c r="AH213" s="60"/>
      <c r="AI213" s="60"/>
      <c r="AJ213" s="74" t="str">
        <f t="shared" si="50"/>
        <v>-</v>
      </c>
      <c r="AK213" s="60"/>
      <c r="AL213" s="60"/>
      <c r="AM213" s="60"/>
      <c r="AN213" s="60"/>
      <c r="AO213" s="60"/>
      <c r="AP213" s="60"/>
      <c r="AQ213" s="60"/>
      <c r="AR213" s="60"/>
      <c r="AS213" s="60"/>
      <c r="AT213" s="74" t="str">
        <f t="shared" si="51"/>
        <v>-</v>
      </c>
      <c r="AU213" s="155" t="str">
        <f t="shared" si="52"/>
        <v>-</v>
      </c>
      <c r="AV213" s="156" t="str">
        <f t="shared" si="53"/>
        <v>-</v>
      </c>
      <c r="AX213" s="59" t="str">
        <f>IF(AND(D213&gt;0,AA213&gt;0),MIN(D213,AA213),"-")</f>
        <v>-</v>
      </c>
      <c r="AY213" s="59" t="str">
        <f>IF(AND(E213&gt;0,AB213&gt;0),MIN(E213,AB213),"-")</f>
        <v>-</v>
      </c>
      <c r="AZ213" s="59" t="str">
        <f>IF(AND(F213&gt;0,AC213&gt;0),MIN(F213,AC213),"-")</f>
        <v>-</v>
      </c>
      <c r="BA213" s="59" t="str">
        <f>IF(AND(G213&gt;0,AD213&gt;0),MIN(G213,AD213),"-")</f>
        <v>-</v>
      </c>
      <c r="BB213" s="59" t="str">
        <f>IF(AND(H213&gt;0,AE213&gt;0),MIN(H213,AE213),"-")</f>
        <v>-</v>
      </c>
      <c r="BC213" s="59" t="str">
        <f>IF(AND(I213&gt;0,AF213&gt;0),MIN(I213,AF213),"-")</f>
        <v>-</v>
      </c>
      <c r="BD213" s="59" t="str">
        <f>IF(AND(J213&gt;0,AG213&gt;0),MIN(J213,AG213),"-")</f>
        <v>-</v>
      </c>
      <c r="BE213" s="59" t="str">
        <f>IF(AND(K213&gt;0,AH213&gt;0),MIN(K213,AH213),"-")</f>
        <v>-</v>
      </c>
      <c r="BF213" s="59" t="str">
        <f>IF(AND(L213&gt;0,AI213&gt;0),MIN(L213,AI213),"-")</f>
        <v>-</v>
      </c>
      <c r="BG213" s="59" t="str">
        <f t="shared" si="54"/>
        <v>-</v>
      </c>
      <c r="BH213" s="59" t="str">
        <f>IF(AND(N213&gt;0,AK213&gt;0),MIN(N213,AK213),"-")</f>
        <v>-</v>
      </c>
      <c r="BI213" s="59" t="str">
        <f>IF(AND(O213&gt;0,AL213&gt;0),MIN(O213,AL213),"-")</f>
        <v>-</v>
      </c>
      <c r="BJ213" s="59" t="str">
        <f>IF(AND(P213&gt;0,AM213&gt;0),MIN(P213,AM213),"-")</f>
        <v>-</v>
      </c>
      <c r="BK213" s="59" t="str">
        <f>IF(AND(Q213&gt;0,AN213&gt;0),MIN(Q213,AN213),"-")</f>
        <v>-</v>
      </c>
      <c r="BL213" s="59" t="str">
        <f>IF(AND(R213&gt;0,AO213&gt;0),MIN(R213,AO213),"-")</f>
        <v>-</v>
      </c>
      <c r="BM213" s="59" t="str">
        <f>IF(AND(S213&gt;0,AP213&gt;0),MIN(S213,AP213),"-")</f>
        <v>-</v>
      </c>
      <c r="BN213" s="59" t="str">
        <f>IF(AND(T213&gt;0,AQ213&gt;0),MIN(T213,AQ213),"-")</f>
        <v>-</v>
      </c>
      <c r="BO213" s="59" t="str">
        <f>IF(AND(U213&gt;0,AR213&gt;0),MIN(U213,AR213),"-")</f>
        <v>-</v>
      </c>
      <c r="BP213" s="59" t="str">
        <f>IF(AND(V213&gt;0,AS213&gt;0),MIN(V213,AS213),"-")</f>
        <v>-</v>
      </c>
      <c r="BQ213" s="59" t="str">
        <f t="shared" si="55"/>
        <v>-</v>
      </c>
      <c r="BR213" s="59" t="str">
        <f t="shared" si="56"/>
        <v>-</v>
      </c>
      <c r="BS213" s="59" t="str">
        <f t="shared" si="57"/>
        <v>-</v>
      </c>
      <c r="BT213" s="98" t="str">
        <f>IF(ISNUMBER(BS213),BS213-(C213*Rules!$P$9/100),"-")</f>
        <v>-</v>
      </c>
      <c r="BU213" s="59" t="e">
        <f>RANK($BT213,$BT$5:$BT$106,1)+COUNTIF(BT$5:BT213,BT213)-1</f>
        <v>#VALUE!</v>
      </c>
      <c r="BV213" s="59" t="e">
        <f t="shared" si="58"/>
        <v>#VALUE!</v>
      </c>
      <c r="BW213" s="59" t="str">
        <f t="shared" si="59"/>
        <v xml:space="preserve"> </v>
      </c>
      <c r="BX213" s="59">
        <f t="shared" si="59"/>
        <v>0</v>
      </c>
      <c r="BY213" s="59" t="str">
        <f t="shared" si="60"/>
        <v>-</v>
      </c>
      <c r="CD213" s="79"/>
      <c r="CE213" s="80"/>
      <c r="CF213" s="104"/>
      <c r="CL213" s="77">
        <v>1</v>
      </c>
    </row>
    <row r="214" spans="1:90" ht="17.45" customHeight="1">
      <c r="A214" s="58">
        <v>210</v>
      </c>
      <c r="B214" s="59" t="str">
        <f>'C Div'!A214 &amp; " " &amp; 'C Div'!B214</f>
        <v xml:space="preserve"> </v>
      </c>
      <c r="C214" s="59">
        <f>'C Div'!E214</f>
        <v>0</v>
      </c>
      <c r="D214" s="60"/>
      <c r="E214" s="60"/>
      <c r="F214" s="60"/>
      <c r="G214" s="60"/>
      <c r="H214" s="60"/>
      <c r="I214" s="60"/>
      <c r="J214" s="60"/>
      <c r="K214" s="60"/>
      <c r="L214" s="60"/>
      <c r="M214" s="74" t="str">
        <f t="shared" si="46"/>
        <v>-</v>
      </c>
      <c r="N214" s="60"/>
      <c r="O214" s="60"/>
      <c r="P214" s="60"/>
      <c r="Q214" s="60"/>
      <c r="R214" s="60"/>
      <c r="S214" s="60"/>
      <c r="T214" s="60"/>
      <c r="U214" s="60"/>
      <c r="V214" s="60"/>
      <c r="W214" s="74" t="str">
        <f t="shared" si="47"/>
        <v>-</v>
      </c>
      <c r="X214" s="155" t="str">
        <f t="shared" si="48"/>
        <v>-</v>
      </c>
      <c r="Y214" s="156" t="str">
        <f t="shared" si="49"/>
        <v>-</v>
      </c>
      <c r="AA214" s="60"/>
      <c r="AB214" s="60"/>
      <c r="AC214" s="60"/>
      <c r="AD214" s="60"/>
      <c r="AE214" s="60"/>
      <c r="AF214" s="60"/>
      <c r="AG214" s="60"/>
      <c r="AH214" s="60"/>
      <c r="AI214" s="60"/>
      <c r="AJ214" s="74" t="str">
        <f t="shared" si="50"/>
        <v>-</v>
      </c>
      <c r="AK214" s="60"/>
      <c r="AL214" s="60"/>
      <c r="AM214" s="60"/>
      <c r="AN214" s="60"/>
      <c r="AO214" s="60"/>
      <c r="AP214" s="60"/>
      <c r="AQ214" s="60"/>
      <c r="AR214" s="60"/>
      <c r="AS214" s="60"/>
      <c r="AT214" s="74" t="str">
        <f t="shared" si="51"/>
        <v>-</v>
      </c>
      <c r="AU214" s="155" t="str">
        <f t="shared" si="52"/>
        <v>-</v>
      </c>
      <c r="AV214" s="156" t="str">
        <f t="shared" si="53"/>
        <v>-</v>
      </c>
      <c r="AX214" s="59" t="str">
        <f>IF(AND(D214&gt;0,AA214&gt;0),MIN(D214,AA214),"-")</f>
        <v>-</v>
      </c>
      <c r="AY214" s="59" t="str">
        <f>IF(AND(E214&gt;0,AB214&gt;0),MIN(E214,AB214),"-")</f>
        <v>-</v>
      </c>
      <c r="AZ214" s="59" t="str">
        <f>IF(AND(F214&gt;0,AC214&gt;0),MIN(F214,AC214),"-")</f>
        <v>-</v>
      </c>
      <c r="BA214" s="59" t="str">
        <f>IF(AND(G214&gt;0,AD214&gt;0),MIN(G214,AD214),"-")</f>
        <v>-</v>
      </c>
      <c r="BB214" s="59" t="str">
        <f>IF(AND(H214&gt;0,AE214&gt;0),MIN(H214,AE214),"-")</f>
        <v>-</v>
      </c>
      <c r="BC214" s="59" t="str">
        <f>IF(AND(I214&gt;0,AF214&gt;0),MIN(I214,AF214),"-")</f>
        <v>-</v>
      </c>
      <c r="BD214" s="59" t="str">
        <f>IF(AND(J214&gt;0,AG214&gt;0),MIN(J214,AG214),"-")</f>
        <v>-</v>
      </c>
      <c r="BE214" s="59" t="str">
        <f>IF(AND(K214&gt;0,AH214&gt;0),MIN(K214,AH214),"-")</f>
        <v>-</v>
      </c>
      <c r="BF214" s="59" t="str">
        <f>IF(AND(L214&gt;0,AI214&gt;0),MIN(L214,AI214),"-")</f>
        <v>-</v>
      </c>
      <c r="BG214" s="59" t="str">
        <f t="shared" si="54"/>
        <v>-</v>
      </c>
      <c r="BH214" s="59" t="str">
        <f>IF(AND(N214&gt;0,AK214&gt;0),MIN(N214,AK214),"-")</f>
        <v>-</v>
      </c>
      <c r="BI214" s="59" t="str">
        <f>IF(AND(O214&gt;0,AL214&gt;0),MIN(O214,AL214),"-")</f>
        <v>-</v>
      </c>
      <c r="BJ214" s="59" t="str">
        <f>IF(AND(P214&gt;0,AM214&gt;0),MIN(P214,AM214),"-")</f>
        <v>-</v>
      </c>
      <c r="BK214" s="59" t="str">
        <f>IF(AND(Q214&gt;0,AN214&gt;0),MIN(Q214,AN214),"-")</f>
        <v>-</v>
      </c>
      <c r="BL214" s="59" t="str">
        <f>IF(AND(R214&gt;0,AO214&gt;0),MIN(R214,AO214),"-")</f>
        <v>-</v>
      </c>
      <c r="BM214" s="59" t="str">
        <f>IF(AND(S214&gt;0,AP214&gt;0),MIN(S214,AP214),"-")</f>
        <v>-</v>
      </c>
      <c r="BN214" s="59" t="str">
        <f>IF(AND(T214&gt;0,AQ214&gt;0),MIN(T214,AQ214),"-")</f>
        <v>-</v>
      </c>
      <c r="BO214" s="59" t="str">
        <f>IF(AND(U214&gt;0,AR214&gt;0),MIN(U214,AR214),"-")</f>
        <v>-</v>
      </c>
      <c r="BP214" s="59" t="str">
        <f>IF(AND(V214&gt;0,AS214&gt;0),MIN(V214,AS214),"-")</f>
        <v>-</v>
      </c>
      <c r="BQ214" s="59" t="str">
        <f t="shared" si="55"/>
        <v>-</v>
      </c>
      <c r="BR214" s="59" t="str">
        <f t="shared" si="56"/>
        <v>-</v>
      </c>
      <c r="BS214" s="59" t="str">
        <f t="shared" si="57"/>
        <v>-</v>
      </c>
      <c r="BT214" s="98" t="str">
        <f>IF(ISNUMBER(BS214),BS214-(C214*Rules!$P$9/100),"-")</f>
        <v>-</v>
      </c>
      <c r="BU214" s="59" t="e">
        <f>RANK($BT214,$BT$5:$BT$106,1)+COUNTIF(BT$5:BT214,BT214)-1</f>
        <v>#VALUE!</v>
      </c>
      <c r="BV214" s="59" t="e">
        <f t="shared" si="58"/>
        <v>#VALUE!</v>
      </c>
      <c r="BW214" s="59" t="str">
        <f t="shared" si="59"/>
        <v xml:space="preserve"> </v>
      </c>
      <c r="BX214" s="59">
        <f t="shared" si="59"/>
        <v>0</v>
      </c>
      <c r="BY214" s="59" t="str">
        <f t="shared" si="60"/>
        <v>-</v>
      </c>
      <c r="CD214" s="79"/>
      <c r="CE214" s="80"/>
      <c r="CF214" s="104"/>
      <c r="CL214" s="77">
        <v>1</v>
      </c>
    </row>
    <row r="215" spans="1:90" ht="17.45" customHeight="1">
      <c r="A215" s="58">
        <v>211</v>
      </c>
      <c r="B215" s="59" t="str">
        <f>'C Div'!A215 &amp; " " &amp; 'C Div'!B215</f>
        <v xml:space="preserve"> </v>
      </c>
      <c r="C215" s="59">
        <f>'C Div'!E215</f>
        <v>0</v>
      </c>
      <c r="D215" s="60"/>
      <c r="E215" s="60"/>
      <c r="F215" s="60"/>
      <c r="G215" s="60"/>
      <c r="H215" s="60"/>
      <c r="I215" s="60"/>
      <c r="J215" s="60"/>
      <c r="K215" s="60"/>
      <c r="L215" s="60"/>
      <c r="M215" s="74" t="str">
        <f t="shared" si="46"/>
        <v>-</v>
      </c>
      <c r="N215" s="60"/>
      <c r="O215" s="60"/>
      <c r="P215" s="60"/>
      <c r="Q215" s="60"/>
      <c r="R215" s="60"/>
      <c r="S215" s="60"/>
      <c r="T215" s="60"/>
      <c r="U215" s="60"/>
      <c r="V215" s="60"/>
      <c r="W215" s="74" t="str">
        <f t="shared" si="47"/>
        <v>-</v>
      </c>
      <c r="X215" s="155" t="str">
        <f t="shared" si="48"/>
        <v>-</v>
      </c>
      <c r="Y215" s="156" t="str">
        <f t="shared" si="49"/>
        <v>-</v>
      </c>
      <c r="AA215" s="60"/>
      <c r="AB215" s="60"/>
      <c r="AC215" s="60"/>
      <c r="AD215" s="60"/>
      <c r="AE215" s="60"/>
      <c r="AF215" s="60"/>
      <c r="AG215" s="60"/>
      <c r="AH215" s="60"/>
      <c r="AI215" s="60"/>
      <c r="AJ215" s="74" t="str">
        <f t="shared" si="50"/>
        <v>-</v>
      </c>
      <c r="AK215" s="60"/>
      <c r="AL215" s="60"/>
      <c r="AM215" s="60"/>
      <c r="AN215" s="60"/>
      <c r="AO215" s="60"/>
      <c r="AP215" s="60"/>
      <c r="AQ215" s="60"/>
      <c r="AR215" s="60"/>
      <c r="AS215" s="60"/>
      <c r="AT215" s="74" t="str">
        <f t="shared" si="51"/>
        <v>-</v>
      </c>
      <c r="AU215" s="155" t="str">
        <f t="shared" si="52"/>
        <v>-</v>
      </c>
      <c r="AV215" s="156" t="str">
        <f t="shared" si="53"/>
        <v>-</v>
      </c>
      <c r="AX215" s="59" t="str">
        <f>IF(AND(D215&gt;0,AA215&gt;0),MIN(D215,AA215),"-")</f>
        <v>-</v>
      </c>
      <c r="AY215" s="59" t="str">
        <f>IF(AND(E215&gt;0,AB215&gt;0),MIN(E215,AB215),"-")</f>
        <v>-</v>
      </c>
      <c r="AZ215" s="59" t="str">
        <f>IF(AND(F215&gt;0,AC215&gt;0),MIN(F215,AC215),"-")</f>
        <v>-</v>
      </c>
      <c r="BA215" s="59" t="str">
        <f>IF(AND(G215&gt;0,AD215&gt;0),MIN(G215,AD215),"-")</f>
        <v>-</v>
      </c>
      <c r="BB215" s="59" t="str">
        <f>IF(AND(H215&gt;0,AE215&gt;0),MIN(H215,AE215),"-")</f>
        <v>-</v>
      </c>
      <c r="BC215" s="59" t="str">
        <f>IF(AND(I215&gt;0,AF215&gt;0),MIN(I215,AF215),"-")</f>
        <v>-</v>
      </c>
      <c r="BD215" s="59" t="str">
        <f>IF(AND(J215&gt;0,AG215&gt;0),MIN(J215,AG215),"-")</f>
        <v>-</v>
      </c>
      <c r="BE215" s="59" t="str">
        <f>IF(AND(K215&gt;0,AH215&gt;0),MIN(K215,AH215),"-")</f>
        <v>-</v>
      </c>
      <c r="BF215" s="59" t="str">
        <f>IF(AND(L215&gt;0,AI215&gt;0),MIN(L215,AI215),"-")</f>
        <v>-</v>
      </c>
      <c r="BG215" s="59" t="str">
        <f t="shared" si="54"/>
        <v>-</v>
      </c>
      <c r="BH215" s="59" t="str">
        <f>IF(AND(N215&gt;0,AK215&gt;0),MIN(N215,AK215),"-")</f>
        <v>-</v>
      </c>
      <c r="BI215" s="59" t="str">
        <f>IF(AND(O215&gt;0,AL215&gt;0),MIN(O215,AL215),"-")</f>
        <v>-</v>
      </c>
      <c r="BJ215" s="59" t="str">
        <f>IF(AND(P215&gt;0,AM215&gt;0),MIN(P215,AM215),"-")</f>
        <v>-</v>
      </c>
      <c r="BK215" s="59" t="str">
        <f>IF(AND(Q215&gt;0,AN215&gt;0),MIN(Q215,AN215),"-")</f>
        <v>-</v>
      </c>
      <c r="BL215" s="59" t="str">
        <f>IF(AND(R215&gt;0,AO215&gt;0),MIN(R215,AO215),"-")</f>
        <v>-</v>
      </c>
      <c r="BM215" s="59" t="str">
        <f>IF(AND(S215&gt;0,AP215&gt;0),MIN(S215,AP215),"-")</f>
        <v>-</v>
      </c>
      <c r="BN215" s="59" t="str">
        <f>IF(AND(T215&gt;0,AQ215&gt;0),MIN(T215,AQ215),"-")</f>
        <v>-</v>
      </c>
      <c r="BO215" s="59" t="str">
        <f>IF(AND(U215&gt;0,AR215&gt;0),MIN(U215,AR215),"-")</f>
        <v>-</v>
      </c>
      <c r="BP215" s="59" t="str">
        <f>IF(AND(V215&gt;0,AS215&gt;0),MIN(V215,AS215),"-")</f>
        <v>-</v>
      </c>
      <c r="BQ215" s="59" t="str">
        <f t="shared" si="55"/>
        <v>-</v>
      </c>
      <c r="BR215" s="59" t="str">
        <f t="shared" si="56"/>
        <v>-</v>
      </c>
      <c r="BS215" s="59" t="str">
        <f t="shared" si="57"/>
        <v>-</v>
      </c>
      <c r="BT215" s="98" t="str">
        <f>IF(ISNUMBER(BS215),BS215-(C215*Rules!$P$9/100),"-")</f>
        <v>-</v>
      </c>
      <c r="BU215" s="59" t="e">
        <f>RANK($BT215,$BT$5:$BT$106,1)+COUNTIF(BT$5:BT215,BT215)-1</f>
        <v>#VALUE!</v>
      </c>
      <c r="BV215" s="59" t="e">
        <f t="shared" si="58"/>
        <v>#VALUE!</v>
      </c>
      <c r="BW215" s="59" t="str">
        <f t="shared" si="59"/>
        <v xml:space="preserve"> </v>
      </c>
      <c r="BX215" s="59">
        <f t="shared" si="59"/>
        <v>0</v>
      </c>
      <c r="BY215" s="59" t="str">
        <f t="shared" si="60"/>
        <v>-</v>
      </c>
      <c r="CD215" s="79"/>
      <c r="CE215" s="80"/>
      <c r="CF215" s="104"/>
      <c r="CL215" s="77">
        <v>1</v>
      </c>
    </row>
  </sheetData>
  <protectedRanges>
    <protectedRange sqref="D16:L215" name="Range1"/>
    <protectedRange sqref="N16:V215" name="Range2"/>
    <protectedRange sqref="AA16:AI215" name="Range3"/>
    <protectedRange sqref="AK16:AS215" name="Range4"/>
    <protectedRange sqref="D5:L15" name="Range1_2"/>
    <protectedRange sqref="N5:V15" name="Range2_1"/>
    <protectedRange sqref="AA5:AI15" name="Range3_1"/>
    <protectedRange sqref="AK5:AS15" name="Range4_1"/>
  </protectedRanges>
  <mergeCells count="4">
    <mergeCell ref="D3:W3"/>
    <mergeCell ref="AA3:AT3"/>
    <mergeCell ref="CD3:CF3"/>
    <mergeCell ref="CD2:CF2"/>
  </mergeCells>
  <conditionalFormatting sqref="CC3 CC4:CF104">
    <cfRule type="expression" dxfId="36" priority="2" stopIfTrue="1">
      <formula>ISNA(CC3)</formula>
    </cfRule>
  </conditionalFormatting>
  <conditionalFormatting sqref="CD5:CD104">
    <cfRule type="expression" dxfId="35" priority="1">
      <formula>CD4=CD5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CF215"/>
  <sheetViews>
    <sheetView zoomScaleNormal="100" workbookViewId="0">
      <pane xSplit="10" ySplit="4" topLeftCell="BC5" activePane="bottomRight" state="frozen"/>
      <selection pane="bottomRight" activeCell="BX13" sqref="BX13"/>
      <selection pane="bottomLeft" activeCell="A8" sqref="A8"/>
      <selection pane="topRight" activeCell="Q1" sqref="Q1"/>
    </sheetView>
  </sheetViews>
  <sheetFormatPr defaultRowHeight="15" customHeight="1"/>
  <cols>
    <col min="1" max="1" width="8.7109375" style="44" bestFit="1" customWidth="1"/>
    <col min="2" max="2" width="14.85546875" style="44" bestFit="1" customWidth="1"/>
    <col min="3" max="3" width="12" style="45" bestFit="1" customWidth="1"/>
    <col min="4" max="4" width="4" style="55" bestFit="1" customWidth="1"/>
    <col min="5" max="5" width="7.5703125" style="55" bestFit="1" customWidth="1"/>
    <col min="6" max="6" width="4.42578125" style="3" customWidth="1"/>
    <col min="7" max="10" width="4.7109375" style="47" customWidth="1"/>
    <col min="11" max="11" width="7.28515625" style="109" customWidth="1"/>
    <col min="12" max="12" width="4.42578125" style="109" bestFit="1" customWidth="1"/>
    <col min="13" max="14" width="6.7109375" style="109" customWidth="1"/>
    <col min="15" max="15" width="7.42578125" style="109" customWidth="1"/>
    <col min="16" max="16" width="7.5703125" style="109" customWidth="1"/>
    <col min="17" max="18" width="8.7109375" style="13" hidden="1" customWidth="1"/>
    <col min="19" max="28" width="6.7109375" style="13" hidden="1" customWidth="1"/>
    <col min="29" max="29" width="18.140625" hidden="1" customWidth="1"/>
    <col min="30" max="30" width="4" hidden="1" customWidth="1"/>
    <col min="31" max="34" width="5.7109375" hidden="1" customWidth="1"/>
    <col min="35" max="36" width="7" hidden="1" customWidth="1"/>
    <col min="37" max="37" width="2.5703125" style="5" customWidth="1"/>
    <col min="38" max="38" width="4.140625" style="5" hidden="1" customWidth="1"/>
    <col min="39" max="39" width="5.7109375" style="5" bestFit="1" customWidth="1"/>
    <col min="40" max="40" width="20.85546875" style="24" bestFit="1" customWidth="1"/>
    <col min="41" max="41" width="6.5703125" style="9" bestFit="1" customWidth="1"/>
    <col min="42" max="42" width="2.28515625" style="5" customWidth="1"/>
    <col min="43" max="43" width="4.42578125" style="5" hidden="1" customWidth="1"/>
    <col min="44" max="44" width="5.7109375" style="5" bestFit="1" customWidth="1"/>
    <col min="45" max="45" width="20.85546875" style="5" bestFit="1" customWidth="1"/>
    <col min="46" max="46" width="5.7109375" style="5" bestFit="1" customWidth="1"/>
    <col min="47" max="47" width="2.28515625" style="5" customWidth="1"/>
    <col min="48" max="48" width="4.140625" style="5" hidden="1" customWidth="1"/>
    <col min="49" max="49" width="5.7109375" style="5" bestFit="1" customWidth="1"/>
    <col min="50" max="50" width="20.85546875" style="5" bestFit="1" customWidth="1"/>
    <col min="51" max="51" width="6.5703125" style="5" bestFit="1" customWidth="1"/>
    <col min="52" max="52" width="2.42578125" style="5" customWidth="1"/>
    <col min="53" max="53" width="8.85546875" style="5" hidden="1" customWidth="1"/>
    <col min="54" max="54" width="4.7109375" style="5" customWidth="1"/>
    <col min="55" max="55" width="20.85546875" style="5" bestFit="1" customWidth="1"/>
    <col min="56" max="56" width="4.7109375" style="5" customWidth="1"/>
    <col min="57" max="57" width="3.140625" style="5" customWidth="1"/>
    <col min="58" max="58" width="8.85546875" style="5" hidden="1" customWidth="1"/>
    <col min="59" max="59" width="5.7109375" style="5" bestFit="1" customWidth="1"/>
    <col min="60" max="60" width="20.85546875" style="5" bestFit="1" customWidth="1"/>
    <col min="61" max="61" width="7.140625" style="76" bestFit="1" customWidth="1"/>
    <col min="62" max="62" width="2.7109375" style="5" customWidth="1"/>
    <col min="63" max="63" width="8.85546875" hidden="1" customWidth="1"/>
    <col min="64" max="64" width="5.7109375" bestFit="1" customWidth="1"/>
    <col min="65" max="65" width="20.85546875" bestFit="1" customWidth="1"/>
    <col min="66" max="66" width="7.140625" style="56" bestFit="1" customWidth="1"/>
    <col min="67" max="67" width="3.140625" style="5" customWidth="1"/>
    <col min="68" max="68" width="5.7109375" style="5" bestFit="1" customWidth="1"/>
    <col min="69" max="69" width="20.85546875" style="5" bestFit="1" customWidth="1"/>
    <col min="70" max="70" width="6" style="95" bestFit="1" customWidth="1"/>
    <col min="71" max="84" width="8.85546875" style="5"/>
  </cols>
  <sheetData>
    <row r="1" spans="1:84" s="12" customFormat="1" ht="30" customHeight="1">
      <c r="A1" s="37"/>
      <c r="B1" s="38"/>
      <c r="C1" s="39"/>
      <c r="D1" s="66">
        <v>13.4</v>
      </c>
      <c r="E1" s="66"/>
      <c r="F1" s="28"/>
      <c r="G1" s="46"/>
      <c r="H1" s="37"/>
      <c r="I1" s="37"/>
      <c r="J1" s="37"/>
      <c r="K1" s="106"/>
      <c r="L1" s="106"/>
      <c r="M1" s="106"/>
      <c r="N1" s="106"/>
      <c r="O1" s="106"/>
      <c r="P1" s="106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L1" s="32"/>
      <c r="AM1" s="32"/>
      <c r="AN1" s="33"/>
      <c r="AO1" s="34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90"/>
      <c r="BJ1" s="32"/>
      <c r="BK1" s="32"/>
      <c r="BL1" s="32"/>
      <c r="BM1" s="32"/>
      <c r="BN1" s="90"/>
      <c r="BP1" s="190" t="s">
        <v>60</v>
      </c>
      <c r="BQ1" s="190"/>
      <c r="BR1" s="190"/>
    </row>
    <row r="2" spans="1:84" s="12" customFormat="1" ht="15" hidden="1" customHeight="1">
      <c r="A2" s="37"/>
      <c r="B2" s="62"/>
      <c r="C2" s="39"/>
      <c r="D2" s="67"/>
      <c r="E2" s="67"/>
      <c r="F2" s="29"/>
      <c r="G2" s="37"/>
      <c r="H2" s="37"/>
      <c r="I2" s="37"/>
      <c r="J2" s="37"/>
      <c r="K2" s="106"/>
      <c r="L2" s="106"/>
      <c r="M2" s="106"/>
      <c r="N2" s="106"/>
      <c r="O2" s="106"/>
      <c r="P2" s="106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N2" s="31">
        <v>2</v>
      </c>
      <c r="AO2" s="28"/>
      <c r="AS2" s="12">
        <v>2</v>
      </c>
      <c r="AX2" s="12">
        <v>2</v>
      </c>
      <c r="BC2" s="12">
        <v>2</v>
      </c>
      <c r="BH2" s="12">
        <v>2</v>
      </c>
      <c r="BI2" s="77"/>
      <c r="BM2" s="12">
        <v>2</v>
      </c>
      <c r="BN2" s="77"/>
      <c r="BP2" s="169"/>
      <c r="BQ2" s="170"/>
      <c r="BR2" s="170"/>
    </row>
    <row r="3" spans="1:84" s="12" customFormat="1" ht="15" customHeight="1">
      <c r="A3" s="62"/>
      <c r="B3" s="62"/>
      <c r="C3" s="73"/>
      <c r="D3" s="68"/>
      <c r="E3" s="68"/>
      <c r="F3" s="63"/>
      <c r="G3" s="64"/>
      <c r="H3" s="64"/>
      <c r="I3" s="64"/>
      <c r="J3" s="65"/>
      <c r="K3" s="191"/>
      <c r="L3" s="191"/>
      <c r="M3" s="106"/>
      <c r="N3" s="106"/>
      <c r="O3" s="106"/>
      <c r="P3" s="106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L3" s="32"/>
      <c r="AM3" s="171" t="s">
        <v>80</v>
      </c>
      <c r="AN3" s="167"/>
      <c r="AO3" s="168"/>
      <c r="AP3" s="32"/>
      <c r="AQ3" s="32"/>
      <c r="AR3" s="171" t="s">
        <v>81</v>
      </c>
      <c r="AS3" s="167"/>
      <c r="AT3" s="168"/>
      <c r="AU3" s="32"/>
      <c r="AV3" s="32"/>
      <c r="AW3" s="171" t="s">
        <v>82</v>
      </c>
      <c r="AX3" s="167"/>
      <c r="AY3" s="168"/>
      <c r="AZ3" s="32"/>
      <c r="BA3" s="32"/>
      <c r="BB3" s="171" t="s">
        <v>83</v>
      </c>
      <c r="BC3" s="167"/>
      <c r="BD3" s="168"/>
      <c r="BE3" s="32"/>
      <c r="BF3" s="32"/>
      <c r="BG3" s="197" t="s">
        <v>84</v>
      </c>
      <c r="BH3" s="198"/>
      <c r="BI3" s="199"/>
      <c r="BJ3" s="32"/>
      <c r="BK3" s="32"/>
      <c r="BL3" s="200" t="s">
        <v>85</v>
      </c>
      <c r="BM3" s="200"/>
      <c r="BN3" s="200"/>
      <c r="BP3" s="166" t="s">
        <v>64</v>
      </c>
      <c r="BQ3" s="167"/>
      <c r="BR3" s="168"/>
    </row>
    <row r="4" spans="1:84" s="23" customFormat="1" ht="31.15" customHeight="1">
      <c r="A4" s="42" t="s">
        <v>66</v>
      </c>
      <c r="B4" s="42" t="s">
        <v>86</v>
      </c>
      <c r="C4" s="43" t="s">
        <v>28</v>
      </c>
      <c r="D4" s="153" t="s">
        <v>87</v>
      </c>
      <c r="E4" s="153" t="s">
        <v>88</v>
      </c>
      <c r="F4" s="17" t="s">
        <v>89</v>
      </c>
      <c r="G4" s="42" t="s">
        <v>90</v>
      </c>
      <c r="H4" s="42" t="s">
        <v>91</v>
      </c>
      <c r="I4" s="42" t="s">
        <v>92</v>
      </c>
      <c r="J4" s="42" t="s">
        <v>93</v>
      </c>
      <c r="K4" s="107" t="s">
        <v>94</v>
      </c>
      <c r="L4" s="107" t="s">
        <v>95</v>
      </c>
      <c r="M4" s="107" t="s">
        <v>96</v>
      </c>
      <c r="N4" s="107" t="s">
        <v>97</v>
      </c>
      <c r="O4" s="107" t="s">
        <v>84</v>
      </c>
      <c r="P4" s="107" t="s">
        <v>85</v>
      </c>
      <c r="Q4" s="25" t="s">
        <v>98</v>
      </c>
      <c r="R4" s="25" t="s">
        <v>99</v>
      </c>
      <c r="S4" s="25" t="s">
        <v>100</v>
      </c>
      <c r="T4" s="25" t="s">
        <v>101</v>
      </c>
      <c r="U4" s="25" t="s">
        <v>102</v>
      </c>
      <c r="V4" s="25" t="s">
        <v>103</v>
      </c>
      <c r="W4" s="25" t="s">
        <v>104</v>
      </c>
      <c r="X4" s="25" t="s">
        <v>105</v>
      </c>
      <c r="Y4" s="25" t="s">
        <v>106</v>
      </c>
      <c r="Z4" s="25" t="s">
        <v>107</v>
      </c>
      <c r="AA4" s="25" t="s">
        <v>108</v>
      </c>
      <c r="AB4" s="25" t="s">
        <v>109</v>
      </c>
      <c r="AC4" s="18" t="s">
        <v>76</v>
      </c>
      <c r="AD4" s="18" t="s">
        <v>67</v>
      </c>
      <c r="AE4" s="17" t="s">
        <v>94</v>
      </c>
      <c r="AF4" s="17" t="s">
        <v>110</v>
      </c>
      <c r="AG4" s="17" t="s">
        <v>96</v>
      </c>
      <c r="AH4" s="17" t="s">
        <v>97</v>
      </c>
      <c r="AI4" s="17" t="s">
        <v>84</v>
      </c>
      <c r="AJ4" s="17" t="s">
        <v>85</v>
      </c>
      <c r="AK4" s="19"/>
      <c r="AL4" s="20"/>
      <c r="AM4" s="16" t="s">
        <v>77</v>
      </c>
      <c r="AN4" s="16" t="s">
        <v>66</v>
      </c>
      <c r="AO4" s="15" t="s">
        <v>111</v>
      </c>
      <c r="AP4" s="21"/>
      <c r="AQ4" s="20"/>
      <c r="AR4" s="16" t="s">
        <v>77</v>
      </c>
      <c r="AS4" s="16" t="s">
        <v>66</v>
      </c>
      <c r="AT4" s="16" t="s">
        <v>112</v>
      </c>
      <c r="AU4" s="22"/>
      <c r="AV4" s="26"/>
      <c r="AW4" s="27" t="s">
        <v>77</v>
      </c>
      <c r="AX4" s="27" t="s">
        <v>66</v>
      </c>
      <c r="AY4" s="27" t="s">
        <v>111</v>
      </c>
      <c r="AZ4" s="21"/>
      <c r="BA4" s="26"/>
      <c r="BB4" s="27" t="s">
        <v>77</v>
      </c>
      <c r="BC4" s="27" t="s">
        <v>66</v>
      </c>
      <c r="BD4" s="27" t="s">
        <v>112</v>
      </c>
      <c r="BE4" s="22"/>
      <c r="BF4" s="26"/>
      <c r="BG4" s="192" t="s">
        <v>77</v>
      </c>
      <c r="BH4" s="192" t="s">
        <v>66</v>
      </c>
      <c r="BI4" s="193" t="s">
        <v>111</v>
      </c>
      <c r="BJ4" s="5"/>
      <c r="BK4" s="194"/>
      <c r="BL4" s="195" t="s">
        <v>77</v>
      </c>
      <c r="BM4" s="195" t="s">
        <v>66</v>
      </c>
      <c r="BN4" s="196" t="s">
        <v>112</v>
      </c>
      <c r="BO4" s="19"/>
      <c r="BP4" s="16" t="s">
        <v>77</v>
      </c>
      <c r="BQ4" s="16" t="s">
        <v>66</v>
      </c>
      <c r="BR4" s="102" t="s">
        <v>73</v>
      </c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</row>
    <row r="5" spans="1:84">
      <c r="A5" s="10" t="str">
        <f>IF(ISBLANK(Players!A3),"",Players!A3)</f>
        <v>KAY</v>
      </c>
      <c r="B5" s="10" t="str">
        <f>IF(ISBLANK(Players!B3),"",Players!B3)</f>
        <v>DUNKLEY</v>
      </c>
      <c r="C5" s="10">
        <f>IF(ISBLANK(Players!D3),"",Players!D3)</f>
        <v>14.2</v>
      </c>
      <c r="D5" s="69">
        <f>IF(ISNUMBER(C5),MIN((C5*Rules!$N$14/113)+(Rules!$N$13-Rules!$N$12),Rules!$N$37),"-")</f>
        <v>16.156637168141593</v>
      </c>
      <c r="E5" s="69">
        <f>IF(ISNUMBER(C5),    ROUND( (D5*Rules!$N$11) / 100,0),"-")</f>
        <v>16</v>
      </c>
      <c r="F5" s="36" t="str">
        <f>IF(AND(ISNUMBER(C5),C5&gt;=Rules!$M$10,C5&lt;=Rules!$N$10),"Y","N")</f>
        <v>N</v>
      </c>
      <c r="G5" s="137">
        <f>'Eclectic A'!M5</f>
        <v>47</v>
      </c>
      <c r="H5" s="137">
        <f>'Eclectic A'!W5</f>
        <v>44</v>
      </c>
      <c r="I5" s="137">
        <f>'Eclectic A'!AJ5</f>
        <v>45</v>
      </c>
      <c r="J5" s="137">
        <f>'Eclectic A'!AT5</f>
        <v>50</v>
      </c>
      <c r="K5" s="108">
        <f>IF(AND(ISNUMBER(G5), ISNUMBER(H5)),G5+H5,"-")</f>
        <v>91</v>
      </c>
      <c r="L5" s="108">
        <f>IF(AND(ISNUMBER(G5), ISNUMBER(H5)),K5-E5,"-")</f>
        <v>75</v>
      </c>
      <c r="M5" s="108">
        <f>IF(AND(ISNUMBER(I5), ISNUMBER(J5)),I5+J5,"-")</f>
        <v>95</v>
      </c>
      <c r="N5" s="108">
        <f>IF(AND(ISNUMBER(I5), ISNUMBER(J5)),M5-E5,"-")</f>
        <v>79</v>
      </c>
      <c r="O5" s="108">
        <f>IF(AND(ISNUMBER(K5), ISNUMBER(M5)),K5+M5,"-")</f>
        <v>186</v>
      </c>
      <c r="P5" s="108">
        <f>IF(AND(ISNUMBER(L5), ISNUMBER(N5)),L5+N5,"-")</f>
        <v>154</v>
      </c>
      <c r="Q5" s="14">
        <f>RANK($K5,$K$5:$K$104,1)+COUNTIF(K$5:K5,K5)-1</f>
        <v>4</v>
      </c>
      <c r="R5" s="14">
        <f>RANK($K5,$K$5:$K$105,1)</f>
        <v>4</v>
      </c>
      <c r="S5" s="14">
        <f>RANK($L5,$L$5:$L$104,1)+COUNTIF(L$5:L5,L5)-1</f>
        <v>8</v>
      </c>
      <c r="T5" s="14">
        <f>RANK($L5,$L$5:$L$105,1)</f>
        <v>8</v>
      </c>
      <c r="U5" s="14">
        <f>RANK($M5,$M$5:$M$104,1)+COUNTIF(M$5:M5,M5)-1</f>
        <v>7</v>
      </c>
      <c r="V5" s="14">
        <f>RANK($M5,$M$5:$M$105,1)</f>
        <v>7</v>
      </c>
      <c r="W5" s="14">
        <f>RANK($N5,$N$5:$N$104,1)+COUNTIF(N$5:N5,N5)-1</f>
        <v>10</v>
      </c>
      <c r="X5" s="14">
        <f>RANK($N5,$N$5:$N$105,1)</f>
        <v>10</v>
      </c>
      <c r="Y5" s="14">
        <f>RANK($O5,$O$5:$O$104,1)+COUNTIF(O$5:O5,O5)-1</f>
        <v>4</v>
      </c>
      <c r="Z5" s="14">
        <f>RANK($O5,$O$5:$O$105,1)</f>
        <v>4</v>
      </c>
      <c r="AA5" s="14">
        <f>RANK($P5,$P$5:$P$104,1)+COUNTIF(P$5:P5,P5)-1</f>
        <v>8</v>
      </c>
      <c r="AB5" s="14">
        <f>RANK($P5,$P$5:$P$105,1)</f>
        <v>8</v>
      </c>
      <c r="AC5" s="1" t="str">
        <f t="shared" ref="AC5:AC36" si="0">A5 &amp; " " &amp; B5</f>
        <v>KAY DUNKLEY</v>
      </c>
      <c r="AD5" s="1">
        <f t="shared" ref="AD5:AD36" si="1">D5</f>
        <v>16.156637168141593</v>
      </c>
      <c r="AE5" s="35">
        <f t="shared" ref="AE5:AJ5" si="2">K5</f>
        <v>91</v>
      </c>
      <c r="AF5" s="35">
        <f t="shared" si="2"/>
        <v>75</v>
      </c>
      <c r="AG5" s="35">
        <f t="shared" si="2"/>
        <v>95</v>
      </c>
      <c r="AH5" s="35">
        <f t="shared" si="2"/>
        <v>79</v>
      </c>
      <c r="AI5" s="35">
        <f t="shared" si="2"/>
        <v>186</v>
      </c>
      <c r="AJ5" s="35">
        <f t="shared" si="2"/>
        <v>154</v>
      </c>
      <c r="AL5" s="4">
        <v>1</v>
      </c>
      <c r="AM5" s="2">
        <f>VLOOKUP(AL5,Q$5:$AJ$104,$AN$2,FALSE)</f>
        <v>1</v>
      </c>
      <c r="AN5" s="6" t="str">
        <f>VLOOKUP(AL5,Q$5:$AJ$104,$AN$2+11,FALSE)</f>
        <v>TARA SMITH</v>
      </c>
      <c r="AO5" s="2">
        <f>VLOOKUP(AM5,$Q$5:$AJ$104,$AN$2+13,FALSE)</f>
        <v>72</v>
      </c>
      <c r="AQ5" s="4">
        <v>1</v>
      </c>
      <c r="AR5" s="2">
        <f>VLOOKUP(AQ5,$S$5:$AJ$104,$AS$2,FALSE)</f>
        <v>1</v>
      </c>
      <c r="AS5" s="6" t="str">
        <f>VLOOKUP(AQ5,$S$5:$AJ$104,$AS$2+9,FALSE)</f>
        <v>JANIS NEL</v>
      </c>
      <c r="AT5" s="2">
        <f>VLOOKUP(AR5,$S$5:$AJ$104,$AS$2+12,FALSE)</f>
        <v>67</v>
      </c>
      <c r="AV5" s="4">
        <v>1</v>
      </c>
      <c r="AW5" s="2">
        <f>VLOOKUP(AV5,$U$5:$AJ$104,$AX$2,FALSE)</f>
        <v>1</v>
      </c>
      <c r="AX5" s="6" t="str">
        <f>VLOOKUP(AV5,$U$5:$AJ$104,$AX$2+7,FALSE)</f>
        <v>TARA SMITH</v>
      </c>
      <c r="AY5" s="2">
        <f>VLOOKUP(AW5,$U$5:$AJ$104,$AX$2+11,FALSE)</f>
        <v>82</v>
      </c>
      <c r="BA5" s="4">
        <v>1</v>
      </c>
      <c r="BB5" s="2">
        <f>VLOOKUP(BA5,$W$5:$AJ$104,$BC$2,FALSE)</f>
        <v>1</v>
      </c>
      <c r="BC5" s="6" t="str">
        <f>VLOOKUP(BA5,$W$5:$AJ$104,$BC$2+5,FALSE)</f>
        <v>ANITA VAN DER LINDE</v>
      </c>
      <c r="BD5" s="2">
        <f>VLOOKUP(BB5,$W$5:$AJ$104,$BC$2+10,FALSE)</f>
        <v>72</v>
      </c>
      <c r="BF5" s="4">
        <v>1</v>
      </c>
      <c r="BG5" s="2">
        <f>VLOOKUP(BF5,$Y$5:$AJ$104,$BH$2,FALSE)</f>
        <v>1</v>
      </c>
      <c r="BH5" s="6" t="str">
        <f>VLOOKUP(BF5,$Y$5:$AJ$104,$BH$2+3,FALSE)</f>
        <v>TARA SMITH</v>
      </c>
      <c r="BI5" s="58">
        <f>VLOOKUP(BG5,$Y$5:$AJ$104,$BH$2+9,FALSE)</f>
        <v>154</v>
      </c>
      <c r="BK5" s="4">
        <v>1</v>
      </c>
      <c r="BL5" s="2">
        <f>VLOOKUP(BK5,$AA$5:$AJ$104,$BM$2,FALSE)</f>
        <v>1</v>
      </c>
      <c r="BM5" s="6" t="str">
        <f>VLOOKUP(BK5,$AA$5:$AJ$104,$BM$2+1,FALSE)</f>
        <v>JANIS NEL</v>
      </c>
      <c r="BN5" s="58">
        <f>VLOOKUP(BL5,$AA$5:$AJ$104,$BM$2+8,FALSE)</f>
        <v>142</v>
      </c>
      <c r="BP5" s="2">
        <f>'Eclectic A'!CD5</f>
        <v>1</v>
      </c>
      <c r="BQ5" s="6" t="str">
        <f>'Eclectic A'!CE5</f>
        <v>TARA SMITH</v>
      </c>
      <c r="BR5" s="103">
        <f>'Eclectic A'!CF5</f>
        <v>70.5</v>
      </c>
    </row>
    <row r="6" spans="1:84">
      <c r="A6" s="10" t="str">
        <f>IF(ISBLANK(Players!A4),"",Players!A4)</f>
        <v>ALIDA</v>
      </c>
      <c r="B6" s="10" t="str">
        <f>IF(ISBLANK(Players!B4),"",Players!B4)</f>
        <v>HOOPER</v>
      </c>
      <c r="C6" s="10">
        <f>IF(ISBLANK(Players!D4),"",Players!D4)</f>
        <v>13.4</v>
      </c>
      <c r="D6" s="69">
        <f>IF(ISNUMBER(C6),MIN((C6*Rules!$N$14/113)+(Rules!$N$13-Rules!$N$12),Rules!$N$37),"-")</f>
        <v>15.285840707964605</v>
      </c>
      <c r="E6" s="69">
        <f>IF(ISNUMBER(C6),    ROUND( (D6*Rules!$N$11) / 100,0),"-")</f>
        <v>15</v>
      </c>
      <c r="F6" s="36" t="str">
        <f>IF(AND(ISNUMBER(C6),C6&gt;=Rules!$M$10,C6&lt;=Rules!$N$10),"Y","N")</f>
        <v>N</v>
      </c>
      <c r="G6" s="137">
        <f>'Eclectic A'!M6</f>
        <v>42</v>
      </c>
      <c r="H6" s="137">
        <f>'Eclectic A'!W6</f>
        <v>55</v>
      </c>
      <c r="I6" s="137">
        <f>'Eclectic A'!AJ6</f>
        <v>44</v>
      </c>
      <c r="J6" s="137">
        <f>'Eclectic A'!AT6</f>
        <v>47</v>
      </c>
      <c r="K6" s="108">
        <f t="shared" ref="K6:K69" si="3">IF(AND(ISNUMBER(G6), ISNUMBER(H6)),G6+H6,"-")</f>
        <v>97</v>
      </c>
      <c r="L6" s="108">
        <f t="shared" ref="L6:L69" si="4">IF(AND(ISNUMBER(G6), ISNUMBER(H6)),K6-E6,"-")</f>
        <v>82</v>
      </c>
      <c r="M6" s="108">
        <f t="shared" ref="M6:M69" si="5">IF(AND(ISNUMBER(I6), ISNUMBER(J6)),I6+J6,"-")</f>
        <v>91</v>
      </c>
      <c r="N6" s="108">
        <f t="shared" ref="N6:N69" si="6">IF(AND(ISNUMBER(I6), ISNUMBER(J6)),M6-E6,"-")</f>
        <v>76</v>
      </c>
      <c r="O6" s="108">
        <f t="shared" ref="O6:O69" si="7">IF(AND(ISNUMBER(K6), ISNUMBER(M6)),K6+M6,"-")</f>
        <v>188</v>
      </c>
      <c r="P6" s="108">
        <f t="shared" ref="P6:P69" si="8">IF(AND(ISNUMBER(L6), ISNUMBER(N6)),L6+N6,"-")</f>
        <v>158</v>
      </c>
      <c r="Q6" s="14">
        <f>RANK($K6,$K$5:$K$104,1)+COUNTIF(K$5:K6,K6)-1</f>
        <v>10</v>
      </c>
      <c r="R6" s="14">
        <f t="shared" ref="R6:R69" si="9">RANK($K6,$K$5:$K$105,1)</f>
        <v>10</v>
      </c>
      <c r="S6" s="14">
        <f>RANK($L6,$L$5:$L$104,1)+COUNTIF(L$5:L6,L6)-1</f>
        <v>15</v>
      </c>
      <c r="T6" s="14">
        <f t="shared" ref="T6:T69" si="10">RANK($L6,$L$5:$L$105,1)</f>
        <v>15</v>
      </c>
      <c r="U6" s="14">
        <f>RANK($M6,$M$5:$M$104,1)+COUNTIF(M$5:M6,M6)-1</f>
        <v>3</v>
      </c>
      <c r="V6" s="14">
        <f t="shared" ref="V6:V69" si="11">RANK($M6,$M$5:$M$105,1)</f>
        <v>3</v>
      </c>
      <c r="W6" s="14">
        <f>RANK($N6,$N$5:$N$104,1)+COUNTIF(N$5:N6,N6)-1</f>
        <v>7</v>
      </c>
      <c r="X6" s="14">
        <f t="shared" ref="X6:X69" si="12">RANK($N6,$N$5:$N$105,1)</f>
        <v>7</v>
      </c>
      <c r="Y6" s="14">
        <f>RANK($O6,$O$5:$O$104,1)+COUNTIF(O$5:O6,O6)-1</f>
        <v>7</v>
      </c>
      <c r="Z6" s="14">
        <f t="shared" ref="Z6:Z69" si="13">RANK($O6,$O$5:$O$105,1)</f>
        <v>7</v>
      </c>
      <c r="AA6" s="14">
        <f>RANK($P6,$P$5:$P$104,1)+COUNTIF(P$5:P6,P6)-1</f>
        <v>13</v>
      </c>
      <c r="AB6" s="14">
        <f t="shared" ref="AB6:AB69" si="14">RANK($P6,$P$5:$P$105,1)</f>
        <v>13</v>
      </c>
      <c r="AC6" s="1" t="str">
        <f t="shared" si="0"/>
        <v>ALIDA HOOPER</v>
      </c>
      <c r="AD6" s="1">
        <f t="shared" si="1"/>
        <v>15.285840707964605</v>
      </c>
      <c r="AE6" s="35">
        <f t="shared" ref="AE6:AE69" si="15">K6</f>
        <v>97</v>
      </c>
      <c r="AF6" s="35">
        <f t="shared" ref="AF6:AF69" si="16">L6</f>
        <v>82</v>
      </c>
      <c r="AG6" s="35">
        <f t="shared" ref="AG6:AG69" si="17">M6</f>
        <v>91</v>
      </c>
      <c r="AH6" s="35">
        <f t="shared" ref="AH6:AH69" si="18">N6</f>
        <v>76</v>
      </c>
      <c r="AI6" s="35">
        <f t="shared" ref="AI6:AI69" si="19">O6</f>
        <v>188</v>
      </c>
      <c r="AJ6" s="35">
        <f t="shared" ref="AJ6:AJ69" si="20">P6</f>
        <v>158</v>
      </c>
      <c r="AL6" s="4">
        <v>2</v>
      </c>
      <c r="AM6" s="2">
        <f>VLOOKUP(AL6,Q$5:$AJ$104,$AN$2,FALSE)</f>
        <v>2</v>
      </c>
      <c r="AN6" s="6" t="str">
        <f>VLOOKUP(AL6,Q$5:$AJ$104,$AN$2+11,FALSE)</f>
        <v>JANIS NEL</v>
      </c>
      <c r="AO6" s="2">
        <f t="shared" ref="AO6:AO69" si="21">VLOOKUP(AM6,$Q$5:$AJ$104,$AN$2+13,FALSE)</f>
        <v>87</v>
      </c>
      <c r="AQ6" s="4">
        <v>2</v>
      </c>
      <c r="AR6" s="2">
        <f>VLOOKUP(AQ6,$S$5:$AJ$104,$AS$2,FALSE)</f>
        <v>2</v>
      </c>
      <c r="AS6" s="6" t="str">
        <f>VLOOKUP(AQ6,$S$5:$AJ$104,$AS$2+9,FALSE)</f>
        <v>MELISSA SAVIO</v>
      </c>
      <c r="AT6" s="2">
        <f>VLOOKUP(AR6,$S$5:$AJ$104,$AS$2+12,FALSE)</f>
        <v>68</v>
      </c>
      <c r="AV6" s="4">
        <v>2</v>
      </c>
      <c r="AW6" s="2">
        <f>VLOOKUP(AV6,$U$5:$AJ$104,$AX$2,FALSE)</f>
        <v>2</v>
      </c>
      <c r="AX6" s="6" t="str">
        <f>VLOOKUP(AV6,$U$5:$AJ$104,$AX$2+7,FALSE)</f>
        <v>ANITA VAN DER LINDE</v>
      </c>
      <c r="AY6" s="2">
        <f>VLOOKUP(AW6,$U$5:$AJ$104,$AX$2+11,FALSE)</f>
        <v>88</v>
      </c>
      <c r="BA6" s="4">
        <v>2</v>
      </c>
      <c r="BB6" s="2">
        <f>VLOOKUP(BA6,$W$5:$AJ$104,$BC$2,FALSE)</f>
        <v>1</v>
      </c>
      <c r="BC6" s="6" t="str">
        <f>VLOOKUP(BA6,$W$5:$AJ$104,$BC$2+5,FALSE)</f>
        <v>GAIL SPEIRS</v>
      </c>
      <c r="BD6" s="2">
        <f>VLOOKUP(BB6,$W$5:$AJ$104,$BC$2+10,FALSE)</f>
        <v>72</v>
      </c>
      <c r="BF6" s="4">
        <v>2</v>
      </c>
      <c r="BG6" s="2">
        <f>VLOOKUP(BF6,$Y$5:$AJ$104,$BH$2,FALSE)</f>
        <v>2</v>
      </c>
      <c r="BH6" s="6" t="str">
        <f>VLOOKUP(BF6,$Y$5:$AJ$104,$BH$2+3,FALSE)</f>
        <v>ANITA VAN DER LINDE</v>
      </c>
      <c r="BI6" s="58">
        <f>VLOOKUP(BG6,$Y$5:$AJ$104,$BH$2+9,FALSE)</f>
        <v>181</v>
      </c>
      <c r="BK6" s="4">
        <v>2</v>
      </c>
      <c r="BL6" s="2">
        <f>VLOOKUP(BK6,$AA$5:$AJ$104,$BM$2,FALSE)</f>
        <v>2</v>
      </c>
      <c r="BM6" s="6" t="str">
        <f>VLOOKUP(BK6,$AA$5:$AJ$104,$BM$2+1,FALSE)</f>
        <v>MELISSA SAVIO</v>
      </c>
      <c r="BN6" s="58">
        <f>VLOOKUP(BL6,$AA$5:$AJ$104,$BM$2+8,FALSE)</f>
        <v>144</v>
      </c>
      <c r="BP6" s="2">
        <f>'Eclectic A'!CD6</f>
        <v>2</v>
      </c>
      <c r="BQ6" s="6" t="str">
        <f>'Eclectic A'!CE6</f>
        <v>MELISSA PALMER</v>
      </c>
      <c r="BR6" s="103">
        <f>'Eclectic A'!CF6</f>
        <v>78</v>
      </c>
    </row>
    <row r="7" spans="1:84">
      <c r="A7" s="10" t="str">
        <f>IF(ISBLANK(Players!A5),"",Players!A5)</f>
        <v>SONJA</v>
      </c>
      <c r="B7" s="10" t="str">
        <f>IF(ISBLANK(Players!B5),"",Players!B5)</f>
        <v>HOPCROFT</v>
      </c>
      <c r="C7" s="10">
        <f>IF(ISBLANK(Players!D5),"",Players!D5)</f>
        <v>11.4</v>
      </c>
      <c r="D7" s="69">
        <f>IF(ISNUMBER(C7),MIN((C7*Rules!$N$14/113)+(Rules!$N$13-Rules!$N$12),Rules!$N$37),"-")</f>
        <v>13.108849557522127</v>
      </c>
      <c r="E7" s="69">
        <f>IF(ISNUMBER(C7),    ROUND( (D7*Rules!$N$11) / 100,0),"-")</f>
        <v>13</v>
      </c>
      <c r="F7" s="36" t="str">
        <f>IF(AND(ISNUMBER(C7),C7&gt;=Rules!$M$10,C7&lt;=Rules!$N$10),"Y","N")</f>
        <v>N</v>
      </c>
      <c r="G7" s="137">
        <f>'Eclectic A'!M7</f>
        <v>45</v>
      </c>
      <c r="H7" s="137">
        <f>'Eclectic A'!W7</f>
        <v>48</v>
      </c>
      <c r="I7" s="137">
        <f>'Eclectic A'!AJ7</f>
        <v>48</v>
      </c>
      <c r="J7" s="137">
        <f>'Eclectic A'!AT7</f>
        <v>45</v>
      </c>
      <c r="K7" s="108">
        <f t="shared" si="3"/>
        <v>93</v>
      </c>
      <c r="L7" s="108">
        <f t="shared" si="4"/>
        <v>80</v>
      </c>
      <c r="M7" s="108">
        <f t="shared" si="5"/>
        <v>93</v>
      </c>
      <c r="N7" s="108">
        <f t="shared" si="6"/>
        <v>80</v>
      </c>
      <c r="O7" s="108">
        <f t="shared" si="7"/>
        <v>186</v>
      </c>
      <c r="P7" s="108">
        <f t="shared" si="8"/>
        <v>160</v>
      </c>
      <c r="Q7" s="14">
        <f>RANK($K7,$K$5:$K$104,1)+COUNTIF(K$5:K7,K7)-1</f>
        <v>5</v>
      </c>
      <c r="R7" s="14">
        <f t="shared" si="9"/>
        <v>5</v>
      </c>
      <c r="S7" s="14">
        <f>RANK($L7,$L$5:$L$104,1)+COUNTIF(L$5:L7,L7)-1</f>
        <v>14</v>
      </c>
      <c r="T7" s="14">
        <f t="shared" si="10"/>
        <v>14</v>
      </c>
      <c r="U7" s="14">
        <f>RANK($M7,$M$5:$M$104,1)+COUNTIF(M$5:M7,M7)-1</f>
        <v>5</v>
      </c>
      <c r="V7" s="14">
        <f t="shared" si="11"/>
        <v>5</v>
      </c>
      <c r="W7" s="14">
        <f>RANK($N7,$N$5:$N$104,1)+COUNTIF(N$5:N7,N7)-1</f>
        <v>12</v>
      </c>
      <c r="X7" s="14">
        <f t="shared" si="12"/>
        <v>12</v>
      </c>
      <c r="Y7" s="14">
        <f>RANK($O7,$O$5:$O$104,1)+COUNTIF(O$5:O7,O7)-1</f>
        <v>5</v>
      </c>
      <c r="Z7" s="14">
        <f t="shared" si="13"/>
        <v>4</v>
      </c>
      <c r="AA7" s="14">
        <f>RANK($P7,$P$5:$P$104,1)+COUNTIF(P$5:P7,P7)-1</f>
        <v>15</v>
      </c>
      <c r="AB7" s="14">
        <f t="shared" si="14"/>
        <v>15</v>
      </c>
      <c r="AC7" s="1" t="str">
        <f t="shared" si="0"/>
        <v>SONJA HOPCROFT</v>
      </c>
      <c r="AD7" s="1">
        <f t="shared" si="1"/>
        <v>13.108849557522127</v>
      </c>
      <c r="AE7" s="35">
        <f t="shared" si="15"/>
        <v>93</v>
      </c>
      <c r="AF7" s="35">
        <f t="shared" si="16"/>
        <v>80</v>
      </c>
      <c r="AG7" s="35">
        <f t="shared" si="17"/>
        <v>93</v>
      </c>
      <c r="AH7" s="35">
        <f t="shared" si="18"/>
        <v>80</v>
      </c>
      <c r="AI7" s="35">
        <f t="shared" si="19"/>
        <v>186</v>
      </c>
      <c r="AJ7" s="35">
        <f t="shared" si="20"/>
        <v>160</v>
      </c>
      <c r="AL7" s="4">
        <v>3</v>
      </c>
      <c r="AM7" s="2">
        <f>VLOOKUP(AL7,Q$5:$AJ$104,$AN$2,FALSE)</f>
        <v>3</v>
      </c>
      <c r="AN7" s="6" t="str">
        <f>VLOOKUP(AL7,Q$5:$AJ$104,$AN$2+11,FALSE)</f>
        <v>MELISSA PALMER</v>
      </c>
      <c r="AO7" s="2">
        <f t="shared" si="21"/>
        <v>90</v>
      </c>
      <c r="AQ7" s="4">
        <v>3</v>
      </c>
      <c r="AR7" s="2">
        <f>VLOOKUP(AQ7,$S$5:$AJ$104,$AS$2,FALSE)</f>
        <v>3</v>
      </c>
      <c r="AS7" s="6" t="str">
        <f>VLOOKUP(AQ7,$S$5:$AJ$104,$AS$2+9,FALSE)</f>
        <v>TARA SMITH</v>
      </c>
      <c r="AT7" s="2">
        <f>VLOOKUP(AR7,$S$5:$AJ$104,$AS$2+12,FALSE)</f>
        <v>70</v>
      </c>
      <c r="AV7" s="4">
        <v>3</v>
      </c>
      <c r="AW7" s="2">
        <f>VLOOKUP(AV7,$U$5:$AJ$104,$AX$2,FALSE)</f>
        <v>3</v>
      </c>
      <c r="AX7" s="6" t="str">
        <f>VLOOKUP(AV7,$U$5:$AJ$104,$AX$2+7,FALSE)</f>
        <v>ALIDA HOOPER</v>
      </c>
      <c r="AY7" s="2">
        <f>VLOOKUP(AW7,$U$5:$AJ$104,$AX$2+11,FALSE)</f>
        <v>91</v>
      </c>
      <c r="BA7" s="4">
        <v>3</v>
      </c>
      <c r="BB7" s="2">
        <f>VLOOKUP(BA7,$W$5:$AJ$104,$BC$2,FALSE)</f>
        <v>3</v>
      </c>
      <c r="BC7" s="6" t="str">
        <f>VLOOKUP(BA7,$W$5:$AJ$104,$BC$2+5,FALSE)</f>
        <v>JUDY VAN DER VEEN</v>
      </c>
      <c r="BD7" s="2">
        <f>VLOOKUP(BB7,$W$5:$AJ$104,$BC$2+10,FALSE)</f>
        <v>73</v>
      </c>
      <c r="BF7" s="4">
        <v>3</v>
      </c>
      <c r="BG7" s="2">
        <f>VLOOKUP(BF7,$Y$5:$AJ$104,$BH$2,FALSE)</f>
        <v>3</v>
      </c>
      <c r="BH7" s="6" t="str">
        <f>VLOOKUP(BF7,$Y$5:$AJ$104,$BH$2+3,FALSE)</f>
        <v>JANIS NEL</v>
      </c>
      <c r="BI7" s="58">
        <f>VLOOKUP(BG7,$Y$5:$AJ$104,$BH$2+9,FALSE)</f>
        <v>182</v>
      </c>
      <c r="BK7" s="4">
        <v>3</v>
      </c>
      <c r="BL7" s="2">
        <f>VLOOKUP(BK7,$AA$5:$AJ$104,$BM$2,FALSE)</f>
        <v>3</v>
      </c>
      <c r="BM7" s="6" t="str">
        <f>VLOOKUP(BK7,$AA$5:$AJ$104,$BM$2+1,FALSE)</f>
        <v>JUDY VAN DER VEEN</v>
      </c>
      <c r="BN7" s="58">
        <f>VLOOKUP(BL7,$AA$5:$AJ$104,$BM$2+8,FALSE)</f>
        <v>146</v>
      </c>
      <c r="BP7" s="2">
        <f>'Eclectic A'!CD7</f>
        <v>3</v>
      </c>
      <c r="BQ7" s="6" t="str">
        <f>'Eclectic A'!CE7</f>
        <v>ANITA VAN DER LINDE</v>
      </c>
      <c r="BR7" s="103">
        <f>'Eclectic A'!CF7</f>
        <v>79</v>
      </c>
    </row>
    <row r="8" spans="1:84">
      <c r="A8" s="10" t="str">
        <f>IF(ISBLANK(Players!A6),"",Players!A6)</f>
        <v>TARA</v>
      </c>
      <c r="B8" s="10" t="str">
        <f>IF(ISBLANK(Players!B6),"",Players!B6)</f>
        <v>SMITH</v>
      </c>
      <c r="C8" s="10">
        <f>IF(ISBLANK(Players!D6),"",Players!D6)</f>
        <v>1</v>
      </c>
      <c r="D8" s="69">
        <f>IF(ISNUMBER(C8),MIN((C8*Rules!$N$14/113)+(Rules!$N$13-Rules!$N$12),Rules!$N$37),"-")</f>
        <v>1.7884955752212417</v>
      </c>
      <c r="E8" s="69">
        <f>IF(ISNUMBER(C8),    ROUND( (D8*Rules!$N$11) / 100,0),"-")</f>
        <v>2</v>
      </c>
      <c r="F8" s="36" t="str">
        <f>IF(AND(ISNUMBER(C8),C8&gt;=Rules!$M$10,C8&lt;=Rules!$N$10),"Y","N")</f>
        <v>Y</v>
      </c>
      <c r="G8" s="137">
        <f>'Eclectic A'!M8</f>
        <v>34</v>
      </c>
      <c r="H8" s="137">
        <f>'Eclectic A'!W8</f>
        <v>38</v>
      </c>
      <c r="I8" s="137">
        <f>'Eclectic A'!AJ8</f>
        <v>40</v>
      </c>
      <c r="J8" s="137">
        <f>'Eclectic A'!AT8</f>
        <v>42</v>
      </c>
      <c r="K8" s="108">
        <f t="shared" si="3"/>
        <v>72</v>
      </c>
      <c r="L8" s="108">
        <f t="shared" si="4"/>
        <v>70</v>
      </c>
      <c r="M8" s="108">
        <f t="shared" si="5"/>
        <v>82</v>
      </c>
      <c r="N8" s="108">
        <f t="shared" si="6"/>
        <v>80</v>
      </c>
      <c r="O8" s="108">
        <f t="shared" si="7"/>
        <v>154</v>
      </c>
      <c r="P8" s="108">
        <f t="shared" si="8"/>
        <v>150</v>
      </c>
      <c r="Q8" s="14">
        <f>RANK($K8,$K$5:$K$104,1)+COUNTIF(K$5:K8,K8)-1</f>
        <v>1</v>
      </c>
      <c r="R8" s="14">
        <f t="shared" si="9"/>
        <v>1</v>
      </c>
      <c r="S8" s="14">
        <f>RANK($L8,$L$5:$L$104,1)+COUNTIF(L$5:L8,L8)-1</f>
        <v>3</v>
      </c>
      <c r="T8" s="14">
        <f t="shared" si="10"/>
        <v>3</v>
      </c>
      <c r="U8" s="14">
        <f>RANK($M8,$M$5:$M$104,1)+COUNTIF(M$5:M8,M8)-1</f>
        <v>1</v>
      </c>
      <c r="V8" s="14">
        <f t="shared" si="11"/>
        <v>1</v>
      </c>
      <c r="W8" s="14">
        <f>RANK($N8,$N$5:$N$104,1)+COUNTIF(N$5:N8,N8)-1</f>
        <v>13</v>
      </c>
      <c r="X8" s="14">
        <f t="shared" si="12"/>
        <v>12</v>
      </c>
      <c r="Y8" s="14">
        <f>RANK($O8,$O$5:$O$104,1)+COUNTIF(O$5:O8,O8)-1</f>
        <v>1</v>
      </c>
      <c r="Z8" s="14">
        <f t="shared" si="13"/>
        <v>1</v>
      </c>
      <c r="AA8" s="14">
        <f>RANK($P8,$P$5:$P$104,1)+COUNTIF(P$5:P8,P8)-1</f>
        <v>6</v>
      </c>
      <c r="AB8" s="14">
        <f t="shared" si="14"/>
        <v>6</v>
      </c>
      <c r="AC8" s="1" t="str">
        <f t="shared" si="0"/>
        <v>TARA SMITH</v>
      </c>
      <c r="AD8" s="1">
        <f t="shared" si="1"/>
        <v>1.7884955752212417</v>
      </c>
      <c r="AE8" s="35">
        <f t="shared" si="15"/>
        <v>72</v>
      </c>
      <c r="AF8" s="35">
        <f t="shared" si="16"/>
        <v>70</v>
      </c>
      <c r="AG8" s="35">
        <f t="shared" si="17"/>
        <v>82</v>
      </c>
      <c r="AH8" s="35">
        <f t="shared" si="18"/>
        <v>80</v>
      </c>
      <c r="AI8" s="35">
        <f t="shared" si="19"/>
        <v>154</v>
      </c>
      <c r="AJ8" s="35">
        <f t="shared" si="20"/>
        <v>150</v>
      </c>
      <c r="AL8" s="4">
        <v>4</v>
      </c>
      <c r="AM8" s="2">
        <f>VLOOKUP(AL8,Q$5:$AJ$104,$AN$2,FALSE)</f>
        <v>4</v>
      </c>
      <c r="AN8" s="6" t="str">
        <f>VLOOKUP(AL8,Q$5:$AJ$104,$AN$2+11,FALSE)</f>
        <v>KAY DUNKLEY</v>
      </c>
      <c r="AO8" s="2">
        <f t="shared" si="21"/>
        <v>91</v>
      </c>
      <c r="AQ8" s="4">
        <v>4</v>
      </c>
      <c r="AR8" s="2">
        <f>VLOOKUP(AQ8,$S$5:$AJ$104,$AS$2,FALSE)</f>
        <v>3</v>
      </c>
      <c r="AS8" s="6" t="str">
        <f>VLOOKUP(AQ8,$S$5:$AJ$104,$AS$2+9,FALSE)</f>
        <v>MELISSA PALMER</v>
      </c>
      <c r="AT8" s="2">
        <f>VLOOKUP(AR8,$S$5:$AJ$104,$AS$2+12,FALSE)</f>
        <v>70</v>
      </c>
      <c r="AV8" s="4">
        <v>4</v>
      </c>
      <c r="AW8" s="2">
        <f>VLOOKUP(AV8,$U$5:$AJ$104,$AX$2,FALSE)</f>
        <v>4</v>
      </c>
      <c r="AX8" s="6" t="str">
        <f>VLOOKUP(AV8,$U$5:$AJ$104,$AX$2+7,FALSE)</f>
        <v>GAIL SPEIRS</v>
      </c>
      <c r="AY8" s="2">
        <f>VLOOKUP(AW8,$U$5:$AJ$104,$AX$2+11,FALSE)</f>
        <v>92</v>
      </c>
      <c r="BA8" s="4">
        <v>4</v>
      </c>
      <c r="BB8" s="2">
        <f>VLOOKUP(BA8,$W$5:$AJ$104,$BC$2,FALSE)</f>
        <v>4</v>
      </c>
      <c r="BC8" s="6" t="str">
        <f>VLOOKUP(BA8,$W$5:$AJ$104,$BC$2+5,FALSE)</f>
        <v>KAREN STOTT</v>
      </c>
      <c r="BD8" s="2">
        <f>VLOOKUP(BB8,$W$5:$AJ$104,$BC$2+10,FALSE)</f>
        <v>74</v>
      </c>
      <c r="BF8" s="4">
        <v>4</v>
      </c>
      <c r="BG8" s="2">
        <f>VLOOKUP(BF8,$Y$5:$AJ$104,$BH$2,FALSE)</f>
        <v>4</v>
      </c>
      <c r="BH8" s="6" t="str">
        <f>VLOOKUP(BF8,$Y$5:$AJ$104,$BH$2+3,FALSE)</f>
        <v>KAY DUNKLEY</v>
      </c>
      <c r="BI8" s="58">
        <f>VLOOKUP(BG8,$Y$5:$AJ$104,$BH$2+9,FALSE)</f>
        <v>186</v>
      </c>
      <c r="BK8" s="4">
        <v>4</v>
      </c>
      <c r="BL8" s="2">
        <f>VLOOKUP(BK8,$AA$5:$AJ$104,$BM$2,FALSE)</f>
        <v>4</v>
      </c>
      <c r="BM8" s="6" t="str">
        <f>VLOOKUP(BK8,$AA$5:$AJ$104,$BM$2+1,FALSE)</f>
        <v>KAREN STOTT</v>
      </c>
      <c r="BN8" s="58">
        <f>VLOOKUP(BL8,$AA$5:$AJ$104,$BM$2+8,FALSE)</f>
        <v>147</v>
      </c>
      <c r="BP8" s="2">
        <f>'Eclectic A'!CD8</f>
        <v>4</v>
      </c>
      <c r="BQ8" s="6" t="str">
        <f>'Eclectic A'!CE8</f>
        <v>KAY DUNKLEY</v>
      </c>
      <c r="BR8" s="103">
        <f>'Eclectic A'!CF8</f>
        <v>80</v>
      </c>
    </row>
    <row r="9" spans="1:84">
      <c r="A9" s="10" t="str">
        <f>IF(ISBLANK(Players!A7),"",Players!A7)</f>
        <v>ANITA</v>
      </c>
      <c r="B9" s="10" t="str">
        <f>IF(ISBLANK(Players!B7),"",Players!B7)</f>
        <v>VAN DER LINDE</v>
      </c>
      <c r="C9" s="10">
        <f>IF(ISBLANK(Players!D7),"",Players!D7)</f>
        <v>13.9</v>
      </c>
      <c r="D9" s="69">
        <f>IF(ISNUMBER(C9),MIN((C9*Rules!$N$14/113)+(Rules!$N$13-Rules!$N$12),Rules!$N$37),"-")</f>
        <v>15.830088495575225</v>
      </c>
      <c r="E9" s="69">
        <f>IF(ISNUMBER(C9),    ROUND( (D9*Rules!$N$11) / 100,0),"-")</f>
        <v>16</v>
      </c>
      <c r="F9" s="36" t="str">
        <f>IF(AND(ISNUMBER(C9),C9&gt;=Rules!$M$10,C9&lt;=Rules!$N$10),"Y","N")</f>
        <v>N</v>
      </c>
      <c r="G9" s="137">
        <f>'Eclectic A'!M9</f>
        <v>45</v>
      </c>
      <c r="H9" s="137">
        <f>'Eclectic A'!W9</f>
        <v>48</v>
      </c>
      <c r="I9" s="137">
        <f>'Eclectic A'!AJ9</f>
        <v>43</v>
      </c>
      <c r="J9" s="137">
        <f>'Eclectic A'!AT9</f>
        <v>45</v>
      </c>
      <c r="K9" s="108">
        <f t="shared" si="3"/>
        <v>93</v>
      </c>
      <c r="L9" s="108">
        <f t="shared" si="4"/>
        <v>77</v>
      </c>
      <c r="M9" s="108">
        <f t="shared" si="5"/>
        <v>88</v>
      </c>
      <c r="N9" s="108">
        <f t="shared" si="6"/>
        <v>72</v>
      </c>
      <c r="O9" s="108">
        <f t="shared" si="7"/>
        <v>181</v>
      </c>
      <c r="P9" s="108">
        <f t="shared" si="8"/>
        <v>149</v>
      </c>
      <c r="Q9" s="14">
        <f>RANK($K9,$K$5:$K$104,1)+COUNTIF(K$5:K9,K9)-1</f>
        <v>6</v>
      </c>
      <c r="R9" s="14">
        <f t="shared" si="9"/>
        <v>5</v>
      </c>
      <c r="S9" s="14">
        <f>RANK($L9,$L$5:$L$104,1)+COUNTIF(L$5:L9,L9)-1</f>
        <v>9</v>
      </c>
      <c r="T9" s="14">
        <f t="shared" si="10"/>
        <v>9</v>
      </c>
      <c r="U9" s="14">
        <f>RANK($M9,$M$5:$M$104,1)+COUNTIF(M$5:M9,M9)-1</f>
        <v>2</v>
      </c>
      <c r="V9" s="14">
        <f t="shared" si="11"/>
        <v>2</v>
      </c>
      <c r="W9" s="14">
        <f>RANK($N9,$N$5:$N$104,1)+COUNTIF(N$5:N9,N9)-1</f>
        <v>1</v>
      </c>
      <c r="X9" s="14">
        <f t="shared" si="12"/>
        <v>1</v>
      </c>
      <c r="Y9" s="14">
        <f>RANK($O9,$O$5:$O$104,1)+COUNTIF(O$5:O9,O9)-1</f>
        <v>2</v>
      </c>
      <c r="Z9" s="14">
        <f t="shared" si="13"/>
        <v>2</v>
      </c>
      <c r="AA9" s="14">
        <f>RANK($P9,$P$5:$P$104,1)+COUNTIF(P$5:P9,P9)-1</f>
        <v>5</v>
      </c>
      <c r="AB9" s="14">
        <f t="shared" si="14"/>
        <v>5</v>
      </c>
      <c r="AC9" s="1" t="str">
        <f t="shared" si="0"/>
        <v>ANITA VAN DER LINDE</v>
      </c>
      <c r="AD9" s="1">
        <f t="shared" si="1"/>
        <v>15.830088495575225</v>
      </c>
      <c r="AE9" s="35">
        <f t="shared" si="15"/>
        <v>93</v>
      </c>
      <c r="AF9" s="35">
        <f t="shared" si="16"/>
        <v>77</v>
      </c>
      <c r="AG9" s="35">
        <f t="shared" si="17"/>
        <v>88</v>
      </c>
      <c r="AH9" s="35">
        <f t="shared" si="18"/>
        <v>72</v>
      </c>
      <c r="AI9" s="35">
        <f t="shared" si="19"/>
        <v>181</v>
      </c>
      <c r="AJ9" s="35">
        <f t="shared" si="20"/>
        <v>149</v>
      </c>
      <c r="AL9" s="4">
        <v>5</v>
      </c>
      <c r="AM9" s="2">
        <f>VLOOKUP(AL9,Q$5:$AJ$104,$AN$2,FALSE)</f>
        <v>5</v>
      </c>
      <c r="AN9" s="6" t="str">
        <f>VLOOKUP(AL9,Q$5:$AJ$104,$AN$2+11,FALSE)</f>
        <v>SONJA HOPCROFT</v>
      </c>
      <c r="AO9" s="2">
        <f t="shared" si="21"/>
        <v>93</v>
      </c>
      <c r="AQ9" s="4">
        <v>5</v>
      </c>
      <c r="AR9" s="2">
        <f>VLOOKUP(AQ9,$S$5:$AJ$104,$AS$2,FALSE)</f>
        <v>5</v>
      </c>
      <c r="AS9" s="6" t="str">
        <f>VLOOKUP(AQ9,$S$5:$AJ$104,$AS$2+9,FALSE)</f>
        <v>PREM GOVENDER</v>
      </c>
      <c r="AT9" s="2">
        <f>VLOOKUP(AR9,$S$5:$AJ$104,$AS$2+12,FALSE)</f>
        <v>73</v>
      </c>
      <c r="AV9" s="4">
        <v>5</v>
      </c>
      <c r="AW9" s="2">
        <f>VLOOKUP(AV9,$U$5:$AJ$104,$AX$2,FALSE)</f>
        <v>5</v>
      </c>
      <c r="AX9" s="6" t="str">
        <f>VLOOKUP(AV9,$U$5:$AJ$104,$AX$2+7,FALSE)</f>
        <v>SONJA HOPCROFT</v>
      </c>
      <c r="AY9" s="2">
        <f>VLOOKUP(AW9,$U$5:$AJ$104,$AX$2+11,FALSE)</f>
        <v>93</v>
      </c>
      <c r="BA9" s="4">
        <v>5</v>
      </c>
      <c r="BB9" s="2">
        <f>VLOOKUP(BA9,$W$5:$AJ$104,$BC$2,FALSE)</f>
        <v>5</v>
      </c>
      <c r="BC9" s="6" t="str">
        <f>VLOOKUP(BA9,$W$5:$AJ$104,$BC$2+5,FALSE)</f>
        <v>SHAY BROEDELET</v>
      </c>
      <c r="BD9" s="2">
        <f>VLOOKUP(BB9,$W$5:$AJ$104,$BC$2+10,FALSE)</f>
        <v>75</v>
      </c>
      <c r="BF9" s="4">
        <v>5</v>
      </c>
      <c r="BG9" s="2">
        <f>VLOOKUP(BF9,$Y$5:$AJ$104,$BH$2,FALSE)</f>
        <v>4</v>
      </c>
      <c r="BH9" s="6" t="str">
        <f>VLOOKUP(BF9,$Y$5:$AJ$104,$BH$2+3,FALSE)</f>
        <v>SONJA HOPCROFT</v>
      </c>
      <c r="BI9" s="58">
        <f>VLOOKUP(BG9,$Y$5:$AJ$104,$BH$2+9,FALSE)</f>
        <v>186</v>
      </c>
      <c r="BK9" s="4">
        <v>5</v>
      </c>
      <c r="BL9" s="2">
        <f>VLOOKUP(BK9,$AA$5:$AJ$104,$BM$2,FALSE)</f>
        <v>5</v>
      </c>
      <c r="BM9" s="6" t="str">
        <f>VLOOKUP(BK9,$AA$5:$AJ$104,$BM$2+1,FALSE)</f>
        <v>ANITA VAN DER LINDE</v>
      </c>
      <c r="BN9" s="58">
        <f>VLOOKUP(BL9,$AA$5:$AJ$104,$BM$2+8,FALSE)</f>
        <v>149</v>
      </c>
      <c r="BP9" s="2">
        <f>'Eclectic A'!CD9</f>
        <v>4</v>
      </c>
      <c r="BQ9" s="6" t="str">
        <f>'Eclectic A'!CE9</f>
        <v>GAIL SPEIRS</v>
      </c>
      <c r="BR9" s="103">
        <f>'Eclectic A'!CF9</f>
        <v>80</v>
      </c>
    </row>
    <row r="10" spans="1:84">
      <c r="A10" s="10" t="str">
        <f>IF(ISBLANK(Players!A8),"",Players!A8)</f>
        <v>SHAY</v>
      </c>
      <c r="B10" s="10" t="str">
        <f>IF(ISBLANK(Players!B8),"",Players!B8)</f>
        <v>BROEDELET</v>
      </c>
      <c r="C10" s="10">
        <f>IF(ISBLANK(Players!D8),"",Players!D8)</f>
        <v>25.4</v>
      </c>
      <c r="D10" s="69">
        <f>IF(ISNUMBER(C10),MIN((C10*Rules!$N$14/113)+(Rules!$N$13-Rules!$N$12),Rules!$N$37),"-")</f>
        <v>28.34778761061947</v>
      </c>
      <c r="E10" s="69">
        <f>IF(ISNUMBER(C10),    ROUND( (D10*Rules!$N$11) / 100,0),"-")</f>
        <v>28</v>
      </c>
      <c r="F10" s="36" t="str">
        <f>IF(AND(ISNUMBER(C10),C10&gt;=Rules!$M$10,C10&lt;=Rules!$N$10),"Y","N")</f>
        <v>N</v>
      </c>
      <c r="G10" s="137">
        <f>'Eclectic A'!M10</f>
        <v>50</v>
      </c>
      <c r="H10" s="137">
        <f>'Eclectic A'!W10</f>
        <v>57</v>
      </c>
      <c r="I10" s="137">
        <f>'Eclectic A'!AJ10</f>
        <v>50</v>
      </c>
      <c r="J10" s="137">
        <f>'Eclectic A'!AT10</f>
        <v>53</v>
      </c>
      <c r="K10" s="108">
        <f t="shared" si="3"/>
        <v>107</v>
      </c>
      <c r="L10" s="108">
        <f t="shared" si="4"/>
        <v>79</v>
      </c>
      <c r="M10" s="108">
        <f t="shared" si="5"/>
        <v>103</v>
      </c>
      <c r="N10" s="108">
        <f t="shared" si="6"/>
        <v>75</v>
      </c>
      <c r="O10" s="108">
        <f t="shared" si="7"/>
        <v>210</v>
      </c>
      <c r="P10" s="108">
        <f t="shared" si="8"/>
        <v>154</v>
      </c>
      <c r="Q10" s="14">
        <f>RANK($K10,$K$5:$K$104,1)+COUNTIF(K$5:K10,K10)-1</f>
        <v>15</v>
      </c>
      <c r="R10" s="14">
        <f t="shared" si="9"/>
        <v>15</v>
      </c>
      <c r="S10" s="14">
        <f>RANK($L10,$L$5:$L$104,1)+COUNTIF(L$5:L10,L10)-1</f>
        <v>11</v>
      </c>
      <c r="T10" s="14">
        <f t="shared" si="10"/>
        <v>11</v>
      </c>
      <c r="U10" s="14">
        <f>RANK($M10,$M$5:$M$104,1)+COUNTIF(M$5:M10,M10)-1</f>
        <v>11</v>
      </c>
      <c r="V10" s="14">
        <f t="shared" si="11"/>
        <v>11</v>
      </c>
      <c r="W10" s="14">
        <f>RANK($N10,$N$5:$N$104,1)+COUNTIF(N$5:N10,N10)-1</f>
        <v>5</v>
      </c>
      <c r="X10" s="14">
        <f t="shared" si="12"/>
        <v>5</v>
      </c>
      <c r="Y10" s="14">
        <f>RANK($O10,$O$5:$O$104,1)+COUNTIF(O$5:O10,O10)-1</f>
        <v>15</v>
      </c>
      <c r="Z10" s="14">
        <f t="shared" si="13"/>
        <v>15</v>
      </c>
      <c r="AA10" s="14">
        <f>RANK($P10,$P$5:$P$104,1)+COUNTIF(P$5:P10,P10)-1</f>
        <v>9</v>
      </c>
      <c r="AB10" s="14">
        <f t="shared" si="14"/>
        <v>8</v>
      </c>
      <c r="AC10" s="1" t="str">
        <f t="shared" si="0"/>
        <v>SHAY BROEDELET</v>
      </c>
      <c r="AD10" s="1">
        <f t="shared" si="1"/>
        <v>28.34778761061947</v>
      </c>
      <c r="AE10" s="35">
        <f t="shared" si="15"/>
        <v>107</v>
      </c>
      <c r="AF10" s="35">
        <f t="shared" si="16"/>
        <v>79</v>
      </c>
      <c r="AG10" s="35">
        <f t="shared" si="17"/>
        <v>103</v>
      </c>
      <c r="AH10" s="35">
        <f t="shared" si="18"/>
        <v>75</v>
      </c>
      <c r="AI10" s="35">
        <f t="shared" si="19"/>
        <v>210</v>
      </c>
      <c r="AJ10" s="35">
        <f t="shared" si="20"/>
        <v>154</v>
      </c>
      <c r="AL10" s="4">
        <v>6</v>
      </c>
      <c r="AM10" s="2">
        <f>VLOOKUP(AL10,Q$5:$AJ$104,$AN$2,FALSE)</f>
        <v>5</v>
      </c>
      <c r="AN10" s="6" t="str">
        <f>VLOOKUP(AL10,Q$5:$AJ$104,$AN$2+11,FALSE)</f>
        <v>ANITA VAN DER LINDE</v>
      </c>
      <c r="AO10" s="2">
        <f t="shared" si="21"/>
        <v>93</v>
      </c>
      <c r="AQ10" s="4">
        <v>6</v>
      </c>
      <c r="AR10" s="2">
        <f>VLOOKUP(AQ10,$S$5:$AJ$104,$AS$2,FALSE)</f>
        <v>5</v>
      </c>
      <c r="AS10" s="6" t="str">
        <f>VLOOKUP(AQ10,$S$5:$AJ$104,$AS$2+9,FALSE)</f>
        <v>KAREN STOTT</v>
      </c>
      <c r="AT10" s="2">
        <f>VLOOKUP(AR10,$S$5:$AJ$104,$AS$2+12,FALSE)</f>
        <v>73</v>
      </c>
      <c r="AV10" s="4">
        <v>6</v>
      </c>
      <c r="AW10" s="2">
        <f>VLOOKUP(AV10,$U$5:$AJ$104,$AX$2,FALSE)</f>
        <v>6</v>
      </c>
      <c r="AX10" s="6" t="str">
        <f>VLOOKUP(AV10,$U$5:$AJ$104,$AX$2+7,FALSE)</f>
        <v>KAREN STOTT</v>
      </c>
      <c r="AY10" s="2">
        <f>VLOOKUP(AW10,$U$5:$AJ$104,$AX$2+11,FALSE)</f>
        <v>94</v>
      </c>
      <c r="BA10" s="4">
        <v>6</v>
      </c>
      <c r="BB10" s="2">
        <f>VLOOKUP(BA10,$W$5:$AJ$104,$BC$2,FALSE)</f>
        <v>5</v>
      </c>
      <c r="BC10" s="6" t="str">
        <f>VLOOKUP(BA10,$W$5:$AJ$104,$BC$2+5,FALSE)</f>
        <v>JANIS NEL</v>
      </c>
      <c r="BD10" s="2">
        <f>VLOOKUP(BB10,$W$5:$AJ$104,$BC$2+10,FALSE)</f>
        <v>75</v>
      </c>
      <c r="BF10" s="4">
        <v>6</v>
      </c>
      <c r="BG10" s="2">
        <f>VLOOKUP(BF10,$Y$5:$AJ$104,$BH$2,FALSE)</f>
        <v>6</v>
      </c>
      <c r="BH10" s="6" t="str">
        <f>VLOOKUP(BF10,$Y$5:$AJ$104,$BH$2+3,FALSE)</f>
        <v>KAREN STOTT</v>
      </c>
      <c r="BI10" s="58">
        <f>VLOOKUP(BG10,$Y$5:$AJ$104,$BH$2+9,FALSE)</f>
        <v>187</v>
      </c>
      <c r="BK10" s="4">
        <v>6</v>
      </c>
      <c r="BL10" s="2">
        <f>VLOOKUP(BK10,$AA$5:$AJ$104,$BM$2,FALSE)</f>
        <v>6</v>
      </c>
      <c r="BM10" s="6" t="str">
        <f>VLOOKUP(BK10,$AA$5:$AJ$104,$BM$2+1,FALSE)</f>
        <v>TARA SMITH</v>
      </c>
      <c r="BN10" s="58">
        <f>VLOOKUP(BL10,$AA$5:$AJ$104,$BM$2+8,FALSE)</f>
        <v>150</v>
      </c>
      <c r="BP10" s="2">
        <f>'Eclectic A'!CD10</f>
        <v>6</v>
      </c>
      <c r="BQ10" s="6" t="str">
        <f>'Eclectic A'!CE10</f>
        <v>JUDY VAN DER VEEN</v>
      </c>
      <c r="BR10" s="103">
        <f>'Eclectic A'!CF10</f>
        <v>80.5</v>
      </c>
    </row>
    <row r="11" spans="1:84">
      <c r="A11" s="10" t="str">
        <f>IF(ISBLANK(Players!A9),"",Players!A9)</f>
        <v>PREM</v>
      </c>
      <c r="B11" s="10" t="str">
        <f>IF(ISBLANK(Players!B9),"",Players!B9)</f>
        <v>GOVENDER</v>
      </c>
      <c r="C11" s="10">
        <f>IF(ISBLANK(Players!D9),"",Players!D9)</f>
        <v>23.7</v>
      </c>
      <c r="D11" s="69">
        <f>IF(ISNUMBER(C11),MIN((C11*Rules!$N$14/113)+(Rules!$N$13-Rules!$N$12),Rules!$N$37),"-")</f>
        <v>26.497345132743366</v>
      </c>
      <c r="E11" s="69">
        <f>IF(ISNUMBER(C11),    ROUND( (D11*Rules!$N$11) / 100,0),"-")</f>
        <v>26</v>
      </c>
      <c r="F11" s="36" t="str">
        <f>IF(AND(ISNUMBER(C11),C11&gt;=Rules!$M$10,C11&lt;=Rules!$N$10),"Y","N")</f>
        <v>N</v>
      </c>
      <c r="G11" s="137">
        <f>'Eclectic A'!M11</f>
        <v>46</v>
      </c>
      <c r="H11" s="137">
        <f>'Eclectic A'!W11</f>
        <v>53</v>
      </c>
      <c r="I11" s="137">
        <f>'Eclectic A'!AJ11</f>
        <v>54</v>
      </c>
      <c r="J11" s="137">
        <f>'Eclectic A'!AT11</f>
        <v>55</v>
      </c>
      <c r="K11" s="108">
        <f t="shared" si="3"/>
        <v>99</v>
      </c>
      <c r="L11" s="108">
        <f t="shared" si="4"/>
        <v>73</v>
      </c>
      <c r="M11" s="108">
        <f t="shared" si="5"/>
        <v>109</v>
      </c>
      <c r="N11" s="108">
        <f t="shared" si="6"/>
        <v>83</v>
      </c>
      <c r="O11" s="108">
        <f t="shared" si="7"/>
        <v>208</v>
      </c>
      <c r="P11" s="108">
        <f t="shared" si="8"/>
        <v>156</v>
      </c>
      <c r="Q11" s="14">
        <f>RANK($K11,$K$5:$K$104,1)+COUNTIF(K$5:K11,K11)-1</f>
        <v>11</v>
      </c>
      <c r="R11" s="14">
        <f t="shared" si="9"/>
        <v>11</v>
      </c>
      <c r="S11" s="14">
        <f>RANK($L11,$L$5:$L$104,1)+COUNTIF(L$5:L11,L11)-1</f>
        <v>5</v>
      </c>
      <c r="T11" s="14">
        <f t="shared" si="10"/>
        <v>5</v>
      </c>
      <c r="U11" s="14">
        <f>RANK($M11,$M$5:$M$104,1)+COUNTIF(M$5:M11,M11)-1</f>
        <v>15</v>
      </c>
      <c r="V11" s="14">
        <f t="shared" si="11"/>
        <v>15</v>
      </c>
      <c r="W11" s="14">
        <f>RANK($N11,$N$5:$N$104,1)+COUNTIF(N$5:N11,N11)-1</f>
        <v>15</v>
      </c>
      <c r="X11" s="14">
        <f t="shared" si="12"/>
        <v>15</v>
      </c>
      <c r="Y11" s="14">
        <f>RANK($O11,$O$5:$O$104,1)+COUNTIF(O$5:O11,O11)-1</f>
        <v>14</v>
      </c>
      <c r="Z11" s="14">
        <f t="shared" si="13"/>
        <v>14</v>
      </c>
      <c r="AA11" s="14">
        <f>RANK($P11,$P$5:$P$104,1)+COUNTIF(P$5:P11,P11)-1</f>
        <v>12</v>
      </c>
      <c r="AB11" s="14">
        <f t="shared" si="14"/>
        <v>12</v>
      </c>
      <c r="AC11" s="1" t="str">
        <f t="shared" si="0"/>
        <v>PREM GOVENDER</v>
      </c>
      <c r="AD11" s="1">
        <f t="shared" si="1"/>
        <v>26.497345132743366</v>
      </c>
      <c r="AE11" s="35">
        <f t="shared" si="15"/>
        <v>99</v>
      </c>
      <c r="AF11" s="35">
        <f t="shared" si="16"/>
        <v>73</v>
      </c>
      <c r="AG11" s="35">
        <f t="shared" si="17"/>
        <v>109</v>
      </c>
      <c r="AH11" s="35">
        <f t="shared" si="18"/>
        <v>83</v>
      </c>
      <c r="AI11" s="35">
        <f t="shared" si="19"/>
        <v>208</v>
      </c>
      <c r="AJ11" s="35">
        <f t="shared" si="20"/>
        <v>156</v>
      </c>
      <c r="AL11" s="4">
        <v>7</v>
      </c>
      <c r="AM11" s="2">
        <f>VLOOKUP(AL11,Q$5:$AJ$104,$AN$2,FALSE)</f>
        <v>5</v>
      </c>
      <c r="AN11" s="6" t="str">
        <f>VLOOKUP(AL11,Q$5:$AJ$104,$AN$2+11,FALSE)</f>
        <v>KAREN STOTT</v>
      </c>
      <c r="AO11" s="2">
        <f t="shared" si="21"/>
        <v>93</v>
      </c>
      <c r="AQ11" s="4">
        <v>7</v>
      </c>
      <c r="AR11" s="2">
        <f>VLOOKUP(AQ11,$S$5:$AJ$104,$AS$2,FALSE)</f>
        <v>5</v>
      </c>
      <c r="AS11" s="6" t="str">
        <f>VLOOKUP(AQ11,$S$5:$AJ$104,$AS$2+9,FALSE)</f>
        <v>JUDY VAN DER VEEN</v>
      </c>
      <c r="AT11" s="2">
        <f>VLOOKUP(AR11,$S$5:$AJ$104,$AS$2+12,FALSE)</f>
        <v>73</v>
      </c>
      <c r="AV11" s="4">
        <v>7</v>
      </c>
      <c r="AW11" s="2">
        <f>VLOOKUP(AV11,$U$5:$AJ$104,$AX$2,FALSE)</f>
        <v>7</v>
      </c>
      <c r="AX11" s="6" t="str">
        <f>VLOOKUP(AV11,$U$5:$AJ$104,$AX$2+7,FALSE)</f>
        <v>KAY DUNKLEY</v>
      </c>
      <c r="AY11" s="2">
        <f>VLOOKUP(AW11,$U$5:$AJ$104,$AX$2+11,FALSE)</f>
        <v>95</v>
      </c>
      <c r="BA11" s="4">
        <v>7</v>
      </c>
      <c r="BB11" s="2">
        <f>VLOOKUP(BA11,$W$5:$AJ$104,$BC$2,FALSE)</f>
        <v>7</v>
      </c>
      <c r="BC11" s="6" t="str">
        <f>VLOOKUP(BA11,$W$5:$AJ$104,$BC$2+5,FALSE)</f>
        <v>ALIDA HOOPER</v>
      </c>
      <c r="BD11" s="2">
        <f>VLOOKUP(BB11,$W$5:$AJ$104,$BC$2+10,FALSE)</f>
        <v>76</v>
      </c>
      <c r="BF11" s="4">
        <v>7</v>
      </c>
      <c r="BG11" s="2">
        <f>VLOOKUP(BF11,$Y$5:$AJ$104,$BH$2,FALSE)</f>
        <v>7</v>
      </c>
      <c r="BH11" s="6" t="str">
        <f>VLOOKUP(BF11,$Y$5:$AJ$104,$BH$2+3,FALSE)</f>
        <v>ALIDA HOOPER</v>
      </c>
      <c r="BI11" s="58">
        <f>VLOOKUP(BG11,$Y$5:$AJ$104,$BH$2+9,FALSE)</f>
        <v>188</v>
      </c>
      <c r="BK11" s="4">
        <v>7</v>
      </c>
      <c r="BL11" s="2">
        <f>VLOOKUP(BK11,$AA$5:$AJ$104,$BM$2,FALSE)</f>
        <v>7</v>
      </c>
      <c r="BM11" s="6" t="str">
        <f>VLOOKUP(BK11,$AA$5:$AJ$104,$BM$2+1,FALSE)</f>
        <v>MELISSA PALMER</v>
      </c>
      <c r="BN11" s="58">
        <f>VLOOKUP(BL11,$AA$5:$AJ$104,$BM$2+8,FALSE)</f>
        <v>150.1</v>
      </c>
      <c r="BP11" s="2">
        <f>'Eclectic A'!CD11</f>
        <v>7</v>
      </c>
      <c r="BQ11" s="6" t="str">
        <f>'Eclectic A'!CE11</f>
        <v>SONJA HOPCROFT</v>
      </c>
      <c r="BR11" s="103">
        <f>'Eclectic A'!CF11</f>
        <v>80.75</v>
      </c>
    </row>
    <row r="12" spans="1:84">
      <c r="A12" s="10" t="str">
        <f>IF(ISBLANK(Players!A10),"",Players!A10)</f>
        <v>RENE</v>
      </c>
      <c r="B12" s="10" t="str">
        <f>IF(ISBLANK(Players!B10),"",Players!B10)</f>
        <v>LADELL</v>
      </c>
      <c r="C12" s="10">
        <f>IF(ISBLANK(Players!D10),"",Players!D10)</f>
        <v>33</v>
      </c>
      <c r="D12" s="69">
        <f>IF(ISNUMBER(C12),MIN((C12*Rules!$N$14/113)+(Rules!$N$13-Rules!$N$12),Rules!$N$37),"-")</f>
        <v>36</v>
      </c>
      <c r="E12" s="69">
        <f>IF(ISNUMBER(C12),    ROUND( (D12*Rules!$N$11) / 100,0),"-")</f>
        <v>36</v>
      </c>
      <c r="F12" s="36" t="str">
        <f>IF(AND(ISNUMBER(C12),C12&gt;=Rules!$M$10,C12&lt;=Rules!$N$10),"Y","N")</f>
        <v>N</v>
      </c>
      <c r="G12" s="137">
        <f>'Eclectic A'!M12</f>
        <v>56</v>
      </c>
      <c r="H12" s="137">
        <f>'Eclectic A'!W12</f>
        <v>59</v>
      </c>
      <c r="I12" s="137">
        <f>'Eclectic A'!AJ12</f>
        <v>53</v>
      </c>
      <c r="J12" s="137">
        <f>'Eclectic A'!AT12</f>
        <v>62</v>
      </c>
      <c r="K12" s="108">
        <f t="shared" si="3"/>
        <v>115</v>
      </c>
      <c r="L12" s="108">
        <f t="shared" si="4"/>
        <v>79</v>
      </c>
      <c r="M12" s="108">
        <f t="shared" si="5"/>
        <v>115</v>
      </c>
      <c r="N12" s="108">
        <f t="shared" si="6"/>
        <v>79</v>
      </c>
      <c r="O12" s="108">
        <f t="shared" si="7"/>
        <v>230</v>
      </c>
      <c r="P12" s="108">
        <f t="shared" si="8"/>
        <v>158</v>
      </c>
      <c r="Q12" s="14">
        <f>RANK($K12,$K$5:$K$104,1)+COUNTIF(K$5:K12,K12)-1</f>
        <v>16</v>
      </c>
      <c r="R12" s="14">
        <f t="shared" si="9"/>
        <v>16</v>
      </c>
      <c r="S12" s="14">
        <f>RANK($L12,$L$5:$L$104,1)+COUNTIF(L$5:L12,L12)-1</f>
        <v>12</v>
      </c>
      <c r="T12" s="14">
        <f t="shared" si="10"/>
        <v>11</v>
      </c>
      <c r="U12" s="14">
        <f>RANK($M12,$M$5:$M$104,1)+COUNTIF(M$5:M12,M12)-1</f>
        <v>16</v>
      </c>
      <c r="V12" s="14">
        <f t="shared" si="11"/>
        <v>16</v>
      </c>
      <c r="W12" s="14">
        <f>RANK($N12,$N$5:$N$104,1)+COUNTIF(N$5:N12,N12)-1</f>
        <v>11</v>
      </c>
      <c r="X12" s="14">
        <f t="shared" si="12"/>
        <v>10</v>
      </c>
      <c r="Y12" s="14">
        <f>RANK($O12,$O$5:$O$104,1)+COUNTIF(O$5:O12,O12)-1</f>
        <v>16</v>
      </c>
      <c r="Z12" s="14">
        <f t="shared" si="13"/>
        <v>16</v>
      </c>
      <c r="AA12" s="14">
        <f>RANK($P12,$P$5:$P$104,1)+COUNTIF(P$5:P12,P12)-1</f>
        <v>14</v>
      </c>
      <c r="AB12" s="14">
        <f t="shared" si="14"/>
        <v>13</v>
      </c>
      <c r="AC12" s="1" t="str">
        <f t="shared" si="0"/>
        <v>RENE LADELL</v>
      </c>
      <c r="AD12" s="1">
        <f t="shared" si="1"/>
        <v>36</v>
      </c>
      <c r="AE12" s="35">
        <f t="shared" si="15"/>
        <v>115</v>
      </c>
      <c r="AF12" s="35">
        <f t="shared" si="16"/>
        <v>79</v>
      </c>
      <c r="AG12" s="35">
        <f t="shared" si="17"/>
        <v>115</v>
      </c>
      <c r="AH12" s="35">
        <f t="shared" si="18"/>
        <v>79</v>
      </c>
      <c r="AI12" s="35">
        <f t="shared" si="19"/>
        <v>230</v>
      </c>
      <c r="AJ12" s="35">
        <f t="shared" si="20"/>
        <v>158</v>
      </c>
      <c r="AL12" s="4">
        <v>8</v>
      </c>
      <c r="AM12" s="2">
        <f>VLOOKUP(AL12,Q$5:$AJ$104,$AN$2,FALSE)</f>
        <v>8</v>
      </c>
      <c r="AN12" s="6" t="str">
        <f>VLOOKUP(AL12,Q$5:$AJ$104,$AN$2+11,FALSE)</f>
        <v>MELISSA SAVIO</v>
      </c>
      <c r="AO12" s="2">
        <f t="shared" si="21"/>
        <v>95</v>
      </c>
      <c r="AQ12" s="4">
        <v>8</v>
      </c>
      <c r="AR12" s="2">
        <f>VLOOKUP(AQ12,$S$5:$AJ$104,$AS$2,FALSE)</f>
        <v>8</v>
      </c>
      <c r="AS12" s="6" t="str">
        <f>VLOOKUP(AQ12,$S$5:$AJ$104,$AS$2+9,FALSE)</f>
        <v>KAY DUNKLEY</v>
      </c>
      <c r="AT12" s="2">
        <f>VLOOKUP(AR12,$S$5:$AJ$104,$AS$2+12,FALSE)</f>
        <v>75</v>
      </c>
      <c r="AV12" s="4">
        <v>8</v>
      </c>
      <c r="AW12" s="2">
        <f>VLOOKUP(AV12,$U$5:$AJ$104,$AX$2,FALSE)</f>
        <v>7</v>
      </c>
      <c r="AX12" s="6" t="str">
        <f>VLOOKUP(AV12,$U$5:$AJ$104,$AX$2+7,FALSE)</f>
        <v>JANIS NEL</v>
      </c>
      <c r="AY12" s="2">
        <f>VLOOKUP(AW12,$U$5:$AJ$104,$AX$2+11,FALSE)</f>
        <v>95</v>
      </c>
      <c r="BA12" s="4">
        <v>8</v>
      </c>
      <c r="BB12" s="2">
        <f>VLOOKUP(BA12,$W$5:$AJ$104,$BC$2,FALSE)</f>
        <v>7</v>
      </c>
      <c r="BC12" s="6" t="str">
        <f>VLOOKUP(BA12,$W$5:$AJ$104,$BC$2+5,FALSE)</f>
        <v>MELISSA SAVIO</v>
      </c>
      <c r="BD12" s="2">
        <f>VLOOKUP(BB12,$W$5:$AJ$104,$BC$2+10,FALSE)</f>
        <v>76</v>
      </c>
      <c r="BF12" s="4">
        <v>8</v>
      </c>
      <c r="BG12" s="2">
        <f>VLOOKUP(BF12,$Y$5:$AJ$104,$BH$2,FALSE)</f>
        <v>8</v>
      </c>
      <c r="BH12" s="6" t="str">
        <f>VLOOKUP(BF12,$Y$5:$AJ$104,$BH$2+3,FALSE)</f>
        <v>JUDY VAN DER VEEN</v>
      </c>
      <c r="BI12" s="58">
        <f>VLOOKUP(BG12,$Y$5:$AJ$104,$BH$2+9,FALSE)</f>
        <v>190</v>
      </c>
      <c r="BK12" s="4">
        <v>8</v>
      </c>
      <c r="BL12" s="2">
        <f>VLOOKUP(BK12,$AA$5:$AJ$104,$BM$2,FALSE)</f>
        <v>8</v>
      </c>
      <c r="BM12" s="6" t="str">
        <f>VLOOKUP(BK12,$AA$5:$AJ$104,$BM$2+1,FALSE)</f>
        <v>KAY DUNKLEY</v>
      </c>
      <c r="BN12" s="58">
        <f>VLOOKUP(BL12,$AA$5:$AJ$104,$BM$2+8,FALSE)</f>
        <v>154</v>
      </c>
      <c r="BP12" s="2">
        <f>'Eclectic A'!CD12</f>
        <v>8</v>
      </c>
      <c r="BQ12" s="6" t="str">
        <f>'Eclectic A'!CE12</f>
        <v>JANIS NEL</v>
      </c>
      <c r="BR12" s="103">
        <f>'Eclectic A'!CF12</f>
        <v>81</v>
      </c>
    </row>
    <row r="13" spans="1:84">
      <c r="A13" s="10" t="str">
        <f>IF(ISBLANK(Players!A11),"",Players!A11)</f>
        <v>ANGELA</v>
      </c>
      <c r="B13" s="10" t="str">
        <f>IF(ISBLANK(Players!B11),"",Players!B11)</f>
        <v>MASEFIELD</v>
      </c>
      <c r="C13" s="10">
        <f>IF(ISBLANK(Players!D11),"",Players!D11)</f>
        <v>19.5</v>
      </c>
      <c r="D13" s="69">
        <f>IF(ISNUMBER(C13),MIN((C13*Rules!$N$14/113)+(Rules!$N$13-Rules!$N$12),Rules!$N$37),"-")</f>
        <v>21.925663716814164</v>
      </c>
      <c r="E13" s="69">
        <f>IF(ISNUMBER(C13),    ROUND( (D13*Rules!$N$11) / 100,0),"-")</f>
        <v>22</v>
      </c>
      <c r="F13" s="36" t="str">
        <f>IF(AND(ISNUMBER(C13),C13&gt;=Rules!$M$10,C13&lt;=Rules!$N$10),"Y","N")</f>
        <v>N</v>
      </c>
      <c r="G13" s="137">
        <f>'Eclectic A'!M13</f>
        <v>47</v>
      </c>
      <c r="H13" s="137">
        <f>'Eclectic A'!W13</f>
        <v>54</v>
      </c>
      <c r="I13" s="137">
        <f>'Eclectic A'!AJ13</f>
        <v>55</v>
      </c>
      <c r="J13" s="137">
        <f>'Eclectic A'!AT13</f>
        <v>50</v>
      </c>
      <c r="K13" s="108">
        <f t="shared" si="3"/>
        <v>101</v>
      </c>
      <c r="L13" s="108">
        <f t="shared" si="4"/>
        <v>79</v>
      </c>
      <c r="M13" s="108">
        <f t="shared" si="5"/>
        <v>105</v>
      </c>
      <c r="N13" s="108">
        <f t="shared" si="6"/>
        <v>83</v>
      </c>
      <c r="O13" s="108">
        <f t="shared" si="7"/>
        <v>206</v>
      </c>
      <c r="P13" s="108">
        <f t="shared" si="8"/>
        <v>162</v>
      </c>
      <c r="Q13" s="14">
        <f>RANK($K13,$K$5:$K$104,1)+COUNTIF(K$5:K13,K13)-1</f>
        <v>12</v>
      </c>
      <c r="R13" s="14">
        <f t="shared" si="9"/>
        <v>12</v>
      </c>
      <c r="S13" s="14">
        <f>RANK($L13,$L$5:$L$104,1)+COUNTIF(L$5:L13,L13)-1</f>
        <v>13</v>
      </c>
      <c r="T13" s="14">
        <f t="shared" si="10"/>
        <v>11</v>
      </c>
      <c r="U13" s="14">
        <f>RANK($M13,$M$5:$M$104,1)+COUNTIF(M$5:M13,M13)-1</f>
        <v>14</v>
      </c>
      <c r="V13" s="14">
        <f t="shared" si="11"/>
        <v>14</v>
      </c>
      <c r="W13" s="14">
        <f>RANK($N13,$N$5:$N$104,1)+COUNTIF(N$5:N13,N13)-1</f>
        <v>16</v>
      </c>
      <c r="X13" s="14">
        <f t="shared" si="12"/>
        <v>15</v>
      </c>
      <c r="Y13" s="14">
        <f>RANK($O13,$O$5:$O$104,1)+COUNTIF(O$5:O13,O13)-1</f>
        <v>13</v>
      </c>
      <c r="Z13" s="14">
        <f t="shared" si="13"/>
        <v>13</v>
      </c>
      <c r="AA13" s="14">
        <f>RANK($P13,$P$5:$P$104,1)+COUNTIF(P$5:P13,P13)-1</f>
        <v>16</v>
      </c>
      <c r="AB13" s="14">
        <f t="shared" si="14"/>
        <v>16</v>
      </c>
      <c r="AC13" s="1" t="str">
        <f t="shared" si="0"/>
        <v>ANGELA MASEFIELD</v>
      </c>
      <c r="AD13" s="1">
        <f t="shared" si="1"/>
        <v>21.925663716814164</v>
      </c>
      <c r="AE13" s="35">
        <f t="shared" si="15"/>
        <v>101</v>
      </c>
      <c r="AF13" s="35">
        <f t="shared" si="16"/>
        <v>79</v>
      </c>
      <c r="AG13" s="35">
        <f t="shared" si="17"/>
        <v>105</v>
      </c>
      <c r="AH13" s="35">
        <f t="shared" si="18"/>
        <v>83</v>
      </c>
      <c r="AI13" s="35">
        <f t="shared" si="19"/>
        <v>206</v>
      </c>
      <c r="AJ13" s="35">
        <f t="shared" si="20"/>
        <v>162</v>
      </c>
      <c r="AL13" s="4">
        <v>9</v>
      </c>
      <c r="AM13" s="2">
        <f>VLOOKUP(AL13,Q$5:$AJ$104,$AN$2,FALSE)</f>
        <v>8</v>
      </c>
      <c r="AN13" s="6" t="str">
        <f>VLOOKUP(AL13,Q$5:$AJ$104,$AN$2+11,FALSE)</f>
        <v>JUDY VAN DER VEEN</v>
      </c>
      <c r="AO13" s="2">
        <f t="shared" si="21"/>
        <v>95</v>
      </c>
      <c r="AQ13" s="4">
        <v>9</v>
      </c>
      <c r="AR13" s="2">
        <f>VLOOKUP(AQ13,$S$5:$AJ$104,$AS$2,FALSE)</f>
        <v>9</v>
      </c>
      <c r="AS13" s="6" t="str">
        <f>VLOOKUP(AQ13,$S$5:$AJ$104,$AS$2+9,FALSE)</f>
        <v>ANITA VAN DER LINDE</v>
      </c>
      <c r="AT13" s="2">
        <f>VLOOKUP(AR13,$S$5:$AJ$104,$AS$2+12,FALSE)</f>
        <v>77</v>
      </c>
      <c r="AV13" s="4">
        <v>9</v>
      </c>
      <c r="AW13" s="2">
        <f>VLOOKUP(AV13,$U$5:$AJ$104,$AX$2,FALSE)</f>
        <v>7</v>
      </c>
      <c r="AX13" s="6" t="str">
        <f>VLOOKUP(AV13,$U$5:$AJ$104,$AX$2+7,FALSE)</f>
        <v>JUDY VAN DER VEEN</v>
      </c>
      <c r="AY13" s="2">
        <f>VLOOKUP(AW13,$U$5:$AJ$104,$AX$2+11,FALSE)</f>
        <v>95</v>
      </c>
      <c r="BA13" s="4">
        <v>9</v>
      </c>
      <c r="BB13" s="2">
        <f>VLOOKUP(BA13,$W$5:$AJ$104,$BC$2,FALSE)</f>
        <v>9</v>
      </c>
      <c r="BC13" s="6" t="str">
        <f>VLOOKUP(BA13,$W$5:$AJ$104,$BC$2+5,FALSE)</f>
        <v>FIFI NARAN</v>
      </c>
      <c r="BD13" s="2">
        <f>VLOOKUP(BB13,$W$5:$AJ$104,$BC$2+10,FALSE)</f>
        <v>78</v>
      </c>
      <c r="BF13" s="4">
        <v>9</v>
      </c>
      <c r="BG13" s="2">
        <f>VLOOKUP(BF13,$Y$5:$AJ$104,$BH$2,FALSE)</f>
        <v>9</v>
      </c>
      <c r="BH13" s="6" t="str">
        <f>VLOOKUP(BF13,$Y$5:$AJ$104,$BH$2+3,FALSE)</f>
        <v>MELISSA PALMER</v>
      </c>
      <c r="BI13" s="58">
        <f>VLOOKUP(BG13,$Y$5:$AJ$104,$BH$2+9,FALSE)</f>
        <v>190.1</v>
      </c>
      <c r="BK13" s="4">
        <v>9</v>
      </c>
      <c r="BL13" s="2">
        <f>VLOOKUP(BK13,$AA$5:$AJ$104,$BM$2,FALSE)</f>
        <v>8</v>
      </c>
      <c r="BM13" s="6" t="str">
        <f>VLOOKUP(BK13,$AA$5:$AJ$104,$BM$2+1,FALSE)</f>
        <v>SHAY BROEDELET</v>
      </c>
      <c r="BN13" s="58">
        <f>VLOOKUP(BL13,$AA$5:$AJ$104,$BM$2+8,FALSE)</f>
        <v>154</v>
      </c>
      <c r="BP13" s="2">
        <f>'Eclectic A'!CD13</f>
        <v>9</v>
      </c>
      <c r="BQ13" s="6" t="str">
        <f>'Eclectic A'!CE13</f>
        <v>ALIDA HOOPER</v>
      </c>
      <c r="BR13" s="103">
        <f>'Eclectic A'!CF13</f>
        <v>81.25</v>
      </c>
    </row>
    <row r="14" spans="1:84">
      <c r="A14" s="10" t="str">
        <f>IF(ISBLANK(Players!A12),"",Players!A12)</f>
        <v>FIFI</v>
      </c>
      <c r="B14" s="10" t="str">
        <f>IF(ISBLANK(Players!B12),"",Players!B12)</f>
        <v>NARAN</v>
      </c>
      <c r="C14" s="10">
        <f>IF(ISBLANK(Players!D12),"",Players!D12)</f>
        <v>22.5</v>
      </c>
      <c r="D14" s="69">
        <f>IF(ISNUMBER(C14),MIN((C14*Rules!$N$14/113)+(Rules!$N$13-Rules!$N$12),Rules!$N$37),"-")</f>
        <v>25.19115044247788</v>
      </c>
      <c r="E14" s="69">
        <f>IF(ISNUMBER(C14),    ROUND( (D14*Rules!$N$11) / 100,0),"-")</f>
        <v>25</v>
      </c>
      <c r="F14" s="36" t="str">
        <f>IF(AND(ISNUMBER(C14),C14&gt;=Rules!$M$10,C14&lt;=Rules!$N$10),"Y","N")</f>
        <v>N</v>
      </c>
      <c r="G14" s="137">
        <f>'Eclectic A'!M14</f>
        <v>48</v>
      </c>
      <c r="H14" s="137">
        <f>'Eclectic A'!W14</f>
        <v>54</v>
      </c>
      <c r="I14" s="137">
        <f>'Eclectic A'!AJ14</f>
        <v>46</v>
      </c>
      <c r="J14" s="137">
        <f>'Eclectic A'!AT14</f>
        <v>57</v>
      </c>
      <c r="K14" s="108">
        <f t="shared" si="3"/>
        <v>102</v>
      </c>
      <c r="L14" s="108">
        <f t="shared" si="4"/>
        <v>77</v>
      </c>
      <c r="M14" s="108">
        <f t="shared" si="5"/>
        <v>103</v>
      </c>
      <c r="N14" s="108">
        <f t="shared" si="6"/>
        <v>78</v>
      </c>
      <c r="O14" s="108">
        <f t="shared" si="7"/>
        <v>205</v>
      </c>
      <c r="P14" s="108">
        <f t="shared" si="8"/>
        <v>155</v>
      </c>
      <c r="Q14" s="14">
        <f>RANK($K14,$K$5:$K$104,1)+COUNTIF(K$5:K14,K14)-1</f>
        <v>13</v>
      </c>
      <c r="R14" s="14">
        <f t="shared" si="9"/>
        <v>13</v>
      </c>
      <c r="S14" s="14">
        <f>RANK($L14,$L$5:$L$104,1)+COUNTIF(L$5:L14,L14)-1</f>
        <v>10</v>
      </c>
      <c r="T14" s="14">
        <f t="shared" si="10"/>
        <v>9</v>
      </c>
      <c r="U14" s="14">
        <f>RANK($M14,$M$5:$M$104,1)+COUNTIF(M$5:M14,M14)-1</f>
        <v>12</v>
      </c>
      <c r="V14" s="14">
        <f t="shared" si="11"/>
        <v>11</v>
      </c>
      <c r="W14" s="14">
        <f>RANK($N14,$N$5:$N$104,1)+COUNTIF(N$5:N14,N14)-1</f>
        <v>9</v>
      </c>
      <c r="X14" s="14">
        <f t="shared" si="12"/>
        <v>9</v>
      </c>
      <c r="Y14" s="14">
        <f>RANK($O14,$O$5:$O$104,1)+COUNTIF(O$5:O14,O14)-1</f>
        <v>12</v>
      </c>
      <c r="Z14" s="14">
        <f t="shared" si="13"/>
        <v>12</v>
      </c>
      <c r="AA14" s="14">
        <f>RANK($P14,$P$5:$P$104,1)+COUNTIF(P$5:P14,P14)-1</f>
        <v>10</v>
      </c>
      <c r="AB14" s="14">
        <f t="shared" si="14"/>
        <v>10</v>
      </c>
      <c r="AC14" s="1" t="str">
        <f t="shared" si="0"/>
        <v>FIFI NARAN</v>
      </c>
      <c r="AD14" s="1">
        <f t="shared" si="1"/>
        <v>25.19115044247788</v>
      </c>
      <c r="AE14" s="35">
        <f t="shared" si="15"/>
        <v>102</v>
      </c>
      <c r="AF14" s="35">
        <f t="shared" si="16"/>
        <v>77</v>
      </c>
      <c r="AG14" s="35">
        <f t="shared" si="17"/>
        <v>103</v>
      </c>
      <c r="AH14" s="35">
        <f t="shared" si="18"/>
        <v>78</v>
      </c>
      <c r="AI14" s="35">
        <f t="shared" si="19"/>
        <v>205</v>
      </c>
      <c r="AJ14" s="35">
        <f t="shared" si="20"/>
        <v>155</v>
      </c>
      <c r="AL14" s="4">
        <v>10</v>
      </c>
      <c r="AM14" s="2">
        <f>VLOOKUP(AL14,Q$5:$AJ$104,$AN$2,FALSE)</f>
        <v>10</v>
      </c>
      <c r="AN14" s="6" t="str">
        <f>VLOOKUP(AL14,Q$5:$AJ$104,$AN$2+11,FALSE)</f>
        <v>ALIDA HOOPER</v>
      </c>
      <c r="AO14" s="2">
        <f t="shared" si="21"/>
        <v>97</v>
      </c>
      <c r="AQ14" s="4">
        <v>10</v>
      </c>
      <c r="AR14" s="2">
        <f>VLOOKUP(AQ14,$S$5:$AJ$104,$AS$2,FALSE)</f>
        <v>9</v>
      </c>
      <c r="AS14" s="6" t="str">
        <f>VLOOKUP(AQ14,$S$5:$AJ$104,$AS$2+9,FALSE)</f>
        <v>FIFI NARAN</v>
      </c>
      <c r="AT14" s="2">
        <f>VLOOKUP(AR14,$S$5:$AJ$104,$AS$2+12,FALSE)</f>
        <v>77</v>
      </c>
      <c r="AV14" s="4">
        <v>10</v>
      </c>
      <c r="AW14" s="2">
        <f>VLOOKUP(AV14,$U$5:$AJ$104,$AX$2,FALSE)</f>
        <v>10</v>
      </c>
      <c r="AX14" s="6" t="str">
        <f>VLOOKUP(AV14,$U$5:$AJ$104,$AX$2+7,FALSE)</f>
        <v>MELISSA PALMER</v>
      </c>
      <c r="AY14" s="2">
        <f>VLOOKUP(AW14,$U$5:$AJ$104,$AX$2+11,FALSE)</f>
        <v>100.1</v>
      </c>
      <c r="BA14" s="4">
        <v>10</v>
      </c>
      <c r="BB14" s="2">
        <f>VLOOKUP(BA14,$W$5:$AJ$104,$BC$2,FALSE)</f>
        <v>10</v>
      </c>
      <c r="BC14" s="6" t="str">
        <f>VLOOKUP(BA14,$W$5:$AJ$104,$BC$2+5,FALSE)</f>
        <v>KAY DUNKLEY</v>
      </c>
      <c r="BD14" s="2">
        <f>VLOOKUP(BB14,$W$5:$AJ$104,$BC$2+10,FALSE)</f>
        <v>79</v>
      </c>
      <c r="BF14" s="4">
        <v>10</v>
      </c>
      <c r="BG14" s="2">
        <f>VLOOKUP(BF14,$Y$5:$AJ$104,$BH$2,FALSE)</f>
        <v>10</v>
      </c>
      <c r="BH14" s="6" t="str">
        <f>VLOOKUP(BF14,$Y$5:$AJ$104,$BH$2+3,FALSE)</f>
        <v>GAIL SPEIRS</v>
      </c>
      <c r="BI14" s="58">
        <f>VLOOKUP(BG14,$Y$5:$AJ$104,$BH$2+9,FALSE)</f>
        <v>195</v>
      </c>
      <c r="BK14" s="4">
        <v>10</v>
      </c>
      <c r="BL14" s="2">
        <f>VLOOKUP(BK14,$AA$5:$AJ$104,$BM$2,FALSE)</f>
        <v>10</v>
      </c>
      <c r="BM14" s="6" t="str">
        <f>VLOOKUP(BK14,$AA$5:$AJ$104,$BM$2+1,FALSE)</f>
        <v>FIFI NARAN</v>
      </c>
      <c r="BN14" s="58">
        <f>VLOOKUP(BL14,$AA$5:$AJ$104,$BM$2+8,FALSE)</f>
        <v>155</v>
      </c>
      <c r="BP14" s="2">
        <f>'Eclectic A'!CD14</f>
        <v>10</v>
      </c>
      <c r="BQ14" s="6" t="str">
        <f>'Eclectic A'!CE14</f>
        <v>KAREN STOTT</v>
      </c>
      <c r="BR14" s="103">
        <f>'Eclectic A'!CF14</f>
        <v>82</v>
      </c>
    </row>
    <row r="15" spans="1:84">
      <c r="A15" s="10" t="str">
        <f>IF(ISBLANK(Players!A13),"",Players!A13)</f>
        <v>JANIS</v>
      </c>
      <c r="B15" s="10" t="str">
        <f>IF(ISBLANK(Players!B13),"",Players!B13)</f>
        <v>NEL</v>
      </c>
      <c r="C15" s="10">
        <f>IF(ISBLANK(Players!D13),"",Players!D13)</f>
        <v>18</v>
      </c>
      <c r="D15" s="69">
        <f>IF(ISNUMBER(C15),MIN((C15*Rules!$N$14/113)+(Rules!$N$13-Rules!$N$12),Rules!$N$37),"-")</f>
        <v>20.292920353982304</v>
      </c>
      <c r="E15" s="69">
        <f>IF(ISNUMBER(C15),    ROUND( (D15*Rules!$N$11) / 100,0),"-")</f>
        <v>20</v>
      </c>
      <c r="F15" s="36" t="str">
        <f>IF(AND(ISNUMBER(C15),C15&gt;=Rules!$M$10,C15&lt;=Rules!$N$10),"Y","N")</f>
        <v>N</v>
      </c>
      <c r="G15" s="137">
        <f>'Eclectic A'!M15</f>
        <v>44</v>
      </c>
      <c r="H15" s="137">
        <f>'Eclectic A'!W15</f>
        <v>43</v>
      </c>
      <c r="I15" s="137">
        <f>'Eclectic A'!AJ15</f>
        <v>47</v>
      </c>
      <c r="J15" s="137">
        <f>'Eclectic A'!AT15</f>
        <v>48</v>
      </c>
      <c r="K15" s="108">
        <f t="shared" si="3"/>
        <v>87</v>
      </c>
      <c r="L15" s="108">
        <f t="shared" si="4"/>
        <v>67</v>
      </c>
      <c r="M15" s="108">
        <f t="shared" si="5"/>
        <v>95</v>
      </c>
      <c r="N15" s="108">
        <f t="shared" si="6"/>
        <v>75</v>
      </c>
      <c r="O15" s="108">
        <f t="shared" si="7"/>
        <v>182</v>
      </c>
      <c r="P15" s="108">
        <f t="shared" si="8"/>
        <v>142</v>
      </c>
      <c r="Q15" s="14">
        <f>RANK($K15,$K$5:$K$104,1)+COUNTIF(K$5:K15,K15)-1</f>
        <v>2</v>
      </c>
      <c r="R15" s="14">
        <f t="shared" si="9"/>
        <v>2</v>
      </c>
      <c r="S15" s="14">
        <f>RANK($L15,$L$5:$L$104,1)+COUNTIF(L$5:L15,L15)-1</f>
        <v>1</v>
      </c>
      <c r="T15" s="14">
        <f t="shared" si="10"/>
        <v>1</v>
      </c>
      <c r="U15" s="14">
        <f>RANK($M15,$M$5:$M$104,1)+COUNTIF(M$5:M15,M15)-1</f>
        <v>8</v>
      </c>
      <c r="V15" s="14">
        <f t="shared" si="11"/>
        <v>7</v>
      </c>
      <c r="W15" s="14">
        <f>RANK($N15,$N$5:$N$104,1)+COUNTIF(N$5:N15,N15)-1</f>
        <v>6</v>
      </c>
      <c r="X15" s="14">
        <f t="shared" si="12"/>
        <v>5</v>
      </c>
      <c r="Y15" s="14">
        <f>RANK($O15,$O$5:$O$104,1)+COUNTIF(O$5:O15,O15)-1</f>
        <v>3</v>
      </c>
      <c r="Z15" s="14">
        <f t="shared" si="13"/>
        <v>3</v>
      </c>
      <c r="AA15" s="14">
        <f>RANK($P15,$P$5:$P$104,1)+COUNTIF(P$5:P15,P15)-1</f>
        <v>1</v>
      </c>
      <c r="AB15" s="14">
        <f t="shared" si="14"/>
        <v>1</v>
      </c>
      <c r="AC15" s="1" t="str">
        <f t="shared" si="0"/>
        <v>JANIS NEL</v>
      </c>
      <c r="AD15" s="1">
        <f t="shared" si="1"/>
        <v>20.292920353982304</v>
      </c>
      <c r="AE15" s="35">
        <f t="shared" si="15"/>
        <v>87</v>
      </c>
      <c r="AF15" s="35">
        <f t="shared" si="16"/>
        <v>67</v>
      </c>
      <c r="AG15" s="35">
        <f t="shared" si="17"/>
        <v>95</v>
      </c>
      <c r="AH15" s="35">
        <f t="shared" si="18"/>
        <v>75</v>
      </c>
      <c r="AI15" s="35">
        <f t="shared" si="19"/>
        <v>182</v>
      </c>
      <c r="AJ15" s="35">
        <f t="shared" si="20"/>
        <v>142</v>
      </c>
      <c r="AL15" s="4">
        <v>11</v>
      </c>
      <c r="AM15" s="2">
        <f>VLOOKUP(AL15,Q$5:$AJ$104,$AN$2,FALSE)</f>
        <v>11</v>
      </c>
      <c r="AN15" s="6" t="str">
        <f>VLOOKUP(AL15,Q$5:$AJ$104,$AN$2+11,FALSE)</f>
        <v>PREM GOVENDER</v>
      </c>
      <c r="AO15" s="2">
        <f t="shared" si="21"/>
        <v>99</v>
      </c>
      <c r="AQ15" s="4">
        <v>11</v>
      </c>
      <c r="AR15" s="2">
        <f>VLOOKUP(AQ15,$S$5:$AJ$104,$AS$2,FALSE)</f>
        <v>11</v>
      </c>
      <c r="AS15" s="6" t="str">
        <f>VLOOKUP(AQ15,$S$5:$AJ$104,$AS$2+9,FALSE)</f>
        <v>SHAY BROEDELET</v>
      </c>
      <c r="AT15" s="2">
        <f>VLOOKUP(AR15,$S$5:$AJ$104,$AS$2+12,FALSE)</f>
        <v>79</v>
      </c>
      <c r="AV15" s="4">
        <v>11</v>
      </c>
      <c r="AW15" s="2">
        <f>VLOOKUP(AV15,$U$5:$AJ$104,$AX$2,FALSE)</f>
        <v>11</v>
      </c>
      <c r="AX15" s="6" t="str">
        <f>VLOOKUP(AV15,$U$5:$AJ$104,$AX$2+7,FALSE)</f>
        <v>SHAY BROEDELET</v>
      </c>
      <c r="AY15" s="2">
        <f>VLOOKUP(AW15,$U$5:$AJ$104,$AX$2+11,FALSE)</f>
        <v>103</v>
      </c>
      <c r="BA15" s="4">
        <v>11</v>
      </c>
      <c r="BB15" s="2">
        <f>VLOOKUP(BA15,$W$5:$AJ$104,$BC$2,FALSE)</f>
        <v>10</v>
      </c>
      <c r="BC15" s="6" t="str">
        <f>VLOOKUP(BA15,$W$5:$AJ$104,$BC$2+5,FALSE)</f>
        <v>RENE LADELL</v>
      </c>
      <c r="BD15" s="2">
        <f>VLOOKUP(BB15,$W$5:$AJ$104,$BC$2+10,FALSE)</f>
        <v>79</v>
      </c>
      <c r="BF15" s="4">
        <v>11</v>
      </c>
      <c r="BG15" s="2">
        <f>VLOOKUP(BF15,$Y$5:$AJ$104,$BH$2,FALSE)</f>
        <v>11</v>
      </c>
      <c r="BH15" s="6" t="str">
        <f>VLOOKUP(BF15,$Y$5:$AJ$104,$BH$2+3,FALSE)</f>
        <v>MELISSA SAVIO</v>
      </c>
      <c r="BI15" s="58">
        <f>VLOOKUP(BG15,$Y$5:$AJ$104,$BH$2+9,FALSE)</f>
        <v>198</v>
      </c>
      <c r="BK15" s="4">
        <v>11</v>
      </c>
      <c r="BL15" s="2">
        <f>VLOOKUP(BK15,$AA$5:$AJ$104,$BM$2,FALSE)</f>
        <v>10</v>
      </c>
      <c r="BM15" s="6" t="str">
        <f>VLOOKUP(BK15,$AA$5:$AJ$104,$BM$2+1,FALSE)</f>
        <v>GAIL SPEIRS</v>
      </c>
      <c r="BN15" s="58">
        <f>VLOOKUP(BL15,$AA$5:$AJ$104,$BM$2+8,FALSE)</f>
        <v>155</v>
      </c>
      <c r="BP15" s="2">
        <f>'Eclectic A'!CD15</f>
        <v>11</v>
      </c>
      <c r="BQ15" s="6" t="str">
        <f>'Eclectic A'!CE15</f>
        <v>FIFI NARAN</v>
      </c>
      <c r="BR15" s="103">
        <f>'Eclectic A'!CF15</f>
        <v>84.75</v>
      </c>
    </row>
    <row r="16" spans="1:84">
      <c r="A16" s="10" t="str">
        <f>IF(ISBLANK(Players!A14),"",Players!A14)</f>
        <v>MELISSA</v>
      </c>
      <c r="B16" s="10" t="str">
        <f>IF(ISBLANK(Players!B14),"",Players!B14)</f>
        <v>PALMER</v>
      </c>
      <c r="C16" s="10">
        <f>IF(ISBLANK(Players!D14),"",Players!D14)</f>
        <v>17.899999999999999</v>
      </c>
      <c r="D16" s="69">
        <f>IF(ISNUMBER(C16),MIN((C16*Rules!$N$14/113)+(Rules!$N$13-Rules!$N$12),Rules!$N$37),"-")</f>
        <v>20.18407079646018</v>
      </c>
      <c r="E16" s="69">
        <f>IF(ISNUMBER(C16),    ROUND( (D16*Rules!$N$11) / 100,0),"-")</f>
        <v>20</v>
      </c>
      <c r="F16" s="36" t="str">
        <f>IF(AND(ISNUMBER(C16),C16&gt;=Rules!$M$10,C16&lt;=Rules!$N$10),"Y","N")</f>
        <v>N</v>
      </c>
      <c r="G16" s="137">
        <f>'Eclectic A'!M16</f>
        <v>44</v>
      </c>
      <c r="H16" s="137">
        <f>'Eclectic A'!W16</f>
        <v>46</v>
      </c>
      <c r="I16" s="137">
        <f>'Eclectic A'!AJ16</f>
        <v>51</v>
      </c>
      <c r="J16" s="137">
        <f>'Eclectic A'!AT16</f>
        <v>49.1</v>
      </c>
      <c r="K16" s="108">
        <f t="shared" si="3"/>
        <v>90</v>
      </c>
      <c r="L16" s="108">
        <f t="shared" si="4"/>
        <v>70</v>
      </c>
      <c r="M16" s="108">
        <f t="shared" si="5"/>
        <v>100.1</v>
      </c>
      <c r="N16" s="108">
        <f t="shared" si="6"/>
        <v>80.099999999999994</v>
      </c>
      <c r="O16" s="108">
        <f t="shared" si="7"/>
        <v>190.1</v>
      </c>
      <c r="P16" s="108">
        <f t="shared" si="8"/>
        <v>150.1</v>
      </c>
      <c r="Q16" s="14">
        <f>RANK($K16,$K$5:$K$104,1)+COUNTIF(K$5:K16,K16)-1</f>
        <v>3</v>
      </c>
      <c r="R16" s="14">
        <f t="shared" si="9"/>
        <v>3</v>
      </c>
      <c r="S16" s="14">
        <f>RANK($L16,$L$5:$L$104,1)+COUNTIF(L$5:L16,L16)-1</f>
        <v>4</v>
      </c>
      <c r="T16" s="14">
        <f t="shared" si="10"/>
        <v>3</v>
      </c>
      <c r="U16" s="14">
        <f>RANK($M16,$M$5:$M$104,1)+COUNTIF(M$5:M16,M16)-1</f>
        <v>10</v>
      </c>
      <c r="V16" s="14">
        <f t="shared" si="11"/>
        <v>10</v>
      </c>
      <c r="W16" s="14">
        <f>RANK($N16,$N$5:$N$104,1)+COUNTIF(N$5:N16,N16)-1</f>
        <v>14</v>
      </c>
      <c r="X16" s="14">
        <f t="shared" si="12"/>
        <v>14</v>
      </c>
      <c r="Y16" s="14">
        <f>RANK($O16,$O$5:$O$104,1)+COUNTIF(O$5:O16,O16)-1</f>
        <v>9</v>
      </c>
      <c r="Z16" s="14">
        <f t="shared" si="13"/>
        <v>9</v>
      </c>
      <c r="AA16" s="14">
        <f>RANK($P16,$P$5:$P$104,1)+COUNTIF(P$5:P16,P16)-1</f>
        <v>7</v>
      </c>
      <c r="AB16" s="14">
        <f t="shared" si="14"/>
        <v>7</v>
      </c>
      <c r="AC16" s="1" t="str">
        <f t="shared" si="0"/>
        <v>MELISSA PALMER</v>
      </c>
      <c r="AD16" s="1">
        <f t="shared" si="1"/>
        <v>20.18407079646018</v>
      </c>
      <c r="AE16" s="35">
        <f t="shared" si="15"/>
        <v>90</v>
      </c>
      <c r="AF16" s="35">
        <f t="shared" si="16"/>
        <v>70</v>
      </c>
      <c r="AG16" s="35">
        <f t="shared" si="17"/>
        <v>100.1</v>
      </c>
      <c r="AH16" s="35">
        <f t="shared" si="18"/>
        <v>80.099999999999994</v>
      </c>
      <c r="AI16" s="35">
        <f t="shared" si="19"/>
        <v>190.1</v>
      </c>
      <c r="AJ16" s="35">
        <f t="shared" si="20"/>
        <v>150.1</v>
      </c>
      <c r="AL16" s="4">
        <v>12</v>
      </c>
      <c r="AM16" s="2">
        <f>VLOOKUP(AL16,Q$5:$AJ$104,$AN$2,FALSE)</f>
        <v>12</v>
      </c>
      <c r="AN16" s="6" t="str">
        <f>VLOOKUP(AL16,Q$5:$AJ$104,$AN$2+11,FALSE)</f>
        <v>ANGELA MASEFIELD</v>
      </c>
      <c r="AO16" s="2">
        <f t="shared" si="21"/>
        <v>101</v>
      </c>
      <c r="AQ16" s="4">
        <v>12</v>
      </c>
      <c r="AR16" s="2">
        <f>VLOOKUP(AQ16,$S$5:$AJ$104,$AS$2,FALSE)</f>
        <v>11</v>
      </c>
      <c r="AS16" s="6" t="str">
        <f>VLOOKUP(AQ16,$S$5:$AJ$104,$AS$2+9,FALSE)</f>
        <v>RENE LADELL</v>
      </c>
      <c r="AT16" s="2">
        <f>VLOOKUP(AR16,$S$5:$AJ$104,$AS$2+12,FALSE)</f>
        <v>79</v>
      </c>
      <c r="AV16" s="4">
        <v>12</v>
      </c>
      <c r="AW16" s="2">
        <f>VLOOKUP(AV16,$U$5:$AJ$104,$AX$2,FALSE)</f>
        <v>11</v>
      </c>
      <c r="AX16" s="6" t="str">
        <f>VLOOKUP(AV16,$U$5:$AJ$104,$AX$2+7,FALSE)</f>
        <v>FIFI NARAN</v>
      </c>
      <c r="AY16" s="2">
        <f>VLOOKUP(AW16,$U$5:$AJ$104,$AX$2+11,FALSE)</f>
        <v>103</v>
      </c>
      <c r="BA16" s="4">
        <v>12</v>
      </c>
      <c r="BB16" s="2">
        <f>VLOOKUP(BA16,$W$5:$AJ$104,$BC$2,FALSE)</f>
        <v>12</v>
      </c>
      <c r="BC16" s="6" t="str">
        <f>VLOOKUP(BA16,$W$5:$AJ$104,$BC$2+5,FALSE)</f>
        <v>SONJA HOPCROFT</v>
      </c>
      <c r="BD16" s="2">
        <f>VLOOKUP(BB16,$W$5:$AJ$104,$BC$2+10,FALSE)</f>
        <v>80</v>
      </c>
      <c r="BF16" s="4">
        <v>12</v>
      </c>
      <c r="BG16" s="2">
        <f>VLOOKUP(BF16,$Y$5:$AJ$104,$BH$2,FALSE)</f>
        <v>12</v>
      </c>
      <c r="BH16" s="6" t="str">
        <f>VLOOKUP(BF16,$Y$5:$AJ$104,$BH$2+3,FALSE)</f>
        <v>FIFI NARAN</v>
      </c>
      <c r="BI16" s="58">
        <f>VLOOKUP(BG16,$Y$5:$AJ$104,$BH$2+9,FALSE)</f>
        <v>205</v>
      </c>
      <c r="BK16" s="4">
        <v>12</v>
      </c>
      <c r="BL16" s="2">
        <f>VLOOKUP(BK16,$AA$5:$AJ$104,$BM$2,FALSE)</f>
        <v>12</v>
      </c>
      <c r="BM16" s="6" t="str">
        <f>VLOOKUP(BK16,$AA$5:$AJ$104,$BM$2+1,FALSE)</f>
        <v>PREM GOVENDER</v>
      </c>
      <c r="BN16" s="58">
        <f>VLOOKUP(BL16,$AA$5:$AJ$104,$BM$2+8,FALSE)</f>
        <v>156</v>
      </c>
      <c r="BP16" s="2">
        <f>'Eclectic A'!CD16</f>
        <v>12</v>
      </c>
      <c r="BQ16" s="6" t="str">
        <f>'Eclectic A'!CE16</f>
        <v>MELISSA SAVIO</v>
      </c>
      <c r="BR16" s="103">
        <f>'Eclectic A'!CF16</f>
        <v>85.25</v>
      </c>
    </row>
    <row r="17" spans="1:70">
      <c r="A17" s="10" t="str">
        <f>IF(ISBLANK(Players!A15),"",Players!A15)</f>
        <v>MELISSA</v>
      </c>
      <c r="B17" s="10" t="str">
        <f>IF(ISBLANK(Players!B15),"",Players!B15)</f>
        <v>SAVIO</v>
      </c>
      <c r="C17" s="10">
        <f>IF(ISBLANK(Players!D15),"",Players!D15)</f>
        <v>23.9</v>
      </c>
      <c r="D17" s="69">
        <f>IF(ISNUMBER(C17),MIN((C17*Rules!$N$14/113)+(Rules!$N$13-Rules!$N$12),Rules!$N$37),"-")</f>
        <v>26.715044247787613</v>
      </c>
      <c r="E17" s="69">
        <f>IF(ISNUMBER(C17),    ROUND( (D17*Rules!$N$11) / 100,0),"-")</f>
        <v>27</v>
      </c>
      <c r="F17" s="36" t="str">
        <f>IF(AND(ISNUMBER(C17),C17&gt;=Rules!$M$10,C17&lt;=Rules!$N$10),"Y","N")</f>
        <v>N</v>
      </c>
      <c r="G17" s="137">
        <f>'Eclectic A'!M17</f>
        <v>47</v>
      </c>
      <c r="H17" s="137">
        <f>'Eclectic A'!W17</f>
        <v>48</v>
      </c>
      <c r="I17" s="137">
        <f>'Eclectic A'!AJ17</f>
        <v>47</v>
      </c>
      <c r="J17" s="137">
        <f>'Eclectic A'!AT17</f>
        <v>56</v>
      </c>
      <c r="K17" s="108">
        <f t="shared" si="3"/>
        <v>95</v>
      </c>
      <c r="L17" s="108">
        <f t="shared" si="4"/>
        <v>68</v>
      </c>
      <c r="M17" s="108">
        <f t="shared" si="5"/>
        <v>103</v>
      </c>
      <c r="N17" s="108">
        <f t="shared" si="6"/>
        <v>76</v>
      </c>
      <c r="O17" s="108">
        <f t="shared" si="7"/>
        <v>198</v>
      </c>
      <c r="P17" s="108">
        <f t="shared" si="8"/>
        <v>144</v>
      </c>
      <c r="Q17" s="14">
        <f>RANK($K17,$K$5:$K$104,1)+COUNTIF(K$5:K17,K17)-1</f>
        <v>8</v>
      </c>
      <c r="R17" s="14">
        <f t="shared" si="9"/>
        <v>8</v>
      </c>
      <c r="S17" s="14">
        <f>RANK($L17,$L$5:$L$104,1)+COUNTIF(L$5:L17,L17)-1</f>
        <v>2</v>
      </c>
      <c r="T17" s="14">
        <f t="shared" si="10"/>
        <v>2</v>
      </c>
      <c r="U17" s="14">
        <f>RANK($M17,$M$5:$M$104,1)+COUNTIF(M$5:M17,M17)-1</f>
        <v>13</v>
      </c>
      <c r="V17" s="14">
        <f t="shared" si="11"/>
        <v>11</v>
      </c>
      <c r="W17" s="14">
        <f>RANK($N17,$N$5:$N$104,1)+COUNTIF(N$5:N17,N17)-1</f>
        <v>8</v>
      </c>
      <c r="X17" s="14">
        <f t="shared" si="12"/>
        <v>7</v>
      </c>
      <c r="Y17" s="14">
        <f>RANK($O17,$O$5:$O$104,1)+COUNTIF(O$5:O17,O17)-1</f>
        <v>11</v>
      </c>
      <c r="Z17" s="14">
        <f t="shared" si="13"/>
        <v>11</v>
      </c>
      <c r="AA17" s="14">
        <f>RANK($P17,$P$5:$P$104,1)+COUNTIF(P$5:P17,P17)-1</f>
        <v>2</v>
      </c>
      <c r="AB17" s="14">
        <f t="shared" si="14"/>
        <v>2</v>
      </c>
      <c r="AC17" s="1" t="str">
        <f t="shared" si="0"/>
        <v>MELISSA SAVIO</v>
      </c>
      <c r="AD17" s="1">
        <f t="shared" si="1"/>
        <v>26.715044247787613</v>
      </c>
      <c r="AE17" s="35">
        <f t="shared" si="15"/>
        <v>95</v>
      </c>
      <c r="AF17" s="35">
        <f t="shared" si="16"/>
        <v>68</v>
      </c>
      <c r="AG17" s="35">
        <f t="shared" si="17"/>
        <v>103</v>
      </c>
      <c r="AH17" s="35">
        <f t="shared" si="18"/>
        <v>76</v>
      </c>
      <c r="AI17" s="35">
        <f t="shared" si="19"/>
        <v>198</v>
      </c>
      <c r="AJ17" s="35">
        <f t="shared" si="20"/>
        <v>144</v>
      </c>
      <c r="AL17" s="4">
        <v>13</v>
      </c>
      <c r="AM17" s="2">
        <f>VLOOKUP(AL17,Q$5:$AJ$104,$AN$2,FALSE)</f>
        <v>13</v>
      </c>
      <c r="AN17" s="6" t="str">
        <f>VLOOKUP(AL17,Q$5:$AJ$104,$AN$2+11,FALSE)</f>
        <v>FIFI NARAN</v>
      </c>
      <c r="AO17" s="2">
        <f t="shared" si="21"/>
        <v>102</v>
      </c>
      <c r="AQ17" s="4">
        <v>13</v>
      </c>
      <c r="AR17" s="2">
        <f>VLOOKUP(AQ17,$S$5:$AJ$104,$AS$2,FALSE)</f>
        <v>11</v>
      </c>
      <c r="AS17" s="6" t="str">
        <f>VLOOKUP(AQ17,$S$5:$AJ$104,$AS$2+9,FALSE)</f>
        <v>ANGELA MASEFIELD</v>
      </c>
      <c r="AT17" s="2">
        <f>VLOOKUP(AR17,$S$5:$AJ$104,$AS$2+12,FALSE)</f>
        <v>79</v>
      </c>
      <c r="AV17" s="4">
        <v>13</v>
      </c>
      <c r="AW17" s="2">
        <f>VLOOKUP(AV17,$U$5:$AJ$104,$AX$2,FALSE)</f>
        <v>11</v>
      </c>
      <c r="AX17" s="6" t="str">
        <f>VLOOKUP(AV17,$U$5:$AJ$104,$AX$2+7,FALSE)</f>
        <v>MELISSA SAVIO</v>
      </c>
      <c r="AY17" s="2">
        <f>VLOOKUP(AW17,$U$5:$AJ$104,$AX$2+11,FALSE)</f>
        <v>103</v>
      </c>
      <c r="BA17" s="4">
        <v>13</v>
      </c>
      <c r="BB17" s="2">
        <f>VLOOKUP(BA17,$W$5:$AJ$104,$BC$2,FALSE)</f>
        <v>12</v>
      </c>
      <c r="BC17" s="6" t="str">
        <f>VLOOKUP(BA17,$W$5:$AJ$104,$BC$2+5,FALSE)</f>
        <v>TARA SMITH</v>
      </c>
      <c r="BD17" s="2">
        <f>VLOOKUP(BB17,$W$5:$AJ$104,$BC$2+10,FALSE)</f>
        <v>80</v>
      </c>
      <c r="BF17" s="4">
        <v>13</v>
      </c>
      <c r="BG17" s="2">
        <f>VLOOKUP(BF17,$Y$5:$AJ$104,$BH$2,FALSE)</f>
        <v>13</v>
      </c>
      <c r="BH17" s="6" t="str">
        <f>VLOOKUP(BF17,$Y$5:$AJ$104,$BH$2+3,FALSE)</f>
        <v>ANGELA MASEFIELD</v>
      </c>
      <c r="BI17" s="58">
        <f>VLOOKUP(BG17,$Y$5:$AJ$104,$BH$2+9,FALSE)</f>
        <v>206</v>
      </c>
      <c r="BK17" s="4">
        <v>13</v>
      </c>
      <c r="BL17" s="2">
        <f>VLOOKUP(BK17,$AA$5:$AJ$104,$BM$2,FALSE)</f>
        <v>13</v>
      </c>
      <c r="BM17" s="6" t="str">
        <f>VLOOKUP(BK17,$AA$5:$AJ$104,$BM$2+1,FALSE)</f>
        <v>ALIDA HOOPER</v>
      </c>
      <c r="BN17" s="58">
        <f>VLOOKUP(BL17,$AA$5:$AJ$104,$BM$2+8,FALSE)</f>
        <v>158</v>
      </c>
      <c r="BP17" s="2">
        <f>'Eclectic A'!CD17</f>
        <v>13</v>
      </c>
      <c r="BQ17" s="6" t="str">
        <f>'Eclectic A'!CE17</f>
        <v>PREM GOVENDER</v>
      </c>
      <c r="BR17" s="103">
        <f>'Eclectic A'!CF17</f>
        <v>86.5</v>
      </c>
    </row>
    <row r="18" spans="1:70">
      <c r="A18" s="10" t="str">
        <f>IF(ISBLANK(Players!A16),"",Players!A16)</f>
        <v>GAIL</v>
      </c>
      <c r="B18" s="10" t="str">
        <f>IF(ISBLANK(Players!B16),"",Players!B16)</f>
        <v>SPEIRS</v>
      </c>
      <c r="C18" s="10">
        <f>IF(ISBLANK(Players!D16),"",Players!D16)</f>
        <v>17.600000000000001</v>
      </c>
      <c r="D18" s="69">
        <f>IF(ISNUMBER(C18),MIN((C18*Rules!$N$14/113)+(Rules!$N$13-Rules!$N$12),Rules!$N$37),"-")</f>
        <v>19.857522123893808</v>
      </c>
      <c r="E18" s="69">
        <f>IF(ISNUMBER(C18),    ROUND( (D18*Rules!$N$11) / 100,0),"-")</f>
        <v>20</v>
      </c>
      <c r="F18" s="36" t="str">
        <f>IF(AND(ISNUMBER(C18),C18&gt;=Rules!$M$10,C18&lt;=Rules!$N$10),"Y","N")</f>
        <v>N</v>
      </c>
      <c r="G18" s="137">
        <f>'Eclectic A'!M18</f>
        <v>47</v>
      </c>
      <c r="H18" s="137">
        <f>'Eclectic A'!W18</f>
        <v>56</v>
      </c>
      <c r="I18" s="137">
        <f>'Eclectic A'!AJ18</f>
        <v>46</v>
      </c>
      <c r="J18" s="137">
        <f>'Eclectic A'!AT18</f>
        <v>46</v>
      </c>
      <c r="K18" s="108">
        <f t="shared" si="3"/>
        <v>103</v>
      </c>
      <c r="L18" s="108">
        <f t="shared" si="4"/>
        <v>83</v>
      </c>
      <c r="M18" s="108">
        <f t="shared" si="5"/>
        <v>92</v>
      </c>
      <c r="N18" s="108">
        <f t="shared" si="6"/>
        <v>72</v>
      </c>
      <c r="O18" s="108">
        <f t="shared" si="7"/>
        <v>195</v>
      </c>
      <c r="P18" s="108">
        <f t="shared" si="8"/>
        <v>155</v>
      </c>
      <c r="Q18" s="14">
        <f>RANK($K18,$K$5:$K$104,1)+COUNTIF(K$5:K18,K18)-1</f>
        <v>14</v>
      </c>
      <c r="R18" s="14">
        <f t="shared" si="9"/>
        <v>14</v>
      </c>
      <c r="S18" s="14">
        <f>RANK($L18,$L$5:$L$104,1)+COUNTIF(L$5:L18,L18)-1</f>
        <v>16</v>
      </c>
      <c r="T18" s="14">
        <f t="shared" si="10"/>
        <v>16</v>
      </c>
      <c r="U18" s="14">
        <f>RANK($M18,$M$5:$M$104,1)+COUNTIF(M$5:M18,M18)-1</f>
        <v>4</v>
      </c>
      <c r="V18" s="14">
        <f t="shared" si="11"/>
        <v>4</v>
      </c>
      <c r="W18" s="14">
        <f>RANK($N18,$N$5:$N$104,1)+COUNTIF(N$5:N18,N18)-1</f>
        <v>2</v>
      </c>
      <c r="X18" s="14">
        <f t="shared" si="12"/>
        <v>1</v>
      </c>
      <c r="Y18" s="14">
        <f>RANK($O18,$O$5:$O$104,1)+COUNTIF(O$5:O18,O18)-1</f>
        <v>10</v>
      </c>
      <c r="Z18" s="14">
        <f t="shared" si="13"/>
        <v>10</v>
      </c>
      <c r="AA18" s="14">
        <f>RANK($P18,$P$5:$P$104,1)+COUNTIF(P$5:P18,P18)-1</f>
        <v>11</v>
      </c>
      <c r="AB18" s="14">
        <f t="shared" si="14"/>
        <v>10</v>
      </c>
      <c r="AC18" s="1" t="str">
        <f t="shared" si="0"/>
        <v>GAIL SPEIRS</v>
      </c>
      <c r="AD18" s="1">
        <f t="shared" si="1"/>
        <v>19.857522123893808</v>
      </c>
      <c r="AE18" s="35">
        <f t="shared" si="15"/>
        <v>103</v>
      </c>
      <c r="AF18" s="35">
        <f t="shared" si="16"/>
        <v>83</v>
      </c>
      <c r="AG18" s="35">
        <f t="shared" si="17"/>
        <v>92</v>
      </c>
      <c r="AH18" s="35">
        <f t="shared" si="18"/>
        <v>72</v>
      </c>
      <c r="AI18" s="35">
        <f t="shared" si="19"/>
        <v>195</v>
      </c>
      <c r="AJ18" s="35">
        <f t="shared" si="20"/>
        <v>155</v>
      </c>
      <c r="AL18" s="4">
        <v>14</v>
      </c>
      <c r="AM18" s="2">
        <f>VLOOKUP(AL18,Q$5:$AJ$104,$AN$2,FALSE)</f>
        <v>14</v>
      </c>
      <c r="AN18" s="6" t="str">
        <f>VLOOKUP(AL18,Q$5:$AJ$104,$AN$2+11,FALSE)</f>
        <v>GAIL SPEIRS</v>
      </c>
      <c r="AO18" s="2">
        <f t="shared" si="21"/>
        <v>103</v>
      </c>
      <c r="AQ18" s="4">
        <v>14</v>
      </c>
      <c r="AR18" s="2">
        <f>VLOOKUP(AQ18,$S$5:$AJ$104,$AS$2,FALSE)</f>
        <v>14</v>
      </c>
      <c r="AS18" s="6" t="str">
        <f>VLOOKUP(AQ18,$S$5:$AJ$104,$AS$2+9,FALSE)</f>
        <v>SONJA HOPCROFT</v>
      </c>
      <c r="AT18" s="2">
        <f>VLOOKUP(AR18,$S$5:$AJ$104,$AS$2+12,FALSE)</f>
        <v>80</v>
      </c>
      <c r="AV18" s="4">
        <v>14</v>
      </c>
      <c r="AW18" s="2">
        <f>VLOOKUP(AV18,$U$5:$AJ$104,$AX$2,FALSE)</f>
        <v>14</v>
      </c>
      <c r="AX18" s="6" t="str">
        <f>VLOOKUP(AV18,$U$5:$AJ$104,$AX$2+7,FALSE)</f>
        <v>ANGELA MASEFIELD</v>
      </c>
      <c r="AY18" s="2">
        <f>VLOOKUP(AW18,$U$5:$AJ$104,$AX$2+11,FALSE)</f>
        <v>105</v>
      </c>
      <c r="BA18" s="4">
        <v>14</v>
      </c>
      <c r="BB18" s="2">
        <f>VLOOKUP(BA18,$W$5:$AJ$104,$BC$2,FALSE)</f>
        <v>14</v>
      </c>
      <c r="BC18" s="6" t="str">
        <f>VLOOKUP(BA18,$W$5:$AJ$104,$BC$2+5,FALSE)</f>
        <v>MELISSA PALMER</v>
      </c>
      <c r="BD18" s="2">
        <f>VLOOKUP(BB18,$W$5:$AJ$104,$BC$2+10,FALSE)</f>
        <v>80.099999999999994</v>
      </c>
      <c r="BF18" s="4">
        <v>14</v>
      </c>
      <c r="BG18" s="2">
        <f>VLOOKUP(BF18,$Y$5:$AJ$104,$BH$2,FALSE)</f>
        <v>14</v>
      </c>
      <c r="BH18" s="6" t="str">
        <f>VLOOKUP(BF18,$Y$5:$AJ$104,$BH$2+3,FALSE)</f>
        <v>PREM GOVENDER</v>
      </c>
      <c r="BI18" s="58">
        <f>VLOOKUP(BG18,$Y$5:$AJ$104,$BH$2+9,FALSE)</f>
        <v>208</v>
      </c>
      <c r="BK18" s="4">
        <v>14</v>
      </c>
      <c r="BL18" s="2">
        <f>VLOOKUP(BK18,$AA$5:$AJ$104,$BM$2,FALSE)</f>
        <v>13</v>
      </c>
      <c r="BM18" s="6" t="str">
        <f>VLOOKUP(BK18,$AA$5:$AJ$104,$BM$2+1,FALSE)</f>
        <v>RENE LADELL</v>
      </c>
      <c r="BN18" s="58">
        <f>VLOOKUP(BL18,$AA$5:$AJ$104,$BM$2+8,FALSE)</f>
        <v>158</v>
      </c>
      <c r="BP18" s="2">
        <f>'Eclectic A'!CD18</f>
        <v>14</v>
      </c>
      <c r="BQ18" s="6" t="str">
        <f>'Eclectic A'!CE18</f>
        <v>ANGELA MASEFIELD</v>
      </c>
      <c r="BR18" s="103">
        <f>'Eclectic A'!CF18</f>
        <v>87.5</v>
      </c>
    </row>
    <row r="19" spans="1:70">
      <c r="A19" s="10" t="str">
        <f>IF(ISBLANK(Players!A17),"",Players!A17)</f>
        <v>KAREN</v>
      </c>
      <c r="B19" s="10" t="str">
        <f>IF(ISBLANK(Players!B17),"",Players!B17)</f>
        <v>STOTT</v>
      </c>
      <c r="C19" s="10">
        <f>IF(ISBLANK(Players!D17),"",Players!D17)</f>
        <v>17.600000000000001</v>
      </c>
      <c r="D19" s="69">
        <f>IF(ISNUMBER(C19),MIN((C19*Rules!$N$14/113)+(Rules!$N$13-Rules!$N$12),Rules!$N$37),"-")</f>
        <v>19.857522123893808</v>
      </c>
      <c r="E19" s="69">
        <f>IF(ISNUMBER(C19),    ROUND( (D19*Rules!$N$11) / 100,0),"-")</f>
        <v>20</v>
      </c>
      <c r="F19" s="36" t="str">
        <f>IF(AND(ISNUMBER(C19),C19&gt;=Rules!$M$10,C19&lt;=Rules!$N$10),"Y","N")</f>
        <v>N</v>
      </c>
      <c r="G19" s="137">
        <f>'Eclectic A'!M19</f>
        <v>43</v>
      </c>
      <c r="H19" s="137">
        <f>'Eclectic A'!W19</f>
        <v>50</v>
      </c>
      <c r="I19" s="137">
        <f>'Eclectic A'!AJ19</f>
        <v>46</v>
      </c>
      <c r="J19" s="137">
        <f>'Eclectic A'!AT19</f>
        <v>48</v>
      </c>
      <c r="K19" s="108">
        <f t="shared" si="3"/>
        <v>93</v>
      </c>
      <c r="L19" s="108">
        <f t="shared" si="4"/>
        <v>73</v>
      </c>
      <c r="M19" s="108">
        <f t="shared" si="5"/>
        <v>94</v>
      </c>
      <c r="N19" s="108">
        <f t="shared" si="6"/>
        <v>74</v>
      </c>
      <c r="O19" s="108">
        <f t="shared" si="7"/>
        <v>187</v>
      </c>
      <c r="P19" s="108">
        <f t="shared" si="8"/>
        <v>147</v>
      </c>
      <c r="Q19" s="14">
        <f>RANK($K19,$K$5:$K$104,1)+COUNTIF(K$5:K19,K19)-1</f>
        <v>7</v>
      </c>
      <c r="R19" s="14">
        <f t="shared" si="9"/>
        <v>5</v>
      </c>
      <c r="S19" s="14">
        <f>RANK($L19,$L$5:$L$104,1)+COUNTIF(L$5:L19,L19)-1</f>
        <v>6</v>
      </c>
      <c r="T19" s="14">
        <f t="shared" si="10"/>
        <v>5</v>
      </c>
      <c r="U19" s="14">
        <f>RANK($M19,$M$5:$M$104,1)+COUNTIF(M$5:M19,M19)-1</f>
        <v>6</v>
      </c>
      <c r="V19" s="14">
        <f t="shared" si="11"/>
        <v>6</v>
      </c>
      <c r="W19" s="14">
        <f>RANK($N19,$N$5:$N$104,1)+COUNTIF(N$5:N19,N19)-1</f>
        <v>4</v>
      </c>
      <c r="X19" s="14">
        <f t="shared" si="12"/>
        <v>4</v>
      </c>
      <c r="Y19" s="14">
        <f>RANK($O19,$O$5:$O$104,1)+COUNTIF(O$5:O19,O19)-1</f>
        <v>6</v>
      </c>
      <c r="Z19" s="14">
        <f t="shared" si="13"/>
        <v>6</v>
      </c>
      <c r="AA19" s="14">
        <f>RANK($P19,$P$5:$P$104,1)+COUNTIF(P$5:P19,P19)-1</f>
        <v>4</v>
      </c>
      <c r="AB19" s="14">
        <f t="shared" si="14"/>
        <v>4</v>
      </c>
      <c r="AC19" s="1" t="str">
        <f t="shared" si="0"/>
        <v>KAREN STOTT</v>
      </c>
      <c r="AD19" s="1">
        <f t="shared" si="1"/>
        <v>19.857522123893808</v>
      </c>
      <c r="AE19" s="35">
        <f t="shared" si="15"/>
        <v>93</v>
      </c>
      <c r="AF19" s="35">
        <f t="shared" si="16"/>
        <v>73</v>
      </c>
      <c r="AG19" s="35">
        <f t="shared" si="17"/>
        <v>94</v>
      </c>
      <c r="AH19" s="35">
        <f t="shared" si="18"/>
        <v>74</v>
      </c>
      <c r="AI19" s="35">
        <f t="shared" si="19"/>
        <v>187</v>
      </c>
      <c r="AJ19" s="35">
        <f t="shared" si="20"/>
        <v>147</v>
      </c>
      <c r="AL19" s="4">
        <v>15</v>
      </c>
      <c r="AM19" s="2">
        <f>VLOOKUP(AL19,Q$5:$AJ$104,$AN$2,FALSE)</f>
        <v>15</v>
      </c>
      <c r="AN19" s="6" t="str">
        <f>VLOOKUP(AL19,Q$5:$AJ$104,$AN$2+11,FALSE)</f>
        <v>SHAY BROEDELET</v>
      </c>
      <c r="AO19" s="2">
        <f t="shared" si="21"/>
        <v>107</v>
      </c>
      <c r="AQ19" s="4">
        <v>15</v>
      </c>
      <c r="AR19" s="2">
        <f>VLOOKUP(AQ19,$S$5:$AJ$104,$AS$2,FALSE)</f>
        <v>15</v>
      </c>
      <c r="AS19" s="6" t="str">
        <f>VLOOKUP(AQ19,$S$5:$AJ$104,$AS$2+9,FALSE)</f>
        <v>ALIDA HOOPER</v>
      </c>
      <c r="AT19" s="2">
        <f>VLOOKUP(AR19,$S$5:$AJ$104,$AS$2+12,FALSE)</f>
        <v>82</v>
      </c>
      <c r="AU19" s="9"/>
      <c r="AV19" s="4">
        <v>15</v>
      </c>
      <c r="AW19" s="2">
        <f>VLOOKUP(AV19,$U$5:$AJ$104,$AX$2,FALSE)</f>
        <v>15</v>
      </c>
      <c r="AX19" s="6" t="str">
        <f>VLOOKUP(AV19,$U$5:$AJ$104,$AX$2+7,FALSE)</f>
        <v>PREM GOVENDER</v>
      </c>
      <c r="AY19" s="2">
        <f>VLOOKUP(AW19,$U$5:$AJ$104,$AX$2+11,FALSE)</f>
        <v>109</v>
      </c>
      <c r="BA19" s="4">
        <v>15</v>
      </c>
      <c r="BB19" s="2">
        <f>VLOOKUP(BA19,$W$5:$AJ$104,$BC$2,FALSE)</f>
        <v>15</v>
      </c>
      <c r="BC19" s="6" t="str">
        <f>VLOOKUP(BA19,$W$5:$AJ$104,$BC$2+5,FALSE)</f>
        <v>PREM GOVENDER</v>
      </c>
      <c r="BD19" s="2">
        <f>VLOOKUP(BB19,$W$5:$AJ$104,$BC$2+10,FALSE)</f>
        <v>83</v>
      </c>
      <c r="BE19" s="9"/>
      <c r="BF19" s="4">
        <v>15</v>
      </c>
      <c r="BG19" s="2">
        <f>VLOOKUP(BF19,$Y$5:$AJ$104,$BH$2,FALSE)</f>
        <v>15</v>
      </c>
      <c r="BH19" s="6" t="str">
        <f>VLOOKUP(BF19,$Y$5:$AJ$104,$BH$2+3,FALSE)</f>
        <v>SHAY BROEDELET</v>
      </c>
      <c r="BI19" s="58">
        <f>VLOOKUP(BG19,$Y$5:$AJ$104,$BH$2+9,FALSE)</f>
        <v>210</v>
      </c>
      <c r="BK19" s="4">
        <v>15</v>
      </c>
      <c r="BL19" s="2">
        <f>VLOOKUP(BK19,$AA$5:$AJ$104,$BM$2,FALSE)</f>
        <v>15</v>
      </c>
      <c r="BM19" s="6" t="str">
        <f>VLOOKUP(BK19,$AA$5:$AJ$104,$BM$2+1,FALSE)</f>
        <v>SONJA HOPCROFT</v>
      </c>
      <c r="BN19" s="58">
        <f>VLOOKUP(BL19,$AA$5:$AJ$104,$BM$2+8,FALSE)</f>
        <v>160</v>
      </c>
      <c r="BP19" s="2">
        <f>'Eclectic A'!CD19</f>
        <v>15</v>
      </c>
      <c r="BQ19" s="6" t="str">
        <f>'Eclectic A'!CE19</f>
        <v>SHAY BROEDELET</v>
      </c>
      <c r="BR19" s="103">
        <f>'Eclectic A'!CF19</f>
        <v>88</v>
      </c>
    </row>
    <row r="20" spans="1:70">
      <c r="A20" s="10" t="str">
        <f>IF(ISBLANK(Players!A18),"",Players!A18)</f>
        <v>JUDY</v>
      </c>
      <c r="B20" s="10" t="str">
        <f>IF(ISBLANK(Players!B18),"",Players!B18)</f>
        <v>VAN DER VEEN</v>
      </c>
      <c r="C20" s="10">
        <f>IF(ISBLANK(Players!D18),"",Players!D18)</f>
        <v>19.8</v>
      </c>
      <c r="D20" s="69">
        <f>IF(ISNUMBER(C20),MIN((C20*Rules!$N$14/113)+(Rules!$N$13-Rules!$N$12),Rules!$N$37),"-")</f>
        <v>22.252212389380535</v>
      </c>
      <c r="E20" s="69">
        <f>IF(ISNUMBER(C20),    ROUND( (D20*Rules!$N$11) / 100,0),"-")</f>
        <v>22</v>
      </c>
      <c r="F20" s="36" t="str">
        <f>IF(AND(ISNUMBER(C20),C20&gt;=Rules!$M$10,C20&lt;=Rules!$N$10),"Y","N")</f>
        <v>N</v>
      </c>
      <c r="G20" s="137">
        <f>'Eclectic A'!M20</f>
        <v>45</v>
      </c>
      <c r="H20" s="137">
        <f>'Eclectic A'!W20</f>
        <v>50</v>
      </c>
      <c r="I20" s="137">
        <f>'Eclectic A'!AJ20</f>
        <v>47</v>
      </c>
      <c r="J20" s="137">
        <f>'Eclectic A'!AT20</f>
        <v>48</v>
      </c>
      <c r="K20" s="108">
        <f t="shared" si="3"/>
        <v>95</v>
      </c>
      <c r="L20" s="108">
        <f t="shared" si="4"/>
        <v>73</v>
      </c>
      <c r="M20" s="108">
        <f t="shared" si="5"/>
        <v>95</v>
      </c>
      <c r="N20" s="108">
        <f t="shared" si="6"/>
        <v>73</v>
      </c>
      <c r="O20" s="108">
        <f t="shared" si="7"/>
        <v>190</v>
      </c>
      <c r="P20" s="108">
        <f t="shared" si="8"/>
        <v>146</v>
      </c>
      <c r="Q20" s="14">
        <f>RANK($K20,$K$5:$K$104,1)+COUNTIF(K$5:K20,K20)-1</f>
        <v>9</v>
      </c>
      <c r="R20" s="14">
        <f t="shared" si="9"/>
        <v>8</v>
      </c>
      <c r="S20" s="14">
        <f>RANK($L20,$L$5:$L$104,1)+COUNTIF(L$5:L20,L20)-1</f>
        <v>7</v>
      </c>
      <c r="T20" s="14">
        <f t="shared" si="10"/>
        <v>5</v>
      </c>
      <c r="U20" s="14">
        <f>RANK($M20,$M$5:$M$104,1)+COUNTIF(M$5:M20,M20)-1</f>
        <v>9</v>
      </c>
      <c r="V20" s="14">
        <f t="shared" si="11"/>
        <v>7</v>
      </c>
      <c r="W20" s="14">
        <f>RANK($N20,$N$5:$N$104,1)+COUNTIF(N$5:N20,N20)-1</f>
        <v>3</v>
      </c>
      <c r="X20" s="14">
        <f t="shared" si="12"/>
        <v>3</v>
      </c>
      <c r="Y20" s="14">
        <f>RANK($O20,$O$5:$O$104,1)+COUNTIF(O$5:O20,O20)-1</f>
        <v>8</v>
      </c>
      <c r="Z20" s="14">
        <f t="shared" si="13"/>
        <v>8</v>
      </c>
      <c r="AA20" s="14">
        <f>RANK($P20,$P$5:$P$104,1)+COUNTIF(P$5:P20,P20)-1</f>
        <v>3</v>
      </c>
      <c r="AB20" s="14">
        <f t="shared" si="14"/>
        <v>3</v>
      </c>
      <c r="AC20" s="1" t="str">
        <f t="shared" si="0"/>
        <v>JUDY VAN DER VEEN</v>
      </c>
      <c r="AD20" s="1">
        <f t="shared" si="1"/>
        <v>22.252212389380535</v>
      </c>
      <c r="AE20" s="35">
        <f t="shared" si="15"/>
        <v>95</v>
      </c>
      <c r="AF20" s="35">
        <f t="shared" si="16"/>
        <v>73</v>
      </c>
      <c r="AG20" s="35">
        <f t="shared" si="17"/>
        <v>95</v>
      </c>
      <c r="AH20" s="35">
        <f t="shared" si="18"/>
        <v>73</v>
      </c>
      <c r="AI20" s="35">
        <f t="shared" si="19"/>
        <v>190</v>
      </c>
      <c r="AJ20" s="35">
        <f t="shared" si="20"/>
        <v>146</v>
      </c>
      <c r="AL20" s="4">
        <v>16</v>
      </c>
      <c r="AM20" s="2">
        <f>VLOOKUP(AL20,Q$5:$AJ$104,$AN$2,FALSE)</f>
        <v>16</v>
      </c>
      <c r="AN20" s="6" t="str">
        <f>VLOOKUP(AL20,Q$5:$AJ$104,$AN$2+11,FALSE)</f>
        <v>RENE LADELL</v>
      </c>
      <c r="AO20" s="2">
        <f t="shared" si="21"/>
        <v>115</v>
      </c>
      <c r="AQ20" s="4">
        <v>16</v>
      </c>
      <c r="AR20" s="2">
        <f>VLOOKUP(AQ20,$S$5:$AJ$104,$AS$2,FALSE)</f>
        <v>16</v>
      </c>
      <c r="AS20" s="6" t="str">
        <f>VLOOKUP(AQ20,$S$5:$AJ$104,$AS$2+9,FALSE)</f>
        <v>GAIL SPEIRS</v>
      </c>
      <c r="AT20" s="2">
        <f>VLOOKUP(AR20,$S$5:$AJ$104,$AS$2+12,FALSE)</f>
        <v>83</v>
      </c>
      <c r="AU20" s="9"/>
      <c r="AV20" s="4">
        <v>16</v>
      </c>
      <c r="AW20" s="2">
        <f>VLOOKUP(AV20,$U$5:$AJ$104,$AX$2,FALSE)</f>
        <v>16</v>
      </c>
      <c r="AX20" s="6" t="str">
        <f>VLOOKUP(AV20,$U$5:$AJ$104,$AX$2+7,FALSE)</f>
        <v>RENE LADELL</v>
      </c>
      <c r="AY20" s="2">
        <f>VLOOKUP(AW20,$U$5:$AJ$104,$AX$2+11,FALSE)</f>
        <v>115</v>
      </c>
      <c r="BA20" s="4">
        <v>16</v>
      </c>
      <c r="BB20" s="2">
        <f>VLOOKUP(BA20,$W$5:$AJ$104,$BC$2,FALSE)</f>
        <v>15</v>
      </c>
      <c r="BC20" s="6" t="str">
        <f>VLOOKUP(BA20,$W$5:$AJ$104,$BC$2+5,FALSE)</f>
        <v>ANGELA MASEFIELD</v>
      </c>
      <c r="BD20" s="2">
        <f>VLOOKUP(BB20,$W$5:$AJ$104,$BC$2+10,FALSE)</f>
        <v>83</v>
      </c>
      <c r="BE20" s="9"/>
      <c r="BF20" s="4">
        <v>16</v>
      </c>
      <c r="BG20" s="2">
        <f>VLOOKUP(BF20,$Y$5:$AJ$104,$BH$2,FALSE)</f>
        <v>16</v>
      </c>
      <c r="BH20" s="6" t="str">
        <f>VLOOKUP(BF20,$Y$5:$AJ$104,$BH$2+3,FALSE)</f>
        <v>RENE LADELL</v>
      </c>
      <c r="BI20" s="58">
        <f>VLOOKUP(BG20,$Y$5:$AJ$104,$BH$2+9,FALSE)</f>
        <v>230</v>
      </c>
      <c r="BK20" s="4">
        <v>16</v>
      </c>
      <c r="BL20" s="2">
        <f>VLOOKUP(BK20,$AA$5:$AJ$104,$BM$2,FALSE)</f>
        <v>16</v>
      </c>
      <c r="BM20" s="6" t="str">
        <f>VLOOKUP(BK20,$AA$5:$AJ$104,$BM$2+1,FALSE)</f>
        <v>ANGELA MASEFIELD</v>
      </c>
      <c r="BN20" s="58">
        <f>VLOOKUP(BL20,$AA$5:$AJ$104,$BM$2+8,FALSE)</f>
        <v>162</v>
      </c>
      <c r="BP20" s="2">
        <f>'Eclectic A'!CD20</f>
        <v>16</v>
      </c>
      <c r="BQ20" s="6" t="str">
        <f>'Eclectic A'!CE20</f>
        <v>RENE LADELL</v>
      </c>
      <c r="BR20" s="103">
        <f>'Eclectic A'!CF20</f>
        <v>97</v>
      </c>
    </row>
    <row r="21" spans="1:70">
      <c r="A21" s="10" t="str">
        <f>IF(ISBLANK(Players!A19),"",Players!A19)</f>
        <v/>
      </c>
      <c r="B21" s="10" t="str">
        <f>IF(ISBLANK(Players!B19),"",Players!B19)</f>
        <v/>
      </c>
      <c r="C21" s="10" t="str">
        <f>IF(ISBLANK(Players!D19),"",Players!D19)</f>
        <v/>
      </c>
      <c r="D21" s="69" t="str">
        <f>IF(ISNUMBER(C21),MIN((C21*Rules!$N$14/113)+(Rules!$N$13-Rules!$N$12),Rules!$N$37),"-")</f>
        <v>-</v>
      </c>
      <c r="E21" s="69" t="str">
        <f>IF(ISNUMBER(C21),    ROUND( (D21*Rules!$N$11) / 100,0),"-")</f>
        <v>-</v>
      </c>
      <c r="F21" s="36" t="str">
        <f>IF(AND(ISNUMBER(C21),C21&gt;=Rules!$M$10,C21&lt;=Rules!$N$10),"Y","N")</f>
        <v>N</v>
      </c>
      <c r="G21" s="137" t="str">
        <f>'Eclectic A'!M21</f>
        <v>-</v>
      </c>
      <c r="H21" s="137" t="str">
        <f>'Eclectic A'!W21</f>
        <v>-</v>
      </c>
      <c r="I21" s="137" t="str">
        <f>'Eclectic A'!AJ21</f>
        <v>-</v>
      </c>
      <c r="J21" s="137" t="str">
        <f>'Eclectic A'!AT21</f>
        <v>-</v>
      </c>
      <c r="K21" s="108" t="str">
        <f t="shared" si="3"/>
        <v>-</v>
      </c>
      <c r="L21" s="108" t="str">
        <f t="shared" si="4"/>
        <v>-</v>
      </c>
      <c r="M21" s="108" t="str">
        <f t="shared" si="5"/>
        <v>-</v>
      </c>
      <c r="N21" s="108" t="str">
        <f t="shared" si="6"/>
        <v>-</v>
      </c>
      <c r="O21" s="108" t="str">
        <f t="shared" si="7"/>
        <v>-</v>
      </c>
      <c r="P21" s="108" t="str">
        <f t="shared" si="8"/>
        <v>-</v>
      </c>
      <c r="Q21" s="14" t="e">
        <f>RANK($K21,$K$5:$K$104,1)+COUNTIF(K$5:K21,K21)-1</f>
        <v>#VALUE!</v>
      </c>
      <c r="R21" s="14" t="e">
        <f t="shared" si="9"/>
        <v>#VALUE!</v>
      </c>
      <c r="S21" s="14" t="e">
        <f>RANK($L21,$L$5:$L$104,1)+COUNTIF(L$5:L21,L21)-1</f>
        <v>#VALUE!</v>
      </c>
      <c r="T21" s="14" t="e">
        <f t="shared" si="10"/>
        <v>#VALUE!</v>
      </c>
      <c r="U21" s="14" t="e">
        <f>RANK($M21,$M$5:$M$104,1)+COUNTIF(M$5:M21,M21)-1</f>
        <v>#VALUE!</v>
      </c>
      <c r="V21" s="14" t="e">
        <f t="shared" si="11"/>
        <v>#VALUE!</v>
      </c>
      <c r="W21" s="14" t="e">
        <f>RANK($N21,$N$5:$N$104,1)+COUNTIF(N$5:N21,N21)-1</f>
        <v>#VALUE!</v>
      </c>
      <c r="X21" s="14" t="e">
        <f t="shared" si="12"/>
        <v>#VALUE!</v>
      </c>
      <c r="Y21" s="14" t="e">
        <f>RANK($O21,$O$5:$O$104,1)+COUNTIF(O$5:O21,O21)-1</f>
        <v>#VALUE!</v>
      </c>
      <c r="Z21" s="14" t="e">
        <f t="shared" si="13"/>
        <v>#VALUE!</v>
      </c>
      <c r="AA21" s="14" t="e">
        <f>RANK($P21,$P$5:$P$104,1)+COUNTIF(P$5:P21,P21)-1</f>
        <v>#VALUE!</v>
      </c>
      <c r="AB21" s="14" t="e">
        <f t="shared" si="14"/>
        <v>#VALUE!</v>
      </c>
      <c r="AC21" s="1" t="str">
        <f t="shared" si="0"/>
        <v xml:space="preserve"> </v>
      </c>
      <c r="AD21" s="1" t="str">
        <f t="shared" si="1"/>
        <v>-</v>
      </c>
      <c r="AE21" s="35" t="str">
        <f t="shared" si="15"/>
        <v>-</v>
      </c>
      <c r="AF21" s="35" t="str">
        <f t="shared" si="16"/>
        <v>-</v>
      </c>
      <c r="AG21" s="35" t="str">
        <f t="shared" si="17"/>
        <v>-</v>
      </c>
      <c r="AH21" s="35" t="str">
        <f t="shared" si="18"/>
        <v>-</v>
      </c>
      <c r="AI21" s="35" t="str">
        <f t="shared" si="19"/>
        <v>-</v>
      </c>
      <c r="AJ21" s="35" t="str">
        <f t="shared" si="20"/>
        <v>-</v>
      </c>
      <c r="AL21" s="4">
        <v>17</v>
      </c>
      <c r="AM21" s="2" t="e">
        <f>VLOOKUP(AL21,Q$5:$AJ$104,$AN$2,FALSE)</f>
        <v>#N/A</v>
      </c>
      <c r="AN21" s="6" t="e">
        <f>VLOOKUP(AL21,Q$5:$AJ$104,$AN$2+11,FALSE)</f>
        <v>#N/A</v>
      </c>
      <c r="AO21" s="2" t="e">
        <f t="shared" si="21"/>
        <v>#N/A</v>
      </c>
      <c r="AQ21" s="4">
        <v>17</v>
      </c>
      <c r="AR21" s="2" t="e">
        <f>VLOOKUP(AQ21,$S$5:$AJ$104,$AS$2,FALSE)</f>
        <v>#N/A</v>
      </c>
      <c r="AS21" s="6" t="e">
        <f>VLOOKUP(AQ21,$S$5:$AJ$104,$AS$2+9,FALSE)</f>
        <v>#N/A</v>
      </c>
      <c r="AT21" s="2" t="e">
        <f>VLOOKUP(AR21,$S$5:$AJ$104,$AS$2+12,FALSE)</f>
        <v>#N/A</v>
      </c>
      <c r="AU21" s="9"/>
      <c r="AV21" s="4">
        <v>17</v>
      </c>
      <c r="AW21" s="2" t="e">
        <f>VLOOKUP(AV21,$U$5:$AJ$104,$AX$2,FALSE)</f>
        <v>#N/A</v>
      </c>
      <c r="AX21" s="6" t="e">
        <f>VLOOKUP(AV21,$U$5:$AJ$104,$AX$2+7,FALSE)</f>
        <v>#N/A</v>
      </c>
      <c r="AY21" s="2" t="e">
        <f>VLOOKUP(AW21,$U$5:$AJ$104,$AX$2+11,FALSE)</f>
        <v>#N/A</v>
      </c>
      <c r="BA21" s="4">
        <v>17</v>
      </c>
      <c r="BB21" s="2" t="e">
        <f>VLOOKUP(BA21,$W$5:$AJ$104,$BC$2,FALSE)</f>
        <v>#N/A</v>
      </c>
      <c r="BC21" s="6" t="e">
        <f>VLOOKUP(BA21,$W$5:$AJ$104,$BC$2+5,FALSE)</f>
        <v>#N/A</v>
      </c>
      <c r="BD21" s="2" t="e">
        <f>VLOOKUP(BB21,$W$5:$AJ$104,$BC$2+10,FALSE)</f>
        <v>#N/A</v>
      </c>
      <c r="BE21" s="9"/>
      <c r="BF21" s="4">
        <v>17</v>
      </c>
      <c r="BG21" s="2" t="e">
        <f>VLOOKUP(BF21,$Y$5:$AJ$104,$BH$2,FALSE)</f>
        <v>#N/A</v>
      </c>
      <c r="BH21" s="6" t="e">
        <f>VLOOKUP(BF21,$Y$5:$AJ$104,$BH$2+3,FALSE)</f>
        <v>#N/A</v>
      </c>
      <c r="BI21" s="58" t="e">
        <f>VLOOKUP(BG21,$Y$5:$AJ$104,$BH$2+9,FALSE)</f>
        <v>#N/A</v>
      </c>
      <c r="BK21" s="4">
        <v>17</v>
      </c>
      <c r="BL21" s="2" t="e">
        <f>VLOOKUP(BK21,$AA$5:$AJ$104,$BM$2,FALSE)</f>
        <v>#N/A</v>
      </c>
      <c r="BM21" s="6" t="e">
        <f>VLOOKUP(BK21,$AA$5:$AJ$104,$BM$2+1,FALSE)</f>
        <v>#N/A</v>
      </c>
      <c r="BN21" s="58" t="e">
        <f>VLOOKUP(BL21,$AA$5:$AJ$104,$BM$2+8,FALSE)</f>
        <v>#N/A</v>
      </c>
      <c r="BP21" s="2" t="e">
        <f>'Eclectic A'!CD21</f>
        <v>#N/A</v>
      </c>
      <c r="BQ21" s="6" t="e">
        <f>'Eclectic A'!CE21</f>
        <v>#N/A</v>
      </c>
      <c r="BR21" s="103" t="e">
        <f>'Eclectic A'!CF21</f>
        <v>#N/A</v>
      </c>
    </row>
    <row r="22" spans="1:70">
      <c r="A22" s="10" t="str">
        <f>IF(ISBLANK(Players!A20),"",Players!A20)</f>
        <v/>
      </c>
      <c r="B22" s="10" t="str">
        <f>IF(ISBLANK(Players!B20),"",Players!B20)</f>
        <v/>
      </c>
      <c r="C22" s="10" t="str">
        <f>IF(ISBLANK(Players!D20),"",Players!D20)</f>
        <v/>
      </c>
      <c r="D22" s="69" t="str">
        <f>IF(ISNUMBER(C22),MIN((C22*Rules!$N$14/113)+(Rules!$N$13-Rules!$N$12),Rules!$N$37),"-")</f>
        <v>-</v>
      </c>
      <c r="E22" s="69" t="str">
        <f>IF(ISNUMBER(C22),    ROUND( (D22*Rules!$N$11) / 100,0),"-")</f>
        <v>-</v>
      </c>
      <c r="F22" s="36" t="str">
        <f>IF(AND(ISNUMBER(C22),C22&gt;=Rules!$M$10,C22&lt;=Rules!$N$10),"Y","N")</f>
        <v>N</v>
      </c>
      <c r="G22" s="137" t="str">
        <f>'Eclectic A'!M22</f>
        <v>-</v>
      </c>
      <c r="H22" s="137" t="str">
        <f>'Eclectic A'!W22</f>
        <v>-</v>
      </c>
      <c r="I22" s="137" t="str">
        <f>'Eclectic A'!AJ22</f>
        <v>-</v>
      </c>
      <c r="J22" s="137" t="str">
        <f>'Eclectic A'!AT22</f>
        <v>-</v>
      </c>
      <c r="K22" s="108" t="str">
        <f t="shared" si="3"/>
        <v>-</v>
      </c>
      <c r="L22" s="108" t="str">
        <f t="shared" si="4"/>
        <v>-</v>
      </c>
      <c r="M22" s="108" t="str">
        <f t="shared" si="5"/>
        <v>-</v>
      </c>
      <c r="N22" s="108" t="str">
        <f t="shared" si="6"/>
        <v>-</v>
      </c>
      <c r="O22" s="108" t="str">
        <f t="shared" si="7"/>
        <v>-</v>
      </c>
      <c r="P22" s="108" t="str">
        <f t="shared" si="8"/>
        <v>-</v>
      </c>
      <c r="Q22" s="14" t="e">
        <f>RANK($K22,$K$5:$K$104,1)+COUNTIF(K$5:K22,K22)-1</f>
        <v>#VALUE!</v>
      </c>
      <c r="R22" s="14" t="e">
        <f t="shared" si="9"/>
        <v>#VALUE!</v>
      </c>
      <c r="S22" s="14" t="e">
        <f>RANK($L22,$L$5:$L$104,1)+COUNTIF(L$5:L22,L22)-1</f>
        <v>#VALUE!</v>
      </c>
      <c r="T22" s="14" t="e">
        <f t="shared" si="10"/>
        <v>#VALUE!</v>
      </c>
      <c r="U22" s="14" t="e">
        <f>RANK($M22,$M$5:$M$104,1)+COUNTIF(M$5:M22,M22)-1</f>
        <v>#VALUE!</v>
      </c>
      <c r="V22" s="14" t="e">
        <f t="shared" si="11"/>
        <v>#VALUE!</v>
      </c>
      <c r="W22" s="14" t="e">
        <f>RANK($N22,$N$5:$N$104,1)+COUNTIF(N$5:N22,N22)-1</f>
        <v>#VALUE!</v>
      </c>
      <c r="X22" s="14" t="e">
        <f t="shared" si="12"/>
        <v>#VALUE!</v>
      </c>
      <c r="Y22" s="14" t="e">
        <f>RANK($O22,$O$5:$O$104,1)+COUNTIF(O$5:O22,O22)-1</f>
        <v>#VALUE!</v>
      </c>
      <c r="Z22" s="14" t="e">
        <f t="shared" si="13"/>
        <v>#VALUE!</v>
      </c>
      <c r="AA22" s="14" t="e">
        <f>RANK($P22,$P$5:$P$104,1)+COUNTIF(P$5:P22,P22)-1</f>
        <v>#VALUE!</v>
      </c>
      <c r="AB22" s="14" t="e">
        <f t="shared" si="14"/>
        <v>#VALUE!</v>
      </c>
      <c r="AC22" s="1" t="str">
        <f t="shared" si="0"/>
        <v xml:space="preserve"> </v>
      </c>
      <c r="AD22" s="1" t="str">
        <f t="shared" si="1"/>
        <v>-</v>
      </c>
      <c r="AE22" s="35" t="str">
        <f t="shared" si="15"/>
        <v>-</v>
      </c>
      <c r="AF22" s="35" t="str">
        <f t="shared" si="16"/>
        <v>-</v>
      </c>
      <c r="AG22" s="35" t="str">
        <f t="shared" si="17"/>
        <v>-</v>
      </c>
      <c r="AH22" s="35" t="str">
        <f t="shared" si="18"/>
        <v>-</v>
      </c>
      <c r="AI22" s="35" t="str">
        <f t="shared" si="19"/>
        <v>-</v>
      </c>
      <c r="AJ22" s="35" t="str">
        <f t="shared" si="20"/>
        <v>-</v>
      </c>
      <c r="AL22" s="4">
        <v>18</v>
      </c>
      <c r="AM22" s="2" t="e">
        <f>VLOOKUP(AL22,Q$5:$AJ$104,$AN$2,FALSE)</f>
        <v>#N/A</v>
      </c>
      <c r="AN22" s="6" t="e">
        <f>VLOOKUP(AL22,Q$5:$AJ$104,$AN$2+11,FALSE)</f>
        <v>#N/A</v>
      </c>
      <c r="AO22" s="2" t="e">
        <f t="shared" si="21"/>
        <v>#N/A</v>
      </c>
      <c r="AQ22" s="4">
        <v>18</v>
      </c>
      <c r="AR22" s="2" t="e">
        <f>VLOOKUP(AQ22,$S$5:$AJ$104,$AS$2,FALSE)</f>
        <v>#N/A</v>
      </c>
      <c r="AS22" s="6" t="e">
        <f>VLOOKUP(AQ22,$S$5:$AJ$104,$AS$2+9,FALSE)</f>
        <v>#N/A</v>
      </c>
      <c r="AT22" s="2" t="e">
        <f>VLOOKUP(AR22,$S$5:$AJ$104,$AS$2+12,FALSE)</f>
        <v>#N/A</v>
      </c>
      <c r="AU22" s="9"/>
      <c r="AV22" s="4">
        <v>18</v>
      </c>
      <c r="AW22" s="2" t="e">
        <f>VLOOKUP(AV22,$U$5:$AJ$104,$AX$2,FALSE)</f>
        <v>#N/A</v>
      </c>
      <c r="AX22" s="6" t="e">
        <f>VLOOKUP(AV22,$U$5:$AJ$104,$AX$2+7,FALSE)</f>
        <v>#N/A</v>
      </c>
      <c r="AY22" s="2" t="e">
        <f>VLOOKUP(AW22,$U$5:$AJ$104,$AX$2+11,FALSE)</f>
        <v>#N/A</v>
      </c>
      <c r="BA22" s="4">
        <v>18</v>
      </c>
      <c r="BB22" s="2" t="e">
        <f>VLOOKUP(BA22,$W$5:$AJ$104,$BC$2,FALSE)</f>
        <v>#N/A</v>
      </c>
      <c r="BC22" s="6" t="e">
        <f>VLOOKUP(BA22,$W$5:$AJ$104,$BC$2+5,FALSE)</f>
        <v>#N/A</v>
      </c>
      <c r="BD22" s="2" t="e">
        <f>VLOOKUP(BB22,$W$5:$AJ$104,$BC$2+10,FALSE)</f>
        <v>#N/A</v>
      </c>
      <c r="BE22" s="9"/>
      <c r="BF22" s="4">
        <v>18</v>
      </c>
      <c r="BG22" s="2" t="e">
        <f>VLOOKUP(BF22,$Y$5:$AJ$104,$BH$2,FALSE)</f>
        <v>#N/A</v>
      </c>
      <c r="BH22" s="6" t="e">
        <f>VLOOKUP(BF22,$Y$5:$AJ$104,$BH$2+3,FALSE)</f>
        <v>#N/A</v>
      </c>
      <c r="BI22" s="58" t="e">
        <f>VLOOKUP(BG22,$Y$5:$AJ$104,$BH$2+9,FALSE)</f>
        <v>#N/A</v>
      </c>
      <c r="BK22" s="4">
        <v>18</v>
      </c>
      <c r="BL22" s="2" t="e">
        <f>VLOOKUP(BK22,$AA$5:$AJ$104,$BM$2,FALSE)</f>
        <v>#N/A</v>
      </c>
      <c r="BM22" s="6" t="e">
        <f>VLOOKUP(BK22,$AA$5:$AJ$104,$BM$2+1,FALSE)</f>
        <v>#N/A</v>
      </c>
      <c r="BN22" s="58" t="e">
        <f>VLOOKUP(BL22,$AA$5:$AJ$104,$BM$2+8,FALSE)</f>
        <v>#N/A</v>
      </c>
      <c r="BP22" s="2" t="e">
        <f>'Eclectic A'!CD22</f>
        <v>#N/A</v>
      </c>
      <c r="BQ22" s="6" t="e">
        <f>'Eclectic A'!CE22</f>
        <v>#N/A</v>
      </c>
      <c r="BR22" s="103" t="e">
        <f>'Eclectic A'!CF22</f>
        <v>#N/A</v>
      </c>
    </row>
    <row r="23" spans="1:70">
      <c r="A23" s="10" t="str">
        <f>IF(ISBLANK(Players!A21),"",Players!A21)</f>
        <v/>
      </c>
      <c r="B23" s="10" t="str">
        <f>IF(ISBLANK(Players!B21),"",Players!B21)</f>
        <v/>
      </c>
      <c r="C23" s="10" t="str">
        <f>IF(ISBLANK(Players!D21),"",Players!D21)</f>
        <v/>
      </c>
      <c r="D23" s="69" t="str">
        <f>IF(ISNUMBER(C23),MIN((C23*Rules!$N$14/113)+(Rules!$N$13-Rules!$N$12),Rules!$N$37),"-")</f>
        <v>-</v>
      </c>
      <c r="E23" s="69" t="str">
        <f>IF(ISNUMBER(C23),    ROUND( (D23*Rules!$N$11) / 100,0),"-")</f>
        <v>-</v>
      </c>
      <c r="F23" s="36" t="str">
        <f>IF(AND(ISNUMBER(C23),C23&gt;=Rules!$M$10,C23&lt;=Rules!$N$10),"Y","N")</f>
        <v>N</v>
      </c>
      <c r="G23" s="137" t="str">
        <f>'Eclectic A'!M23</f>
        <v>-</v>
      </c>
      <c r="H23" s="137" t="str">
        <f>'Eclectic A'!W23</f>
        <v>-</v>
      </c>
      <c r="I23" s="137" t="str">
        <f>'Eclectic A'!AJ23</f>
        <v>-</v>
      </c>
      <c r="J23" s="137" t="str">
        <f>'Eclectic A'!AT23</f>
        <v>-</v>
      </c>
      <c r="K23" s="108" t="str">
        <f t="shared" si="3"/>
        <v>-</v>
      </c>
      <c r="L23" s="108" t="str">
        <f t="shared" si="4"/>
        <v>-</v>
      </c>
      <c r="M23" s="108" t="str">
        <f t="shared" si="5"/>
        <v>-</v>
      </c>
      <c r="N23" s="108" t="str">
        <f t="shared" si="6"/>
        <v>-</v>
      </c>
      <c r="O23" s="108" t="str">
        <f t="shared" si="7"/>
        <v>-</v>
      </c>
      <c r="P23" s="108" t="str">
        <f t="shared" si="8"/>
        <v>-</v>
      </c>
      <c r="Q23" s="14" t="e">
        <f>RANK($K23,$K$5:$K$104,1)+COUNTIF(K$5:K23,K23)-1</f>
        <v>#VALUE!</v>
      </c>
      <c r="R23" s="14" t="e">
        <f t="shared" si="9"/>
        <v>#VALUE!</v>
      </c>
      <c r="S23" s="14" t="e">
        <f>RANK($L23,$L$5:$L$104,1)+COUNTIF(L$5:L23,L23)-1</f>
        <v>#VALUE!</v>
      </c>
      <c r="T23" s="14" t="e">
        <f t="shared" si="10"/>
        <v>#VALUE!</v>
      </c>
      <c r="U23" s="14" t="e">
        <f>RANK($M23,$M$5:$M$104,1)+COUNTIF(M$5:M23,M23)-1</f>
        <v>#VALUE!</v>
      </c>
      <c r="V23" s="14" t="e">
        <f t="shared" si="11"/>
        <v>#VALUE!</v>
      </c>
      <c r="W23" s="14" t="e">
        <f>RANK($N23,$N$5:$N$104,1)+COUNTIF(N$5:N23,N23)-1</f>
        <v>#VALUE!</v>
      </c>
      <c r="X23" s="14" t="e">
        <f t="shared" si="12"/>
        <v>#VALUE!</v>
      </c>
      <c r="Y23" s="14" t="e">
        <f>RANK($O23,$O$5:$O$104,1)+COUNTIF(O$5:O23,O23)-1</f>
        <v>#VALUE!</v>
      </c>
      <c r="Z23" s="14" t="e">
        <f t="shared" si="13"/>
        <v>#VALUE!</v>
      </c>
      <c r="AA23" s="14" t="e">
        <f>RANK($P23,$P$5:$P$104,1)+COUNTIF(P$5:P23,P23)-1</f>
        <v>#VALUE!</v>
      </c>
      <c r="AB23" s="14" t="e">
        <f t="shared" si="14"/>
        <v>#VALUE!</v>
      </c>
      <c r="AC23" s="1" t="str">
        <f t="shared" si="0"/>
        <v xml:space="preserve"> </v>
      </c>
      <c r="AD23" s="1" t="str">
        <f t="shared" si="1"/>
        <v>-</v>
      </c>
      <c r="AE23" s="35" t="str">
        <f t="shared" si="15"/>
        <v>-</v>
      </c>
      <c r="AF23" s="35" t="str">
        <f t="shared" si="16"/>
        <v>-</v>
      </c>
      <c r="AG23" s="35" t="str">
        <f t="shared" si="17"/>
        <v>-</v>
      </c>
      <c r="AH23" s="35" t="str">
        <f t="shared" si="18"/>
        <v>-</v>
      </c>
      <c r="AI23" s="35" t="str">
        <f t="shared" si="19"/>
        <v>-</v>
      </c>
      <c r="AJ23" s="35" t="str">
        <f t="shared" si="20"/>
        <v>-</v>
      </c>
      <c r="AL23" s="4">
        <v>19</v>
      </c>
      <c r="AM23" s="2" t="e">
        <f>VLOOKUP(AL23,Q$5:$AJ$104,$AN$2,FALSE)</f>
        <v>#N/A</v>
      </c>
      <c r="AN23" s="6" t="e">
        <f>VLOOKUP(AL23,Q$5:$AJ$104,$AN$2+11,FALSE)</f>
        <v>#N/A</v>
      </c>
      <c r="AO23" s="2" t="e">
        <f t="shared" si="21"/>
        <v>#N/A</v>
      </c>
      <c r="AQ23" s="4">
        <v>19</v>
      </c>
      <c r="AR23" s="2" t="e">
        <f>VLOOKUP(AQ23,$S$5:$AJ$104,$AS$2,FALSE)</f>
        <v>#N/A</v>
      </c>
      <c r="AS23" s="6" t="e">
        <f>VLOOKUP(AQ23,$S$5:$AJ$104,$AS$2+9,FALSE)</f>
        <v>#N/A</v>
      </c>
      <c r="AT23" s="2" t="e">
        <f>VLOOKUP(AR23,$S$5:$AJ$104,$AS$2+12,FALSE)</f>
        <v>#N/A</v>
      </c>
      <c r="AU23" s="9"/>
      <c r="AV23" s="4">
        <v>19</v>
      </c>
      <c r="AW23" s="2" t="e">
        <f>VLOOKUP(AV23,$U$5:$AJ$104,$AX$2,FALSE)</f>
        <v>#N/A</v>
      </c>
      <c r="AX23" s="6" t="e">
        <f>VLOOKUP(AV23,$U$5:$AJ$104,$AX$2+7,FALSE)</f>
        <v>#N/A</v>
      </c>
      <c r="AY23" s="2" t="e">
        <f>VLOOKUP(AW23,$U$5:$AJ$104,$AX$2+11,FALSE)</f>
        <v>#N/A</v>
      </c>
      <c r="BA23" s="4">
        <v>19</v>
      </c>
      <c r="BB23" s="2" t="e">
        <f>VLOOKUP(BA23,$W$5:$AJ$104,$BC$2,FALSE)</f>
        <v>#N/A</v>
      </c>
      <c r="BC23" s="6" t="e">
        <f>VLOOKUP(BA23,$W$5:$AJ$104,$BC$2+5,FALSE)</f>
        <v>#N/A</v>
      </c>
      <c r="BD23" s="2" t="e">
        <f>VLOOKUP(BB23,$W$5:$AJ$104,$BC$2+10,FALSE)</f>
        <v>#N/A</v>
      </c>
      <c r="BE23" s="9"/>
      <c r="BF23" s="4">
        <v>19</v>
      </c>
      <c r="BG23" s="2" t="e">
        <f>VLOOKUP(BF23,$Y$5:$AJ$104,$BH$2,FALSE)</f>
        <v>#N/A</v>
      </c>
      <c r="BH23" s="6" t="e">
        <f>VLOOKUP(BF23,$Y$5:$AJ$104,$BH$2+3,FALSE)</f>
        <v>#N/A</v>
      </c>
      <c r="BI23" s="58" t="e">
        <f>VLOOKUP(BG23,$Y$5:$AJ$104,$BH$2+9,FALSE)</f>
        <v>#N/A</v>
      </c>
      <c r="BK23" s="4">
        <v>19</v>
      </c>
      <c r="BL23" s="2" t="e">
        <f>VLOOKUP(BK23,$AA$5:$AJ$104,$BM$2,FALSE)</f>
        <v>#N/A</v>
      </c>
      <c r="BM23" s="6" t="e">
        <f>VLOOKUP(BK23,$AA$5:$AJ$104,$BM$2+1,FALSE)</f>
        <v>#N/A</v>
      </c>
      <c r="BN23" s="58" t="e">
        <f>VLOOKUP(BL23,$AA$5:$AJ$104,$BM$2+8,FALSE)</f>
        <v>#N/A</v>
      </c>
      <c r="BP23" s="2" t="e">
        <f>'Eclectic A'!CD23</f>
        <v>#N/A</v>
      </c>
      <c r="BQ23" s="6" t="e">
        <f>'Eclectic A'!CE23</f>
        <v>#N/A</v>
      </c>
      <c r="BR23" s="103" t="e">
        <f>'Eclectic A'!CF23</f>
        <v>#N/A</v>
      </c>
    </row>
    <row r="24" spans="1:70">
      <c r="A24" s="10" t="str">
        <f>IF(ISBLANK(Players!A22),"",Players!A22)</f>
        <v/>
      </c>
      <c r="B24" s="10" t="str">
        <f>IF(ISBLANK(Players!B22),"",Players!B22)</f>
        <v/>
      </c>
      <c r="C24" s="10" t="str">
        <f>IF(ISBLANK(Players!D22),"",Players!D22)</f>
        <v/>
      </c>
      <c r="D24" s="69" t="str">
        <f>IF(ISNUMBER(C24),MIN((C24*Rules!$N$14/113)+(Rules!$N$13-Rules!$N$12),Rules!$N$37),"-")</f>
        <v>-</v>
      </c>
      <c r="E24" s="69" t="str">
        <f>IF(ISNUMBER(C24),    ROUND( (D24*Rules!$N$11) / 100,0),"-")</f>
        <v>-</v>
      </c>
      <c r="F24" s="36" t="str">
        <f>IF(AND(ISNUMBER(C24),C24&gt;=Rules!$M$10,C24&lt;=Rules!$N$10),"Y","N")</f>
        <v>N</v>
      </c>
      <c r="G24" s="137" t="str">
        <f>'Eclectic A'!M24</f>
        <v>-</v>
      </c>
      <c r="H24" s="137" t="str">
        <f>'Eclectic A'!W24</f>
        <v>-</v>
      </c>
      <c r="I24" s="137" t="str">
        <f>'Eclectic A'!AJ24</f>
        <v>-</v>
      </c>
      <c r="J24" s="137" t="str">
        <f>'Eclectic A'!AT24</f>
        <v>-</v>
      </c>
      <c r="K24" s="108" t="str">
        <f t="shared" si="3"/>
        <v>-</v>
      </c>
      <c r="L24" s="108" t="str">
        <f t="shared" si="4"/>
        <v>-</v>
      </c>
      <c r="M24" s="108" t="str">
        <f t="shared" si="5"/>
        <v>-</v>
      </c>
      <c r="N24" s="108" t="str">
        <f t="shared" si="6"/>
        <v>-</v>
      </c>
      <c r="O24" s="108" t="str">
        <f t="shared" si="7"/>
        <v>-</v>
      </c>
      <c r="P24" s="108" t="str">
        <f t="shared" si="8"/>
        <v>-</v>
      </c>
      <c r="Q24" s="14" t="e">
        <f>RANK($K24,$K$5:$K$104,1)+COUNTIF(K$5:K24,K24)-1</f>
        <v>#VALUE!</v>
      </c>
      <c r="R24" s="14" t="e">
        <f t="shared" si="9"/>
        <v>#VALUE!</v>
      </c>
      <c r="S24" s="14" t="e">
        <f>RANK($L24,$L$5:$L$104,1)+COUNTIF(L$5:L24,L24)-1</f>
        <v>#VALUE!</v>
      </c>
      <c r="T24" s="14" t="e">
        <f t="shared" si="10"/>
        <v>#VALUE!</v>
      </c>
      <c r="U24" s="14" t="e">
        <f>RANK($M24,$M$5:$M$104,1)+COUNTIF(M$5:M24,M24)-1</f>
        <v>#VALUE!</v>
      </c>
      <c r="V24" s="14" t="e">
        <f t="shared" si="11"/>
        <v>#VALUE!</v>
      </c>
      <c r="W24" s="14" t="e">
        <f>RANK($N24,$N$5:$N$104,1)+COUNTIF(N$5:N24,N24)-1</f>
        <v>#VALUE!</v>
      </c>
      <c r="X24" s="14" t="e">
        <f t="shared" si="12"/>
        <v>#VALUE!</v>
      </c>
      <c r="Y24" s="14" t="e">
        <f>RANK($O24,$O$5:$O$104,1)+COUNTIF(O$5:O24,O24)-1</f>
        <v>#VALUE!</v>
      </c>
      <c r="Z24" s="14" t="e">
        <f t="shared" si="13"/>
        <v>#VALUE!</v>
      </c>
      <c r="AA24" s="14" t="e">
        <f>RANK($P24,$P$5:$P$104,1)+COUNTIF(P$5:P24,P24)-1</f>
        <v>#VALUE!</v>
      </c>
      <c r="AB24" s="14" t="e">
        <f t="shared" si="14"/>
        <v>#VALUE!</v>
      </c>
      <c r="AC24" s="1" t="str">
        <f t="shared" si="0"/>
        <v xml:space="preserve"> </v>
      </c>
      <c r="AD24" s="1" t="str">
        <f t="shared" si="1"/>
        <v>-</v>
      </c>
      <c r="AE24" s="35" t="str">
        <f t="shared" si="15"/>
        <v>-</v>
      </c>
      <c r="AF24" s="35" t="str">
        <f t="shared" si="16"/>
        <v>-</v>
      </c>
      <c r="AG24" s="35" t="str">
        <f t="shared" si="17"/>
        <v>-</v>
      </c>
      <c r="AH24" s="35" t="str">
        <f t="shared" si="18"/>
        <v>-</v>
      </c>
      <c r="AI24" s="35" t="str">
        <f t="shared" si="19"/>
        <v>-</v>
      </c>
      <c r="AJ24" s="35" t="str">
        <f t="shared" si="20"/>
        <v>-</v>
      </c>
      <c r="AL24" s="4">
        <v>20</v>
      </c>
      <c r="AM24" s="2" t="e">
        <f>VLOOKUP(AL24,Q$5:$AJ$104,$AN$2,FALSE)</f>
        <v>#N/A</v>
      </c>
      <c r="AN24" s="6" t="e">
        <f>VLOOKUP(AL24,Q$5:$AJ$104,$AN$2+11,FALSE)</f>
        <v>#N/A</v>
      </c>
      <c r="AO24" s="2" t="e">
        <f t="shared" si="21"/>
        <v>#N/A</v>
      </c>
      <c r="AQ24" s="4">
        <v>20</v>
      </c>
      <c r="AR24" s="2" t="e">
        <f>VLOOKUP(AQ24,$S$5:$AJ$104,$AS$2,FALSE)</f>
        <v>#N/A</v>
      </c>
      <c r="AS24" s="6" t="e">
        <f>VLOOKUP(AQ24,$S$5:$AJ$104,$AS$2+9,FALSE)</f>
        <v>#N/A</v>
      </c>
      <c r="AT24" s="2" t="e">
        <f>VLOOKUP(AR24,$S$5:$AJ$104,$AS$2+12,FALSE)</f>
        <v>#N/A</v>
      </c>
      <c r="AU24" s="9"/>
      <c r="AV24" s="4">
        <v>20</v>
      </c>
      <c r="AW24" s="2" t="e">
        <f>VLOOKUP(AV24,$U$5:$AJ$104,$AX$2,FALSE)</f>
        <v>#N/A</v>
      </c>
      <c r="AX24" s="6" t="e">
        <f>VLOOKUP(AV24,$U$5:$AJ$104,$AX$2+7,FALSE)</f>
        <v>#N/A</v>
      </c>
      <c r="AY24" s="2" t="e">
        <f>VLOOKUP(AW24,$U$5:$AJ$104,$AX$2+11,FALSE)</f>
        <v>#N/A</v>
      </c>
      <c r="BA24" s="4">
        <v>20</v>
      </c>
      <c r="BB24" s="2" t="e">
        <f>VLOOKUP(BA24,$W$5:$AJ$104,$BC$2,FALSE)</f>
        <v>#N/A</v>
      </c>
      <c r="BC24" s="6" t="e">
        <f>VLOOKUP(BA24,$W$5:$AJ$104,$BC$2+5,FALSE)</f>
        <v>#N/A</v>
      </c>
      <c r="BD24" s="2" t="e">
        <f>VLOOKUP(BB24,$W$5:$AJ$104,$BC$2+10,FALSE)</f>
        <v>#N/A</v>
      </c>
      <c r="BE24" s="9"/>
      <c r="BF24" s="4">
        <v>20</v>
      </c>
      <c r="BG24" s="2" t="e">
        <f>VLOOKUP(BF24,$Y$5:$AJ$104,$BH$2,FALSE)</f>
        <v>#N/A</v>
      </c>
      <c r="BH24" s="6" t="e">
        <f>VLOOKUP(BF24,$Y$5:$AJ$104,$BH$2+3,FALSE)</f>
        <v>#N/A</v>
      </c>
      <c r="BI24" s="58" t="e">
        <f>VLOOKUP(BG24,$Y$5:$AJ$104,$BH$2+9,FALSE)</f>
        <v>#N/A</v>
      </c>
      <c r="BK24" s="4">
        <v>20</v>
      </c>
      <c r="BL24" s="2" t="e">
        <f>VLOOKUP(BK24,$AA$5:$AJ$104,$BM$2,FALSE)</f>
        <v>#N/A</v>
      </c>
      <c r="BM24" s="6" t="e">
        <f>VLOOKUP(BK24,$AA$5:$AJ$104,$BM$2+1,FALSE)</f>
        <v>#N/A</v>
      </c>
      <c r="BN24" s="58" t="e">
        <f>VLOOKUP(BL24,$AA$5:$AJ$104,$BM$2+8,FALSE)</f>
        <v>#N/A</v>
      </c>
      <c r="BP24" s="2" t="e">
        <f>'Eclectic A'!CD24</f>
        <v>#N/A</v>
      </c>
      <c r="BQ24" s="6" t="e">
        <f>'Eclectic A'!CE24</f>
        <v>#N/A</v>
      </c>
      <c r="BR24" s="103" t="e">
        <f>'Eclectic A'!CF24</f>
        <v>#N/A</v>
      </c>
    </row>
    <row r="25" spans="1:70">
      <c r="A25" s="10" t="str">
        <f>IF(ISBLANK(Players!A23),"",Players!A23)</f>
        <v/>
      </c>
      <c r="B25" s="10" t="str">
        <f>IF(ISBLANK(Players!B23),"",Players!B23)</f>
        <v/>
      </c>
      <c r="C25" s="10" t="str">
        <f>IF(ISBLANK(Players!D23),"",Players!D23)</f>
        <v/>
      </c>
      <c r="D25" s="69" t="str">
        <f>IF(ISNUMBER(C25),MIN((C25*Rules!$N$14/113)+(Rules!$N$13-Rules!$N$12),Rules!$N$37),"-")</f>
        <v>-</v>
      </c>
      <c r="E25" s="69" t="str">
        <f>IF(ISNUMBER(C25),    ROUND( (D25*Rules!$N$11) / 100,0),"-")</f>
        <v>-</v>
      </c>
      <c r="F25" s="36" t="str">
        <f>IF(AND(ISNUMBER(C25),C25&gt;=Rules!$M$10,C25&lt;=Rules!$N$10),"Y","N")</f>
        <v>N</v>
      </c>
      <c r="G25" s="137" t="str">
        <f>'Eclectic A'!M25</f>
        <v>-</v>
      </c>
      <c r="H25" s="137" t="str">
        <f>'Eclectic A'!W25</f>
        <v>-</v>
      </c>
      <c r="I25" s="137" t="str">
        <f>'Eclectic A'!AJ25</f>
        <v>-</v>
      </c>
      <c r="J25" s="137" t="str">
        <f>'Eclectic A'!AT25</f>
        <v>-</v>
      </c>
      <c r="K25" s="108" t="str">
        <f t="shared" si="3"/>
        <v>-</v>
      </c>
      <c r="L25" s="108" t="str">
        <f t="shared" si="4"/>
        <v>-</v>
      </c>
      <c r="M25" s="108" t="str">
        <f t="shared" si="5"/>
        <v>-</v>
      </c>
      <c r="N25" s="108" t="str">
        <f t="shared" si="6"/>
        <v>-</v>
      </c>
      <c r="O25" s="108" t="str">
        <f t="shared" si="7"/>
        <v>-</v>
      </c>
      <c r="P25" s="108" t="str">
        <f t="shared" si="8"/>
        <v>-</v>
      </c>
      <c r="Q25" s="14" t="e">
        <f>RANK($K25,$K$5:$K$104,1)+COUNTIF(K$5:K25,K25)-1</f>
        <v>#VALUE!</v>
      </c>
      <c r="R25" s="14" t="e">
        <f t="shared" si="9"/>
        <v>#VALUE!</v>
      </c>
      <c r="S25" s="14" t="e">
        <f>RANK($L25,$L$5:$L$104,1)+COUNTIF(L$5:L25,L25)-1</f>
        <v>#VALUE!</v>
      </c>
      <c r="T25" s="14" t="e">
        <f t="shared" si="10"/>
        <v>#VALUE!</v>
      </c>
      <c r="U25" s="14" t="e">
        <f>RANK($M25,$M$5:$M$104,1)+COUNTIF(M$5:M25,M25)-1</f>
        <v>#VALUE!</v>
      </c>
      <c r="V25" s="14" t="e">
        <f t="shared" si="11"/>
        <v>#VALUE!</v>
      </c>
      <c r="W25" s="14" t="e">
        <f>RANK($N25,$N$5:$N$104,1)+COUNTIF(N$5:N25,N25)-1</f>
        <v>#VALUE!</v>
      </c>
      <c r="X25" s="14" t="e">
        <f t="shared" si="12"/>
        <v>#VALUE!</v>
      </c>
      <c r="Y25" s="14" t="e">
        <f>RANK($O25,$O$5:$O$104,1)+COUNTIF(O$5:O25,O25)-1</f>
        <v>#VALUE!</v>
      </c>
      <c r="Z25" s="14" t="e">
        <f t="shared" si="13"/>
        <v>#VALUE!</v>
      </c>
      <c r="AA25" s="14" t="e">
        <f>RANK($P25,$P$5:$P$104,1)+COUNTIF(P$5:P25,P25)-1</f>
        <v>#VALUE!</v>
      </c>
      <c r="AB25" s="14" t="e">
        <f t="shared" si="14"/>
        <v>#VALUE!</v>
      </c>
      <c r="AC25" s="1" t="str">
        <f t="shared" si="0"/>
        <v xml:space="preserve"> </v>
      </c>
      <c r="AD25" s="1" t="str">
        <f t="shared" si="1"/>
        <v>-</v>
      </c>
      <c r="AE25" s="35" t="str">
        <f t="shared" si="15"/>
        <v>-</v>
      </c>
      <c r="AF25" s="35" t="str">
        <f t="shared" si="16"/>
        <v>-</v>
      </c>
      <c r="AG25" s="35" t="str">
        <f t="shared" si="17"/>
        <v>-</v>
      </c>
      <c r="AH25" s="35" t="str">
        <f t="shared" si="18"/>
        <v>-</v>
      </c>
      <c r="AI25" s="35" t="str">
        <f t="shared" si="19"/>
        <v>-</v>
      </c>
      <c r="AJ25" s="35" t="str">
        <f t="shared" si="20"/>
        <v>-</v>
      </c>
      <c r="AL25" s="4">
        <v>21</v>
      </c>
      <c r="AM25" s="2" t="e">
        <f>VLOOKUP(AL25,Q$5:$AJ$104,$AN$2,FALSE)</f>
        <v>#N/A</v>
      </c>
      <c r="AN25" s="6" t="e">
        <f>VLOOKUP(AL25,Q$5:$AJ$104,$AN$2+11,FALSE)</f>
        <v>#N/A</v>
      </c>
      <c r="AO25" s="2" t="e">
        <f t="shared" si="21"/>
        <v>#N/A</v>
      </c>
      <c r="AQ25" s="4">
        <v>21</v>
      </c>
      <c r="AR25" s="2" t="e">
        <f>VLOOKUP(AQ25,$S$5:$AJ$104,$AS$2,FALSE)</f>
        <v>#N/A</v>
      </c>
      <c r="AS25" s="6" t="e">
        <f>VLOOKUP(AQ25,$S$5:$AJ$104,$AS$2+9,FALSE)</f>
        <v>#N/A</v>
      </c>
      <c r="AT25" s="2" t="e">
        <f>VLOOKUP(AR25,$S$5:$AJ$104,$AS$2+12,FALSE)</f>
        <v>#N/A</v>
      </c>
      <c r="AU25" s="9"/>
      <c r="AV25" s="4">
        <v>21</v>
      </c>
      <c r="AW25" s="2" t="e">
        <f>VLOOKUP(AV25,$U$5:$AJ$104,$AX$2,FALSE)</f>
        <v>#N/A</v>
      </c>
      <c r="AX25" s="6" t="e">
        <f>VLOOKUP(AV25,$U$5:$AJ$104,$AX$2+7,FALSE)</f>
        <v>#N/A</v>
      </c>
      <c r="AY25" s="2" t="e">
        <f>VLOOKUP(AW25,$U$5:$AJ$104,$AX$2+11,FALSE)</f>
        <v>#N/A</v>
      </c>
      <c r="BA25" s="4">
        <v>21</v>
      </c>
      <c r="BB25" s="2" t="e">
        <f>VLOOKUP(BA25,$W$5:$AJ$104,$BC$2,FALSE)</f>
        <v>#N/A</v>
      </c>
      <c r="BC25" s="6" t="e">
        <f>VLOOKUP(BA25,$W$5:$AJ$104,$BC$2+5,FALSE)</f>
        <v>#N/A</v>
      </c>
      <c r="BD25" s="2" t="e">
        <f>VLOOKUP(BB25,$W$5:$AJ$104,$BC$2+10,FALSE)</f>
        <v>#N/A</v>
      </c>
      <c r="BE25" s="9"/>
      <c r="BF25" s="4">
        <v>21</v>
      </c>
      <c r="BG25" s="2" t="e">
        <f>VLOOKUP(BF25,$Y$5:$AJ$104,$BH$2,FALSE)</f>
        <v>#N/A</v>
      </c>
      <c r="BH25" s="6" t="e">
        <f>VLOOKUP(BF25,$Y$5:$AJ$104,$BH$2+3,FALSE)</f>
        <v>#N/A</v>
      </c>
      <c r="BI25" s="58" t="e">
        <f>VLOOKUP(BG25,$Y$5:$AJ$104,$BH$2+9,FALSE)</f>
        <v>#N/A</v>
      </c>
      <c r="BK25" s="4">
        <v>21</v>
      </c>
      <c r="BL25" s="2" t="e">
        <f>VLOOKUP(BK25,$AA$5:$AJ$104,$BM$2,FALSE)</f>
        <v>#N/A</v>
      </c>
      <c r="BM25" s="6" t="e">
        <f>VLOOKUP(BK25,$AA$5:$AJ$104,$BM$2+1,FALSE)</f>
        <v>#N/A</v>
      </c>
      <c r="BN25" s="58" t="e">
        <f>VLOOKUP(BL25,$AA$5:$AJ$104,$BM$2+8,FALSE)</f>
        <v>#N/A</v>
      </c>
      <c r="BP25" s="2" t="e">
        <f>'Eclectic A'!CD25</f>
        <v>#N/A</v>
      </c>
      <c r="BQ25" s="6" t="e">
        <f>'Eclectic A'!CE25</f>
        <v>#N/A</v>
      </c>
      <c r="BR25" s="103" t="e">
        <f>'Eclectic A'!CF25</f>
        <v>#N/A</v>
      </c>
    </row>
    <row r="26" spans="1:70">
      <c r="A26" s="10" t="str">
        <f>IF(ISBLANK(Players!A24),"",Players!A24)</f>
        <v/>
      </c>
      <c r="B26" s="10" t="str">
        <f>IF(ISBLANK(Players!B24),"",Players!B24)</f>
        <v/>
      </c>
      <c r="C26" s="10" t="str">
        <f>IF(ISBLANK(Players!D24),"",Players!D24)</f>
        <v/>
      </c>
      <c r="D26" s="69" t="str">
        <f>IF(ISNUMBER(C26),MIN((C26*Rules!$N$14/113)+(Rules!$N$13-Rules!$N$12),Rules!$N$37),"-")</f>
        <v>-</v>
      </c>
      <c r="E26" s="69" t="str">
        <f>IF(ISNUMBER(C26),    ROUND( (D26*Rules!$N$11) / 100,0),"-")</f>
        <v>-</v>
      </c>
      <c r="F26" s="36" t="str">
        <f>IF(AND(ISNUMBER(C26),C26&gt;=Rules!$M$10,C26&lt;=Rules!$N$10),"Y","N")</f>
        <v>N</v>
      </c>
      <c r="G26" s="137" t="str">
        <f>'Eclectic A'!M26</f>
        <v>-</v>
      </c>
      <c r="H26" s="137" t="str">
        <f>'Eclectic A'!W26</f>
        <v>-</v>
      </c>
      <c r="I26" s="137" t="str">
        <f>'Eclectic A'!AJ26</f>
        <v>-</v>
      </c>
      <c r="J26" s="137" t="str">
        <f>'Eclectic A'!AT26</f>
        <v>-</v>
      </c>
      <c r="K26" s="108" t="str">
        <f t="shared" si="3"/>
        <v>-</v>
      </c>
      <c r="L26" s="108" t="str">
        <f t="shared" si="4"/>
        <v>-</v>
      </c>
      <c r="M26" s="108" t="str">
        <f t="shared" si="5"/>
        <v>-</v>
      </c>
      <c r="N26" s="108" t="str">
        <f t="shared" si="6"/>
        <v>-</v>
      </c>
      <c r="O26" s="108" t="str">
        <f t="shared" si="7"/>
        <v>-</v>
      </c>
      <c r="P26" s="108" t="str">
        <f t="shared" si="8"/>
        <v>-</v>
      </c>
      <c r="Q26" s="14" t="e">
        <f>RANK($K26,$K$5:$K$104,1)+COUNTIF(K$5:K26,K26)-1</f>
        <v>#VALUE!</v>
      </c>
      <c r="R26" s="14" t="e">
        <f t="shared" si="9"/>
        <v>#VALUE!</v>
      </c>
      <c r="S26" s="14" t="e">
        <f>RANK($L26,$L$5:$L$104,1)+COUNTIF(L$5:L26,L26)-1</f>
        <v>#VALUE!</v>
      </c>
      <c r="T26" s="14" t="e">
        <f t="shared" si="10"/>
        <v>#VALUE!</v>
      </c>
      <c r="U26" s="14" t="e">
        <f>RANK($M26,$M$5:$M$104,1)+COUNTIF(M$5:M26,M26)-1</f>
        <v>#VALUE!</v>
      </c>
      <c r="V26" s="14" t="e">
        <f t="shared" si="11"/>
        <v>#VALUE!</v>
      </c>
      <c r="W26" s="14" t="e">
        <f>RANK($N26,$N$5:$N$104,1)+COUNTIF(N$5:N26,N26)-1</f>
        <v>#VALUE!</v>
      </c>
      <c r="X26" s="14" t="e">
        <f t="shared" si="12"/>
        <v>#VALUE!</v>
      </c>
      <c r="Y26" s="14" t="e">
        <f>RANK($O26,$O$5:$O$104,1)+COUNTIF(O$5:O26,O26)-1</f>
        <v>#VALUE!</v>
      </c>
      <c r="Z26" s="14" t="e">
        <f t="shared" si="13"/>
        <v>#VALUE!</v>
      </c>
      <c r="AA26" s="14" t="e">
        <f>RANK($P26,$P$5:$P$104,1)+COUNTIF(P$5:P26,P26)-1</f>
        <v>#VALUE!</v>
      </c>
      <c r="AB26" s="14" t="e">
        <f t="shared" si="14"/>
        <v>#VALUE!</v>
      </c>
      <c r="AC26" s="1" t="str">
        <f t="shared" si="0"/>
        <v xml:space="preserve"> </v>
      </c>
      <c r="AD26" s="1" t="str">
        <f t="shared" si="1"/>
        <v>-</v>
      </c>
      <c r="AE26" s="35" t="str">
        <f t="shared" si="15"/>
        <v>-</v>
      </c>
      <c r="AF26" s="35" t="str">
        <f t="shared" si="16"/>
        <v>-</v>
      </c>
      <c r="AG26" s="35" t="str">
        <f t="shared" si="17"/>
        <v>-</v>
      </c>
      <c r="AH26" s="35" t="str">
        <f t="shared" si="18"/>
        <v>-</v>
      </c>
      <c r="AI26" s="35" t="str">
        <f t="shared" si="19"/>
        <v>-</v>
      </c>
      <c r="AJ26" s="35" t="str">
        <f t="shared" si="20"/>
        <v>-</v>
      </c>
      <c r="AL26" s="4">
        <v>22</v>
      </c>
      <c r="AM26" s="2" t="e">
        <f>VLOOKUP(AL26,Q$5:$AJ$104,$AN$2,FALSE)</f>
        <v>#N/A</v>
      </c>
      <c r="AN26" s="6" t="e">
        <f>VLOOKUP(AL26,Q$5:$AJ$104,$AN$2+11,FALSE)</f>
        <v>#N/A</v>
      </c>
      <c r="AO26" s="2" t="e">
        <f t="shared" si="21"/>
        <v>#N/A</v>
      </c>
      <c r="AQ26" s="4">
        <v>22</v>
      </c>
      <c r="AR26" s="2" t="e">
        <f>VLOOKUP(AQ26,$S$5:$AJ$104,$AS$2,FALSE)</f>
        <v>#N/A</v>
      </c>
      <c r="AS26" s="6" t="e">
        <f>VLOOKUP(AQ26,$S$5:$AJ$104,$AS$2+9,FALSE)</f>
        <v>#N/A</v>
      </c>
      <c r="AT26" s="2" t="e">
        <f>VLOOKUP(AR26,$S$5:$AJ$104,$AS$2+12,FALSE)</f>
        <v>#N/A</v>
      </c>
      <c r="AU26" s="9"/>
      <c r="AV26" s="4">
        <v>22</v>
      </c>
      <c r="AW26" s="2" t="e">
        <f>VLOOKUP(AV26,$U$5:$AJ$104,$AX$2,FALSE)</f>
        <v>#N/A</v>
      </c>
      <c r="AX26" s="6" t="e">
        <f>VLOOKUP(AV26,$U$5:$AJ$104,$AX$2+7,FALSE)</f>
        <v>#N/A</v>
      </c>
      <c r="AY26" s="2" t="e">
        <f>VLOOKUP(AW26,$U$5:$AJ$104,$AX$2+11,FALSE)</f>
        <v>#N/A</v>
      </c>
      <c r="BA26" s="4">
        <v>22</v>
      </c>
      <c r="BB26" s="2" t="e">
        <f>VLOOKUP(BA26,$W$5:$AJ$104,$BC$2,FALSE)</f>
        <v>#N/A</v>
      </c>
      <c r="BC26" s="6" t="e">
        <f>VLOOKUP(BA26,$W$5:$AJ$104,$BC$2+5,FALSE)</f>
        <v>#N/A</v>
      </c>
      <c r="BD26" s="2" t="e">
        <f>VLOOKUP(BB26,$W$5:$AJ$104,$BC$2+10,FALSE)</f>
        <v>#N/A</v>
      </c>
      <c r="BE26" s="9"/>
      <c r="BF26" s="4">
        <v>22</v>
      </c>
      <c r="BG26" s="2" t="e">
        <f>VLOOKUP(BF26,$Y$5:$AJ$104,$BH$2,FALSE)</f>
        <v>#N/A</v>
      </c>
      <c r="BH26" s="6" t="e">
        <f>VLOOKUP(BF26,$Y$5:$AJ$104,$BH$2+3,FALSE)</f>
        <v>#N/A</v>
      </c>
      <c r="BI26" s="58" t="e">
        <f>VLOOKUP(BG26,$Y$5:$AJ$104,$BH$2+9,FALSE)</f>
        <v>#N/A</v>
      </c>
      <c r="BK26" s="4">
        <v>22</v>
      </c>
      <c r="BL26" s="2" t="e">
        <f>VLOOKUP(BK26,$AA$5:$AJ$104,$BM$2,FALSE)</f>
        <v>#N/A</v>
      </c>
      <c r="BM26" s="6" t="e">
        <f>VLOOKUP(BK26,$AA$5:$AJ$104,$BM$2+1,FALSE)</f>
        <v>#N/A</v>
      </c>
      <c r="BN26" s="58" t="e">
        <f>VLOOKUP(BL26,$AA$5:$AJ$104,$BM$2+8,FALSE)</f>
        <v>#N/A</v>
      </c>
      <c r="BP26" s="2" t="e">
        <f>'Eclectic A'!CD26</f>
        <v>#N/A</v>
      </c>
      <c r="BQ26" s="6" t="e">
        <f>'Eclectic A'!CE26</f>
        <v>#N/A</v>
      </c>
      <c r="BR26" s="103" t="e">
        <f>'Eclectic A'!CF26</f>
        <v>#N/A</v>
      </c>
    </row>
    <row r="27" spans="1:70">
      <c r="A27" s="10" t="str">
        <f>IF(ISBLANK(Players!A25),"",Players!A25)</f>
        <v/>
      </c>
      <c r="B27" s="10" t="str">
        <f>IF(ISBLANK(Players!B25),"",Players!B25)</f>
        <v/>
      </c>
      <c r="C27" s="10" t="str">
        <f>IF(ISBLANK(Players!D25),"",Players!D25)</f>
        <v/>
      </c>
      <c r="D27" s="69" t="str">
        <f>IF(ISNUMBER(C27),MIN((C27*Rules!$N$14/113)+(Rules!$N$13-Rules!$N$12),Rules!$N$37),"-")</f>
        <v>-</v>
      </c>
      <c r="E27" s="69" t="str">
        <f>IF(ISNUMBER(C27),    ROUND( (D27*Rules!$N$11) / 100,0),"-")</f>
        <v>-</v>
      </c>
      <c r="F27" s="36" t="str">
        <f>IF(AND(ISNUMBER(C27),C27&gt;=Rules!$M$10,C27&lt;=Rules!$N$10),"Y","N")</f>
        <v>N</v>
      </c>
      <c r="G27" s="137" t="str">
        <f>'Eclectic A'!M27</f>
        <v>-</v>
      </c>
      <c r="H27" s="137" t="str">
        <f>'Eclectic A'!W27</f>
        <v>-</v>
      </c>
      <c r="I27" s="137" t="str">
        <f>'Eclectic A'!AJ27</f>
        <v>-</v>
      </c>
      <c r="J27" s="137" t="str">
        <f>'Eclectic A'!AT27</f>
        <v>-</v>
      </c>
      <c r="K27" s="108" t="str">
        <f t="shared" si="3"/>
        <v>-</v>
      </c>
      <c r="L27" s="108" t="str">
        <f t="shared" si="4"/>
        <v>-</v>
      </c>
      <c r="M27" s="108" t="str">
        <f t="shared" si="5"/>
        <v>-</v>
      </c>
      <c r="N27" s="108" t="str">
        <f t="shared" si="6"/>
        <v>-</v>
      </c>
      <c r="O27" s="108" t="str">
        <f t="shared" si="7"/>
        <v>-</v>
      </c>
      <c r="P27" s="108" t="str">
        <f t="shared" si="8"/>
        <v>-</v>
      </c>
      <c r="Q27" s="14" t="e">
        <f>RANK($K27,$K$5:$K$104,1)+COUNTIF(K$5:K27,K27)-1</f>
        <v>#VALUE!</v>
      </c>
      <c r="R27" s="14" t="e">
        <f t="shared" si="9"/>
        <v>#VALUE!</v>
      </c>
      <c r="S27" s="14" t="e">
        <f>RANK($L27,$L$5:$L$104,1)+COUNTIF(L$5:L27,L27)-1</f>
        <v>#VALUE!</v>
      </c>
      <c r="T27" s="14" t="e">
        <f t="shared" si="10"/>
        <v>#VALUE!</v>
      </c>
      <c r="U27" s="14" t="e">
        <f>RANK($M27,$M$5:$M$104,1)+COUNTIF(M$5:M27,M27)-1</f>
        <v>#VALUE!</v>
      </c>
      <c r="V27" s="14" t="e">
        <f t="shared" si="11"/>
        <v>#VALUE!</v>
      </c>
      <c r="W27" s="14" t="e">
        <f>RANK($N27,$N$5:$N$104,1)+COUNTIF(N$5:N27,N27)-1</f>
        <v>#VALUE!</v>
      </c>
      <c r="X27" s="14" t="e">
        <f t="shared" si="12"/>
        <v>#VALUE!</v>
      </c>
      <c r="Y27" s="14" t="e">
        <f>RANK($O27,$O$5:$O$104,1)+COUNTIF(O$5:O27,O27)-1</f>
        <v>#VALUE!</v>
      </c>
      <c r="Z27" s="14" t="e">
        <f t="shared" si="13"/>
        <v>#VALUE!</v>
      </c>
      <c r="AA27" s="14" t="e">
        <f>RANK($P27,$P$5:$P$104,1)+COUNTIF(P$5:P27,P27)-1</f>
        <v>#VALUE!</v>
      </c>
      <c r="AB27" s="14" t="e">
        <f t="shared" si="14"/>
        <v>#VALUE!</v>
      </c>
      <c r="AC27" s="1" t="str">
        <f t="shared" si="0"/>
        <v xml:space="preserve"> </v>
      </c>
      <c r="AD27" s="1" t="str">
        <f t="shared" si="1"/>
        <v>-</v>
      </c>
      <c r="AE27" s="35" t="str">
        <f t="shared" si="15"/>
        <v>-</v>
      </c>
      <c r="AF27" s="35" t="str">
        <f t="shared" si="16"/>
        <v>-</v>
      </c>
      <c r="AG27" s="35" t="str">
        <f t="shared" si="17"/>
        <v>-</v>
      </c>
      <c r="AH27" s="35" t="str">
        <f t="shared" si="18"/>
        <v>-</v>
      </c>
      <c r="AI27" s="35" t="str">
        <f t="shared" si="19"/>
        <v>-</v>
      </c>
      <c r="AJ27" s="35" t="str">
        <f t="shared" si="20"/>
        <v>-</v>
      </c>
      <c r="AL27" s="4">
        <v>23</v>
      </c>
      <c r="AM27" s="2" t="e">
        <f>VLOOKUP(AL27,Q$5:$AJ$104,$AN$2,FALSE)</f>
        <v>#N/A</v>
      </c>
      <c r="AN27" s="6" t="e">
        <f>VLOOKUP(AL27,Q$5:$AJ$104,$AN$2+11,FALSE)</f>
        <v>#N/A</v>
      </c>
      <c r="AO27" s="2" t="e">
        <f t="shared" si="21"/>
        <v>#N/A</v>
      </c>
      <c r="AQ27" s="4">
        <v>23</v>
      </c>
      <c r="AR27" s="2" t="e">
        <f>VLOOKUP(AQ27,$S$5:$AJ$104,$AS$2,FALSE)</f>
        <v>#N/A</v>
      </c>
      <c r="AS27" s="6" t="e">
        <f>VLOOKUP(AQ27,$S$5:$AJ$104,$AS$2+9,FALSE)</f>
        <v>#N/A</v>
      </c>
      <c r="AT27" s="2" t="e">
        <f>VLOOKUP(AR27,$S$5:$AJ$104,$AS$2+12,FALSE)</f>
        <v>#N/A</v>
      </c>
      <c r="AU27" s="9"/>
      <c r="AV27" s="4">
        <v>23</v>
      </c>
      <c r="AW27" s="2" t="e">
        <f>VLOOKUP(AV27,$U$5:$AJ$104,$AX$2,FALSE)</f>
        <v>#N/A</v>
      </c>
      <c r="AX27" s="6" t="e">
        <f>VLOOKUP(AV27,$U$5:$AJ$104,$AX$2+7,FALSE)</f>
        <v>#N/A</v>
      </c>
      <c r="AY27" s="2" t="e">
        <f>VLOOKUP(AW27,$U$5:$AJ$104,$AX$2+11,FALSE)</f>
        <v>#N/A</v>
      </c>
      <c r="BA27" s="4">
        <v>23</v>
      </c>
      <c r="BB27" s="2" t="e">
        <f>VLOOKUP(BA27,$W$5:$AJ$104,$BC$2,FALSE)</f>
        <v>#N/A</v>
      </c>
      <c r="BC27" s="6" t="e">
        <f>VLOOKUP(BA27,$W$5:$AJ$104,$BC$2+5,FALSE)</f>
        <v>#N/A</v>
      </c>
      <c r="BD27" s="2" t="e">
        <f>VLOOKUP(BB27,$W$5:$AJ$104,$BC$2+10,FALSE)</f>
        <v>#N/A</v>
      </c>
      <c r="BE27" s="9"/>
      <c r="BF27" s="4">
        <v>23</v>
      </c>
      <c r="BG27" s="2" t="e">
        <f>VLOOKUP(BF27,$Y$5:$AJ$104,$BH$2,FALSE)</f>
        <v>#N/A</v>
      </c>
      <c r="BH27" s="6" t="e">
        <f>VLOOKUP(BF27,$Y$5:$AJ$104,$BH$2+3,FALSE)</f>
        <v>#N/A</v>
      </c>
      <c r="BI27" s="58" t="e">
        <f>VLOOKUP(BG27,$Y$5:$AJ$104,$BH$2+9,FALSE)</f>
        <v>#N/A</v>
      </c>
      <c r="BK27" s="4">
        <v>23</v>
      </c>
      <c r="BL27" s="2" t="e">
        <f>VLOOKUP(BK27,$AA$5:$AJ$104,$BM$2,FALSE)</f>
        <v>#N/A</v>
      </c>
      <c r="BM27" s="6" t="e">
        <f>VLOOKUP(BK27,$AA$5:$AJ$104,$BM$2+1,FALSE)</f>
        <v>#N/A</v>
      </c>
      <c r="BN27" s="58" t="e">
        <f>VLOOKUP(BL27,$AA$5:$AJ$104,$BM$2+8,FALSE)</f>
        <v>#N/A</v>
      </c>
      <c r="BP27" s="2" t="e">
        <f>'Eclectic A'!CD27</f>
        <v>#N/A</v>
      </c>
      <c r="BQ27" s="6" t="e">
        <f>'Eclectic A'!CE27</f>
        <v>#N/A</v>
      </c>
      <c r="BR27" s="103" t="e">
        <f>'Eclectic A'!CF27</f>
        <v>#N/A</v>
      </c>
    </row>
    <row r="28" spans="1:70">
      <c r="A28" s="10" t="str">
        <f>IF(ISBLANK(Players!A26),"",Players!A26)</f>
        <v/>
      </c>
      <c r="B28" s="10" t="str">
        <f>IF(ISBLANK(Players!B26),"",Players!B26)</f>
        <v/>
      </c>
      <c r="C28" s="10" t="str">
        <f>IF(ISBLANK(Players!D26),"",Players!D26)</f>
        <v/>
      </c>
      <c r="D28" s="69" t="str">
        <f>IF(ISNUMBER(C28),MIN((C28*Rules!$N$14/113)+(Rules!$N$13-Rules!$N$12),Rules!$N$37),"-")</f>
        <v>-</v>
      </c>
      <c r="E28" s="69" t="str">
        <f>IF(ISNUMBER(C28),    ROUND( (D28*Rules!$N$11) / 100,0),"-")</f>
        <v>-</v>
      </c>
      <c r="F28" s="36" t="str">
        <f>IF(AND(ISNUMBER(C28),C28&gt;=Rules!$M$10,C28&lt;=Rules!$N$10),"Y","N")</f>
        <v>N</v>
      </c>
      <c r="G28" s="137" t="str">
        <f>'Eclectic A'!M28</f>
        <v>-</v>
      </c>
      <c r="H28" s="137" t="str">
        <f>'Eclectic A'!W28</f>
        <v>-</v>
      </c>
      <c r="I28" s="137" t="str">
        <f>'Eclectic A'!AJ28</f>
        <v>-</v>
      </c>
      <c r="J28" s="137" t="str">
        <f>'Eclectic A'!AT28</f>
        <v>-</v>
      </c>
      <c r="K28" s="108" t="str">
        <f t="shared" si="3"/>
        <v>-</v>
      </c>
      <c r="L28" s="108" t="str">
        <f t="shared" si="4"/>
        <v>-</v>
      </c>
      <c r="M28" s="108" t="str">
        <f t="shared" si="5"/>
        <v>-</v>
      </c>
      <c r="N28" s="108" t="str">
        <f t="shared" si="6"/>
        <v>-</v>
      </c>
      <c r="O28" s="108" t="str">
        <f t="shared" si="7"/>
        <v>-</v>
      </c>
      <c r="P28" s="108" t="str">
        <f t="shared" si="8"/>
        <v>-</v>
      </c>
      <c r="Q28" s="14" t="e">
        <f>RANK($K28,$K$5:$K$104,1)+COUNTIF(K$5:K28,K28)-1</f>
        <v>#VALUE!</v>
      </c>
      <c r="R28" s="14" t="e">
        <f t="shared" si="9"/>
        <v>#VALUE!</v>
      </c>
      <c r="S28" s="14" t="e">
        <f>RANK($L28,$L$5:$L$104,1)+COUNTIF(L$5:L28,L28)-1</f>
        <v>#VALUE!</v>
      </c>
      <c r="T28" s="14" t="e">
        <f t="shared" si="10"/>
        <v>#VALUE!</v>
      </c>
      <c r="U28" s="14" t="e">
        <f>RANK($M28,$M$5:$M$104,1)+COUNTIF(M$5:M28,M28)-1</f>
        <v>#VALUE!</v>
      </c>
      <c r="V28" s="14" t="e">
        <f t="shared" si="11"/>
        <v>#VALUE!</v>
      </c>
      <c r="W28" s="14" t="e">
        <f>RANK($N28,$N$5:$N$104,1)+COUNTIF(N$5:N28,N28)-1</f>
        <v>#VALUE!</v>
      </c>
      <c r="X28" s="14" t="e">
        <f t="shared" si="12"/>
        <v>#VALUE!</v>
      </c>
      <c r="Y28" s="14" t="e">
        <f>RANK($O28,$O$5:$O$104,1)+COUNTIF(O$5:O28,O28)-1</f>
        <v>#VALUE!</v>
      </c>
      <c r="Z28" s="14" t="e">
        <f t="shared" si="13"/>
        <v>#VALUE!</v>
      </c>
      <c r="AA28" s="14" t="e">
        <f>RANK($P28,$P$5:$P$104,1)+COUNTIF(P$5:P28,P28)-1</f>
        <v>#VALUE!</v>
      </c>
      <c r="AB28" s="14" t="e">
        <f t="shared" si="14"/>
        <v>#VALUE!</v>
      </c>
      <c r="AC28" s="1" t="str">
        <f t="shared" si="0"/>
        <v xml:space="preserve"> </v>
      </c>
      <c r="AD28" s="1" t="str">
        <f t="shared" si="1"/>
        <v>-</v>
      </c>
      <c r="AE28" s="35" t="str">
        <f t="shared" si="15"/>
        <v>-</v>
      </c>
      <c r="AF28" s="35" t="str">
        <f t="shared" si="16"/>
        <v>-</v>
      </c>
      <c r="AG28" s="35" t="str">
        <f t="shared" si="17"/>
        <v>-</v>
      </c>
      <c r="AH28" s="35" t="str">
        <f t="shared" si="18"/>
        <v>-</v>
      </c>
      <c r="AI28" s="35" t="str">
        <f t="shared" si="19"/>
        <v>-</v>
      </c>
      <c r="AJ28" s="35" t="str">
        <f t="shared" si="20"/>
        <v>-</v>
      </c>
      <c r="AL28" s="4">
        <v>24</v>
      </c>
      <c r="AM28" s="2" t="e">
        <f>VLOOKUP(AL28,Q$5:$AJ$104,$AN$2,FALSE)</f>
        <v>#N/A</v>
      </c>
      <c r="AN28" s="6" t="e">
        <f>VLOOKUP(AL28,Q$5:$AJ$104,$AN$2+11,FALSE)</f>
        <v>#N/A</v>
      </c>
      <c r="AO28" s="2" t="e">
        <f t="shared" si="21"/>
        <v>#N/A</v>
      </c>
      <c r="AQ28" s="4">
        <v>24</v>
      </c>
      <c r="AR28" s="2" t="e">
        <f>VLOOKUP(AQ28,$S$5:$AJ$104,$AS$2,FALSE)</f>
        <v>#N/A</v>
      </c>
      <c r="AS28" s="6" t="e">
        <f>VLOOKUP(AQ28,$S$5:$AJ$104,$AS$2+9,FALSE)</f>
        <v>#N/A</v>
      </c>
      <c r="AT28" s="2" t="e">
        <f>VLOOKUP(AR28,$S$5:$AJ$104,$AS$2+12,FALSE)</f>
        <v>#N/A</v>
      </c>
      <c r="AU28" s="9"/>
      <c r="AV28" s="4">
        <v>24</v>
      </c>
      <c r="AW28" s="2" t="e">
        <f>VLOOKUP(AV28,$U$5:$AJ$104,$AX$2,FALSE)</f>
        <v>#N/A</v>
      </c>
      <c r="AX28" s="6" t="e">
        <f>VLOOKUP(AV28,$U$5:$AJ$104,$AX$2+7,FALSE)</f>
        <v>#N/A</v>
      </c>
      <c r="AY28" s="2" t="e">
        <f>VLOOKUP(AW28,$U$5:$AJ$104,$AX$2+11,FALSE)</f>
        <v>#N/A</v>
      </c>
      <c r="BA28" s="4">
        <v>24</v>
      </c>
      <c r="BB28" s="2" t="e">
        <f>VLOOKUP(BA28,$W$5:$AJ$104,$BC$2,FALSE)</f>
        <v>#N/A</v>
      </c>
      <c r="BC28" s="6" t="e">
        <f>VLOOKUP(BA28,$W$5:$AJ$104,$BC$2+5,FALSE)</f>
        <v>#N/A</v>
      </c>
      <c r="BD28" s="2" t="e">
        <f>VLOOKUP(BB28,$W$5:$AJ$104,$BC$2+10,FALSE)</f>
        <v>#N/A</v>
      </c>
      <c r="BE28" s="9"/>
      <c r="BF28" s="4">
        <v>24</v>
      </c>
      <c r="BG28" s="2" t="e">
        <f>VLOOKUP(BF28,$Y$5:$AJ$104,$BH$2,FALSE)</f>
        <v>#N/A</v>
      </c>
      <c r="BH28" s="6" t="e">
        <f>VLOOKUP(BF28,$Y$5:$AJ$104,$BH$2+3,FALSE)</f>
        <v>#N/A</v>
      </c>
      <c r="BI28" s="58" t="e">
        <f>VLOOKUP(BG28,$Y$5:$AJ$104,$BH$2+9,FALSE)</f>
        <v>#N/A</v>
      </c>
      <c r="BK28" s="4">
        <v>24</v>
      </c>
      <c r="BL28" s="2" t="e">
        <f>VLOOKUP(BK28,$AA$5:$AJ$104,$BM$2,FALSE)</f>
        <v>#N/A</v>
      </c>
      <c r="BM28" s="6" t="e">
        <f>VLOOKUP(BK28,$AA$5:$AJ$104,$BM$2+1,FALSE)</f>
        <v>#N/A</v>
      </c>
      <c r="BN28" s="58" t="e">
        <f>VLOOKUP(BL28,$AA$5:$AJ$104,$BM$2+8,FALSE)</f>
        <v>#N/A</v>
      </c>
      <c r="BP28" s="2" t="e">
        <f>'Eclectic A'!CD28</f>
        <v>#N/A</v>
      </c>
      <c r="BQ28" s="6" t="e">
        <f>'Eclectic A'!CE28</f>
        <v>#N/A</v>
      </c>
      <c r="BR28" s="103" t="e">
        <f>'Eclectic A'!CF28</f>
        <v>#N/A</v>
      </c>
    </row>
    <row r="29" spans="1:70">
      <c r="A29" s="10" t="str">
        <f>IF(ISBLANK(Players!A27),"",Players!A27)</f>
        <v/>
      </c>
      <c r="B29" s="10" t="str">
        <f>IF(ISBLANK(Players!B27),"",Players!B27)</f>
        <v/>
      </c>
      <c r="C29" s="10" t="str">
        <f>IF(ISBLANK(Players!D27),"",Players!D27)</f>
        <v/>
      </c>
      <c r="D29" s="69" t="str">
        <f>IF(ISNUMBER(C29),MIN((C29*Rules!$N$14/113)+(Rules!$N$13-Rules!$N$12),Rules!$N$37),"-")</f>
        <v>-</v>
      </c>
      <c r="E29" s="69" t="str">
        <f>IF(ISNUMBER(C29),    ROUND( (D29*Rules!$N$11) / 100,0),"-")</f>
        <v>-</v>
      </c>
      <c r="F29" s="36" t="str">
        <f>IF(AND(ISNUMBER(C29),C29&gt;=Rules!$M$10,C29&lt;=Rules!$N$10),"Y","N")</f>
        <v>N</v>
      </c>
      <c r="G29" s="137" t="str">
        <f>'Eclectic A'!M29</f>
        <v>-</v>
      </c>
      <c r="H29" s="137" t="str">
        <f>'Eclectic A'!W29</f>
        <v>-</v>
      </c>
      <c r="I29" s="137" t="str">
        <f>'Eclectic A'!AJ29</f>
        <v>-</v>
      </c>
      <c r="J29" s="137" t="str">
        <f>'Eclectic A'!AT29</f>
        <v>-</v>
      </c>
      <c r="K29" s="108" t="str">
        <f t="shared" si="3"/>
        <v>-</v>
      </c>
      <c r="L29" s="108" t="str">
        <f t="shared" si="4"/>
        <v>-</v>
      </c>
      <c r="M29" s="108" t="str">
        <f t="shared" si="5"/>
        <v>-</v>
      </c>
      <c r="N29" s="108" t="str">
        <f t="shared" si="6"/>
        <v>-</v>
      </c>
      <c r="O29" s="108" t="str">
        <f t="shared" si="7"/>
        <v>-</v>
      </c>
      <c r="P29" s="108" t="str">
        <f t="shared" si="8"/>
        <v>-</v>
      </c>
      <c r="Q29" s="14" t="e">
        <f>RANK($K29,$K$5:$K$104,1)+COUNTIF(K$5:K29,K29)-1</f>
        <v>#VALUE!</v>
      </c>
      <c r="R29" s="14" t="e">
        <f t="shared" si="9"/>
        <v>#VALUE!</v>
      </c>
      <c r="S29" s="14" t="e">
        <f>RANK($L29,$L$5:$L$104,1)+COUNTIF(L$5:L29,L29)-1</f>
        <v>#VALUE!</v>
      </c>
      <c r="T29" s="14" t="e">
        <f t="shared" si="10"/>
        <v>#VALUE!</v>
      </c>
      <c r="U29" s="14" t="e">
        <f>RANK($M29,$M$5:$M$104,1)+COUNTIF(M$5:M29,M29)-1</f>
        <v>#VALUE!</v>
      </c>
      <c r="V29" s="14" t="e">
        <f t="shared" si="11"/>
        <v>#VALUE!</v>
      </c>
      <c r="W29" s="14" t="e">
        <f>RANK($N29,$N$5:$N$104,1)+COUNTIF(N$5:N29,N29)-1</f>
        <v>#VALUE!</v>
      </c>
      <c r="X29" s="14" t="e">
        <f t="shared" si="12"/>
        <v>#VALUE!</v>
      </c>
      <c r="Y29" s="14" t="e">
        <f>RANK($O29,$O$5:$O$104,1)+COUNTIF(O$5:O29,O29)-1</f>
        <v>#VALUE!</v>
      </c>
      <c r="Z29" s="14" t="e">
        <f t="shared" si="13"/>
        <v>#VALUE!</v>
      </c>
      <c r="AA29" s="14" t="e">
        <f>RANK($P29,$P$5:$P$104,1)+COUNTIF(P$5:P29,P29)-1</f>
        <v>#VALUE!</v>
      </c>
      <c r="AB29" s="14" t="e">
        <f t="shared" si="14"/>
        <v>#VALUE!</v>
      </c>
      <c r="AC29" s="1" t="str">
        <f t="shared" si="0"/>
        <v xml:space="preserve"> </v>
      </c>
      <c r="AD29" s="1" t="str">
        <f t="shared" si="1"/>
        <v>-</v>
      </c>
      <c r="AE29" s="35" t="str">
        <f t="shared" si="15"/>
        <v>-</v>
      </c>
      <c r="AF29" s="35" t="str">
        <f t="shared" si="16"/>
        <v>-</v>
      </c>
      <c r="AG29" s="35" t="str">
        <f t="shared" si="17"/>
        <v>-</v>
      </c>
      <c r="AH29" s="35" t="str">
        <f t="shared" si="18"/>
        <v>-</v>
      </c>
      <c r="AI29" s="35" t="str">
        <f t="shared" si="19"/>
        <v>-</v>
      </c>
      <c r="AJ29" s="35" t="str">
        <f t="shared" si="20"/>
        <v>-</v>
      </c>
      <c r="AL29" s="4">
        <v>25</v>
      </c>
      <c r="AM29" s="2" t="e">
        <f>VLOOKUP(AL29,Q$5:$AJ$104,$AN$2,FALSE)</f>
        <v>#N/A</v>
      </c>
      <c r="AN29" s="6" t="e">
        <f>VLOOKUP(AL29,Q$5:$AJ$104,$AN$2+11,FALSE)</f>
        <v>#N/A</v>
      </c>
      <c r="AO29" s="2" t="e">
        <f t="shared" si="21"/>
        <v>#N/A</v>
      </c>
      <c r="AQ29" s="4">
        <v>25</v>
      </c>
      <c r="AR29" s="2" t="e">
        <f>VLOOKUP(AQ29,$S$5:$AJ$104,$AS$2,FALSE)</f>
        <v>#N/A</v>
      </c>
      <c r="AS29" s="6" t="e">
        <f>VLOOKUP(AQ29,$S$5:$AJ$104,$AS$2+9,FALSE)</f>
        <v>#N/A</v>
      </c>
      <c r="AT29" s="2" t="e">
        <f>VLOOKUP(AR29,$S$5:$AJ$104,$AS$2+12,FALSE)</f>
        <v>#N/A</v>
      </c>
      <c r="AU29" s="9"/>
      <c r="AV29" s="4">
        <v>25</v>
      </c>
      <c r="AW29" s="2" t="e">
        <f>VLOOKUP(AV29,$U$5:$AJ$104,$AX$2,FALSE)</f>
        <v>#N/A</v>
      </c>
      <c r="AX29" s="6" t="e">
        <f>VLOOKUP(AV29,$U$5:$AJ$104,$AX$2+7,FALSE)</f>
        <v>#N/A</v>
      </c>
      <c r="AY29" s="2" t="e">
        <f>VLOOKUP(AW29,$U$5:$AJ$104,$AX$2+11,FALSE)</f>
        <v>#N/A</v>
      </c>
      <c r="BA29" s="4">
        <v>25</v>
      </c>
      <c r="BB29" s="2" t="e">
        <f>VLOOKUP(BA29,$W$5:$AJ$104,$BC$2,FALSE)</f>
        <v>#N/A</v>
      </c>
      <c r="BC29" s="6" t="e">
        <f>VLOOKUP(BA29,$W$5:$AJ$104,$BC$2+5,FALSE)</f>
        <v>#N/A</v>
      </c>
      <c r="BD29" s="2" t="e">
        <f>VLOOKUP(BB29,$W$5:$AJ$104,$BC$2+10,FALSE)</f>
        <v>#N/A</v>
      </c>
      <c r="BE29" s="9"/>
      <c r="BF29" s="4">
        <v>25</v>
      </c>
      <c r="BG29" s="2" t="e">
        <f>VLOOKUP(BF29,$Y$5:$AJ$104,$BH$2,FALSE)</f>
        <v>#N/A</v>
      </c>
      <c r="BH29" s="6" t="e">
        <f>VLOOKUP(BF29,$Y$5:$AJ$104,$BH$2+3,FALSE)</f>
        <v>#N/A</v>
      </c>
      <c r="BI29" s="58" t="e">
        <f>VLOOKUP(BG29,$Y$5:$AJ$104,$BH$2+9,FALSE)</f>
        <v>#N/A</v>
      </c>
      <c r="BK29" s="4">
        <v>25</v>
      </c>
      <c r="BL29" s="2" t="e">
        <f>VLOOKUP(BK29,$AA$5:$AJ$104,$BM$2,FALSE)</f>
        <v>#N/A</v>
      </c>
      <c r="BM29" s="6" t="e">
        <f>VLOOKUP(BK29,$AA$5:$AJ$104,$BM$2+1,FALSE)</f>
        <v>#N/A</v>
      </c>
      <c r="BN29" s="58" t="e">
        <f>VLOOKUP(BL29,$AA$5:$AJ$104,$BM$2+8,FALSE)</f>
        <v>#N/A</v>
      </c>
      <c r="BP29" s="2" t="e">
        <f>'Eclectic A'!CD29</f>
        <v>#N/A</v>
      </c>
      <c r="BQ29" s="6" t="e">
        <f>'Eclectic A'!CE29</f>
        <v>#N/A</v>
      </c>
      <c r="BR29" s="103" t="e">
        <f>'Eclectic A'!CF29</f>
        <v>#N/A</v>
      </c>
    </row>
    <row r="30" spans="1:70">
      <c r="A30" s="10" t="str">
        <f>IF(ISBLANK(Players!A28),"",Players!A28)</f>
        <v/>
      </c>
      <c r="B30" s="10" t="str">
        <f>IF(ISBLANK(Players!B28),"",Players!B28)</f>
        <v/>
      </c>
      <c r="C30" s="10" t="str">
        <f>IF(ISBLANK(Players!D28),"",Players!D28)</f>
        <v/>
      </c>
      <c r="D30" s="69" t="str">
        <f>IF(ISNUMBER(C30),MIN((C30*Rules!$N$14/113)+(Rules!$N$13-Rules!$N$12),Rules!$N$37),"-")</f>
        <v>-</v>
      </c>
      <c r="E30" s="69" t="str">
        <f>IF(ISNUMBER(C30),    ROUND( (D30*Rules!$N$11) / 100,0),"-")</f>
        <v>-</v>
      </c>
      <c r="F30" s="36" t="str">
        <f>IF(AND(ISNUMBER(C30),C30&gt;=Rules!$M$10,C30&lt;=Rules!$N$10),"Y","N")</f>
        <v>N</v>
      </c>
      <c r="G30" s="137" t="str">
        <f>'Eclectic A'!M30</f>
        <v>-</v>
      </c>
      <c r="H30" s="137" t="str">
        <f>'Eclectic A'!W30</f>
        <v>-</v>
      </c>
      <c r="I30" s="137" t="str">
        <f>'Eclectic A'!AJ30</f>
        <v>-</v>
      </c>
      <c r="J30" s="137" t="str">
        <f>'Eclectic A'!AT30</f>
        <v>-</v>
      </c>
      <c r="K30" s="108" t="str">
        <f t="shared" si="3"/>
        <v>-</v>
      </c>
      <c r="L30" s="108" t="str">
        <f t="shared" si="4"/>
        <v>-</v>
      </c>
      <c r="M30" s="108" t="str">
        <f t="shared" si="5"/>
        <v>-</v>
      </c>
      <c r="N30" s="108" t="str">
        <f t="shared" si="6"/>
        <v>-</v>
      </c>
      <c r="O30" s="108" t="str">
        <f t="shared" si="7"/>
        <v>-</v>
      </c>
      <c r="P30" s="108" t="str">
        <f t="shared" si="8"/>
        <v>-</v>
      </c>
      <c r="Q30" s="14" t="e">
        <f>RANK($K30,$K$5:$K$104,1)+COUNTIF(K$5:K30,K30)-1</f>
        <v>#VALUE!</v>
      </c>
      <c r="R30" s="14" t="e">
        <f t="shared" si="9"/>
        <v>#VALUE!</v>
      </c>
      <c r="S30" s="14" t="e">
        <f>RANK($L30,$L$5:$L$104,1)+COUNTIF(L$5:L30,L30)-1</f>
        <v>#VALUE!</v>
      </c>
      <c r="T30" s="14" t="e">
        <f t="shared" si="10"/>
        <v>#VALUE!</v>
      </c>
      <c r="U30" s="14" t="e">
        <f>RANK($M30,$M$5:$M$104,1)+COUNTIF(M$5:M30,M30)-1</f>
        <v>#VALUE!</v>
      </c>
      <c r="V30" s="14" t="e">
        <f t="shared" si="11"/>
        <v>#VALUE!</v>
      </c>
      <c r="W30" s="14" t="e">
        <f>RANK($N30,$N$5:$N$104,1)+COUNTIF(N$5:N30,N30)-1</f>
        <v>#VALUE!</v>
      </c>
      <c r="X30" s="14" t="e">
        <f t="shared" si="12"/>
        <v>#VALUE!</v>
      </c>
      <c r="Y30" s="14" t="e">
        <f>RANK($O30,$O$5:$O$104,1)+COUNTIF(O$5:O30,O30)-1</f>
        <v>#VALUE!</v>
      </c>
      <c r="Z30" s="14" t="e">
        <f t="shared" si="13"/>
        <v>#VALUE!</v>
      </c>
      <c r="AA30" s="14" t="e">
        <f>RANK($P30,$P$5:$P$104,1)+COUNTIF(P$5:P30,P30)-1</f>
        <v>#VALUE!</v>
      </c>
      <c r="AB30" s="14" t="e">
        <f t="shared" si="14"/>
        <v>#VALUE!</v>
      </c>
      <c r="AC30" s="1" t="str">
        <f t="shared" si="0"/>
        <v xml:space="preserve"> </v>
      </c>
      <c r="AD30" s="1" t="str">
        <f t="shared" si="1"/>
        <v>-</v>
      </c>
      <c r="AE30" s="35" t="str">
        <f t="shared" si="15"/>
        <v>-</v>
      </c>
      <c r="AF30" s="35" t="str">
        <f t="shared" si="16"/>
        <v>-</v>
      </c>
      <c r="AG30" s="35" t="str">
        <f t="shared" si="17"/>
        <v>-</v>
      </c>
      <c r="AH30" s="35" t="str">
        <f t="shared" si="18"/>
        <v>-</v>
      </c>
      <c r="AI30" s="35" t="str">
        <f t="shared" si="19"/>
        <v>-</v>
      </c>
      <c r="AJ30" s="35" t="str">
        <f t="shared" si="20"/>
        <v>-</v>
      </c>
      <c r="AL30" s="4">
        <v>26</v>
      </c>
      <c r="AM30" s="2" t="e">
        <f>VLOOKUP(AL30,Q$5:$AJ$104,$AN$2,FALSE)</f>
        <v>#N/A</v>
      </c>
      <c r="AN30" s="6" t="e">
        <f>VLOOKUP(AL30,Q$5:$AJ$104,$AN$2+11,FALSE)</f>
        <v>#N/A</v>
      </c>
      <c r="AO30" s="2" t="e">
        <f t="shared" si="21"/>
        <v>#N/A</v>
      </c>
      <c r="AQ30" s="4">
        <v>26</v>
      </c>
      <c r="AR30" s="2" t="e">
        <f>VLOOKUP(AQ30,$S$5:$AJ$104,$AS$2,FALSE)</f>
        <v>#N/A</v>
      </c>
      <c r="AS30" s="6" t="e">
        <f>VLOOKUP(AQ30,$S$5:$AJ$104,$AS$2+9,FALSE)</f>
        <v>#N/A</v>
      </c>
      <c r="AT30" s="2" t="e">
        <f>VLOOKUP(AR30,$S$5:$AJ$104,$AS$2+12,FALSE)</f>
        <v>#N/A</v>
      </c>
      <c r="AU30" s="9"/>
      <c r="AV30" s="4">
        <v>26</v>
      </c>
      <c r="AW30" s="2" t="e">
        <f>VLOOKUP(AV30,$U$5:$AJ$104,$AX$2,FALSE)</f>
        <v>#N/A</v>
      </c>
      <c r="AX30" s="6" t="e">
        <f>VLOOKUP(AV30,$U$5:$AJ$104,$AX$2+7,FALSE)</f>
        <v>#N/A</v>
      </c>
      <c r="AY30" s="2" t="e">
        <f>VLOOKUP(AW30,$U$5:$AJ$104,$AX$2+11,FALSE)</f>
        <v>#N/A</v>
      </c>
      <c r="BA30" s="4">
        <v>26</v>
      </c>
      <c r="BB30" s="2" t="e">
        <f>VLOOKUP(BA30,$W$5:$AJ$104,$BC$2,FALSE)</f>
        <v>#N/A</v>
      </c>
      <c r="BC30" s="6" t="e">
        <f>VLOOKUP(BA30,$W$5:$AJ$104,$BC$2+5,FALSE)</f>
        <v>#N/A</v>
      </c>
      <c r="BD30" s="2" t="e">
        <f>VLOOKUP(BB30,$W$5:$AJ$104,$BC$2+10,FALSE)</f>
        <v>#N/A</v>
      </c>
      <c r="BE30" s="9"/>
      <c r="BF30" s="4">
        <v>26</v>
      </c>
      <c r="BG30" s="2" t="e">
        <f>VLOOKUP(BF30,$Y$5:$AJ$104,$BH$2,FALSE)</f>
        <v>#N/A</v>
      </c>
      <c r="BH30" s="6" t="e">
        <f>VLOOKUP(BF30,$Y$5:$AJ$104,$BH$2+3,FALSE)</f>
        <v>#N/A</v>
      </c>
      <c r="BI30" s="58" t="e">
        <f>VLOOKUP(BG30,$Y$5:$AJ$104,$BH$2+9,FALSE)</f>
        <v>#N/A</v>
      </c>
      <c r="BK30" s="4">
        <v>26</v>
      </c>
      <c r="BL30" s="2" t="e">
        <f>VLOOKUP(BK30,$AA$5:$AJ$104,$BM$2,FALSE)</f>
        <v>#N/A</v>
      </c>
      <c r="BM30" s="6" t="e">
        <f>VLOOKUP(BK30,$AA$5:$AJ$104,$BM$2+1,FALSE)</f>
        <v>#N/A</v>
      </c>
      <c r="BN30" s="58" t="e">
        <f>VLOOKUP(BL30,$AA$5:$AJ$104,$BM$2+8,FALSE)</f>
        <v>#N/A</v>
      </c>
      <c r="BP30" s="2" t="e">
        <f>'Eclectic A'!CD30</f>
        <v>#N/A</v>
      </c>
      <c r="BQ30" s="6" t="e">
        <f>'Eclectic A'!CE30</f>
        <v>#N/A</v>
      </c>
      <c r="BR30" s="103" t="e">
        <f>'Eclectic A'!CF30</f>
        <v>#N/A</v>
      </c>
    </row>
    <row r="31" spans="1:70">
      <c r="A31" s="10" t="str">
        <f>IF(ISBLANK(Players!A29),"",Players!A29)</f>
        <v/>
      </c>
      <c r="B31" s="10" t="str">
        <f>IF(ISBLANK(Players!B29),"",Players!B29)</f>
        <v/>
      </c>
      <c r="C31" s="10" t="str">
        <f>IF(ISBLANK(Players!D29),"",Players!D29)</f>
        <v/>
      </c>
      <c r="D31" s="69" t="str">
        <f>IF(ISNUMBER(C31),MIN((C31*Rules!$N$14/113)+(Rules!$N$13-Rules!$N$12),Rules!$N$37),"-")</f>
        <v>-</v>
      </c>
      <c r="E31" s="69" t="str">
        <f>IF(ISNUMBER(C31),    ROUND( (D31*Rules!$N$11) / 100,0),"-")</f>
        <v>-</v>
      </c>
      <c r="F31" s="36" t="str">
        <f>IF(AND(ISNUMBER(C31),C31&gt;=Rules!$M$10,C31&lt;=Rules!$N$10),"Y","N")</f>
        <v>N</v>
      </c>
      <c r="G31" s="137" t="str">
        <f>'Eclectic A'!M31</f>
        <v>-</v>
      </c>
      <c r="H31" s="137" t="str">
        <f>'Eclectic A'!W31</f>
        <v>-</v>
      </c>
      <c r="I31" s="137" t="str">
        <f>'Eclectic A'!AJ31</f>
        <v>-</v>
      </c>
      <c r="J31" s="137" t="str">
        <f>'Eclectic A'!AT31</f>
        <v>-</v>
      </c>
      <c r="K31" s="108" t="str">
        <f t="shared" si="3"/>
        <v>-</v>
      </c>
      <c r="L31" s="108" t="str">
        <f t="shared" si="4"/>
        <v>-</v>
      </c>
      <c r="M31" s="108" t="str">
        <f t="shared" si="5"/>
        <v>-</v>
      </c>
      <c r="N31" s="108" t="str">
        <f t="shared" si="6"/>
        <v>-</v>
      </c>
      <c r="O31" s="108" t="str">
        <f t="shared" si="7"/>
        <v>-</v>
      </c>
      <c r="P31" s="108" t="str">
        <f t="shared" si="8"/>
        <v>-</v>
      </c>
      <c r="Q31" s="14" t="e">
        <f>RANK($K31,$K$5:$K$104,1)+COUNTIF(K$5:K31,K31)-1</f>
        <v>#VALUE!</v>
      </c>
      <c r="R31" s="14" t="e">
        <f t="shared" si="9"/>
        <v>#VALUE!</v>
      </c>
      <c r="S31" s="14" t="e">
        <f>RANK($L31,$L$5:$L$104,1)+COUNTIF(L$5:L31,L31)-1</f>
        <v>#VALUE!</v>
      </c>
      <c r="T31" s="14" t="e">
        <f t="shared" si="10"/>
        <v>#VALUE!</v>
      </c>
      <c r="U31" s="14" t="e">
        <f>RANK($M31,$M$5:$M$104,1)+COUNTIF(M$5:M31,M31)-1</f>
        <v>#VALUE!</v>
      </c>
      <c r="V31" s="14" t="e">
        <f t="shared" si="11"/>
        <v>#VALUE!</v>
      </c>
      <c r="W31" s="14" t="e">
        <f>RANK($N31,$N$5:$N$104,1)+COUNTIF(N$5:N31,N31)-1</f>
        <v>#VALUE!</v>
      </c>
      <c r="X31" s="14" t="e">
        <f t="shared" si="12"/>
        <v>#VALUE!</v>
      </c>
      <c r="Y31" s="14" t="e">
        <f>RANK($O31,$O$5:$O$104,1)+COUNTIF(O$5:O31,O31)-1</f>
        <v>#VALUE!</v>
      </c>
      <c r="Z31" s="14" t="e">
        <f t="shared" si="13"/>
        <v>#VALUE!</v>
      </c>
      <c r="AA31" s="14" t="e">
        <f>RANK($P31,$P$5:$P$104,1)+COUNTIF(P$5:P31,P31)-1</f>
        <v>#VALUE!</v>
      </c>
      <c r="AB31" s="14" t="e">
        <f t="shared" si="14"/>
        <v>#VALUE!</v>
      </c>
      <c r="AC31" s="1" t="str">
        <f t="shared" si="0"/>
        <v xml:space="preserve"> </v>
      </c>
      <c r="AD31" s="1" t="str">
        <f t="shared" si="1"/>
        <v>-</v>
      </c>
      <c r="AE31" s="35" t="str">
        <f t="shared" si="15"/>
        <v>-</v>
      </c>
      <c r="AF31" s="35" t="str">
        <f t="shared" si="16"/>
        <v>-</v>
      </c>
      <c r="AG31" s="35" t="str">
        <f t="shared" si="17"/>
        <v>-</v>
      </c>
      <c r="AH31" s="35" t="str">
        <f t="shared" si="18"/>
        <v>-</v>
      </c>
      <c r="AI31" s="35" t="str">
        <f t="shared" si="19"/>
        <v>-</v>
      </c>
      <c r="AJ31" s="35" t="str">
        <f t="shared" si="20"/>
        <v>-</v>
      </c>
      <c r="AL31" s="4">
        <v>27</v>
      </c>
      <c r="AM31" s="2" t="e">
        <f>VLOOKUP(AL31,Q$5:$AJ$104,$AN$2,FALSE)</f>
        <v>#N/A</v>
      </c>
      <c r="AN31" s="6" t="e">
        <f>VLOOKUP(AL31,Q$5:$AJ$104,$AN$2+11,FALSE)</f>
        <v>#N/A</v>
      </c>
      <c r="AO31" s="2" t="e">
        <f t="shared" si="21"/>
        <v>#N/A</v>
      </c>
      <c r="AQ31" s="4">
        <v>27</v>
      </c>
      <c r="AR31" s="2" t="e">
        <f>VLOOKUP(AQ31,$S$5:$AJ$104,$AS$2,FALSE)</f>
        <v>#N/A</v>
      </c>
      <c r="AS31" s="6" t="e">
        <f>VLOOKUP(AQ31,$S$5:$AJ$104,$AS$2+9,FALSE)</f>
        <v>#N/A</v>
      </c>
      <c r="AT31" s="2" t="e">
        <f>VLOOKUP(AR31,$S$5:$AJ$104,$AS$2+12,FALSE)</f>
        <v>#N/A</v>
      </c>
      <c r="AU31" s="9"/>
      <c r="AV31" s="4">
        <v>27</v>
      </c>
      <c r="AW31" s="2" t="e">
        <f>VLOOKUP(AV31,$U$5:$AJ$104,$AX$2,FALSE)</f>
        <v>#N/A</v>
      </c>
      <c r="AX31" s="6" t="e">
        <f>VLOOKUP(AV31,$U$5:$AJ$104,$AX$2+7,FALSE)</f>
        <v>#N/A</v>
      </c>
      <c r="AY31" s="2" t="e">
        <f>VLOOKUP(AW31,$U$5:$AJ$104,$AX$2+11,FALSE)</f>
        <v>#N/A</v>
      </c>
      <c r="BA31" s="4">
        <v>27</v>
      </c>
      <c r="BB31" s="2" t="e">
        <f>VLOOKUP(BA31,$W$5:$AJ$104,$BC$2,FALSE)</f>
        <v>#N/A</v>
      </c>
      <c r="BC31" s="6" t="e">
        <f>VLOOKUP(BA31,$W$5:$AJ$104,$BC$2+5,FALSE)</f>
        <v>#N/A</v>
      </c>
      <c r="BD31" s="2" t="e">
        <f>VLOOKUP(BB31,$W$5:$AJ$104,$BC$2+10,FALSE)</f>
        <v>#N/A</v>
      </c>
      <c r="BE31" s="9"/>
      <c r="BF31" s="4">
        <v>27</v>
      </c>
      <c r="BG31" s="2" t="e">
        <f>VLOOKUP(BF31,$Y$5:$AJ$104,$BH$2,FALSE)</f>
        <v>#N/A</v>
      </c>
      <c r="BH31" s="6" t="e">
        <f>VLOOKUP(BF31,$Y$5:$AJ$104,$BH$2+3,FALSE)</f>
        <v>#N/A</v>
      </c>
      <c r="BI31" s="58" t="e">
        <f>VLOOKUP(BG31,$Y$5:$AJ$104,$BH$2+9,FALSE)</f>
        <v>#N/A</v>
      </c>
      <c r="BK31" s="4">
        <v>27</v>
      </c>
      <c r="BL31" s="2" t="e">
        <f>VLOOKUP(BK31,$AA$5:$AJ$104,$BM$2,FALSE)</f>
        <v>#N/A</v>
      </c>
      <c r="BM31" s="6" t="e">
        <f>VLOOKUP(BK31,$AA$5:$AJ$104,$BM$2+1,FALSE)</f>
        <v>#N/A</v>
      </c>
      <c r="BN31" s="58" t="e">
        <f>VLOOKUP(BL31,$AA$5:$AJ$104,$BM$2+8,FALSE)</f>
        <v>#N/A</v>
      </c>
      <c r="BP31" s="2" t="e">
        <f>'Eclectic A'!CD31</f>
        <v>#N/A</v>
      </c>
      <c r="BQ31" s="6" t="e">
        <f>'Eclectic A'!CE31</f>
        <v>#N/A</v>
      </c>
      <c r="BR31" s="103" t="e">
        <f>'Eclectic A'!CF31</f>
        <v>#N/A</v>
      </c>
    </row>
    <row r="32" spans="1:70">
      <c r="A32" s="10" t="str">
        <f>IF(ISBLANK(Players!A30),"",Players!A30)</f>
        <v/>
      </c>
      <c r="B32" s="10" t="str">
        <f>IF(ISBLANK(Players!B30),"",Players!B30)</f>
        <v/>
      </c>
      <c r="C32" s="10" t="str">
        <f>IF(ISBLANK(Players!D30),"",Players!D30)</f>
        <v/>
      </c>
      <c r="D32" s="69" t="str">
        <f>IF(ISNUMBER(C32),MIN((C32*Rules!$N$14/113)+(Rules!$N$13-Rules!$N$12),Rules!$N$37),"-")</f>
        <v>-</v>
      </c>
      <c r="E32" s="69" t="str">
        <f>IF(ISNUMBER(C32),    ROUND( (D32*Rules!$N$11) / 100,0),"-")</f>
        <v>-</v>
      </c>
      <c r="F32" s="36" t="str">
        <f>IF(AND(ISNUMBER(C32),C32&gt;=Rules!$M$10,C32&lt;=Rules!$N$10),"Y","N")</f>
        <v>N</v>
      </c>
      <c r="G32" s="137" t="str">
        <f>'Eclectic A'!M32</f>
        <v>-</v>
      </c>
      <c r="H32" s="137" t="str">
        <f>'Eclectic A'!W32</f>
        <v>-</v>
      </c>
      <c r="I32" s="137" t="str">
        <f>'Eclectic A'!AJ32</f>
        <v>-</v>
      </c>
      <c r="J32" s="137" t="str">
        <f>'Eclectic A'!AT32</f>
        <v>-</v>
      </c>
      <c r="K32" s="108" t="str">
        <f t="shared" si="3"/>
        <v>-</v>
      </c>
      <c r="L32" s="108" t="str">
        <f t="shared" si="4"/>
        <v>-</v>
      </c>
      <c r="M32" s="108" t="str">
        <f t="shared" si="5"/>
        <v>-</v>
      </c>
      <c r="N32" s="108" t="str">
        <f t="shared" si="6"/>
        <v>-</v>
      </c>
      <c r="O32" s="108" t="str">
        <f t="shared" si="7"/>
        <v>-</v>
      </c>
      <c r="P32" s="108" t="str">
        <f t="shared" si="8"/>
        <v>-</v>
      </c>
      <c r="Q32" s="14" t="e">
        <f>RANK($K32,$K$5:$K$104,1)+COUNTIF(K$5:K32,K32)-1</f>
        <v>#VALUE!</v>
      </c>
      <c r="R32" s="14" t="e">
        <f t="shared" si="9"/>
        <v>#VALUE!</v>
      </c>
      <c r="S32" s="14" t="e">
        <f>RANK($L32,$L$5:$L$104,1)+COUNTIF(L$5:L32,L32)-1</f>
        <v>#VALUE!</v>
      </c>
      <c r="T32" s="14" t="e">
        <f t="shared" si="10"/>
        <v>#VALUE!</v>
      </c>
      <c r="U32" s="14" t="e">
        <f>RANK($M32,$M$5:$M$104,1)+COUNTIF(M$5:M32,M32)-1</f>
        <v>#VALUE!</v>
      </c>
      <c r="V32" s="14" t="e">
        <f t="shared" si="11"/>
        <v>#VALUE!</v>
      </c>
      <c r="W32" s="14" t="e">
        <f>RANK($N32,$N$5:$N$104,1)+COUNTIF(N$5:N32,N32)-1</f>
        <v>#VALUE!</v>
      </c>
      <c r="X32" s="14" t="e">
        <f t="shared" si="12"/>
        <v>#VALUE!</v>
      </c>
      <c r="Y32" s="14" t="e">
        <f>RANK($O32,$O$5:$O$104,1)+COUNTIF(O$5:O32,O32)-1</f>
        <v>#VALUE!</v>
      </c>
      <c r="Z32" s="14" t="e">
        <f t="shared" si="13"/>
        <v>#VALUE!</v>
      </c>
      <c r="AA32" s="14" t="e">
        <f>RANK($P32,$P$5:$P$104,1)+COUNTIF(P$5:P32,P32)-1</f>
        <v>#VALUE!</v>
      </c>
      <c r="AB32" s="14" t="e">
        <f t="shared" si="14"/>
        <v>#VALUE!</v>
      </c>
      <c r="AC32" s="1" t="str">
        <f t="shared" si="0"/>
        <v xml:space="preserve"> </v>
      </c>
      <c r="AD32" s="1" t="str">
        <f t="shared" si="1"/>
        <v>-</v>
      </c>
      <c r="AE32" s="35" t="str">
        <f t="shared" si="15"/>
        <v>-</v>
      </c>
      <c r="AF32" s="35" t="str">
        <f t="shared" si="16"/>
        <v>-</v>
      </c>
      <c r="AG32" s="35" t="str">
        <f t="shared" si="17"/>
        <v>-</v>
      </c>
      <c r="AH32" s="35" t="str">
        <f t="shared" si="18"/>
        <v>-</v>
      </c>
      <c r="AI32" s="35" t="str">
        <f t="shared" si="19"/>
        <v>-</v>
      </c>
      <c r="AJ32" s="35" t="str">
        <f t="shared" si="20"/>
        <v>-</v>
      </c>
      <c r="AL32" s="4">
        <v>28</v>
      </c>
      <c r="AM32" s="2" t="e">
        <f>VLOOKUP(AL32,Q$5:$AJ$104,$AN$2,FALSE)</f>
        <v>#N/A</v>
      </c>
      <c r="AN32" s="6" t="e">
        <f>VLOOKUP(AL32,Q$5:$AJ$104,$AN$2+11,FALSE)</f>
        <v>#N/A</v>
      </c>
      <c r="AO32" s="2" t="e">
        <f t="shared" si="21"/>
        <v>#N/A</v>
      </c>
      <c r="AQ32" s="4">
        <v>28</v>
      </c>
      <c r="AR32" s="2" t="e">
        <f>VLOOKUP(AQ32,$S$5:$AJ$104,$AS$2,FALSE)</f>
        <v>#N/A</v>
      </c>
      <c r="AS32" s="6" t="e">
        <f>VLOOKUP(AQ32,$S$5:$AJ$104,$AS$2+9,FALSE)</f>
        <v>#N/A</v>
      </c>
      <c r="AT32" s="2" t="e">
        <f>VLOOKUP(AR32,$S$5:$AJ$104,$AS$2+12,FALSE)</f>
        <v>#N/A</v>
      </c>
      <c r="AU32" s="9"/>
      <c r="AV32" s="4">
        <v>28</v>
      </c>
      <c r="AW32" s="2" t="e">
        <f>VLOOKUP(AV32,$U$5:$AJ$104,$AX$2,FALSE)</f>
        <v>#N/A</v>
      </c>
      <c r="AX32" s="6" t="e">
        <f>VLOOKUP(AV32,$U$5:$AJ$104,$AX$2+7,FALSE)</f>
        <v>#N/A</v>
      </c>
      <c r="AY32" s="2" t="e">
        <f>VLOOKUP(AW32,$U$5:$AJ$104,$AX$2+11,FALSE)</f>
        <v>#N/A</v>
      </c>
      <c r="BA32" s="4">
        <v>28</v>
      </c>
      <c r="BB32" s="2" t="e">
        <f>VLOOKUP(BA32,$W$5:$AJ$104,$BC$2,FALSE)</f>
        <v>#N/A</v>
      </c>
      <c r="BC32" s="6" t="e">
        <f>VLOOKUP(BA32,$W$5:$AJ$104,$BC$2+5,FALSE)</f>
        <v>#N/A</v>
      </c>
      <c r="BD32" s="2" t="e">
        <f>VLOOKUP(BB32,$W$5:$AJ$104,$BC$2+10,FALSE)</f>
        <v>#N/A</v>
      </c>
      <c r="BE32" s="9"/>
      <c r="BF32" s="4">
        <v>28</v>
      </c>
      <c r="BG32" s="2" t="e">
        <f>VLOOKUP(BF32,$Y$5:$AJ$104,$BH$2,FALSE)</f>
        <v>#N/A</v>
      </c>
      <c r="BH32" s="6" t="e">
        <f>VLOOKUP(BF32,$Y$5:$AJ$104,$BH$2+3,FALSE)</f>
        <v>#N/A</v>
      </c>
      <c r="BI32" s="58" t="e">
        <f>VLOOKUP(BG32,$Y$5:$AJ$104,$BH$2+9,FALSE)</f>
        <v>#N/A</v>
      </c>
      <c r="BK32" s="4">
        <v>28</v>
      </c>
      <c r="BL32" s="2" t="e">
        <f>VLOOKUP(BK32,$AA$5:$AJ$104,$BM$2,FALSE)</f>
        <v>#N/A</v>
      </c>
      <c r="BM32" s="6" t="e">
        <f>VLOOKUP(BK32,$AA$5:$AJ$104,$BM$2+1,FALSE)</f>
        <v>#N/A</v>
      </c>
      <c r="BN32" s="58" t="e">
        <f>VLOOKUP(BL32,$AA$5:$AJ$104,$BM$2+8,FALSE)</f>
        <v>#N/A</v>
      </c>
      <c r="BP32" s="2" t="e">
        <f>'Eclectic A'!CD32</f>
        <v>#N/A</v>
      </c>
      <c r="BQ32" s="6" t="e">
        <f>'Eclectic A'!CE32</f>
        <v>#N/A</v>
      </c>
      <c r="BR32" s="103" t="e">
        <f>'Eclectic A'!CF32</f>
        <v>#N/A</v>
      </c>
    </row>
    <row r="33" spans="1:70">
      <c r="A33" s="10" t="str">
        <f>IF(ISBLANK(Players!A31),"",Players!A31)</f>
        <v/>
      </c>
      <c r="B33" s="10" t="str">
        <f>IF(ISBLANK(Players!B31),"",Players!B31)</f>
        <v/>
      </c>
      <c r="C33" s="10" t="str">
        <f>IF(ISBLANK(Players!D31),"",Players!D31)</f>
        <v/>
      </c>
      <c r="D33" s="69" t="str">
        <f>IF(ISNUMBER(C33),MIN((C33*Rules!$N$14/113)+(Rules!$N$13-Rules!$N$12),Rules!$N$37),"-")</f>
        <v>-</v>
      </c>
      <c r="E33" s="69" t="str">
        <f>IF(ISNUMBER(C33),    ROUND( (D33*Rules!$N$11) / 100,0),"-")</f>
        <v>-</v>
      </c>
      <c r="F33" s="36" t="str">
        <f>IF(AND(ISNUMBER(C33),C33&gt;=Rules!$M$10,C33&lt;=Rules!$N$10),"Y","N")</f>
        <v>N</v>
      </c>
      <c r="G33" s="137" t="str">
        <f>'Eclectic A'!M33</f>
        <v>-</v>
      </c>
      <c r="H33" s="137" t="str">
        <f>'Eclectic A'!W33</f>
        <v>-</v>
      </c>
      <c r="I33" s="137" t="str">
        <f>'Eclectic A'!AJ33</f>
        <v>-</v>
      </c>
      <c r="J33" s="137" t="str">
        <f>'Eclectic A'!AT33</f>
        <v>-</v>
      </c>
      <c r="K33" s="108" t="str">
        <f t="shared" si="3"/>
        <v>-</v>
      </c>
      <c r="L33" s="108" t="str">
        <f t="shared" si="4"/>
        <v>-</v>
      </c>
      <c r="M33" s="108" t="str">
        <f t="shared" si="5"/>
        <v>-</v>
      </c>
      <c r="N33" s="108" t="str">
        <f t="shared" si="6"/>
        <v>-</v>
      </c>
      <c r="O33" s="108" t="str">
        <f t="shared" si="7"/>
        <v>-</v>
      </c>
      <c r="P33" s="108" t="str">
        <f t="shared" si="8"/>
        <v>-</v>
      </c>
      <c r="Q33" s="14" t="e">
        <f>RANK($K33,$K$5:$K$104,1)+COUNTIF(K$5:K33,K33)-1</f>
        <v>#VALUE!</v>
      </c>
      <c r="R33" s="14" t="e">
        <f t="shared" si="9"/>
        <v>#VALUE!</v>
      </c>
      <c r="S33" s="14" t="e">
        <f>RANK($L33,$L$5:$L$104,1)+COUNTIF(L$5:L33,L33)-1</f>
        <v>#VALUE!</v>
      </c>
      <c r="T33" s="14" t="e">
        <f t="shared" si="10"/>
        <v>#VALUE!</v>
      </c>
      <c r="U33" s="14" t="e">
        <f>RANK($M33,$M$5:$M$104,1)+COUNTIF(M$5:M33,M33)-1</f>
        <v>#VALUE!</v>
      </c>
      <c r="V33" s="14" t="e">
        <f t="shared" si="11"/>
        <v>#VALUE!</v>
      </c>
      <c r="W33" s="14" t="e">
        <f>RANK($N33,$N$5:$N$104,1)+COUNTIF(N$5:N33,N33)-1</f>
        <v>#VALUE!</v>
      </c>
      <c r="X33" s="14" t="e">
        <f t="shared" si="12"/>
        <v>#VALUE!</v>
      </c>
      <c r="Y33" s="14" t="e">
        <f>RANK($O33,$O$5:$O$104,1)+COUNTIF(O$5:O33,O33)-1</f>
        <v>#VALUE!</v>
      </c>
      <c r="Z33" s="14" t="e">
        <f t="shared" si="13"/>
        <v>#VALUE!</v>
      </c>
      <c r="AA33" s="14" t="e">
        <f>RANK($P33,$P$5:$P$104,1)+COUNTIF(P$5:P33,P33)-1</f>
        <v>#VALUE!</v>
      </c>
      <c r="AB33" s="14" t="e">
        <f t="shared" si="14"/>
        <v>#VALUE!</v>
      </c>
      <c r="AC33" s="1" t="str">
        <f t="shared" si="0"/>
        <v xml:space="preserve"> </v>
      </c>
      <c r="AD33" s="1" t="str">
        <f t="shared" si="1"/>
        <v>-</v>
      </c>
      <c r="AE33" s="35" t="str">
        <f t="shared" si="15"/>
        <v>-</v>
      </c>
      <c r="AF33" s="35" t="str">
        <f t="shared" si="16"/>
        <v>-</v>
      </c>
      <c r="AG33" s="35" t="str">
        <f t="shared" si="17"/>
        <v>-</v>
      </c>
      <c r="AH33" s="35" t="str">
        <f t="shared" si="18"/>
        <v>-</v>
      </c>
      <c r="AI33" s="35" t="str">
        <f t="shared" si="19"/>
        <v>-</v>
      </c>
      <c r="AJ33" s="35" t="str">
        <f t="shared" si="20"/>
        <v>-</v>
      </c>
      <c r="AL33" s="4">
        <v>29</v>
      </c>
      <c r="AM33" s="2" t="e">
        <f>VLOOKUP(AL33,Q$5:$AJ$104,$AN$2,FALSE)</f>
        <v>#N/A</v>
      </c>
      <c r="AN33" s="6" t="e">
        <f>VLOOKUP(AL33,Q$5:$AJ$104,$AN$2+11,FALSE)</f>
        <v>#N/A</v>
      </c>
      <c r="AO33" s="2" t="e">
        <f t="shared" si="21"/>
        <v>#N/A</v>
      </c>
      <c r="AQ33" s="4">
        <v>29</v>
      </c>
      <c r="AR33" s="2" t="e">
        <f>VLOOKUP(AQ33,$S$5:$AJ$104,$AS$2,FALSE)</f>
        <v>#N/A</v>
      </c>
      <c r="AS33" s="6" t="e">
        <f>VLOOKUP(AQ33,$S$5:$AJ$104,$AS$2+9,FALSE)</f>
        <v>#N/A</v>
      </c>
      <c r="AT33" s="2" t="e">
        <f>VLOOKUP(AR33,$S$5:$AJ$104,$AS$2+12,FALSE)</f>
        <v>#N/A</v>
      </c>
      <c r="AU33" s="9"/>
      <c r="AV33" s="4">
        <v>29</v>
      </c>
      <c r="AW33" s="2" t="e">
        <f>VLOOKUP(AV33,$U$5:$AJ$104,$AX$2,FALSE)</f>
        <v>#N/A</v>
      </c>
      <c r="AX33" s="6" t="e">
        <f>VLOOKUP(AV33,$U$5:$AJ$104,$AX$2+7,FALSE)</f>
        <v>#N/A</v>
      </c>
      <c r="AY33" s="2" t="e">
        <f>VLOOKUP(AW33,$U$5:$AJ$104,$AX$2+11,FALSE)</f>
        <v>#N/A</v>
      </c>
      <c r="BA33" s="4">
        <v>29</v>
      </c>
      <c r="BB33" s="2" t="e">
        <f>VLOOKUP(BA33,$W$5:$AJ$104,$BC$2,FALSE)</f>
        <v>#N/A</v>
      </c>
      <c r="BC33" s="6" t="e">
        <f>VLOOKUP(BA33,$W$5:$AJ$104,$BC$2+5,FALSE)</f>
        <v>#N/A</v>
      </c>
      <c r="BD33" s="2" t="e">
        <f>VLOOKUP(BB33,$W$5:$AJ$104,$BC$2+10,FALSE)</f>
        <v>#N/A</v>
      </c>
      <c r="BE33" s="9"/>
      <c r="BF33" s="4">
        <v>29</v>
      </c>
      <c r="BG33" s="2" t="e">
        <f>VLOOKUP(BF33,$Y$5:$AJ$104,$BH$2,FALSE)</f>
        <v>#N/A</v>
      </c>
      <c r="BH33" s="6" t="e">
        <f>VLOOKUP(BF33,$Y$5:$AJ$104,$BH$2+3,FALSE)</f>
        <v>#N/A</v>
      </c>
      <c r="BI33" s="58" t="e">
        <f>VLOOKUP(BG33,$Y$5:$AJ$104,$BH$2+9,FALSE)</f>
        <v>#N/A</v>
      </c>
      <c r="BK33" s="4">
        <v>29</v>
      </c>
      <c r="BL33" s="2" t="e">
        <f>VLOOKUP(BK33,$AA$5:$AJ$104,$BM$2,FALSE)</f>
        <v>#N/A</v>
      </c>
      <c r="BM33" s="6" t="e">
        <f>VLOOKUP(BK33,$AA$5:$AJ$104,$BM$2+1,FALSE)</f>
        <v>#N/A</v>
      </c>
      <c r="BN33" s="58" t="e">
        <f>VLOOKUP(BL33,$AA$5:$AJ$104,$BM$2+8,FALSE)</f>
        <v>#N/A</v>
      </c>
      <c r="BP33" s="2" t="e">
        <f>'Eclectic A'!CD33</f>
        <v>#N/A</v>
      </c>
      <c r="BQ33" s="6" t="e">
        <f>'Eclectic A'!CE33</f>
        <v>#N/A</v>
      </c>
      <c r="BR33" s="103" t="e">
        <f>'Eclectic A'!CF33</f>
        <v>#N/A</v>
      </c>
    </row>
    <row r="34" spans="1:70">
      <c r="A34" s="10" t="str">
        <f>IF(ISBLANK(Players!A32),"",Players!A32)</f>
        <v/>
      </c>
      <c r="B34" s="10" t="str">
        <f>IF(ISBLANK(Players!B32),"",Players!B32)</f>
        <v/>
      </c>
      <c r="C34" s="10" t="str">
        <f>IF(ISBLANK(Players!D32),"",Players!D32)</f>
        <v/>
      </c>
      <c r="D34" s="69" t="str">
        <f>IF(ISNUMBER(C34),MIN((C34*Rules!$N$14/113)+(Rules!$N$13-Rules!$N$12),Rules!$N$37),"-")</f>
        <v>-</v>
      </c>
      <c r="E34" s="69" t="str">
        <f>IF(ISNUMBER(C34),    ROUND( (D34*Rules!$N$11) / 100,0),"-")</f>
        <v>-</v>
      </c>
      <c r="F34" s="36" t="str">
        <f>IF(AND(ISNUMBER(C34),C34&gt;=Rules!$M$10,C34&lt;=Rules!$N$10),"Y","N")</f>
        <v>N</v>
      </c>
      <c r="G34" s="137" t="str">
        <f>'Eclectic A'!M34</f>
        <v>-</v>
      </c>
      <c r="H34" s="137" t="str">
        <f>'Eclectic A'!W34</f>
        <v>-</v>
      </c>
      <c r="I34" s="137" t="str">
        <f>'Eclectic A'!AJ34</f>
        <v>-</v>
      </c>
      <c r="J34" s="137" t="str">
        <f>'Eclectic A'!AT34</f>
        <v>-</v>
      </c>
      <c r="K34" s="108" t="str">
        <f t="shared" si="3"/>
        <v>-</v>
      </c>
      <c r="L34" s="108" t="str">
        <f t="shared" si="4"/>
        <v>-</v>
      </c>
      <c r="M34" s="108" t="str">
        <f t="shared" si="5"/>
        <v>-</v>
      </c>
      <c r="N34" s="108" t="str">
        <f t="shared" si="6"/>
        <v>-</v>
      </c>
      <c r="O34" s="108" t="str">
        <f t="shared" si="7"/>
        <v>-</v>
      </c>
      <c r="P34" s="108" t="str">
        <f t="shared" si="8"/>
        <v>-</v>
      </c>
      <c r="Q34" s="14" t="e">
        <f>RANK($K34,$K$5:$K$104,1)+COUNTIF(K$5:K34,K34)-1</f>
        <v>#VALUE!</v>
      </c>
      <c r="R34" s="14" t="e">
        <f t="shared" si="9"/>
        <v>#VALUE!</v>
      </c>
      <c r="S34" s="14" t="e">
        <f>RANK($L34,$L$5:$L$104,1)+COUNTIF(L$5:L34,L34)-1</f>
        <v>#VALUE!</v>
      </c>
      <c r="T34" s="14" t="e">
        <f t="shared" si="10"/>
        <v>#VALUE!</v>
      </c>
      <c r="U34" s="14" t="e">
        <f>RANK($M34,$M$5:$M$104,1)+COUNTIF(M$5:M34,M34)-1</f>
        <v>#VALUE!</v>
      </c>
      <c r="V34" s="14" t="e">
        <f t="shared" si="11"/>
        <v>#VALUE!</v>
      </c>
      <c r="W34" s="14" t="e">
        <f>RANK($N34,$N$5:$N$104,1)+COUNTIF(N$5:N34,N34)-1</f>
        <v>#VALUE!</v>
      </c>
      <c r="X34" s="14" t="e">
        <f t="shared" si="12"/>
        <v>#VALUE!</v>
      </c>
      <c r="Y34" s="14" t="e">
        <f>RANK($O34,$O$5:$O$104,1)+COUNTIF(O$5:O34,O34)-1</f>
        <v>#VALUE!</v>
      </c>
      <c r="Z34" s="14" t="e">
        <f t="shared" si="13"/>
        <v>#VALUE!</v>
      </c>
      <c r="AA34" s="14" t="e">
        <f>RANK($P34,$P$5:$P$104,1)+COUNTIF(P$5:P34,P34)-1</f>
        <v>#VALUE!</v>
      </c>
      <c r="AB34" s="14" t="e">
        <f t="shared" si="14"/>
        <v>#VALUE!</v>
      </c>
      <c r="AC34" s="1" t="str">
        <f t="shared" si="0"/>
        <v xml:space="preserve"> </v>
      </c>
      <c r="AD34" s="1" t="str">
        <f t="shared" si="1"/>
        <v>-</v>
      </c>
      <c r="AE34" s="35" t="str">
        <f t="shared" si="15"/>
        <v>-</v>
      </c>
      <c r="AF34" s="35" t="str">
        <f t="shared" si="16"/>
        <v>-</v>
      </c>
      <c r="AG34" s="35" t="str">
        <f t="shared" si="17"/>
        <v>-</v>
      </c>
      <c r="AH34" s="35" t="str">
        <f t="shared" si="18"/>
        <v>-</v>
      </c>
      <c r="AI34" s="35" t="str">
        <f t="shared" si="19"/>
        <v>-</v>
      </c>
      <c r="AJ34" s="35" t="str">
        <f t="shared" si="20"/>
        <v>-</v>
      </c>
      <c r="AL34" s="4">
        <v>30</v>
      </c>
      <c r="AM34" s="2" t="e">
        <f>VLOOKUP(AL34,Q$5:$AJ$104,$AN$2,FALSE)</f>
        <v>#N/A</v>
      </c>
      <c r="AN34" s="6" t="e">
        <f>VLOOKUP(AL34,Q$5:$AJ$104,$AN$2+11,FALSE)</f>
        <v>#N/A</v>
      </c>
      <c r="AO34" s="2" t="e">
        <f t="shared" si="21"/>
        <v>#N/A</v>
      </c>
      <c r="AQ34" s="4">
        <v>30</v>
      </c>
      <c r="AR34" s="2" t="e">
        <f>VLOOKUP(AQ34,$S$5:$AJ$104,$AS$2,FALSE)</f>
        <v>#N/A</v>
      </c>
      <c r="AS34" s="6" t="e">
        <f>VLOOKUP(AQ34,$S$5:$AJ$104,$AS$2+9,FALSE)</f>
        <v>#N/A</v>
      </c>
      <c r="AT34" s="2" t="e">
        <f>VLOOKUP(AR34,$S$5:$AJ$104,$AS$2+12,FALSE)</f>
        <v>#N/A</v>
      </c>
      <c r="AU34" s="9"/>
      <c r="AV34" s="4">
        <v>30</v>
      </c>
      <c r="AW34" s="2" t="e">
        <f>VLOOKUP(AV34,$U$5:$AJ$104,$AX$2,FALSE)</f>
        <v>#N/A</v>
      </c>
      <c r="AX34" s="6" t="e">
        <f>VLOOKUP(AV34,$U$5:$AJ$104,$AX$2+7,FALSE)</f>
        <v>#N/A</v>
      </c>
      <c r="AY34" s="2" t="e">
        <f>VLOOKUP(AW34,$U$5:$AJ$104,$AX$2+11,FALSE)</f>
        <v>#N/A</v>
      </c>
      <c r="BA34" s="4">
        <v>30</v>
      </c>
      <c r="BB34" s="2" t="e">
        <f>VLOOKUP(BA34,$W$5:$AJ$104,$BC$2,FALSE)</f>
        <v>#N/A</v>
      </c>
      <c r="BC34" s="6" t="e">
        <f>VLOOKUP(BA34,$W$5:$AJ$104,$BC$2+5,FALSE)</f>
        <v>#N/A</v>
      </c>
      <c r="BD34" s="2" t="e">
        <f>VLOOKUP(BB34,$W$5:$AJ$104,$BC$2+10,FALSE)</f>
        <v>#N/A</v>
      </c>
      <c r="BE34" s="9"/>
      <c r="BF34" s="4">
        <v>30</v>
      </c>
      <c r="BG34" s="2" t="e">
        <f>VLOOKUP(BF34,$Y$5:$AJ$104,$BH$2,FALSE)</f>
        <v>#N/A</v>
      </c>
      <c r="BH34" s="6" t="e">
        <f>VLOOKUP(BF34,$Y$5:$AJ$104,$BH$2+3,FALSE)</f>
        <v>#N/A</v>
      </c>
      <c r="BI34" s="58" t="e">
        <f>VLOOKUP(BG34,$Y$5:$AJ$104,$BH$2+9,FALSE)</f>
        <v>#N/A</v>
      </c>
      <c r="BK34" s="4">
        <v>30</v>
      </c>
      <c r="BL34" s="2" t="e">
        <f>VLOOKUP(BK34,$AA$5:$AJ$104,$BM$2,FALSE)</f>
        <v>#N/A</v>
      </c>
      <c r="BM34" s="6" t="e">
        <f>VLOOKUP(BK34,$AA$5:$AJ$104,$BM$2+1,FALSE)</f>
        <v>#N/A</v>
      </c>
      <c r="BN34" s="58" t="e">
        <f>VLOOKUP(BL34,$AA$5:$AJ$104,$BM$2+8,FALSE)</f>
        <v>#N/A</v>
      </c>
      <c r="BP34" s="2" t="e">
        <f>'Eclectic A'!CD34</f>
        <v>#N/A</v>
      </c>
      <c r="BQ34" s="6" t="e">
        <f>'Eclectic A'!CE34</f>
        <v>#N/A</v>
      </c>
      <c r="BR34" s="103" t="e">
        <f>'Eclectic A'!CF34</f>
        <v>#N/A</v>
      </c>
    </row>
    <row r="35" spans="1:70">
      <c r="A35" s="10" t="str">
        <f>IF(ISBLANK(Players!A33),"",Players!A33)</f>
        <v/>
      </c>
      <c r="B35" s="10" t="str">
        <f>IF(ISBLANK(Players!B33),"",Players!B33)</f>
        <v/>
      </c>
      <c r="C35" s="10" t="str">
        <f>IF(ISBLANK(Players!D33),"",Players!D33)</f>
        <v/>
      </c>
      <c r="D35" s="69" t="str">
        <f>IF(ISNUMBER(C35),MIN((C35*Rules!$N$14/113)+(Rules!$N$13-Rules!$N$12),Rules!$N$37),"-")</f>
        <v>-</v>
      </c>
      <c r="E35" s="69" t="str">
        <f>IF(ISNUMBER(C35),    ROUND( (D35*Rules!$N$11) / 100,0),"-")</f>
        <v>-</v>
      </c>
      <c r="F35" s="36" t="str">
        <f>IF(AND(ISNUMBER(C35),C35&gt;=Rules!$M$10,C35&lt;=Rules!$N$10),"Y","N")</f>
        <v>N</v>
      </c>
      <c r="G35" s="137" t="str">
        <f>'Eclectic A'!M35</f>
        <v>-</v>
      </c>
      <c r="H35" s="137" t="str">
        <f>'Eclectic A'!W35</f>
        <v>-</v>
      </c>
      <c r="I35" s="137" t="str">
        <f>'Eclectic A'!AJ35</f>
        <v>-</v>
      </c>
      <c r="J35" s="137" t="str">
        <f>'Eclectic A'!AT35</f>
        <v>-</v>
      </c>
      <c r="K35" s="108" t="str">
        <f t="shared" si="3"/>
        <v>-</v>
      </c>
      <c r="L35" s="108" t="str">
        <f t="shared" si="4"/>
        <v>-</v>
      </c>
      <c r="M35" s="108" t="str">
        <f t="shared" si="5"/>
        <v>-</v>
      </c>
      <c r="N35" s="108" t="str">
        <f t="shared" si="6"/>
        <v>-</v>
      </c>
      <c r="O35" s="108" t="str">
        <f t="shared" si="7"/>
        <v>-</v>
      </c>
      <c r="P35" s="108" t="str">
        <f t="shared" si="8"/>
        <v>-</v>
      </c>
      <c r="Q35" s="14" t="e">
        <f>RANK($K35,$K$5:$K$104,1)+COUNTIF(K$5:K35,K35)-1</f>
        <v>#VALUE!</v>
      </c>
      <c r="R35" s="14" t="e">
        <f t="shared" si="9"/>
        <v>#VALUE!</v>
      </c>
      <c r="S35" s="14" t="e">
        <f>RANK($L35,$L$5:$L$104,1)+COUNTIF(L$5:L35,L35)-1</f>
        <v>#VALUE!</v>
      </c>
      <c r="T35" s="14" t="e">
        <f t="shared" si="10"/>
        <v>#VALUE!</v>
      </c>
      <c r="U35" s="14" t="e">
        <f>RANK($M35,$M$5:$M$104,1)+COUNTIF(M$5:M35,M35)-1</f>
        <v>#VALUE!</v>
      </c>
      <c r="V35" s="14" t="e">
        <f t="shared" si="11"/>
        <v>#VALUE!</v>
      </c>
      <c r="W35" s="14" t="e">
        <f>RANK($N35,$N$5:$N$104,1)+COUNTIF(N$5:N35,N35)-1</f>
        <v>#VALUE!</v>
      </c>
      <c r="X35" s="14" t="e">
        <f t="shared" si="12"/>
        <v>#VALUE!</v>
      </c>
      <c r="Y35" s="14" t="e">
        <f>RANK($O35,$O$5:$O$104,1)+COUNTIF(O$5:O35,O35)-1</f>
        <v>#VALUE!</v>
      </c>
      <c r="Z35" s="14" t="e">
        <f t="shared" si="13"/>
        <v>#VALUE!</v>
      </c>
      <c r="AA35" s="14" t="e">
        <f>RANK($P35,$P$5:$P$104,1)+COUNTIF(P$5:P35,P35)-1</f>
        <v>#VALUE!</v>
      </c>
      <c r="AB35" s="14" t="e">
        <f t="shared" si="14"/>
        <v>#VALUE!</v>
      </c>
      <c r="AC35" s="1" t="str">
        <f t="shared" si="0"/>
        <v xml:space="preserve"> </v>
      </c>
      <c r="AD35" s="1" t="str">
        <f t="shared" si="1"/>
        <v>-</v>
      </c>
      <c r="AE35" s="35" t="str">
        <f t="shared" si="15"/>
        <v>-</v>
      </c>
      <c r="AF35" s="35" t="str">
        <f t="shared" si="16"/>
        <v>-</v>
      </c>
      <c r="AG35" s="35" t="str">
        <f t="shared" si="17"/>
        <v>-</v>
      </c>
      <c r="AH35" s="35" t="str">
        <f t="shared" si="18"/>
        <v>-</v>
      </c>
      <c r="AI35" s="35" t="str">
        <f t="shared" si="19"/>
        <v>-</v>
      </c>
      <c r="AJ35" s="35" t="str">
        <f t="shared" si="20"/>
        <v>-</v>
      </c>
      <c r="AL35" s="4">
        <v>31</v>
      </c>
      <c r="AM35" s="2" t="e">
        <f>VLOOKUP(AL35,Q$5:$AJ$104,$AN$2,FALSE)</f>
        <v>#N/A</v>
      </c>
      <c r="AN35" s="6" t="e">
        <f>VLOOKUP(AL35,Q$5:$AJ$104,$AN$2+11,FALSE)</f>
        <v>#N/A</v>
      </c>
      <c r="AO35" s="2" t="e">
        <f t="shared" si="21"/>
        <v>#N/A</v>
      </c>
      <c r="AQ35" s="4">
        <v>31</v>
      </c>
      <c r="AR35" s="2" t="e">
        <f>VLOOKUP(AQ35,$S$5:$AJ$104,$AS$2,FALSE)</f>
        <v>#N/A</v>
      </c>
      <c r="AS35" s="6" t="e">
        <f>VLOOKUP(AQ35,$S$5:$AJ$104,$AS$2+9,FALSE)</f>
        <v>#N/A</v>
      </c>
      <c r="AT35" s="2" t="e">
        <f>VLOOKUP(AR35,$S$5:$AJ$104,$AS$2+12,FALSE)</f>
        <v>#N/A</v>
      </c>
      <c r="AU35" s="9"/>
      <c r="AV35" s="4">
        <v>31</v>
      </c>
      <c r="AW35" s="2" t="e">
        <f>VLOOKUP(AV35,$U$5:$AJ$104,$AX$2,FALSE)</f>
        <v>#N/A</v>
      </c>
      <c r="AX35" s="6" t="e">
        <f>VLOOKUP(AV35,$U$5:$AJ$104,$AX$2+7,FALSE)</f>
        <v>#N/A</v>
      </c>
      <c r="AY35" s="2" t="e">
        <f>VLOOKUP(AW35,$U$5:$AJ$104,$AX$2+11,FALSE)</f>
        <v>#N/A</v>
      </c>
      <c r="BA35" s="4">
        <v>31</v>
      </c>
      <c r="BB35" s="2" t="e">
        <f>VLOOKUP(BA35,$W$5:$AJ$104,$BC$2,FALSE)</f>
        <v>#N/A</v>
      </c>
      <c r="BC35" s="6" t="e">
        <f>VLOOKUP(BA35,$W$5:$AJ$104,$BC$2+5,FALSE)</f>
        <v>#N/A</v>
      </c>
      <c r="BD35" s="2" t="e">
        <f>VLOOKUP(BB35,$W$5:$AJ$104,$BC$2+10,FALSE)</f>
        <v>#N/A</v>
      </c>
      <c r="BE35" s="9"/>
      <c r="BF35" s="4">
        <v>31</v>
      </c>
      <c r="BG35" s="2" t="e">
        <f>VLOOKUP(BF35,$Y$5:$AJ$104,$BH$2,FALSE)</f>
        <v>#N/A</v>
      </c>
      <c r="BH35" s="6" t="e">
        <f>VLOOKUP(BF35,$Y$5:$AJ$104,$BH$2+3,FALSE)</f>
        <v>#N/A</v>
      </c>
      <c r="BI35" s="58" t="e">
        <f>VLOOKUP(BG35,$Y$5:$AJ$104,$BH$2+9,FALSE)</f>
        <v>#N/A</v>
      </c>
      <c r="BK35" s="4">
        <v>31</v>
      </c>
      <c r="BL35" s="2" t="e">
        <f>VLOOKUP(BK35,$AA$5:$AJ$104,$BM$2,FALSE)</f>
        <v>#N/A</v>
      </c>
      <c r="BM35" s="6" t="e">
        <f>VLOOKUP(BK35,$AA$5:$AJ$104,$BM$2+1,FALSE)</f>
        <v>#N/A</v>
      </c>
      <c r="BN35" s="58" t="e">
        <f>VLOOKUP(BL35,$AA$5:$AJ$104,$BM$2+8,FALSE)</f>
        <v>#N/A</v>
      </c>
      <c r="BP35" s="2" t="e">
        <f>'Eclectic A'!CD35</f>
        <v>#N/A</v>
      </c>
      <c r="BQ35" s="6" t="e">
        <f>'Eclectic A'!CE35</f>
        <v>#N/A</v>
      </c>
      <c r="BR35" s="103" t="e">
        <f>'Eclectic A'!CF35</f>
        <v>#N/A</v>
      </c>
    </row>
    <row r="36" spans="1:70">
      <c r="A36" s="10" t="str">
        <f>IF(ISBLANK(Players!A34),"",Players!A34)</f>
        <v/>
      </c>
      <c r="B36" s="10" t="str">
        <f>IF(ISBLANK(Players!B34),"",Players!B34)</f>
        <v/>
      </c>
      <c r="C36" s="10" t="str">
        <f>IF(ISBLANK(Players!D34),"",Players!D34)</f>
        <v/>
      </c>
      <c r="D36" s="69" t="str">
        <f>IF(ISNUMBER(C36),MIN((C36*Rules!$N$14/113)+(Rules!$N$13-Rules!$N$12),Rules!$N$37),"-")</f>
        <v>-</v>
      </c>
      <c r="E36" s="69" t="str">
        <f>IF(ISNUMBER(C36),    ROUND( (D36*Rules!$N$11) / 100,0),"-")</f>
        <v>-</v>
      </c>
      <c r="F36" s="36" t="str">
        <f>IF(AND(ISNUMBER(C36),C36&gt;=Rules!$M$10,C36&lt;=Rules!$N$10),"Y","N")</f>
        <v>N</v>
      </c>
      <c r="G36" s="137" t="str">
        <f>'Eclectic A'!M36</f>
        <v>-</v>
      </c>
      <c r="H36" s="137" t="str">
        <f>'Eclectic A'!W36</f>
        <v>-</v>
      </c>
      <c r="I36" s="137" t="str">
        <f>'Eclectic A'!AJ36</f>
        <v>-</v>
      </c>
      <c r="J36" s="137" t="str">
        <f>'Eclectic A'!AT36</f>
        <v>-</v>
      </c>
      <c r="K36" s="108" t="str">
        <f t="shared" si="3"/>
        <v>-</v>
      </c>
      <c r="L36" s="108" t="str">
        <f t="shared" si="4"/>
        <v>-</v>
      </c>
      <c r="M36" s="108" t="str">
        <f t="shared" si="5"/>
        <v>-</v>
      </c>
      <c r="N36" s="108" t="str">
        <f t="shared" si="6"/>
        <v>-</v>
      </c>
      <c r="O36" s="108" t="str">
        <f t="shared" si="7"/>
        <v>-</v>
      </c>
      <c r="P36" s="108" t="str">
        <f t="shared" si="8"/>
        <v>-</v>
      </c>
      <c r="Q36" s="14" t="e">
        <f>RANK($K36,$K$5:$K$104,1)+COUNTIF(K$5:K36,K36)-1</f>
        <v>#VALUE!</v>
      </c>
      <c r="R36" s="14" t="e">
        <f t="shared" si="9"/>
        <v>#VALUE!</v>
      </c>
      <c r="S36" s="14" t="e">
        <f>RANK($L36,$L$5:$L$104,1)+COUNTIF(L$5:L36,L36)-1</f>
        <v>#VALUE!</v>
      </c>
      <c r="T36" s="14" t="e">
        <f t="shared" si="10"/>
        <v>#VALUE!</v>
      </c>
      <c r="U36" s="14" t="e">
        <f>RANK($M36,$M$5:$M$104,1)+COUNTIF(M$5:M36,M36)-1</f>
        <v>#VALUE!</v>
      </c>
      <c r="V36" s="14" t="e">
        <f t="shared" si="11"/>
        <v>#VALUE!</v>
      </c>
      <c r="W36" s="14" t="e">
        <f>RANK($N36,$N$5:$N$104,1)+COUNTIF(N$5:N36,N36)-1</f>
        <v>#VALUE!</v>
      </c>
      <c r="X36" s="14" t="e">
        <f t="shared" si="12"/>
        <v>#VALUE!</v>
      </c>
      <c r="Y36" s="14" t="e">
        <f>RANK($O36,$O$5:$O$104,1)+COUNTIF(O$5:O36,O36)-1</f>
        <v>#VALUE!</v>
      </c>
      <c r="Z36" s="14" t="e">
        <f t="shared" si="13"/>
        <v>#VALUE!</v>
      </c>
      <c r="AA36" s="14" t="e">
        <f>RANK($P36,$P$5:$P$104,1)+COUNTIF(P$5:P36,P36)-1</f>
        <v>#VALUE!</v>
      </c>
      <c r="AB36" s="14" t="e">
        <f t="shared" si="14"/>
        <v>#VALUE!</v>
      </c>
      <c r="AC36" s="1" t="str">
        <f t="shared" si="0"/>
        <v xml:space="preserve"> </v>
      </c>
      <c r="AD36" s="1" t="str">
        <f t="shared" si="1"/>
        <v>-</v>
      </c>
      <c r="AE36" s="35" t="str">
        <f t="shared" si="15"/>
        <v>-</v>
      </c>
      <c r="AF36" s="35" t="str">
        <f t="shared" si="16"/>
        <v>-</v>
      </c>
      <c r="AG36" s="35" t="str">
        <f t="shared" si="17"/>
        <v>-</v>
      </c>
      <c r="AH36" s="35" t="str">
        <f t="shared" si="18"/>
        <v>-</v>
      </c>
      <c r="AI36" s="35" t="str">
        <f t="shared" si="19"/>
        <v>-</v>
      </c>
      <c r="AJ36" s="35" t="str">
        <f t="shared" si="20"/>
        <v>-</v>
      </c>
      <c r="AL36" s="4">
        <v>32</v>
      </c>
      <c r="AM36" s="2" t="e">
        <f>VLOOKUP(AL36,Q$5:$AJ$104,$AN$2,FALSE)</f>
        <v>#N/A</v>
      </c>
      <c r="AN36" s="6" t="e">
        <f>VLOOKUP(AL36,Q$5:$AJ$104,$AN$2+11,FALSE)</f>
        <v>#N/A</v>
      </c>
      <c r="AO36" s="2" t="e">
        <f t="shared" si="21"/>
        <v>#N/A</v>
      </c>
      <c r="AQ36" s="4">
        <v>32</v>
      </c>
      <c r="AR36" s="2" t="e">
        <f>VLOOKUP(AQ36,$S$5:$AJ$104,$AS$2,FALSE)</f>
        <v>#N/A</v>
      </c>
      <c r="AS36" s="6" t="e">
        <f>VLOOKUP(AQ36,$S$5:$AJ$104,$AS$2+9,FALSE)</f>
        <v>#N/A</v>
      </c>
      <c r="AT36" s="2" t="e">
        <f>VLOOKUP(AR36,$S$5:$AJ$104,$AS$2+12,FALSE)</f>
        <v>#N/A</v>
      </c>
      <c r="AU36" s="9"/>
      <c r="AV36" s="4">
        <v>32</v>
      </c>
      <c r="AW36" s="2" t="e">
        <f>VLOOKUP(AV36,$U$5:$AJ$104,$AX$2,FALSE)</f>
        <v>#N/A</v>
      </c>
      <c r="AX36" s="6" t="e">
        <f>VLOOKUP(AV36,$U$5:$AJ$104,$AX$2+7,FALSE)</f>
        <v>#N/A</v>
      </c>
      <c r="AY36" s="2" t="e">
        <f>VLOOKUP(AW36,$U$5:$AJ$104,$AX$2+11,FALSE)</f>
        <v>#N/A</v>
      </c>
      <c r="BA36" s="4">
        <v>32</v>
      </c>
      <c r="BB36" s="2" t="e">
        <f>VLOOKUP(BA36,$W$5:$AJ$104,$BC$2,FALSE)</f>
        <v>#N/A</v>
      </c>
      <c r="BC36" s="6" t="e">
        <f>VLOOKUP(BA36,$W$5:$AJ$104,$BC$2+5,FALSE)</f>
        <v>#N/A</v>
      </c>
      <c r="BD36" s="2" t="e">
        <f>VLOOKUP(BB36,$W$5:$AJ$104,$BC$2+10,FALSE)</f>
        <v>#N/A</v>
      </c>
      <c r="BE36" s="9"/>
      <c r="BF36" s="4">
        <v>32</v>
      </c>
      <c r="BG36" s="2" t="e">
        <f>VLOOKUP(BF36,$Y$5:$AJ$104,$BH$2,FALSE)</f>
        <v>#N/A</v>
      </c>
      <c r="BH36" s="6" t="e">
        <f>VLOOKUP(BF36,$Y$5:$AJ$104,$BH$2+3,FALSE)</f>
        <v>#N/A</v>
      </c>
      <c r="BI36" s="58" t="e">
        <f>VLOOKUP(BG36,$Y$5:$AJ$104,$BH$2+9,FALSE)</f>
        <v>#N/A</v>
      </c>
      <c r="BK36" s="4">
        <v>32</v>
      </c>
      <c r="BL36" s="2" t="e">
        <f>VLOOKUP(BK36,$AA$5:$AJ$104,$BM$2,FALSE)</f>
        <v>#N/A</v>
      </c>
      <c r="BM36" s="6" t="e">
        <f>VLOOKUP(BK36,$AA$5:$AJ$104,$BM$2+1,FALSE)</f>
        <v>#N/A</v>
      </c>
      <c r="BN36" s="58" t="e">
        <f>VLOOKUP(BL36,$AA$5:$AJ$104,$BM$2+8,FALSE)</f>
        <v>#N/A</v>
      </c>
      <c r="BP36" s="2" t="e">
        <f>'Eclectic A'!CD36</f>
        <v>#N/A</v>
      </c>
      <c r="BQ36" s="6" t="e">
        <f>'Eclectic A'!CE36</f>
        <v>#N/A</v>
      </c>
      <c r="BR36" s="103" t="e">
        <f>'Eclectic A'!CF36</f>
        <v>#N/A</v>
      </c>
    </row>
    <row r="37" spans="1:70">
      <c r="A37" s="10" t="str">
        <f>IF(ISBLANK(Players!A35),"",Players!A35)</f>
        <v/>
      </c>
      <c r="B37" s="10" t="str">
        <f>IF(ISBLANK(Players!B35),"",Players!B35)</f>
        <v/>
      </c>
      <c r="C37" s="10" t="str">
        <f>IF(ISBLANK(Players!D35),"",Players!D35)</f>
        <v/>
      </c>
      <c r="D37" s="69" t="str">
        <f>IF(ISNUMBER(C37),MIN((C37*Rules!$N$14/113)+(Rules!$N$13-Rules!$N$12),Rules!$N$37),"-")</f>
        <v>-</v>
      </c>
      <c r="E37" s="69" t="str">
        <f>IF(ISNUMBER(C37),    ROUND( (D37*Rules!$N$11) / 100,0),"-")</f>
        <v>-</v>
      </c>
      <c r="F37" s="36" t="str">
        <f>IF(AND(ISNUMBER(C37),C37&gt;=Rules!$M$10,C37&lt;=Rules!$N$10),"Y","N")</f>
        <v>N</v>
      </c>
      <c r="G37" s="137" t="str">
        <f>'Eclectic A'!M37</f>
        <v>-</v>
      </c>
      <c r="H37" s="137" t="str">
        <f>'Eclectic A'!W37</f>
        <v>-</v>
      </c>
      <c r="I37" s="137" t="str">
        <f>'Eclectic A'!AJ37</f>
        <v>-</v>
      </c>
      <c r="J37" s="137" t="str">
        <f>'Eclectic A'!AT37</f>
        <v>-</v>
      </c>
      <c r="K37" s="108" t="str">
        <f t="shared" si="3"/>
        <v>-</v>
      </c>
      <c r="L37" s="108" t="str">
        <f t="shared" si="4"/>
        <v>-</v>
      </c>
      <c r="M37" s="108" t="str">
        <f t="shared" si="5"/>
        <v>-</v>
      </c>
      <c r="N37" s="108" t="str">
        <f t="shared" si="6"/>
        <v>-</v>
      </c>
      <c r="O37" s="108" t="str">
        <f t="shared" si="7"/>
        <v>-</v>
      </c>
      <c r="P37" s="108" t="str">
        <f t="shared" si="8"/>
        <v>-</v>
      </c>
      <c r="Q37" s="14" t="e">
        <f>RANK($K37,$K$5:$K$104,1)+COUNTIF(K$5:K37,K37)-1</f>
        <v>#VALUE!</v>
      </c>
      <c r="R37" s="14" t="e">
        <f t="shared" si="9"/>
        <v>#VALUE!</v>
      </c>
      <c r="S37" s="14" t="e">
        <f>RANK($L37,$L$5:$L$104,1)+COUNTIF(L$5:L37,L37)-1</f>
        <v>#VALUE!</v>
      </c>
      <c r="T37" s="14" t="e">
        <f t="shared" si="10"/>
        <v>#VALUE!</v>
      </c>
      <c r="U37" s="14" t="e">
        <f>RANK($M37,$M$5:$M$104,1)+COUNTIF(M$5:M37,M37)-1</f>
        <v>#VALUE!</v>
      </c>
      <c r="V37" s="14" t="e">
        <f t="shared" si="11"/>
        <v>#VALUE!</v>
      </c>
      <c r="W37" s="14" t="e">
        <f>RANK($N37,$N$5:$N$104,1)+COUNTIF(N$5:N37,N37)-1</f>
        <v>#VALUE!</v>
      </c>
      <c r="X37" s="14" t="e">
        <f t="shared" si="12"/>
        <v>#VALUE!</v>
      </c>
      <c r="Y37" s="14" t="e">
        <f>RANK($O37,$O$5:$O$104,1)+COUNTIF(O$5:O37,O37)-1</f>
        <v>#VALUE!</v>
      </c>
      <c r="Z37" s="14" t="e">
        <f t="shared" si="13"/>
        <v>#VALUE!</v>
      </c>
      <c r="AA37" s="14" t="e">
        <f>RANK($P37,$P$5:$P$104,1)+COUNTIF(P$5:P37,P37)-1</f>
        <v>#VALUE!</v>
      </c>
      <c r="AB37" s="14" t="e">
        <f t="shared" si="14"/>
        <v>#VALUE!</v>
      </c>
      <c r="AC37" s="1" t="str">
        <f t="shared" ref="AC37:AC68" si="22">A37 &amp; " " &amp; B37</f>
        <v xml:space="preserve"> </v>
      </c>
      <c r="AD37" s="1" t="str">
        <f t="shared" ref="AD37:AD68" si="23">D37</f>
        <v>-</v>
      </c>
      <c r="AE37" s="35" t="str">
        <f t="shared" si="15"/>
        <v>-</v>
      </c>
      <c r="AF37" s="35" t="str">
        <f t="shared" si="16"/>
        <v>-</v>
      </c>
      <c r="AG37" s="35" t="str">
        <f t="shared" si="17"/>
        <v>-</v>
      </c>
      <c r="AH37" s="35" t="str">
        <f t="shared" si="18"/>
        <v>-</v>
      </c>
      <c r="AI37" s="35" t="str">
        <f t="shared" si="19"/>
        <v>-</v>
      </c>
      <c r="AJ37" s="35" t="str">
        <f t="shared" si="20"/>
        <v>-</v>
      </c>
      <c r="AL37" s="4">
        <v>33</v>
      </c>
      <c r="AM37" s="2" t="e">
        <f>VLOOKUP(AL37,Q$5:$AJ$104,$AN$2,FALSE)</f>
        <v>#N/A</v>
      </c>
      <c r="AN37" s="6" t="e">
        <f>VLOOKUP(AL37,Q$5:$AJ$104,$AN$2+11,FALSE)</f>
        <v>#N/A</v>
      </c>
      <c r="AO37" s="2" t="e">
        <f t="shared" si="21"/>
        <v>#N/A</v>
      </c>
      <c r="AQ37" s="4">
        <v>33</v>
      </c>
      <c r="AR37" s="2" t="e">
        <f>VLOOKUP(AQ37,$S$5:$AJ$104,$AS$2,FALSE)</f>
        <v>#N/A</v>
      </c>
      <c r="AS37" s="6" t="e">
        <f>VLOOKUP(AQ37,$S$5:$AJ$104,$AS$2+9,FALSE)</f>
        <v>#N/A</v>
      </c>
      <c r="AT37" s="2" t="e">
        <f>VLOOKUP(AR37,$S$5:$AJ$104,$AS$2+12,FALSE)</f>
        <v>#N/A</v>
      </c>
      <c r="AU37" s="9"/>
      <c r="AV37" s="4">
        <v>33</v>
      </c>
      <c r="AW37" s="2" t="e">
        <f>VLOOKUP(AV37,$U$5:$AJ$104,$AX$2,FALSE)</f>
        <v>#N/A</v>
      </c>
      <c r="AX37" s="6" t="e">
        <f>VLOOKUP(AV37,$U$5:$AJ$104,$AX$2+7,FALSE)</f>
        <v>#N/A</v>
      </c>
      <c r="AY37" s="2" t="e">
        <f>VLOOKUP(AW37,$U$5:$AJ$104,$AX$2+11,FALSE)</f>
        <v>#N/A</v>
      </c>
      <c r="BA37" s="4">
        <v>33</v>
      </c>
      <c r="BB37" s="2" t="e">
        <f>VLOOKUP(BA37,$W$5:$AJ$104,$BC$2,FALSE)</f>
        <v>#N/A</v>
      </c>
      <c r="BC37" s="6" t="e">
        <f>VLOOKUP(BA37,$W$5:$AJ$104,$BC$2+5,FALSE)</f>
        <v>#N/A</v>
      </c>
      <c r="BD37" s="2" t="e">
        <f>VLOOKUP(BB37,$W$5:$AJ$104,$BC$2+10,FALSE)</f>
        <v>#N/A</v>
      </c>
      <c r="BE37" s="9"/>
      <c r="BF37" s="4">
        <v>33</v>
      </c>
      <c r="BG37" s="2" t="e">
        <f>VLOOKUP(BF37,$Y$5:$AJ$104,$BH$2,FALSE)</f>
        <v>#N/A</v>
      </c>
      <c r="BH37" s="6" t="e">
        <f>VLOOKUP(BF37,$Y$5:$AJ$104,$BH$2+3,FALSE)</f>
        <v>#N/A</v>
      </c>
      <c r="BI37" s="58" t="e">
        <f>VLOOKUP(BG37,$Y$5:$AJ$104,$BH$2+9,FALSE)</f>
        <v>#N/A</v>
      </c>
      <c r="BK37" s="4">
        <v>33</v>
      </c>
      <c r="BL37" s="2" t="e">
        <f>VLOOKUP(BK37,$AA$5:$AJ$104,$BM$2,FALSE)</f>
        <v>#N/A</v>
      </c>
      <c r="BM37" s="6" t="e">
        <f>VLOOKUP(BK37,$AA$5:$AJ$104,$BM$2+1,FALSE)</f>
        <v>#N/A</v>
      </c>
      <c r="BN37" s="58" t="e">
        <f>VLOOKUP(BL37,$AA$5:$AJ$104,$BM$2+8,FALSE)</f>
        <v>#N/A</v>
      </c>
      <c r="BP37" s="2" t="e">
        <f>'Eclectic A'!CD37</f>
        <v>#N/A</v>
      </c>
      <c r="BQ37" s="6" t="e">
        <f>'Eclectic A'!CE37</f>
        <v>#N/A</v>
      </c>
      <c r="BR37" s="103" t="e">
        <f>'Eclectic A'!CF37</f>
        <v>#N/A</v>
      </c>
    </row>
    <row r="38" spans="1:70">
      <c r="A38" s="10" t="str">
        <f>IF(ISBLANK(Players!A36),"",Players!A36)</f>
        <v/>
      </c>
      <c r="B38" s="10" t="str">
        <f>IF(ISBLANK(Players!B36),"",Players!B36)</f>
        <v/>
      </c>
      <c r="C38" s="10" t="str">
        <f>IF(ISBLANK(Players!D36),"",Players!D36)</f>
        <v/>
      </c>
      <c r="D38" s="69" t="str">
        <f>IF(ISNUMBER(C38),MIN((C38*Rules!$N$14/113)+(Rules!$N$13-Rules!$N$12),Rules!$N$37),"-")</f>
        <v>-</v>
      </c>
      <c r="E38" s="69" t="str">
        <f>IF(ISNUMBER(C38),    ROUND( (D38*Rules!$N$11) / 100,0),"-")</f>
        <v>-</v>
      </c>
      <c r="F38" s="36" t="str">
        <f>IF(AND(ISNUMBER(C38),C38&gt;=Rules!$M$10,C38&lt;=Rules!$N$10),"Y","N")</f>
        <v>N</v>
      </c>
      <c r="G38" s="137" t="str">
        <f>'Eclectic A'!M38</f>
        <v>-</v>
      </c>
      <c r="H38" s="137" t="str">
        <f>'Eclectic A'!W38</f>
        <v>-</v>
      </c>
      <c r="I38" s="137" t="str">
        <f>'Eclectic A'!AJ38</f>
        <v>-</v>
      </c>
      <c r="J38" s="137" t="str">
        <f>'Eclectic A'!AT38</f>
        <v>-</v>
      </c>
      <c r="K38" s="108" t="str">
        <f t="shared" si="3"/>
        <v>-</v>
      </c>
      <c r="L38" s="108" t="str">
        <f t="shared" si="4"/>
        <v>-</v>
      </c>
      <c r="M38" s="108" t="str">
        <f t="shared" si="5"/>
        <v>-</v>
      </c>
      <c r="N38" s="108" t="str">
        <f t="shared" si="6"/>
        <v>-</v>
      </c>
      <c r="O38" s="108" t="str">
        <f t="shared" si="7"/>
        <v>-</v>
      </c>
      <c r="P38" s="108" t="str">
        <f t="shared" si="8"/>
        <v>-</v>
      </c>
      <c r="Q38" s="14" t="e">
        <f>RANK($K38,$K$5:$K$104,1)+COUNTIF(K$5:K38,K38)-1</f>
        <v>#VALUE!</v>
      </c>
      <c r="R38" s="14" t="e">
        <f t="shared" si="9"/>
        <v>#VALUE!</v>
      </c>
      <c r="S38" s="14" t="e">
        <f>RANK($L38,$L$5:$L$104,1)+COUNTIF(L$5:L38,L38)-1</f>
        <v>#VALUE!</v>
      </c>
      <c r="T38" s="14" t="e">
        <f t="shared" si="10"/>
        <v>#VALUE!</v>
      </c>
      <c r="U38" s="14" t="e">
        <f>RANK($M38,$M$5:$M$104,1)+COUNTIF(M$5:M38,M38)-1</f>
        <v>#VALUE!</v>
      </c>
      <c r="V38" s="14" t="e">
        <f t="shared" si="11"/>
        <v>#VALUE!</v>
      </c>
      <c r="W38" s="14" t="e">
        <f>RANK($N38,$N$5:$N$104,1)+COUNTIF(N$5:N38,N38)-1</f>
        <v>#VALUE!</v>
      </c>
      <c r="X38" s="14" t="e">
        <f t="shared" si="12"/>
        <v>#VALUE!</v>
      </c>
      <c r="Y38" s="14" t="e">
        <f>RANK($O38,$O$5:$O$104,1)+COUNTIF(O$5:O38,O38)-1</f>
        <v>#VALUE!</v>
      </c>
      <c r="Z38" s="14" t="e">
        <f t="shared" si="13"/>
        <v>#VALUE!</v>
      </c>
      <c r="AA38" s="14" t="e">
        <f>RANK($P38,$P$5:$P$104,1)+COUNTIF(P$5:P38,P38)-1</f>
        <v>#VALUE!</v>
      </c>
      <c r="AB38" s="14" t="e">
        <f t="shared" si="14"/>
        <v>#VALUE!</v>
      </c>
      <c r="AC38" s="1" t="str">
        <f t="shared" si="22"/>
        <v xml:space="preserve"> </v>
      </c>
      <c r="AD38" s="1" t="str">
        <f t="shared" si="23"/>
        <v>-</v>
      </c>
      <c r="AE38" s="35" t="str">
        <f t="shared" si="15"/>
        <v>-</v>
      </c>
      <c r="AF38" s="35" t="str">
        <f t="shared" si="16"/>
        <v>-</v>
      </c>
      <c r="AG38" s="35" t="str">
        <f t="shared" si="17"/>
        <v>-</v>
      </c>
      <c r="AH38" s="35" t="str">
        <f t="shared" si="18"/>
        <v>-</v>
      </c>
      <c r="AI38" s="35" t="str">
        <f t="shared" si="19"/>
        <v>-</v>
      </c>
      <c r="AJ38" s="35" t="str">
        <f t="shared" si="20"/>
        <v>-</v>
      </c>
      <c r="AL38" s="4">
        <v>34</v>
      </c>
      <c r="AM38" s="2" t="e">
        <f>VLOOKUP(AL38,Q$5:$AJ$104,$AN$2,FALSE)</f>
        <v>#N/A</v>
      </c>
      <c r="AN38" s="6" t="e">
        <f>VLOOKUP(AL38,Q$5:$AJ$104,$AN$2+11,FALSE)</f>
        <v>#N/A</v>
      </c>
      <c r="AO38" s="2" t="e">
        <f t="shared" si="21"/>
        <v>#N/A</v>
      </c>
      <c r="AQ38" s="4">
        <v>34</v>
      </c>
      <c r="AR38" s="2" t="e">
        <f>VLOOKUP(AQ38,$S$5:$AJ$104,$AS$2,FALSE)</f>
        <v>#N/A</v>
      </c>
      <c r="AS38" s="6" t="e">
        <f>VLOOKUP(AQ38,$S$5:$AJ$104,$AS$2+9,FALSE)</f>
        <v>#N/A</v>
      </c>
      <c r="AT38" s="2" t="e">
        <f>VLOOKUP(AR38,$S$5:$AJ$104,$AS$2+12,FALSE)</f>
        <v>#N/A</v>
      </c>
      <c r="AU38" s="9"/>
      <c r="AV38" s="4">
        <v>34</v>
      </c>
      <c r="AW38" s="2" t="e">
        <f>VLOOKUP(AV38,$U$5:$AJ$104,$AX$2,FALSE)</f>
        <v>#N/A</v>
      </c>
      <c r="AX38" s="6" t="e">
        <f>VLOOKUP(AV38,$U$5:$AJ$104,$AX$2+7,FALSE)</f>
        <v>#N/A</v>
      </c>
      <c r="AY38" s="2" t="e">
        <f>VLOOKUP(AW38,$U$5:$AJ$104,$AX$2+11,FALSE)</f>
        <v>#N/A</v>
      </c>
      <c r="BA38" s="4">
        <v>34</v>
      </c>
      <c r="BB38" s="2" t="e">
        <f>VLOOKUP(BA38,$W$5:$AJ$104,$BC$2,FALSE)</f>
        <v>#N/A</v>
      </c>
      <c r="BC38" s="6" t="e">
        <f>VLOOKUP(BA38,$W$5:$AJ$104,$BC$2+5,FALSE)</f>
        <v>#N/A</v>
      </c>
      <c r="BD38" s="2" t="e">
        <f>VLOOKUP(BB38,$W$5:$AJ$104,$BC$2+10,FALSE)</f>
        <v>#N/A</v>
      </c>
      <c r="BE38" s="9"/>
      <c r="BF38" s="4">
        <v>34</v>
      </c>
      <c r="BG38" s="2" t="e">
        <f>VLOOKUP(BF38,$Y$5:$AJ$104,$BH$2,FALSE)</f>
        <v>#N/A</v>
      </c>
      <c r="BH38" s="6" t="e">
        <f>VLOOKUP(BF38,$Y$5:$AJ$104,$BH$2+3,FALSE)</f>
        <v>#N/A</v>
      </c>
      <c r="BI38" s="58" t="e">
        <f>VLOOKUP(BG38,$Y$5:$AJ$104,$BH$2+9,FALSE)</f>
        <v>#N/A</v>
      </c>
      <c r="BK38" s="4">
        <v>34</v>
      </c>
      <c r="BL38" s="2" t="e">
        <f>VLOOKUP(BK38,$AA$5:$AJ$104,$BM$2,FALSE)</f>
        <v>#N/A</v>
      </c>
      <c r="BM38" s="6" t="e">
        <f>VLOOKUP(BK38,$AA$5:$AJ$104,$BM$2+1,FALSE)</f>
        <v>#N/A</v>
      </c>
      <c r="BN38" s="58" t="e">
        <f>VLOOKUP(BL38,$AA$5:$AJ$104,$BM$2+8,FALSE)</f>
        <v>#N/A</v>
      </c>
      <c r="BP38" s="2" t="e">
        <f>'Eclectic A'!CD38</f>
        <v>#N/A</v>
      </c>
      <c r="BQ38" s="6" t="e">
        <f>'Eclectic A'!CE38</f>
        <v>#N/A</v>
      </c>
      <c r="BR38" s="103" t="e">
        <f>'Eclectic A'!CF38</f>
        <v>#N/A</v>
      </c>
    </row>
    <row r="39" spans="1:70">
      <c r="A39" s="10" t="str">
        <f>IF(ISBLANK(Players!A37),"",Players!A37)</f>
        <v/>
      </c>
      <c r="B39" s="10" t="str">
        <f>IF(ISBLANK(Players!B37),"",Players!B37)</f>
        <v/>
      </c>
      <c r="C39" s="10" t="str">
        <f>IF(ISBLANK(Players!D37),"",Players!D37)</f>
        <v/>
      </c>
      <c r="D39" s="69" t="str">
        <f>IF(ISNUMBER(C39),MIN((C39*Rules!$N$14/113)+(Rules!$N$13-Rules!$N$12),Rules!$N$37),"-")</f>
        <v>-</v>
      </c>
      <c r="E39" s="69" t="str">
        <f>IF(ISNUMBER(C39),    ROUND( (D39*Rules!$N$11) / 100,0),"-")</f>
        <v>-</v>
      </c>
      <c r="F39" s="36" t="str">
        <f>IF(AND(ISNUMBER(C39),C39&gt;=Rules!$M$10,C39&lt;=Rules!$N$10),"Y","N")</f>
        <v>N</v>
      </c>
      <c r="G39" s="137" t="str">
        <f>'Eclectic A'!M39</f>
        <v>-</v>
      </c>
      <c r="H39" s="137" t="str">
        <f>'Eclectic A'!W39</f>
        <v>-</v>
      </c>
      <c r="I39" s="137" t="str">
        <f>'Eclectic A'!AJ39</f>
        <v>-</v>
      </c>
      <c r="J39" s="137" t="str">
        <f>'Eclectic A'!AT39</f>
        <v>-</v>
      </c>
      <c r="K39" s="108" t="str">
        <f t="shared" si="3"/>
        <v>-</v>
      </c>
      <c r="L39" s="108" t="str">
        <f t="shared" si="4"/>
        <v>-</v>
      </c>
      <c r="M39" s="108" t="str">
        <f t="shared" si="5"/>
        <v>-</v>
      </c>
      <c r="N39" s="108" t="str">
        <f t="shared" si="6"/>
        <v>-</v>
      </c>
      <c r="O39" s="108" t="str">
        <f t="shared" si="7"/>
        <v>-</v>
      </c>
      <c r="P39" s="108" t="str">
        <f t="shared" si="8"/>
        <v>-</v>
      </c>
      <c r="Q39" s="14" t="e">
        <f>RANK($K39,$K$5:$K$104,1)+COUNTIF(K$5:K39,K39)-1</f>
        <v>#VALUE!</v>
      </c>
      <c r="R39" s="14" t="e">
        <f t="shared" si="9"/>
        <v>#VALUE!</v>
      </c>
      <c r="S39" s="14" t="e">
        <f>RANK($L39,$L$5:$L$104,1)+COUNTIF(L$5:L39,L39)-1</f>
        <v>#VALUE!</v>
      </c>
      <c r="T39" s="14" t="e">
        <f t="shared" si="10"/>
        <v>#VALUE!</v>
      </c>
      <c r="U39" s="14" t="e">
        <f>RANK($M39,$M$5:$M$104,1)+COUNTIF(M$5:M39,M39)-1</f>
        <v>#VALUE!</v>
      </c>
      <c r="V39" s="14" t="e">
        <f t="shared" si="11"/>
        <v>#VALUE!</v>
      </c>
      <c r="W39" s="14" t="e">
        <f>RANK($N39,$N$5:$N$104,1)+COUNTIF(N$5:N39,N39)-1</f>
        <v>#VALUE!</v>
      </c>
      <c r="X39" s="14" t="e">
        <f t="shared" si="12"/>
        <v>#VALUE!</v>
      </c>
      <c r="Y39" s="14" t="e">
        <f>RANK($O39,$O$5:$O$104,1)+COUNTIF(O$5:O39,O39)-1</f>
        <v>#VALUE!</v>
      </c>
      <c r="Z39" s="14" t="e">
        <f t="shared" si="13"/>
        <v>#VALUE!</v>
      </c>
      <c r="AA39" s="14" t="e">
        <f>RANK($P39,$P$5:$P$104,1)+COUNTIF(P$5:P39,P39)-1</f>
        <v>#VALUE!</v>
      </c>
      <c r="AB39" s="14" t="e">
        <f t="shared" si="14"/>
        <v>#VALUE!</v>
      </c>
      <c r="AC39" s="1" t="str">
        <f t="shared" si="22"/>
        <v xml:space="preserve"> </v>
      </c>
      <c r="AD39" s="1" t="str">
        <f t="shared" si="23"/>
        <v>-</v>
      </c>
      <c r="AE39" s="35" t="str">
        <f t="shared" si="15"/>
        <v>-</v>
      </c>
      <c r="AF39" s="35" t="str">
        <f t="shared" si="16"/>
        <v>-</v>
      </c>
      <c r="AG39" s="35" t="str">
        <f t="shared" si="17"/>
        <v>-</v>
      </c>
      <c r="AH39" s="35" t="str">
        <f t="shared" si="18"/>
        <v>-</v>
      </c>
      <c r="AI39" s="35" t="str">
        <f t="shared" si="19"/>
        <v>-</v>
      </c>
      <c r="AJ39" s="35" t="str">
        <f t="shared" si="20"/>
        <v>-</v>
      </c>
      <c r="AL39" s="4">
        <v>35</v>
      </c>
      <c r="AM39" s="2" t="e">
        <f>VLOOKUP(AL39,Q$5:$AJ$104,$AN$2,FALSE)</f>
        <v>#N/A</v>
      </c>
      <c r="AN39" s="6" t="e">
        <f>VLOOKUP(AL39,Q$5:$AJ$104,$AN$2+11,FALSE)</f>
        <v>#N/A</v>
      </c>
      <c r="AO39" s="2" t="e">
        <f t="shared" si="21"/>
        <v>#N/A</v>
      </c>
      <c r="AQ39" s="4">
        <v>35</v>
      </c>
      <c r="AR39" s="2" t="e">
        <f>VLOOKUP(AQ39,$S$5:$AJ$104,$AS$2,FALSE)</f>
        <v>#N/A</v>
      </c>
      <c r="AS39" s="6" t="e">
        <f>VLOOKUP(AQ39,$S$5:$AJ$104,$AS$2+9,FALSE)</f>
        <v>#N/A</v>
      </c>
      <c r="AT39" s="2" t="e">
        <f>VLOOKUP(AR39,$S$5:$AJ$104,$AS$2+12,FALSE)</f>
        <v>#N/A</v>
      </c>
      <c r="AU39" s="9"/>
      <c r="AV39" s="4">
        <v>35</v>
      </c>
      <c r="AW39" s="2" t="e">
        <f>VLOOKUP(AV39,$U$5:$AJ$104,$AX$2,FALSE)</f>
        <v>#N/A</v>
      </c>
      <c r="AX39" s="6" t="e">
        <f>VLOOKUP(AV39,$U$5:$AJ$104,$AX$2+7,FALSE)</f>
        <v>#N/A</v>
      </c>
      <c r="AY39" s="2" t="e">
        <f>VLOOKUP(AW39,$U$5:$AJ$104,$AX$2+11,FALSE)</f>
        <v>#N/A</v>
      </c>
      <c r="BA39" s="4">
        <v>35</v>
      </c>
      <c r="BB39" s="2" t="e">
        <f>VLOOKUP(BA39,$W$5:$AJ$104,$BC$2,FALSE)</f>
        <v>#N/A</v>
      </c>
      <c r="BC39" s="6" t="e">
        <f>VLOOKUP(BA39,$W$5:$AJ$104,$BC$2+5,FALSE)</f>
        <v>#N/A</v>
      </c>
      <c r="BD39" s="2" t="e">
        <f>VLOOKUP(BB39,$W$5:$AJ$104,$BC$2+10,FALSE)</f>
        <v>#N/A</v>
      </c>
      <c r="BE39" s="9"/>
      <c r="BF39" s="4">
        <v>35</v>
      </c>
      <c r="BG39" s="2" t="e">
        <f>VLOOKUP(BF39,$Y$5:$AJ$104,$BH$2,FALSE)</f>
        <v>#N/A</v>
      </c>
      <c r="BH39" s="6" t="e">
        <f>VLOOKUP(BF39,$Y$5:$AJ$104,$BH$2+3,FALSE)</f>
        <v>#N/A</v>
      </c>
      <c r="BI39" s="58" t="e">
        <f>VLOOKUP(BG39,$Y$5:$AJ$104,$BH$2+9,FALSE)</f>
        <v>#N/A</v>
      </c>
      <c r="BK39" s="4">
        <v>35</v>
      </c>
      <c r="BL39" s="2" t="e">
        <f>VLOOKUP(BK39,$AA$5:$AJ$104,$BM$2,FALSE)</f>
        <v>#N/A</v>
      </c>
      <c r="BM39" s="6" t="e">
        <f>VLOOKUP(BK39,$AA$5:$AJ$104,$BM$2+1,FALSE)</f>
        <v>#N/A</v>
      </c>
      <c r="BN39" s="58" t="e">
        <f>VLOOKUP(BL39,$AA$5:$AJ$104,$BM$2+8,FALSE)</f>
        <v>#N/A</v>
      </c>
      <c r="BP39" s="2" t="e">
        <f>'Eclectic A'!CD39</f>
        <v>#N/A</v>
      </c>
      <c r="BQ39" s="6" t="e">
        <f>'Eclectic A'!CE39</f>
        <v>#N/A</v>
      </c>
      <c r="BR39" s="103" t="e">
        <f>'Eclectic A'!CF39</f>
        <v>#N/A</v>
      </c>
    </row>
    <row r="40" spans="1:70">
      <c r="A40" s="10" t="str">
        <f>IF(ISBLANK(Players!A38),"",Players!A38)</f>
        <v/>
      </c>
      <c r="B40" s="10" t="str">
        <f>IF(ISBLANK(Players!B38),"",Players!B38)</f>
        <v/>
      </c>
      <c r="C40" s="10" t="str">
        <f>IF(ISBLANK(Players!D38),"",Players!D38)</f>
        <v/>
      </c>
      <c r="D40" s="69" t="str">
        <f>IF(ISNUMBER(C40),MIN((C40*Rules!$N$14/113)+(Rules!$N$13-Rules!$N$12),Rules!$N$37),"-")</f>
        <v>-</v>
      </c>
      <c r="E40" s="69" t="str">
        <f>IF(ISNUMBER(C40),    ROUND( (D40*Rules!$N$11) / 100,0),"-")</f>
        <v>-</v>
      </c>
      <c r="F40" s="36" t="str">
        <f>IF(AND(ISNUMBER(C40),C40&gt;=Rules!$M$10,C40&lt;=Rules!$N$10),"Y","N")</f>
        <v>N</v>
      </c>
      <c r="G40" s="137" t="str">
        <f>'Eclectic A'!M40</f>
        <v>-</v>
      </c>
      <c r="H40" s="137" t="str">
        <f>'Eclectic A'!W40</f>
        <v>-</v>
      </c>
      <c r="I40" s="137" t="str">
        <f>'Eclectic A'!AJ40</f>
        <v>-</v>
      </c>
      <c r="J40" s="137" t="str">
        <f>'Eclectic A'!AT40</f>
        <v>-</v>
      </c>
      <c r="K40" s="108" t="str">
        <f t="shared" si="3"/>
        <v>-</v>
      </c>
      <c r="L40" s="108" t="str">
        <f t="shared" si="4"/>
        <v>-</v>
      </c>
      <c r="M40" s="108" t="str">
        <f t="shared" si="5"/>
        <v>-</v>
      </c>
      <c r="N40" s="108" t="str">
        <f t="shared" si="6"/>
        <v>-</v>
      </c>
      <c r="O40" s="108" t="str">
        <f t="shared" si="7"/>
        <v>-</v>
      </c>
      <c r="P40" s="108" t="str">
        <f t="shared" si="8"/>
        <v>-</v>
      </c>
      <c r="Q40" s="14" t="e">
        <f>RANK($K40,$K$5:$K$104,1)+COUNTIF(K$5:K40,K40)-1</f>
        <v>#VALUE!</v>
      </c>
      <c r="R40" s="14" t="e">
        <f t="shared" si="9"/>
        <v>#VALUE!</v>
      </c>
      <c r="S40" s="14" t="e">
        <f>RANK($L40,$L$5:$L$104,1)+COUNTIF(L$5:L40,L40)-1</f>
        <v>#VALUE!</v>
      </c>
      <c r="T40" s="14" t="e">
        <f t="shared" si="10"/>
        <v>#VALUE!</v>
      </c>
      <c r="U40" s="14" t="e">
        <f>RANK($M40,$M$5:$M$104,1)+COUNTIF(M$5:M40,M40)-1</f>
        <v>#VALUE!</v>
      </c>
      <c r="V40" s="14" t="e">
        <f t="shared" si="11"/>
        <v>#VALUE!</v>
      </c>
      <c r="W40" s="14" t="e">
        <f>RANK($N40,$N$5:$N$104,1)+COUNTIF(N$5:N40,N40)-1</f>
        <v>#VALUE!</v>
      </c>
      <c r="X40" s="14" t="e">
        <f t="shared" si="12"/>
        <v>#VALUE!</v>
      </c>
      <c r="Y40" s="14" t="e">
        <f>RANK($O40,$O$5:$O$104,1)+COUNTIF(O$5:O40,O40)-1</f>
        <v>#VALUE!</v>
      </c>
      <c r="Z40" s="14" t="e">
        <f t="shared" si="13"/>
        <v>#VALUE!</v>
      </c>
      <c r="AA40" s="14" t="e">
        <f>RANK($P40,$P$5:$P$104,1)+COUNTIF(P$5:P40,P40)-1</f>
        <v>#VALUE!</v>
      </c>
      <c r="AB40" s="14" t="e">
        <f t="shared" si="14"/>
        <v>#VALUE!</v>
      </c>
      <c r="AC40" s="1" t="str">
        <f t="shared" si="22"/>
        <v xml:space="preserve"> </v>
      </c>
      <c r="AD40" s="1" t="str">
        <f t="shared" si="23"/>
        <v>-</v>
      </c>
      <c r="AE40" s="35" t="str">
        <f t="shared" si="15"/>
        <v>-</v>
      </c>
      <c r="AF40" s="35" t="str">
        <f t="shared" si="16"/>
        <v>-</v>
      </c>
      <c r="AG40" s="35" t="str">
        <f t="shared" si="17"/>
        <v>-</v>
      </c>
      <c r="AH40" s="35" t="str">
        <f t="shared" si="18"/>
        <v>-</v>
      </c>
      <c r="AI40" s="35" t="str">
        <f t="shared" si="19"/>
        <v>-</v>
      </c>
      <c r="AJ40" s="35" t="str">
        <f t="shared" si="20"/>
        <v>-</v>
      </c>
      <c r="AL40" s="4">
        <v>36</v>
      </c>
      <c r="AM40" s="2" t="e">
        <f>VLOOKUP(AL40,Q$5:$AJ$104,$AN$2,FALSE)</f>
        <v>#N/A</v>
      </c>
      <c r="AN40" s="6" t="e">
        <f>VLOOKUP(AL40,Q$5:$AJ$104,$AN$2+11,FALSE)</f>
        <v>#N/A</v>
      </c>
      <c r="AO40" s="2" t="e">
        <f t="shared" si="21"/>
        <v>#N/A</v>
      </c>
      <c r="AQ40" s="4">
        <v>36</v>
      </c>
      <c r="AR40" s="2" t="e">
        <f>VLOOKUP(AQ40,$S$5:$AJ$104,$AS$2,FALSE)</f>
        <v>#N/A</v>
      </c>
      <c r="AS40" s="6" t="e">
        <f>VLOOKUP(AQ40,$S$5:$AJ$104,$AS$2+9,FALSE)</f>
        <v>#N/A</v>
      </c>
      <c r="AT40" s="2" t="e">
        <f>VLOOKUP(AR40,$S$5:$AJ$104,$AS$2+12,FALSE)</f>
        <v>#N/A</v>
      </c>
      <c r="AU40" s="9"/>
      <c r="AV40" s="4">
        <v>36</v>
      </c>
      <c r="AW40" s="2" t="e">
        <f>VLOOKUP(AV40,$U$5:$AJ$104,$AX$2,FALSE)</f>
        <v>#N/A</v>
      </c>
      <c r="AX40" s="6" t="e">
        <f>VLOOKUP(AV40,$U$5:$AJ$104,$AX$2+7,FALSE)</f>
        <v>#N/A</v>
      </c>
      <c r="AY40" s="2" t="e">
        <f>VLOOKUP(AW40,$U$5:$AJ$104,$AX$2+11,FALSE)</f>
        <v>#N/A</v>
      </c>
      <c r="BA40" s="4">
        <v>36</v>
      </c>
      <c r="BB40" s="2" t="e">
        <f>VLOOKUP(BA40,$W$5:$AJ$104,$BC$2,FALSE)</f>
        <v>#N/A</v>
      </c>
      <c r="BC40" s="6" t="e">
        <f>VLOOKUP(BA40,$W$5:$AJ$104,$BC$2+5,FALSE)</f>
        <v>#N/A</v>
      </c>
      <c r="BD40" s="2" t="e">
        <f>VLOOKUP(BB40,$W$5:$AJ$104,$BC$2+10,FALSE)</f>
        <v>#N/A</v>
      </c>
      <c r="BE40" s="9"/>
      <c r="BF40" s="4">
        <v>36</v>
      </c>
      <c r="BG40" s="2" t="e">
        <f>VLOOKUP(BF40,$Y$5:$AJ$104,$BH$2,FALSE)</f>
        <v>#N/A</v>
      </c>
      <c r="BH40" s="6" t="e">
        <f>VLOOKUP(BF40,$Y$5:$AJ$104,$BH$2+3,FALSE)</f>
        <v>#N/A</v>
      </c>
      <c r="BI40" s="58" t="e">
        <f>VLOOKUP(BG40,$Y$5:$AJ$104,$BH$2+9,FALSE)</f>
        <v>#N/A</v>
      </c>
      <c r="BK40" s="4">
        <v>36</v>
      </c>
      <c r="BL40" s="2" t="e">
        <f>VLOOKUP(BK40,$AA$5:$AJ$104,$BM$2,FALSE)</f>
        <v>#N/A</v>
      </c>
      <c r="BM40" s="6" t="e">
        <f>VLOOKUP(BK40,$AA$5:$AJ$104,$BM$2+1,FALSE)</f>
        <v>#N/A</v>
      </c>
      <c r="BN40" s="58" t="e">
        <f>VLOOKUP(BL40,$AA$5:$AJ$104,$BM$2+8,FALSE)</f>
        <v>#N/A</v>
      </c>
      <c r="BP40" s="2" t="e">
        <f>'Eclectic A'!CD40</f>
        <v>#N/A</v>
      </c>
      <c r="BQ40" s="6" t="e">
        <f>'Eclectic A'!CE40</f>
        <v>#N/A</v>
      </c>
      <c r="BR40" s="103" t="e">
        <f>'Eclectic A'!CF40</f>
        <v>#N/A</v>
      </c>
    </row>
    <row r="41" spans="1:70">
      <c r="A41" s="10" t="str">
        <f>IF(ISBLANK(Players!A39),"",Players!A39)</f>
        <v/>
      </c>
      <c r="B41" s="10" t="str">
        <f>IF(ISBLANK(Players!B39),"",Players!B39)</f>
        <v/>
      </c>
      <c r="C41" s="10" t="str">
        <f>IF(ISBLANK(Players!D39),"",Players!D39)</f>
        <v/>
      </c>
      <c r="D41" s="69" t="str">
        <f>IF(ISNUMBER(C41),MIN((C41*Rules!$N$14/113)+(Rules!$N$13-Rules!$N$12),Rules!$N$37),"-")</f>
        <v>-</v>
      </c>
      <c r="E41" s="69" t="str">
        <f>IF(ISNUMBER(C41),    ROUND( (D41*Rules!$N$11) / 100,0),"-")</f>
        <v>-</v>
      </c>
      <c r="F41" s="36" t="str">
        <f>IF(AND(ISNUMBER(C41),C41&gt;=Rules!$M$10,C41&lt;=Rules!$N$10),"Y","N")</f>
        <v>N</v>
      </c>
      <c r="G41" s="137" t="str">
        <f>'Eclectic A'!M41</f>
        <v>-</v>
      </c>
      <c r="H41" s="137" t="str">
        <f>'Eclectic A'!W41</f>
        <v>-</v>
      </c>
      <c r="I41" s="137" t="str">
        <f>'Eclectic A'!AJ41</f>
        <v>-</v>
      </c>
      <c r="J41" s="137" t="str">
        <f>'Eclectic A'!AT41</f>
        <v>-</v>
      </c>
      <c r="K41" s="108" t="str">
        <f t="shared" si="3"/>
        <v>-</v>
      </c>
      <c r="L41" s="108" t="str">
        <f t="shared" si="4"/>
        <v>-</v>
      </c>
      <c r="M41" s="108" t="str">
        <f t="shared" si="5"/>
        <v>-</v>
      </c>
      <c r="N41" s="108" t="str">
        <f t="shared" si="6"/>
        <v>-</v>
      </c>
      <c r="O41" s="108" t="str">
        <f t="shared" si="7"/>
        <v>-</v>
      </c>
      <c r="P41" s="108" t="str">
        <f t="shared" si="8"/>
        <v>-</v>
      </c>
      <c r="Q41" s="14" t="e">
        <f>RANK($K41,$K$5:$K$104,1)+COUNTIF(K$5:K41,K41)-1</f>
        <v>#VALUE!</v>
      </c>
      <c r="R41" s="14" t="e">
        <f t="shared" si="9"/>
        <v>#VALUE!</v>
      </c>
      <c r="S41" s="14" t="e">
        <f>RANK($L41,$L$5:$L$104,1)+COUNTIF(L$5:L41,L41)-1</f>
        <v>#VALUE!</v>
      </c>
      <c r="T41" s="14" t="e">
        <f t="shared" si="10"/>
        <v>#VALUE!</v>
      </c>
      <c r="U41" s="14" t="e">
        <f>RANK($M41,$M$5:$M$104,1)+COUNTIF(M$5:M41,M41)-1</f>
        <v>#VALUE!</v>
      </c>
      <c r="V41" s="14" t="e">
        <f t="shared" si="11"/>
        <v>#VALUE!</v>
      </c>
      <c r="W41" s="14" t="e">
        <f>RANK($N41,$N$5:$N$104,1)+COUNTIF(N$5:N41,N41)-1</f>
        <v>#VALUE!</v>
      </c>
      <c r="X41" s="14" t="e">
        <f t="shared" si="12"/>
        <v>#VALUE!</v>
      </c>
      <c r="Y41" s="14" t="e">
        <f>RANK($O41,$O$5:$O$104,1)+COUNTIF(O$5:O41,O41)-1</f>
        <v>#VALUE!</v>
      </c>
      <c r="Z41" s="14" t="e">
        <f t="shared" si="13"/>
        <v>#VALUE!</v>
      </c>
      <c r="AA41" s="14" t="e">
        <f>RANK($P41,$P$5:$P$104,1)+COUNTIF(P$5:P41,P41)-1</f>
        <v>#VALUE!</v>
      </c>
      <c r="AB41" s="14" t="e">
        <f t="shared" si="14"/>
        <v>#VALUE!</v>
      </c>
      <c r="AC41" s="1" t="str">
        <f t="shared" si="22"/>
        <v xml:space="preserve"> </v>
      </c>
      <c r="AD41" s="1" t="str">
        <f t="shared" si="23"/>
        <v>-</v>
      </c>
      <c r="AE41" s="35" t="str">
        <f t="shared" si="15"/>
        <v>-</v>
      </c>
      <c r="AF41" s="35" t="str">
        <f t="shared" si="16"/>
        <v>-</v>
      </c>
      <c r="AG41" s="35" t="str">
        <f t="shared" si="17"/>
        <v>-</v>
      </c>
      <c r="AH41" s="35" t="str">
        <f t="shared" si="18"/>
        <v>-</v>
      </c>
      <c r="AI41" s="35" t="str">
        <f t="shared" si="19"/>
        <v>-</v>
      </c>
      <c r="AJ41" s="35" t="str">
        <f t="shared" si="20"/>
        <v>-</v>
      </c>
      <c r="AL41" s="4">
        <v>37</v>
      </c>
      <c r="AM41" s="2" t="e">
        <f>VLOOKUP(AL41,Q$5:$AJ$104,$AN$2,FALSE)</f>
        <v>#N/A</v>
      </c>
      <c r="AN41" s="6" t="e">
        <f>VLOOKUP(AL41,Q$5:$AJ$104,$AN$2+11,FALSE)</f>
        <v>#N/A</v>
      </c>
      <c r="AO41" s="2" t="e">
        <f t="shared" si="21"/>
        <v>#N/A</v>
      </c>
      <c r="AQ41" s="4">
        <v>37</v>
      </c>
      <c r="AR41" s="2" t="e">
        <f>VLOOKUP(AQ41,$S$5:$AJ$104,$AS$2,FALSE)</f>
        <v>#N/A</v>
      </c>
      <c r="AS41" s="6" t="e">
        <f>VLOOKUP(AQ41,$S$5:$AJ$104,$AS$2+9,FALSE)</f>
        <v>#N/A</v>
      </c>
      <c r="AT41" s="2" t="e">
        <f>VLOOKUP(AR41,$S$5:$AJ$104,$AS$2+12,FALSE)</f>
        <v>#N/A</v>
      </c>
      <c r="AU41" s="9"/>
      <c r="AV41" s="4">
        <v>37</v>
      </c>
      <c r="AW41" s="2" t="e">
        <f>VLOOKUP(AV41,$U$5:$AJ$104,$AX$2,FALSE)</f>
        <v>#N/A</v>
      </c>
      <c r="AX41" s="6" t="e">
        <f>VLOOKUP(AV41,$U$5:$AJ$104,$AX$2+7,FALSE)</f>
        <v>#N/A</v>
      </c>
      <c r="AY41" s="2" t="e">
        <f>VLOOKUP(AW41,$U$5:$AJ$104,$AX$2+11,FALSE)</f>
        <v>#N/A</v>
      </c>
      <c r="BA41" s="4">
        <v>37</v>
      </c>
      <c r="BB41" s="2" t="e">
        <f>VLOOKUP(BA41,$W$5:$AJ$104,$BC$2,FALSE)</f>
        <v>#N/A</v>
      </c>
      <c r="BC41" s="6" t="e">
        <f>VLOOKUP(BA41,$W$5:$AJ$104,$BC$2+5,FALSE)</f>
        <v>#N/A</v>
      </c>
      <c r="BD41" s="2" t="e">
        <f>VLOOKUP(BB41,$W$5:$AJ$104,$BC$2+10,FALSE)</f>
        <v>#N/A</v>
      </c>
      <c r="BE41" s="9"/>
      <c r="BF41" s="4">
        <v>37</v>
      </c>
      <c r="BG41" s="2" t="e">
        <f>VLOOKUP(BF41,$Y$5:$AJ$104,$BH$2,FALSE)</f>
        <v>#N/A</v>
      </c>
      <c r="BH41" s="6" t="e">
        <f>VLOOKUP(BF41,$Y$5:$AJ$104,$BH$2+3,FALSE)</f>
        <v>#N/A</v>
      </c>
      <c r="BI41" s="58" t="e">
        <f>VLOOKUP(BG41,$Y$5:$AJ$104,$BH$2+9,FALSE)</f>
        <v>#N/A</v>
      </c>
      <c r="BK41" s="4">
        <v>37</v>
      </c>
      <c r="BL41" s="2" t="e">
        <f>VLOOKUP(BK41,$AA$5:$AJ$104,$BM$2,FALSE)</f>
        <v>#N/A</v>
      </c>
      <c r="BM41" s="6" t="e">
        <f>VLOOKUP(BK41,$AA$5:$AJ$104,$BM$2+1,FALSE)</f>
        <v>#N/A</v>
      </c>
      <c r="BN41" s="58" t="e">
        <f>VLOOKUP(BL41,$AA$5:$AJ$104,$BM$2+8,FALSE)</f>
        <v>#N/A</v>
      </c>
      <c r="BP41" s="2" t="e">
        <f>'Eclectic A'!CD41</f>
        <v>#N/A</v>
      </c>
      <c r="BQ41" s="6" t="e">
        <f>'Eclectic A'!CE41</f>
        <v>#N/A</v>
      </c>
      <c r="BR41" s="103" t="e">
        <f>'Eclectic A'!CF41</f>
        <v>#N/A</v>
      </c>
    </row>
    <row r="42" spans="1:70">
      <c r="A42" s="10" t="str">
        <f>IF(ISBLANK(Players!A40),"",Players!A40)</f>
        <v/>
      </c>
      <c r="B42" s="10" t="str">
        <f>IF(ISBLANK(Players!B40),"",Players!B40)</f>
        <v/>
      </c>
      <c r="C42" s="10" t="str">
        <f>IF(ISBLANK(Players!D40),"",Players!D40)</f>
        <v/>
      </c>
      <c r="D42" s="69" t="str">
        <f>IF(ISNUMBER(C42),MIN((C42*Rules!$N$14/113)+(Rules!$N$13-Rules!$N$12),Rules!$N$37),"-")</f>
        <v>-</v>
      </c>
      <c r="E42" s="69" t="str">
        <f>IF(ISNUMBER(C42),    ROUND( (D42*Rules!$N$11) / 100,0),"-")</f>
        <v>-</v>
      </c>
      <c r="F42" s="36" t="str">
        <f>IF(AND(ISNUMBER(C42),C42&gt;=Rules!$M$10,C42&lt;=Rules!$N$10),"Y","N")</f>
        <v>N</v>
      </c>
      <c r="G42" s="137" t="str">
        <f>'Eclectic A'!M42</f>
        <v>-</v>
      </c>
      <c r="H42" s="137" t="str">
        <f>'Eclectic A'!W42</f>
        <v>-</v>
      </c>
      <c r="I42" s="137" t="str">
        <f>'Eclectic A'!AJ42</f>
        <v>-</v>
      </c>
      <c r="J42" s="137" t="str">
        <f>'Eclectic A'!AT42</f>
        <v>-</v>
      </c>
      <c r="K42" s="108" t="str">
        <f t="shared" si="3"/>
        <v>-</v>
      </c>
      <c r="L42" s="108" t="str">
        <f t="shared" si="4"/>
        <v>-</v>
      </c>
      <c r="M42" s="108" t="str">
        <f t="shared" si="5"/>
        <v>-</v>
      </c>
      <c r="N42" s="108" t="str">
        <f t="shared" si="6"/>
        <v>-</v>
      </c>
      <c r="O42" s="108" t="str">
        <f t="shared" si="7"/>
        <v>-</v>
      </c>
      <c r="P42" s="108" t="str">
        <f t="shared" si="8"/>
        <v>-</v>
      </c>
      <c r="Q42" s="14" t="e">
        <f>RANK($K42,$K$5:$K$104,1)+COUNTIF(K$5:K42,K42)-1</f>
        <v>#VALUE!</v>
      </c>
      <c r="R42" s="14" t="e">
        <f t="shared" si="9"/>
        <v>#VALUE!</v>
      </c>
      <c r="S42" s="14" t="e">
        <f>RANK($L42,$L$5:$L$104,1)+COUNTIF(L$5:L42,L42)-1</f>
        <v>#VALUE!</v>
      </c>
      <c r="T42" s="14" t="e">
        <f t="shared" si="10"/>
        <v>#VALUE!</v>
      </c>
      <c r="U42" s="14" t="e">
        <f>RANK($M42,$M$5:$M$104,1)+COUNTIF(M$5:M42,M42)-1</f>
        <v>#VALUE!</v>
      </c>
      <c r="V42" s="14" t="e">
        <f t="shared" si="11"/>
        <v>#VALUE!</v>
      </c>
      <c r="W42" s="14" t="e">
        <f>RANK($N42,$N$5:$N$104,1)+COUNTIF(N$5:N42,N42)-1</f>
        <v>#VALUE!</v>
      </c>
      <c r="X42" s="14" t="e">
        <f t="shared" si="12"/>
        <v>#VALUE!</v>
      </c>
      <c r="Y42" s="14" t="e">
        <f>RANK($O42,$O$5:$O$104,1)+COUNTIF(O$5:O42,O42)-1</f>
        <v>#VALUE!</v>
      </c>
      <c r="Z42" s="14" t="e">
        <f t="shared" si="13"/>
        <v>#VALUE!</v>
      </c>
      <c r="AA42" s="14" t="e">
        <f>RANK($P42,$P$5:$P$104,1)+COUNTIF(P$5:P42,P42)-1</f>
        <v>#VALUE!</v>
      </c>
      <c r="AB42" s="14" t="e">
        <f t="shared" si="14"/>
        <v>#VALUE!</v>
      </c>
      <c r="AC42" s="1" t="str">
        <f t="shared" si="22"/>
        <v xml:space="preserve"> </v>
      </c>
      <c r="AD42" s="1" t="str">
        <f t="shared" si="23"/>
        <v>-</v>
      </c>
      <c r="AE42" s="35" t="str">
        <f t="shared" si="15"/>
        <v>-</v>
      </c>
      <c r="AF42" s="35" t="str">
        <f t="shared" si="16"/>
        <v>-</v>
      </c>
      <c r="AG42" s="35" t="str">
        <f t="shared" si="17"/>
        <v>-</v>
      </c>
      <c r="AH42" s="35" t="str">
        <f t="shared" si="18"/>
        <v>-</v>
      </c>
      <c r="AI42" s="35" t="str">
        <f t="shared" si="19"/>
        <v>-</v>
      </c>
      <c r="AJ42" s="35" t="str">
        <f t="shared" si="20"/>
        <v>-</v>
      </c>
      <c r="AL42" s="4">
        <v>38</v>
      </c>
      <c r="AM42" s="2" t="e">
        <f>VLOOKUP(AL42,Q$5:$AJ$104,$AN$2,FALSE)</f>
        <v>#N/A</v>
      </c>
      <c r="AN42" s="6" t="e">
        <f>VLOOKUP(AL42,Q$5:$AJ$104,$AN$2+11,FALSE)</f>
        <v>#N/A</v>
      </c>
      <c r="AO42" s="2" t="e">
        <f t="shared" si="21"/>
        <v>#N/A</v>
      </c>
      <c r="AQ42" s="4">
        <v>38</v>
      </c>
      <c r="AR42" s="2" t="e">
        <f>VLOOKUP(AQ42,$S$5:$AJ$104,$AS$2,FALSE)</f>
        <v>#N/A</v>
      </c>
      <c r="AS42" s="6" t="e">
        <f>VLOOKUP(AQ42,$S$5:$AJ$104,$AS$2+9,FALSE)</f>
        <v>#N/A</v>
      </c>
      <c r="AT42" s="2" t="e">
        <f>VLOOKUP(AR42,$S$5:$AJ$104,$AS$2+12,FALSE)</f>
        <v>#N/A</v>
      </c>
      <c r="AU42" s="9"/>
      <c r="AV42" s="4">
        <v>38</v>
      </c>
      <c r="AW42" s="2" t="e">
        <f>VLOOKUP(AV42,$U$5:$AJ$104,$AX$2,FALSE)</f>
        <v>#N/A</v>
      </c>
      <c r="AX42" s="6" t="e">
        <f>VLOOKUP(AV42,$U$5:$AJ$104,$AX$2+7,FALSE)</f>
        <v>#N/A</v>
      </c>
      <c r="AY42" s="2" t="e">
        <f>VLOOKUP(AW42,$U$5:$AJ$104,$AX$2+11,FALSE)</f>
        <v>#N/A</v>
      </c>
      <c r="BA42" s="4">
        <v>38</v>
      </c>
      <c r="BB42" s="2" t="e">
        <f>VLOOKUP(BA42,$W$5:$AJ$104,$BC$2,FALSE)</f>
        <v>#N/A</v>
      </c>
      <c r="BC42" s="6" t="e">
        <f>VLOOKUP(BA42,$W$5:$AJ$104,$BC$2+5,FALSE)</f>
        <v>#N/A</v>
      </c>
      <c r="BD42" s="2" t="e">
        <f>VLOOKUP(BB42,$W$5:$AJ$104,$BC$2+10,FALSE)</f>
        <v>#N/A</v>
      </c>
      <c r="BE42" s="9"/>
      <c r="BF42" s="4">
        <v>38</v>
      </c>
      <c r="BG42" s="2" t="e">
        <f>VLOOKUP(BF42,$Y$5:$AJ$104,$BH$2,FALSE)</f>
        <v>#N/A</v>
      </c>
      <c r="BH42" s="6" t="e">
        <f>VLOOKUP(BF42,$Y$5:$AJ$104,$BH$2+3,FALSE)</f>
        <v>#N/A</v>
      </c>
      <c r="BI42" s="58" t="e">
        <f>VLOOKUP(BG42,$Y$5:$AJ$104,$BH$2+9,FALSE)</f>
        <v>#N/A</v>
      </c>
      <c r="BK42" s="4">
        <v>38</v>
      </c>
      <c r="BL42" s="2" t="e">
        <f>VLOOKUP(BK42,$AA$5:$AJ$104,$BM$2,FALSE)</f>
        <v>#N/A</v>
      </c>
      <c r="BM42" s="6" t="e">
        <f>VLOOKUP(BK42,$AA$5:$AJ$104,$BM$2+1,FALSE)</f>
        <v>#N/A</v>
      </c>
      <c r="BN42" s="58" t="e">
        <f>VLOOKUP(BL42,$AA$5:$AJ$104,$BM$2+8,FALSE)</f>
        <v>#N/A</v>
      </c>
      <c r="BP42" s="2" t="e">
        <f>'Eclectic A'!CD42</f>
        <v>#N/A</v>
      </c>
      <c r="BQ42" s="6" t="e">
        <f>'Eclectic A'!CE42</f>
        <v>#N/A</v>
      </c>
      <c r="BR42" s="103" t="e">
        <f>'Eclectic A'!CF42</f>
        <v>#N/A</v>
      </c>
    </row>
    <row r="43" spans="1:70">
      <c r="A43" s="10" t="str">
        <f>IF(ISBLANK(Players!A41),"",Players!A41)</f>
        <v/>
      </c>
      <c r="B43" s="10" t="str">
        <f>IF(ISBLANK(Players!B41),"",Players!B41)</f>
        <v/>
      </c>
      <c r="C43" s="10" t="str">
        <f>IF(ISBLANK(Players!D41),"",Players!D41)</f>
        <v/>
      </c>
      <c r="D43" s="69" t="str">
        <f>IF(ISNUMBER(C43),MIN((C43*Rules!$N$14/113)+(Rules!$N$13-Rules!$N$12),Rules!$N$37),"-")</f>
        <v>-</v>
      </c>
      <c r="E43" s="69" t="str">
        <f>IF(ISNUMBER(C43),    ROUND( (D43*Rules!$N$11) / 100,0),"-")</f>
        <v>-</v>
      </c>
      <c r="F43" s="36" t="str">
        <f>IF(AND(ISNUMBER(C43),C43&gt;=Rules!$M$10,C43&lt;=Rules!$N$10),"Y","N")</f>
        <v>N</v>
      </c>
      <c r="G43" s="137" t="str">
        <f>'Eclectic A'!M43</f>
        <v>-</v>
      </c>
      <c r="H43" s="137" t="str">
        <f>'Eclectic A'!W43</f>
        <v>-</v>
      </c>
      <c r="I43" s="137" t="str">
        <f>'Eclectic A'!AJ43</f>
        <v>-</v>
      </c>
      <c r="J43" s="137" t="str">
        <f>'Eclectic A'!AT43</f>
        <v>-</v>
      </c>
      <c r="K43" s="108" t="str">
        <f t="shared" si="3"/>
        <v>-</v>
      </c>
      <c r="L43" s="108" t="str">
        <f t="shared" si="4"/>
        <v>-</v>
      </c>
      <c r="M43" s="108" t="str">
        <f t="shared" si="5"/>
        <v>-</v>
      </c>
      <c r="N43" s="108" t="str">
        <f t="shared" si="6"/>
        <v>-</v>
      </c>
      <c r="O43" s="108" t="str">
        <f t="shared" si="7"/>
        <v>-</v>
      </c>
      <c r="P43" s="108" t="str">
        <f t="shared" si="8"/>
        <v>-</v>
      </c>
      <c r="Q43" s="14" t="e">
        <f>RANK($K43,$K$5:$K$104,1)+COUNTIF(K$5:K43,K43)-1</f>
        <v>#VALUE!</v>
      </c>
      <c r="R43" s="14" t="e">
        <f t="shared" si="9"/>
        <v>#VALUE!</v>
      </c>
      <c r="S43" s="14" t="e">
        <f>RANK($L43,$L$5:$L$104,1)+COUNTIF(L$5:L43,L43)-1</f>
        <v>#VALUE!</v>
      </c>
      <c r="T43" s="14" t="e">
        <f t="shared" si="10"/>
        <v>#VALUE!</v>
      </c>
      <c r="U43" s="14" t="e">
        <f>RANK($M43,$M$5:$M$104,1)+COUNTIF(M$5:M43,M43)-1</f>
        <v>#VALUE!</v>
      </c>
      <c r="V43" s="14" t="e">
        <f t="shared" si="11"/>
        <v>#VALUE!</v>
      </c>
      <c r="W43" s="14" t="e">
        <f>RANK($N43,$N$5:$N$104,1)+COUNTIF(N$5:N43,N43)-1</f>
        <v>#VALUE!</v>
      </c>
      <c r="X43" s="14" t="e">
        <f t="shared" si="12"/>
        <v>#VALUE!</v>
      </c>
      <c r="Y43" s="14" t="e">
        <f>RANK($O43,$O$5:$O$104,1)+COUNTIF(O$5:O43,O43)-1</f>
        <v>#VALUE!</v>
      </c>
      <c r="Z43" s="14" t="e">
        <f t="shared" si="13"/>
        <v>#VALUE!</v>
      </c>
      <c r="AA43" s="14" t="e">
        <f>RANK($P43,$P$5:$P$104,1)+COUNTIF(P$5:P43,P43)-1</f>
        <v>#VALUE!</v>
      </c>
      <c r="AB43" s="14" t="e">
        <f t="shared" si="14"/>
        <v>#VALUE!</v>
      </c>
      <c r="AC43" s="1" t="str">
        <f t="shared" si="22"/>
        <v xml:space="preserve"> </v>
      </c>
      <c r="AD43" s="1" t="str">
        <f t="shared" si="23"/>
        <v>-</v>
      </c>
      <c r="AE43" s="35" t="str">
        <f t="shared" si="15"/>
        <v>-</v>
      </c>
      <c r="AF43" s="35" t="str">
        <f t="shared" si="16"/>
        <v>-</v>
      </c>
      <c r="AG43" s="35" t="str">
        <f t="shared" si="17"/>
        <v>-</v>
      </c>
      <c r="AH43" s="35" t="str">
        <f t="shared" si="18"/>
        <v>-</v>
      </c>
      <c r="AI43" s="35" t="str">
        <f t="shared" si="19"/>
        <v>-</v>
      </c>
      <c r="AJ43" s="35" t="str">
        <f t="shared" si="20"/>
        <v>-</v>
      </c>
      <c r="AL43" s="4">
        <v>39</v>
      </c>
      <c r="AM43" s="2" t="e">
        <f>VLOOKUP(AL43,Q$5:$AJ$104,$AN$2,FALSE)</f>
        <v>#N/A</v>
      </c>
      <c r="AN43" s="6" t="e">
        <f>VLOOKUP(AL43,Q$5:$AJ$104,$AN$2+11,FALSE)</f>
        <v>#N/A</v>
      </c>
      <c r="AO43" s="2" t="e">
        <f t="shared" si="21"/>
        <v>#N/A</v>
      </c>
      <c r="AQ43" s="4">
        <v>39</v>
      </c>
      <c r="AR43" s="2" t="e">
        <f>VLOOKUP(AQ43,$S$5:$AJ$104,$AS$2,FALSE)</f>
        <v>#N/A</v>
      </c>
      <c r="AS43" s="6" t="e">
        <f>VLOOKUP(AQ43,$S$5:$AJ$104,$AS$2+9,FALSE)</f>
        <v>#N/A</v>
      </c>
      <c r="AT43" s="2" t="e">
        <f>VLOOKUP(AR43,$S$5:$AJ$104,$AS$2+12,FALSE)</f>
        <v>#N/A</v>
      </c>
      <c r="AU43" s="9"/>
      <c r="AV43" s="4">
        <v>39</v>
      </c>
      <c r="AW43" s="2" t="e">
        <f>VLOOKUP(AV43,$U$5:$AJ$104,$AX$2,FALSE)</f>
        <v>#N/A</v>
      </c>
      <c r="AX43" s="6" t="e">
        <f>VLOOKUP(AV43,$U$5:$AJ$104,$AX$2+7,FALSE)</f>
        <v>#N/A</v>
      </c>
      <c r="AY43" s="2" t="e">
        <f>VLOOKUP(AW43,$U$5:$AJ$104,$AX$2+11,FALSE)</f>
        <v>#N/A</v>
      </c>
      <c r="BA43" s="4">
        <v>39</v>
      </c>
      <c r="BB43" s="2" t="e">
        <f>VLOOKUP(BA43,$W$5:$AJ$104,$BC$2,FALSE)</f>
        <v>#N/A</v>
      </c>
      <c r="BC43" s="6" t="e">
        <f>VLOOKUP(BA43,$W$5:$AJ$104,$BC$2+5,FALSE)</f>
        <v>#N/A</v>
      </c>
      <c r="BD43" s="2" t="e">
        <f>VLOOKUP(BB43,$W$5:$AJ$104,$BC$2+10,FALSE)</f>
        <v>#N/A</v>
      </c>
      <c r="BE43" s="9"/>
      <c r="BF43" s="4">
        <v>39</v>
      </c>
      <c r="BG43" s="2" t="e">
        <f>VLOOKUP(BF43,$Y$5:$AJ$104,$BH$2,FALSE)</f>
        <v>#N/A</v>
      </c>
      <c r="BH43" s="6" t="e">
        <f>VLOOKUP(BF43,$Y$5:$AJ$104,$BH$2+3,FALSE)</f>
        <v>#N/A</v>
      </c>
      <c r="BI43" s="58" t="e">
        <f>VLOOKUP(BG43,$Y$5:$AJ$104,$BH$2+9,FALSE)</f>
        <v>#N/A</v>
      </c>
      <c r="BK43" s="4">
        <v>39</v>
      </c>
      <c r="BL43" s="2" t="e">
        <f>VLOOKUP(BK43,$AA$5:$AJ$104,$BM$2,FALSE)</f>
        <v>#N/A</v>
      </c>
      <c r="BM43" s="6" t="e">
        <f>VLOOKUP(BK43,$AA$5:$AJ$104,$BM$2+1,FALSE)</f>
        <v>#N/A</v>
      </c>
      <c r="BN43" s="58" t="e">
        <f>VLOOKUP(BL43,$AA$5:$AJ$104,$BM$2+8,FALSE)</f>
        <v>#N/A</v>
      </c>
      <c r="BP43" s="2" t="e">
        <f>'Eclectic A'!CD43</f>
        <v>#N/A</v>
      </c>
      <c r="BQ43" s="6" t="e">
        <f>'Eclectic A'!CE43</f>
        <v>#N/A</v>
      </c>
      <c r="BR43" s="103" t="e">
        <f>'Eclectic A'!CF43</f>
        <v>#N/A</v>
      </c>
    </row>
    <row r="44" spans="1:70">
      <c r="A44" s="10" t="str">
        <f>IF(ISBLANK(Players!A42),"",Players!A42)</f>
        <v/>
      </c>
      <c r="B44" s="10" t="str">
        <f>IF(ISBLANK(Players!B42),"",Players!B42)</f>
        <v/>
      </c>
      <c r="C44" s="10" t="str">
        <f>IF(ISBLANK(Players!D42),"",Players!D42)</f>
        <v/>
      </c>
      <c r="D44" s="69" t="str">
        <f>IF(ISNUMBER(C44),MIN((C44*Rules!$N$14/113)+(Rules!$N$13-Rules!$N$12),Rules!$N$37),"-")</f>
        <v>-</v>
      </c>
      <c r="E44" s="69" t="str">
        <f>IF(ISNUMBER(C44),    ROUND( (D44*Rules!$N$11) / 100,0),"-")</f>
        <v>-</v>
      </c>
      <c r="F44" s="36" t="str">
        <f>IF(AND(ISNUMBER(C44),C44&gt;=Rules!$M$10,C44&lt;=Rules!$N$10),"Y","N")</f>
        <v>N</v>
      </c>
      <c r="G44" s="137" t="str">
        <f>'Eclectic A'!M44</f>
        <v>-</v>
      </c>
      <c r="H44" s="137" t="str">
        <f>'Eclectic A'!W44</f>
        <v>-</v>
      </c>
      <c r="I44" s="137" t="str">
        <f>'Eclectic A'!AJ44</f>
        <v>-</v>
      </c>
      <c r="J44" s="137" t="str">
        <f>'Eclectic A'!AT44</f>
        <v>-</v>
      </c>
      <c r="K44" s="108" t="str">
        <f t="shared" si="3"/>
        <v>-</v>
      </c>
      <c r="L44" s="108" t="str">
        <f t="shared" si="4"/>
        <v>-</v>
      </c>
      <c r="M44" s="108" t="str">
        <f t="shared" si="5"/>
        <v>-</v>
      </c>
      <c r="N44" s="108" t="str">
        <f t="shared" si="6"/>
        <v>-</v>
      </c>
      <c r="O44" s="108" t="str">
        <f t="shared" si="7"/>
        <v>-</v>
      </c>
      <c r="P44" s="108" t="str">
        <f t="shared" si="8"/>
        <v>-</v>
      </c>
      <c r="Q44" s="14" t="e">
        <f>RANK($K44,$K$5:$K$104,1)+COUNTIF(K$5:K44,K44)-1</f>
        <v>#VALUE!</v>
      </c>
      <c r="R44" s="14" t="e">
        <f t="shared" si="9"/>
        <v>#VALUE!</v>
      </c>
      <c r="S44" s="14" t="e">
        <f>RANK($L44,$L$5:$L$104,1)+COUNTIF(L$5:L44,L44)-1</f>
        <v>#VALUE!</v>
      </c>
      <c r="T44" s="14" t="e">
        <f t="shared" si="10"/>
        <v>#VALUE!</v>
      </c>
      <c r="U44" s="14" t="e">
        <f>RANK($M44,$M$5:$M$104,1)+COUNTIF(M$5:M44,M44)-1</f>
        <v>#VALUE!</v>
      </c>
      <c r="V44" s="14" t="e">
        <f t="shared" si="11"/>
        <v>#VALUE!</v>
      </c>
      <c r="W44" s="14" t="e">
        <f>RANK($N44,$N$5:$N$104,1)+COUNTIF(N$5:N44,N44)-1</f>
        <v>#VALUE!</v>
      </c>
      <c r="X44" s="14" t="e">
        <f t="shared" si="12"/>
        <v>#VALUE!</v>
      </c>
      <c r="Y44" s="14" t="e">
        <f>RANK($O44,$O$5:$O$104,1)+COUNTIF(O$5:O44,O44)-1</f>
        <v>#VALUE!</v>
      </c>
      <c r="Z44" s="14" t="e">
        <f t="shared" si="13"/>
        <v>#VALUE!</v>
      </c>
      <c r="AA44" s="14" t="e">
        <f>RANK($P44,$P$5:$P$104,1)+COUNTIF(P$5:P44,P44)-1</f>
        <v>#VALUE!</v>
      </c>
      <c r="AB44" s="14" t="e">
        <f t="shared" si="14"/>
        <v>#VALUE!</v>
      </c>
      <c r="AC44" s="1" t="str">
        <f t="shared" si="22"/>
        <v xml:space="preserve"> </v>
      </c>
      <c r="AD44" s="1" t="str">
        <f t="shared" si="23"/>
        <v>-</v>
      </c>
      <c r="AE44" s="35" t="str">
        <f t="shared" si="15"/>
        <v>-</v>
      </c>
      <c r="AF44" s="35" t="str">
        <f t="shared" si="16"/>
        <v>-</v>
      </c>
      <c r="AG44" s="35" t="str">
        <f t="shared" si="17"/>
        <v>-</v>
      </c>
      <c r="AH44" s="35" t="str">
        <f t="shared" si="18"/>
        <v>-</v>
      </c>
      <c r="AI44" s="35" t="str">
        <f t="shared" si="19"/>
        <v>-</v>
      </c>
      <c r="AJ44" s="35" t="str">
        <f t="shared" si="20"/>
        <v>-</v>
      </c>
      <c r="AL44" s="4">
        <v>40</v>
      </c>
      <c r="AM44" s="2" t="e">
        <f>VLOOKUP(AL44,Q$5:$AJ$104,$AN$2,FALSE)</f>
        <v>#N/A</v>
      </c>
      <c r="AN44" s="6" t="e">
        <f>VLOOKUP(AL44,Q$5:$AJ$104,$AN$2+11,FALSE)</f>
        <v>#N/A</v>
      </c>
      <c r="AO44" s="2" t="e">
        <f t="shared" si="21"/>
        <v>#N/A</v>
      </c>
      <c r="AQ44" s="4">
        <v>40</v>
      </c>
      <c r="AR44" s="2" t="e">
        <f>VLOOKUP(AQ44,$S$5:$AJ$104,$AS$2,FALSE)</f>
        <v>#N/A</v>
      </c>
      <c r="AS44" s="6" t="e">
        <f>VLOOKUP(AQ44,$S$5:$AJ$104,$AS$2+9,FALSE)</f>
        <v>#N/A</v>
      </c>
      <c r="AT44" s="2" t="e">
        <f>VLOOKUP(AR44,$S$5:$AJ$104,$AS$2+12,FALSE)</f>
        <v>#N/A</v>
      </c>
      <c r="AU44" s="9"/>
      <c r="AV44" s="4">
        <v>40</v>
      </c>
      <c r="AW44" s="2" t="e">
        <f>VLOOKUP(AV44,$U$5:$AJ$104,$AX$2,FALSE)</f>
        <v>#N/A</v>
      </c>
      <c r="AX44" s="6" t="e">
        <f>VLOOKUP(AV44,$U$5:$AJ$104,$AX$2+7,FALSE)</f>
        <v>#N/A</v>
      </c>
      <c r="AY44" s="2" t="e">
        <f>VLOOKUP(AW44,$U$5:$AJ$104,$AX$2+11,FALSE)</f>
        <v>#N/A</v>
      </c>
      <c r="BA44" s="4">
        <v>40</v>
      </c>
      <c r="BB44" s="2" t="e">
        <f>VLOOKUP(BA44,$W$5:$AJ$104,$BC$2,FALSE)</f>
        <v>#N/A</v>
      </c>
      <c r="BC44" s="6" t="e">
        <f>VLOOKUP(BA44,$W$5:$AJ$104,$BC$2+5,FALSE)</f>
        <v>#N/A</v>
      </c>
      <c r="BD44" s="2" t="e">
        <f>VLOOKUP(BB44,$W$5:$AJ$104,$BC$2+10,FALSE)</f>
        <v>#N/A</v>
      </c>
      <c r="BE44" s="9"/>
      <c r="BF44" s="4">
        <v>40</v>
      </c>
      <c r="BG44" s="2" t="e">
        <f>VLOOKUP(BF44,$Y$5:$AJ$104,$BH$2,FALSE)</f>
        <v>#N/A</v>
      </c>
      <c r="BH44" s="6" t="e">
        <f>VLOOKUP(BF44,$Y$5:$AJ$104,$BH$2+3,FALSE)</f>
        <v>#N/A</v>
      </c>
      <c r="BI44" s="58" t="e">
        <f>VLOOKUP(BG44,$Y$5:$AJ$104,$BH$2+9,FALSE)</f>
        <v>#N/A</v>
      </c>
      <c r="BK44" s="4">
        <v>40</v>
      </c>
      <c r="BL44" s="2" t="e">
        <f>VLOOKUP(BK44,$AA$5:$AJ$104,$BM$2,FALSE)</f>
        <v>#N/A</v>
      </c>
      <c r="BM44" s="6" t="e">
        <f>VLOOKUP(BK44,$AA$5:$AJ$104,$BM$2+1,FALSE)</f>
        <v>#N/A</v>
      </c>
      <c r="BN44" s="58" t="e">
        <f>VLOOKUP(BL44,$AA$5:$AJ$104,$BM$2+8,FALSE)</f>
        <v>#N/A</v>
      </c>
      <c r="BP44" s="2" t="e">
        <f>'Eclectic A'!CD44</f>
        <v>#N/A</v>
      </c>
      <c r="BQ44" s="6" t="e">
        <f>'Eclectic A'!CE44</f>
        <v>#N/A</v>
      </c>
      <c r="BR44" s="103" t="e">
        <f>'Eclectic A'!CF44</f>
        <v>#N/A</v>
      </c>
    </row>
    <row r="45" spans="1:70">
      <c r="A45" s="10" t="str">
        <f>IF(ISBLANK(Players!A43),"",Players!A43)</f>
        <v/>
      </c>
      <c r="B45" s="10" t="str">
        <f>IF(ISBLANK(Players!B43),"",Players!B43)</f>
        <v/>
      </c>
      <c r="C45" s="10" t="str">
        <f>IF(ISBLANK(Players!D43),"",Players!D43)</f>
        <v/>
      </c>
      <c r="D45" s="69" t="str">
        <f>IF(ISNUMBER(C45),MIN((C45*Rules!$N$14/113)+(Rules!$N$13-Rules!$N$12),Rules!$N$37),"-")</f>
        <v>-</v>
      </c>
      <c r="E45" s="69" t="str">
        <f>IF(ISNUMBER(C45),    ROUND( (D45*Rules!$N$11) / 100,0),"-")</f>
        <v>-</v>
      </c>
      <c r="F45" s="36" t="str">
        <f>IF(AND(ISNUMBER(C45),C45&gt;=Rules!$M$10,C45&lt;=Rules!$N$10),"Y","N")</f>
        <v>N</v>
      </c>
      <c r="G45" s="137" t="str">
        <f>'Eclectic A'!M45</f>
        <v>-</v>
      </c>
      <c r="H45" s="137" t="str">
        <f>'Eclectic A'!W45</f>
        <v>-</v>
      </c>
      <c r="I45" s="137" t="str">
        <f>'Eclectic A'!AJ45</f>
        <v>-</v>
      </c>
      <c r="J45" s="137" t="str">
        <f>'Eclectic A'!AT45</f>
        <v>-</v>
      </c>
      <c r="K45" s="108" t="str">
        <f t="shared" si="3"/>
        <v>-</v>
      </c>
      <c r="L45" s="108" t="str">
        <f t="shared" si="4"/>
        <v>-</v>
      </c>
      <c r="M45" s="108" t="str">
        <f t="shared" si="5"/>
        <v>-</v>
      </c>
      <c r="N45" s="108" t="str">
        <f t="shared" si="6"/>
        <v>-</v>
      </c>
      <c r="O45" s="108" t="str">
        <f t="shared" si="7"/>
        <v>-</v>
      </c>
      <c r="P45" s="108" t="str">
        <f t="shared" si="8"/>
        <v>-</v>
      </c>
      <c r="Q45" s="14" t="e">
        <f>RANK($K45,$K$5:$K$104,1)+COUNTIF(K$5:K45,K45)-1</f>
        <v>#VALUE!</v>
      </c>
      <c r="R45" s="14" t="e">
        <f t="shared" si="9"/>
        <v>#VALUE!</v>
      </c>
      <c r="S45" s="14" t="e">
        <f>RANK($L45,$L$5:$L$104,1)+COUNTIF(L$5:L45,L45)-1</f>
        <v>#VALUE!</v>
      </c>
      <c r="T45" s="14" t="e">
        <f t="shared" si="10"/>
        <v>#VALUE!</v>
      </c>
      <c r="U45" s="14" t="e">
        <f>RANK($M45,$M$5:$M$104,1)+COUNTIF(M$5:M45,M45)-1</f>
        <v>#VALUE!</v>
      </c>
      <c r="V45" s="14" t="e">
        <f t="shared" si="11"/>
        <v>#VALUE!</v>
      </c>
      <c r="W45" s="14" t="e">
        <f>RANK($N45,$N$5:$N$104,1)+COUNTIF(N$5:N45,N45)-1</f>
        <v>#VALUE!</v>
      </c>
      <c r="X45" s="14" t="e">
        <f t="shared" si="12"/>
        <v>#VALUE!</v>
      </c>
      <c r="Y45" s="14" t="e">
        <f>RANK($O45,$O$5:$O$104,1)+COUNTIF(O$5:O45,O45)-1</f>
        <v>#VALUE!</v>
      </c>
      <c r="Z45" s="14" t="e">
        <f t="shared" si="13"/>
        <v>#VALUE!</v>
      </c>
      <c r="AA45" s="14" t="e">
        <f>RANK($P45,$P$5:$P$104,1)+COUNTIF(P$5:P45,P45)-1</f>
        <v>#VALUE!</v>
      </c>
      <c r="AB45" s="14" t="e">
        <f t="shared" si="14"/>
        <v>#VALUE!</v>
      </c>
      <c r="AC45" s="1" t="str">
        <f t="shared" si="22"/>
        <v xml:space="preserve"> </v>
      </c>
      <c r="AD45" s="1" t="str">
        <f t="shared" si="23"/>
        <v>-</v>
      </c>
      <c r="AE45" s="35" t="str">
        <f t="shared" si="15"/>
        <v>-</v>
      </c>
      <c r="AF45" s="35" t="str">
        <f t="shared" si="16"/>
        <v>-</v>
      </c>
      <c r="AG45" s="35" t="str">
        <f t="shared" si="17"/>
        <v>-</v>
      </c>
      <c r="AH45" s="35" t="str">
        <f t="shared" si="18"/>
        <v>-</v>
      </c>
      <c r="AI45" s="35" t="str">
        <f t="shared" si="19"/>
        <v>-</v>
      </c>
      <c r="AJ45" s="35" t="str">
        <f t="shared" si="20"/>
        <v>-</v>
      </c>
      <c r="AL45" s="4">
        <v>41</v>
      </c>
      <c r="AM45" s="2" t="e">
        <f>VLOOKUP(AL45,Q$5:$AJ$104,$AN$2,FALSE)</f>
        <v>#N/A</v>
      </c>
      <c r="AN45" s="6" t="e">
        <f>VLOOKUP(AL45,Q$5:$AJ$104,$AN$2+11,FALSE)</f>
        <v>#N/A</v>
      </c>
      <c r="AO45" s="2" t="e">
        <f t="shared" si="21"/>
        <v>#N/A</v>
      </c>
      <c r="AQ45" s="4">
        <v>41</v>
      </c>
      <c r="AR45" s="2" t="e">
        <f>VLOOKUP(AQ45,$S$5:$AJ$104,$AS$2,FALSE)</f>
        <v>#N/A</v>
      </c>
      <c r="AS45" s="6" t="e">
        <f>VLOOKUP(AQ45,$S$5:$AJ$104,$AS$2+9,FALSE)</f>
        <v>#N/A</v>
      </c>
      <c r="AT45" s="2" t="e">
        <f>VLOOKUP(AR45,$S$5:$AJ$104,$AS$2+12,FALSE)</f>
        <v>#N/A</v>
      </c>
      <c r="AU45" s="9"/>
      <c r="AV45" s="4">
        <v>41</v>
      </c>
      <c r="AW45" s="2" t="e">
        <f>VLOOKUP(AV45,$U$5:$AJ$104,$AX$2,FALSE)</f>
        <v>#N/A</v>
      </c>
      <c r="AX45" s="6" t="e">
        <f>VLOOKUP(AV45,$U$5:$AJ$104,$AX$2+7,FALSE)</f>
        <v>#N/A</v>
      </c>
      <c r="AY45" s="2" t="e">
        <f>VLOOKUP(AW45,$U$5:$AJ$104,$AX$2+11,FALSE)</f>
        <v>#N/A</v>
      </c>
      <c r="BA45" s="4">
        <v>41</v>
      </c>
      <c r="BB45" s="2" t="e">
        <f>VLOOKUP(BA45,$W$5:$AJ$104,$BC$2,FALSE)</f>
        <v>#N/A</v>
      </c>
      <c r="BC45" s="6" t="e">
        <f>VLOOKUP(BA45,$W$5:$AJ$104,$BC$2+5,FALSE)</f>
        <v>#N/A</v>
      </c>
      <c r="BD45" s="2" t="e">
        <f>VLOOKUP(BB45,$W$5:$AJ$104,$BC$2+10,FALSE)</f>
        <v>#N/A</v>
      </c>
      <c r="BE45" s="9"/>
      <c r="BF45" s="4">
        <v>41</v>
      </c>
      <c r="BG45" s="2" t="e">
        <f>VLOOKUP(BF45,$Y$5:$AJ$104,$BH$2,FALSE)</f>
        <v>#N/A</v>
      </c>
      <c r="BH45" s="6" t="e">
        <f>VLOOKUP(BF45,$Y$5:$AJ$104,$BH$2+3,FALSE)</f>
        <v>#N/A</v>
      </c>
      <c r="BI45" s="58" t="e">
        <f>VLOOKUP(BG45,$Y$5:$AJ$104,$BH$2+9,FALSE)</f>
        <v>#N/A</v>
      </c>
      <c r="BK45" s="4">
        <v>41</v>
      </c>
      <c r="BL45" s="2" t="e">
        <f>VLOOKUP(BK45,$AA$5:$AJ$104,$BM$2,FALSE)</f>
        <v>#N/A</v>
      </c>
      <c r="BM45" s="6" t="e">
        <f>VLOOKUP(BK45,$AA$5:$AJ$104,$BM$2+1,FALSE)</f>
        <v>#N/A</v>
      </c>
      <c r="BN45" s="58" t="e">
        <f>VLOOKUP(BL45,$AA$5:$AJ$104,$BM$2+8,FALSE)</f>
        <v>#N/A</v>
      </c>
      <c r="BP45" s="2" t="e">
        <f>'Eclectic A'!CD45</f>
        <v>#N/A</v>
      </c>
      <c r="BQ45" s="6" t="e">
        <f>'Eclectic A'!CE45</f>
        <v>#N/A</v>
      </c>
      <c r="BR45" s="103" t="e">
        <f>'Eclectic A'!CF45</f>
        <v>#N/A</v>
      </c>
    </row>
    <row r="46" spans="1:70">
      <c r="A46" s="10" t="str">
        <f>IF(ISBLANK(Players!A44),"",Players!A44)</f>
        <v/>
      </c>
      <c r="B46" s="10" t="str">
        <f>IF(ISBLANK(Players!B44),"",Players!B44)</f>
        <v/>
      </c>
      <c r="C46" s="10" t="str">
        <f>IF(ISBLANK(Players!D44),"",Players!D44)</f>
        <v/>
      </c>
      <c r="D46" s="69" t="str">
        <f>IF(ISNUMBER(C46),MIN((C46*Rules!$N$14/113)+(Rules!$N$13-Rules!$N$12),Rules!$N$37),"-")</f>
        <v>-</v>
      </c>
      <c r="E46" s="69" t="str">
        <f>IF(ISNUMBER(C46),    ROUND( (D46*Rules!$N$11) / 100,0),"-")</f>
        <v>-</v>
      </c>
      <c r="F46" s="36" t="str">
        <f>IF(AND(ISNUMBER(C46),C46&gt;=Rules!$M$10,C46&lt;=Rules!$N$10),"Y","N")</f>
        <v>N</v>
      </c>
      <c r="G46" s="137" t="str">
        <f>'Eclectic A'!M46</f>
        <v>-</v>
      </c>
      <c r="H46" s="137" t="str">
        <f>'Eclectic A'!W46</f>
        <v>-</v>
      </c>
      <c r="I46" s="137" t="str">
        <f>'Eclectic A'!AJ46</f>
        <v>-</v>
      </c>
      <c r="J46" s="137" t="str">
        <f>'Eclectic A'!AT46</f>
        <v>-</v>
      </c>
      <c r="K46" s="108" t="str">
        <f t="shared" si="3"/>
        <v>-</v>
      </c>
      <c r="L46" s="108" t="str">
        <f t="shared" si="4"/>
        <v>-</v>
      </c>
      <c r="M46" s="108" t="str">
        <f t="shared" si="5"/>
        <v>-</v>
      </c>
      <c r="N46" s="108" t="str">
        <f t="shared" si="6"/>
        <v>-</v>
      </c>
      <c r="O46" s="108" t="str">
        <f t="shared" si="7"/>
        <v>-</v>
      </c>
      <c r="P46" s="108" t="str">
        <f t="shared" si="8"/>
        <v>-</v>
      </c>
      <c r="Q46" s="14" t="e">
        <f>RANK($K46,$K$5:$K$104,1)+COUNTIF(K$5:K46,K46)-1</f>
        <v>#VALUE!</v>
      </c>
      <c r="R46" s="14" t="e">
        <f t="shared" si="9"/>
        <v>#VALUE!</v>
      </c>
      <c r="S46" s="14" t="e">
        <f>RANK($L46,$L$5:$L$104,1)+COUNTIF(L$5:L46,L46)-1</f>
        <v>#VALUE!</v>
      </c>
      <c r="T46" s="14" t="e">
        <f t="shared" si="10"/>
        <v>#VALUE!</v>
      </c>
      <c r="U46" s="14" t="e">
        <f>RANK($M46,$M$5:$M$104,1)+COUNTIF(M$5:M46,M46)-1</f>
        <v>#VALUE!</v>
      </c>
      <c r="V46" s="14" t="e">
        <f t="shared" si="11"/>
        <v>#VALUE!</v>
      </c>
      <c r="W46" s="14" t="e">
        <f>RANK($N46,$N$5:$N$104,1)+COUNTIF(N$5:N46,N46)-1</f>
        <v>#VALUE!</v>
      </c>
      <c r="X46" s="14" t="e">
        <f t="shared" si="12"/>
        <v>#VALUE!</v>
      </c>
      <c r="Y46" s="14" t="e">
        <f>RANK($O46,$O$5:$O$104,1)+COUNTIF(O$5:O46,O46)-1</f>
        <v>#VALUE!</v>
      </c>
      <c r="Z46" s="14" t="e">
        <f t="shared" si="13"/>
        <v>#VALUE!</v>
      </c>
      <c r="AA46" s="14" t="e">
        <f>RANK($P46,$P$5:$P$104,1)+COUNTIF(P$5:P46,P46)-1</f>
        <v>#VALUE!</v>
      </c>
      <c r="AB46" s="14" t="e">
        <f t="shared" si="14"/>
        <v>#VALUE!</v>
      </c>
      <c r="AC46" s="1" t="str">
        <f t="shared" si="22"/>
        <v xml:space="preserve"> </v>
      </c>
      <c r="AD46" s="1" t="str">
        <f t="shared" si="23"/>
        <v>-</v>
      </c>
      <c r="AE46" s="35" t="str">
        <f t="shared" si="15"/>
        <v>-</v>
      </c>
      <c r="AF46" s="35" t="str">
        <f t="shared" si="16"/>
        <v>-</v>
      </c>
      <c r="AG46" s="35" t="str">
        <f t="shared" si="17"/>
        <v>-</v>
      </c>
      <c r="AH46" s="35" t="str">
        <f t="shared" si="18"/>
        <v>-</v>
      </c>
      <c r="AI46" s="35" t="str">
        <f t="shared" si="19"/>
        <v>-</v>
      </c>
      <c r="AJ46" s="35" t="str">
        <f t="shared" si="20"/>
        <v>-</v>
      </c>
      <c r="AL46" s="4">
        <v>42</v>
      </c>
      <c r="AM46" s="2" t="e">
        <f>VLOOKUP(AL46,Q$5:$AJ$104,$AN$2,FALSE)</f>
        <v>#N/A</v>
      </c>
      <c r="AN46" s="6" t="e">
        <f>VLOOKUP(AL46,Q$5:$AJ$104,$AN$2+11,FALSE)</f>
        <v>#N/A</v>
      </c>
      <c r="AO46" s="2" t="e">
        <f t="shared" si="21"/>
        <v>#N/A</v>
      </c>
      <c r="AQ46" s="4">
        <v>42</v>
      </c>
      <c r="AR46" s="2" t="e">
        <f>VLOOKUP(AQ46,$S$5:$AJ$104,$AS$2,FALSE)</f>
        <v>#N/A</v>
      </c>
      <c r="AS46" s="6" t="e">
        <f>VLOOKUP(AQ46,$S$5:$AJ$104,$AS$2+9,FALSE)</f>
        <v>#N/A</v>
      </c>
      <c r="AT46" s="2" t="e">
        <f>VLOOKUP(AR46,$S$5:$AJ$104,$AS$2+12,FALSE)</f>
        <v>#N/A</v>
      </c>
      <c r="AU46" s="9"/>
      <c r="AV46" s="4">
        <v>42</v>
      </c>
      <c r="AW46" s="2" t="e">
        <f>VLOOKUP(AV46,$U$5:$AJ$104,$AX$2,FALSE)</f>
        <v>#N/A</v>
      </c>
      <c r="AX46" s="6" t="e">
        <f>VLOOKUP(AV46,$U$5:$AJ$104,$AX$2+7,FALSE)</f>
        <v>#N/A</v>
      </c>
      <c r="AY46" s="2" t="e">
        <f>VLOOKUP(AW46,$U$5:$AJ$104,$AX$2+11,FALSE)</f>
        <v>#N/A</v>
      </c>
      <c r="BA46" s="4">
        <v>42</v>
      </c>
      <c r="BB46" s="2" t="e">
        <f>VLOOKUP(BA46,$W$5:$AJ$104,$BC$2,FALSE)</f>
        <v>#N/A</v>
      </c>
      <c r="BC46" s="6" t="e">
        <f>VLOOKUP(BA46,$W$5:$AJ$104,$BC$2+5,FALSE)</f>
        <v>#N/A</v>
      </c>
      <c r="BD46" s="2" t="e">
        <f>VLOOKUP(BB46,$W$5:$AJ$104,$BC$2+10,FALSE)</f>
        <v>#N/A</v>
      </c>
      <c r="BE46" s="9"/>
      <c r="BF46" s="4">
        <v>42</v>
      </c>
      <c r="BG46" s="2" t="e">
        <f>VLOOKUP(BF46,$Y$5:$AJ$104,$BH$2,FALSE)</f>
        <v>#N/A</v>
      </c>
      <c r="BH46" s="6" t="e">
        <f>VLOOKUP(BF46,$Y$5:$AJ$104,$BH$2+3,FALSE)</f>
        <v>#N/A</v>
      </c>
      <c r="BI46" s="58" t="e">
        <f>VLOOKUP(BG46,$Y$5:$AJ$104,$BH$2+9,FALSE)</f>
        <v>#N/A</v>
      </c>
      <c r="BK46" s="4">
        <v>42</v>
      </c>
      <c r="BL46" s="2" t="e">
        <f>VLOOKUP(BK46,$AA$5:$AJ$104,$BM$2,FALSE)</f>
        <v>#N/A</v>
      </c>
      <c r="BM46" s="6" t="e">
        <f>VLOOKUP(BK46,$AA$5:$AJ$104,$BM$2+1,FALSE)</f>
        <v>#N/A</v>
      </c>
      <c r="BN46" s="58" t="e">
        <f>VLOOKUP(BL46,$AA$5:$AJ$104,$BM$2+8,FALSE)</f>
        <v>#N/A</v>
      </c>
      <c r="BP46" s="2" t="e">
        <f>'Eclectic A'!CD46</f>
        <v>#N/A</v>
      </c>
      <c r="BQ46" s="6" t="e">
        <f>'Eclectic A'!CE46</f>
        <v>#N/A</v>
      </c>
      <c r="BR46" s="103" t="e">
        <f>'Eclectic A'!CF46</f>
        <v>#N/A</v>
      </c>
    </row>
    <row r="47" spans="1:70">
      <c r="A47" s="10" t="str">
        <f>IF(ISBLANK(Players!A45),"",Players!A45)</f>
        <v/>
      </c>
      <c r="B47" s="10" t="str">
        <f>IF(ISBLANK(Players!B45),"",Players!B45)</f>
        <v/>
      </c>
      <c r="C47" s="10" t="str">
        <f>IF(ISBLANK(Players!D45),"",Players!D45)</f>
        <v/>
      </c>
      <c r="D47" s="69" t="str">
        <f>IF(ISNUMBER(C47),MIN((C47*Rules!$N$14/113)+(Rules!$N$13-Rules!$N$12),Rules!$N$37),"-")</f>
        <v>-</v>
      </c>
      <c r="E47" s="69" t="str">
        <f>IF(ISNUMBER(C47),    ROUND( (D47*Rules!$N$11) / 100,0),"-")</f>
        <v>-</v>
      </c>
      <c r="F47" s="36" t="str">
        <f>IF(AND(ISNUMBER(C47),C47&gt;=Rules!$M$10,C47&lt;=Rules!$N$10),"Y","N")</f>
        <v>N</v>
      </c>
      <c r="G47" s="137" t="str">
        <f>'Eclectic A'!M47</f>
        <v>-</v>
      </c>
      <c r="H47" s="137" t="str">
        <f>'Eclectic A'!W47</f>
        <v>-</v>
      </c>
      <c r="I47" s="137" t="str">
        <f>'Eclectic A'!AJ47</f>
        <v>-</v>
      </c>
      <c r="J47" s="137" t="str">
        <f>'Eclectic A'!AT47</f>
        <v>-</v>
      </c>
      <c r="K47" s="108" t="str">
        <f t="shared" si="3"/>
        <v>-</v>
      </c>
      <c r="L47" s="108" t="str">
        <f t="shared" si="4"/>
        <v>-</v>
      </c>
      <c r="M47" s="108" t="str">
        <f t="shared" si="5"/>
        <v>-</v>
      </c>
      <c r="N47" s="108" t="str">
        <f t="shared" si="6"/>
        <v>-</v>
      </c>
      <c r="O47" s="108" t="str">
        <f t="shared" si="7"/>
        <v>-</v>
      </c>
      <c r="P47" s="108" t="str">
        <f t="shared" si="8"/>
        <v>-</v>
      </c>
      <c r="Q47" s="14" t="e">
        <f>RANK($K47,$K$5:$K$104,1)+COUNTIF(K$5:K47,K47)-1</f>
        <v>#VALUE!</v>
      </c>
      <c r="R47" s="14" t="e">
        <f t="shared" si="9"/>
        <v>#VALUE!</v>
      </c>
      <c r="S47" s="14" t="e">
        <f>RANK($L47,$L$5:$L$104,1)+COUNTIF(L$5:L47,L47)-1</f>
        <v>#VALUE!</v>
      </c>
      <c r="T47" s="14" t="e">
        <f t="shared" si="10"/>
        <v>#VALUE!</v>
      </c>
      <c r="U47" s="14" t="e">
        <f>RANK($M47,$M$5:$M$104,1)+COUNTIF(M$5:M47,M47)-1</f>
        <v>#VALUE!</v>
      </c>
      <c r="V47" s="14" t="e">
        <f t="shared" si="11"/>
        <v>#VALUE!</v>
      </c>
      <c r="W47" s="14" t="e">
        <f>RANK($N47,$N$5:$N$104,1)+COUNTIF(N$5:N47,N47)-1</f>
        <v>#VALUE!</v>
      </c>
      <c r="X47" s="14" t="e">
        <f t="shared" si="12"/>
        <v>#VALUE!</v>
      </c>
      <c r="Y47" s="14" t="e">
        <f>RANK($O47,$O$5:$O$104,1)+COUNTIF(O$5:O47,O47)-1</f>
        <v>#VALUE!</v>
      </c>
      <c r="Z47" s="14" t="e">
        <f t="shared" si="13"/>
        <v>#VALUE!</v>
      </c>
      <c r="AA47" s="14" t="e">
        <f>RANK($P47,$P$5:$P$104,1)+COUNTIF(P$5:P47,P47)-1</f>
        <v>#VALUE!</v>
      </c>
      <c r="AB47" s="14" t="e">
        <f t="shared" si="14"/>
        <v>#VALUE!</v>
      </c>
      <c r="AC47" s="1" t="str">
        <f t="shared" si="22"/>
        <v xml:space="preserve"> </v>
      </c>
      <c r="AD47" s="1" t="str">
        <f t="shared" si="23"/>
        <v>-</v>
      </c>
      <c r="AE47" s="35" t="str">
        <f t="shared" si="15"/>
        <v>-</v>
      </c>
      <c r="AF47" s="35" t="str">
        <f t="shared" si="16"/>
        <v>-</v>
      </c>
      <c r="AG47" s="35" t="str">
        <f t="shared" si="17"/>
        <v>-</v>
      </c>
      <c r="AH47" s="35" t="str">
        <f t="shared" si="18"/>
        <v>-</v>
      </c>
      <c r="AI47" s="35" t="str">
        <f t="shared" si="19"/>
        <v>-</v>
      </c>
      <c r="AJ47" s="35" t="str">
        <f t="shared" si="20"/>
        <v>-</v>
      </c>
      <c r="AL47" s="4">
        <v>43</v>
      </c>
      <c r="AM47" s="2" t="e">
        <f>VLOOKUP(AL47,Q$5:$AJ$104,$AN$2,FALSE)</f>
        <v>#N/A</v>
      </c>
      <c r="AN47" s="6" t="e">
        <f>VLOOKUP(AL47,Q$5:$AJ$104,$AN$2+11,FALSE)</f>
        <v>#N/A</v>
      </c>
      <c r="AO47" s="2" t="e">
        <f t="shared" si="21"/>
        <v>#N/A</v>
      </c>
      <c r="AQ47" s="4">
        <v>43</v>
      </c>
      <c r="AR47" s="2" t="e">
        <f>VLOOKUP(AQ47,$S$5:$AJ$104,$AS$2,FALSE)</f>
        <v>#N/A</v>
      </c>
      <c r="AS47" s="6" t="e">
        <f>VLOOKUP(AQ47,$S$5:$AJ$104,$AS$2+9,FALSE)</f>
        <v>#N/A</v>
      </c>
      <c r="AT47" s="2" t="e">
        <f>VLOOKUP(AR47,$S$5:$AJ$104,$AS$2+12,FALSE)</f>
        <v>#N/A</v>
      </c>
      <c r="AU47" s="9"/>
      <c r="AV47" s="4">
        <v>43</v>
      </c>
      <c r="AW47" s="2" t="e">
        <f>VLOOKUP(AV47,$U$5:$AJ$104,$AX$2,FALSE)</f>
        <v>#N/A</v>
      </c>
      <c r="AX47" s="6" t="e">
        <f>VLOOKUP(AV47,$U$5:$AJ$104,$AX$2+7,FALSE)</f>
        <v>#N/A</v>
      </c>
      <c r="AY47" s="2" t="e">
        <f>VLOOKUP(AW47,$U$5:$AJ$104,$AX$2+11,FALSE)</f>
        <v>#N/A</v>
      </c>
      <c r="BA47" s="4">
        <v>43</v>
      </c>
      <c r="BB47" s="2" t="e">
        <f>VLOOKUP(BA47,$W$5:$AJ$104,$BC$2,FALSE)</f>
        <v>#N/A</v>
      </c>
      <c r="BC47" s="6" t="e">
        <f>VLOOKUP(BA47,$W$5:$AJ$104,$BC$2+5,FALSE)</f>
        <v>#N/A</v>
      </c>
      <c r="BD47" s="2" t="e">
        <f>VLOOKUP(BB47,$W$5:$AJ$104,$BC$2+10,FALSE)</f>
        <v>#N/A</v>
      </c>
      <c r="BE47" s="9"/>
      <c r="BF47" s="4">
        <v>43</v>
      </c>
      <c r="BG47" s="2" t="e">
        <f>VLOOKUP(BF47,$Y$5:$AJ$104,$BH$2,FALSE)</f>
        <v>#N/A</v>
      </c>
      <c r="BH47" s="6" t="e">
        <f>VLOOKUP(BF47,$Y$5:$AJ$104,$BH$2+3,FALSE)</f>
        <v>#N/A</v>
      </c>
      <c r="BI47" s="58" t="e">
        <f>VLOOKUP(BG47,$Y$5:$AJ$104,$BH$2+9,FALSE)</f>
        <v>#N/A</v>
      </c>
      <c r="BK47" s="4">
        <v>43</v>
      </c>
      <c r="BL47" s="2" t="e">
        <f>VLOOKUP(BK47,$AA$5:$AJ$104,$BM$2,FALSE)</f>
        <v>#N/A</v>
      </c>
      <c r="BM47" s="6" t="e">
        <f>VLOOKUP(BK47,$AA$5:$AJ$104,$BM$2+1,FALSE)</f>
        <v>#N/A</v>
      </c>
      <c r="BN47" s="58" t="e">
        <f>VLOOKUP(BL47,$AA$5:$AJ$104,$BM$2+8,FALSE)</f>
        <v>#N/A</v>
      </c>
      <c r="BP47" s="2" t="e">
        <f>'Eclectic A'!CD47</f>
        <v>#N/A</v>
      </c>
      <c r="BQ47" s="6" t="e">
        <f>'Eclectic A'!CE47</f>
        <v>#N/A</v>
      </c>
      <c r="BR47" s="103" t="e">
        <f>'Eclectic A'!CF47</f>
        <v>#N/A</v>
      </c>
    </row>
    <row r="48" spans="1:70">
      <c r="A48" s="10" t="str">
        <f>IF(ISBLANK(Players!A46),"",Players!A46)</f>
        <v/>
      </c>
      <c r="B48" s="10" t="str">
        <f>IF(ISBLANK(Players!B46),"",Players!B46)</f>
        <v/>
      </c>
      <c r="C48" s="10" t="str">
        <f>IF(ISBLANK(Players!D46),"",Players!D46)</f>
        <v/>
      </c>
      <c r="D48" s="69" t="str">
        <f>IF(ISNUMBER(C48),MIN((C48*Rules!$N$14/113)+(Rules!$N$13-Rules!$N$12),Rules!$N$37),"-")</f>
        <v>-</v>
      </c>
      <c r="E48" s="69" t="str">
        <f>IF(ISNUMBER(C48),    ROUND( (D48*Rules!$N$11) / 100,0),"-")</f>
        <v>-</v>
      </c>
      <c r="F48" s="36" t="str">
        <f>IF(AND(ISNUMBER(C48),C48&gt;=Rules!$M$10,C48&lt;=Rules!$N$10),"Y","N")</f>
        <v>N</v>
      </c>
      <c r="G48" s="137" t="str">
        <f>'Eclectic A'!M48</f>
        <v>-</v>
      </c>
      <c r="H48" s="137" t="str">
        <f>'Eclectic A'!W48</f>
        <v>-</v>
      </c>
      <c r="I48" s="137" t="str">
        <f>'Eclectic A'!AJ48</f>
        <v>-</v>
      </c>
      <c r="J48" s="137" t="str">
        <f>'Eclectic A'!AT48</f>
        <v>-</v>
      </c>
      <c r="K48" s="108" t="str">
        <f t="shared" si="3"/>
        <v>-</v>
      </c>
      <c r="L48" s="108" t="str">
        <f t="shared" si="4"/>
        <v>-</v>
      </c>
      <c r="M48" s="108" t="str">
        <f t="shared" si="5"/>
        <v>-</v>
      </c>
      <c r="N48" s="108" t="str">
        <f t="shared" si="6"/>
        <v>-</v>
      </c>
      <c r="O48" s="108" t="str">
        <f t="shared" si="7"/>
        <v>-</v>
      </c>
      <c r="P48" s="108" t="str">
        <f t="shared" si="8"/>
        <v>-</v>
      </c>
      <c r="Q48" s="14" t="e">
        <f>RANK($K48,$K$5:$K$104,1)+COUNTIF(K$5:K48,K48)-1</f>
        <v>#VALUE!</v>
      </c>
      <c r="R48" s="14" t="e">
        <f t="shared" si="9"/>
        <v>#VALUE!</v>
      </c>
      <c r="S48" s="14" t="e">
        <f>RANK($L48,$L$5:$L$104,1)+COUNTIF(L$5:L48,L48)-1</f>
        <v>#VALUE!</v>
      </c>
      <c r="T48" s="14" t="e">
        <f t="shared" si="10"/>
        <v>#VALUE!</v>
      </c>
      <c r="U48" s="14" t="e">
        <f>RANK($M48,$M$5:$M$104,1)+COUNTIF(M$5:M48,M48)-1</f>
        <v>#VALUE!</v>
      </c>
      <c r="V48" s="14" t="e">
        <f t="shared" si="11"/>
        <v>#VALUE!</v>
      </c>
      <c r="W48" s="14" t="e">
        <f>RANK($N48,$N$5:$N$104,1)+COUNTIF(N$5:N48,N48)-1</f>
        <v>#VALUE!</v>
      </c>
      <c r="X48" s="14" t="e">
        <f t="shared" si="12"/>
        <v>#VALUE!</v>
      </c>
      <c r="Y48" s="14" t="e">
        <f>RANK($O48,$O$5:$O$104,1)+COUNTIF(O$5:O48,O48)-1</f>
        <v>#VALUE!</v>
      </c>
      <c r="Z48" s="14" t="e">
        <f t="shared" si="13"/>
        <v>#VALUE!</v>
      </c>
      <c r="AA48" s="14" t="e">
        <f>RANK($P48,$P$5:$P$104,1)+COUNTIF(P$5:P48,P48)-1</f>
        <v>#VALUE!</v>
      </c>
      <c r="AB48" s="14" t="e">
        <f t="shared" si="14"/>
        <v>#VALUE!</v>
      </c>
      <c r="AC48" s="1" t="str">
        <f t="shared" si="22"/>
        <v xml:space="preserve"> </v>
      </c>
      <c r="AD48" s="1" t="str">
        <f t="shared" si="23"/>
        <v>-</v>
      </c>
      <c r="AE48" s="35" t="str">
        <f t="shared" si="15"/>
        <v>-</v>
      </c>
      <c r="AF48" s="35" t="str">
        <f t="shared" si="16"/>
        <v>-</v>
      </c>
      <c r="AG48" s="35" t="str">
        <f t="shared" si="17"/>
        <v>-</v>
      </c>
      <c r="AH48" s="35" t="str">
        <f t="shared" si="18"/>
        <v>-</v>
      </c>
      <c r="AI48" s="35" t="str">
        <f t="shared" si="19"/>
        <v>-</v>
      </c>
      <c r="AJ48" s="35" t="str">
        <f t="shared" si="20"/>
        <v>-</v>
      </c>
      <c r="AL48" s="4">
        <v>44</v>
      </c>
      <c r="AM48" s="2" t="e">
        <f>VLOOKUP(AL48,Q$5:$AJ$104,$AN$2,FALSE)</f>
        <v>#N/A</v>
      </c>
      <c r="AN48" s="6" t="e">
        <f>VLOOKUP(AL48,Q$5:$AJ$104,$AN$2+11,FALSE)</f>
        <v>#N/A</v>
      </c>
      <c r="AO48" s="2" t="e">
        <f t="shared" si="21"/>
        <v>#N/A</v>
      </c>
      <c r="AQ48" s="4">
        <v>44</v>
      </c>
      <c r="AR48" s="2" t="e">
        <f>VLOOKUP(AQ48,$S$5:$AJ$104,$AS$2,FALSE)</f>
        <v>#N/A</v>
      </c>
      <c r="AS48" s="6" t="e">
        <f>VLOOKUP(AQ48,$S$5:$AJ$104,$AS$2+9,FALSE)</f>
        <v>#N/A</v>
      </c>
      <c r="AT48" s="2" t="e">
        <f>VLOOKUP(AR48,$S$5:$AJ$104,$AS$2+12,FALSE)</f>
        <v>#N/A</v>
      </c>
      <c r="AU48" s="9"/>
      <c r="AV48" s="4">
        <v>44</v>
      </c>
      <c r="AW48" s="2" t="e">
        <f>VLOOKUP(AV48,$U$5:$AJ$104,$AX$2,FALSE)</f>
        <v>#N/A</v>
      </c>
      <c r="AX48" s="6" t="e">
        <f>VLOOKUP(AV48,$U$5:$AJ$104,$AX$2+7,FALSE)</f>
        <v>#N/A</v>
      </c>
      <c r="AY48" s="2" t="e">
        <f>VLOOKUP(AW48,$U$5:$AJ$104,$AX$2+11,FALSE)</f>
        <v>#N/A</v>
      </c>
      <c r="BA48" s="4">
        <v>44</v>
      </c>
      <c r="BB48" s="2" t="e">
        <f>VLOOKUP(BA48,$W$5:$AJ$104,$BC$2,FALSE)</f>
        <v>#N/A</v>
      </c>
      <c r="BC48" s="6" t="e">
        <f>VLOOKUP(BA48,$W$5:$AJ$104,$BC$2+5,FALSE)</f>
        <v>#N/A</v>
      </c>
      <c r="BD48" s="2" t="e">
        <f>VLOOKUP(BB48,$W$5:$AJ$104,$BC$2+10,FALSE)</f>
        <v>#N/A</v>
      </c>
      <c r="BE48" s="9"/>
      <c r="BF48" s="4">
        <v>44</v>
      </c>
      <c r="BG48" s="2" t="e">
        <f>VLOOKUP(BF48,$Y$5:$AJ$104,$BH$2,FALSE)</f>
        <v>#N/A</v>
      </c>
      <c r="BH48" s="6" t="e">
        <f>VLOOKUP(BF48,$Y$5:$AJ$104,$BH$2+3,FALSE)</f>
        <v>#N/A</v>
      </c>
      <c r="BI48" s="58" t="e">
        <f>VLOOKUP(BG48,$Y$5:$AJ$104,$BH$2+9,FALSE)</f>
        <v>#N/A</v>
      </c>
      <c r="BK48" s="4">
        <v>44</v>
      </c>
      <c r="BL48" s="2" t="e">
        <f>VLOOKUP(BK48,$AA$5:$AJ$104,$BM$2,FALSE)</f>
        <v>#N/A</v>
      </c>
      <c r="BM48" s="6" t="e">
        <f>VLOOKUP(BK48,$AA$5:$AJ$104,$BM$2+1,FALSE)</f>
        <v>#N/A</v>
      </c>
      <c r="BN48" s="58" t="e">
        <f>VLOOKUP(BL48,$AA$5:$AJ$104,$BM$2+8,FALSE)</f>
        <v>#N/A</v>
      </c>
      <c r="BP48" s="2" t="e">
        <f>'Eclectic A'!CD48</f>
        <v>#N/A</v>
      </c>
      <c r="BQ48" s="6" t="e">
        <f>'Eclectic A'!CE48</f>
        <v>#N/A</v>
      </c>
      <c r="BR48" s="103" t="e">
        <f>'Eclectic A'!CF48</f>
        <v>#N/A</v>
      </c>
    </row>
    <row r="49" spans="1:70">
      <c r="A49" s="10" t="str">
        <f>IF(ISBLANK(Players!A47),"",Players!A47)</f>
        <v/>
      </c>
      <c r="B49" s="10" t="str">
        <f>IF(ISBLANK(Players!B47),"",Players!B47)</f>
        <v/>
      </c>
      <c r="C49" s="10" t="str">
        <f>IF(ISBLANK(Players!D47),"",Players!D47)</f>
        <v/>
      </c>
      <c r="D49" s="69" t="str">
        <f>IF(ISNUMBER(C49),MIN((C49*Rules!$N$14/113)+(Rules!$N$13-Rules!$N$12),Rules!$N$37),"-")</f>
        <v>-</v>
      </c>
      <c r="E49" s="69" t="str">
        <f>IF(ISNUMBER(C49),    ROUND( (D49*Rules!$N$11) / 100,0),"-")</f>
        <v>-</v>
      </c>
      <c r="F49" s="36" t="str">
        <f>IF(AND(ISNUMBER(C49),C49&gt;=Rules!$M$10,C49&lt;=Rules!$N$10),"Y","N")</f>
        <v>N</v>
      </c>
      <c r="G49" s="137" t="str">
        <f>'Eclectic A'!M49</f>
        <v>-</v>
      </c>
      <c r="H49" s="137" t="str">
        <f>'Eclectic A'!W49</f>
        <v>-</v>
      </c>
      <c r="I49" s="137" t="str">
        <f>'Eclectic A'!AJ49</f>
        <v>-</v>
      </c>
      <c r="J49" s="137" t="str">
        <f>'Eclectic A'!AT49</f>
        <v>-</v>
      </c>
      <c r="K49" s="108" t="str">
        <f t="shared" si="3"/>
        <v>-</v>
      </c>
      <c r="L49" s="108" t="str">
        <f t="shared" si="4"/>
        <v>-</v>
      </c>
      <c r="M49" s="108" t="str">
        <f t="shared" si="5"/>
        <v>-</v>
      </c>
      <c r="N49" s="108" t="str">
        <f t="shared" si="6"/>
        <v>-</v>
      </c>
      <c r="O49" s="108" t="str">
        <f t="shared" si="7"/>
        <v>-</v>
      </c>
      <c r="P49" s="108" t="str">
        <f t="shared" si="8"/>
        <v>-</v>
      </c>
      <c r="Q49" s="14" t="e">
        <f>RANK($K49,$K$5:$K$104,1)+COUNTIF(K$5:K49,K49)-1</f>
        <v>#VALUE!</v>
      </c>
      <c r="R49" s="14" t="e">
        <f t="shared" si="9"/>
        <v>#VALUE!</v>
      </c>
      <c r="S49" s="14" t="e">
        <f>RANK($L49,$L$5:$L$104,1)+COUNTIF(L$5:L49,L49)-1</f>
        <v>#VALUE!</v>
      </c>
      <c r="T49" s="14" t="e">
        <f t="shared" si="10"/>
        <v>#VALUE!</v>
      </c>
      <c r="U49" s="14" t="e">
        <f>RANK($M49,$M$5:$M$104,1)+COUNTIF(M$5:M49,M49)-1</f>
        <v>#VALUE!</v>
      </c>
      <c r="V49" s="14" t="e">
        <f t="shared" si="11"/>
        <v>#VALUE!</v>
      </c>
      <c r="W49" s="14" t="e">
        <f>RANK($N49,$N$5:$N$104,1)+COUNTIF(N$5:N49,N49)-1</f>
        <v>#VALUE!</v>
      </c>
      <c r="X49" s="14" t="e">
        <f t="shared" si="12"/>
        <v>#VALUE!</v>
      </c>
      <c r="Y49" s="14" t="e">
        <f>RANK($O49,$O$5:$O$104,1)+COUNTIF(O$5:O49,O49)-1</f>
        <v>#VALUE!</v>
      </c>
      <c r="Z49" s="14" t="e">
        <f t="shared" si="13"/>
        <v>#VALUE!</v>
      </c>
      <c r="AA49" s="14" t="e">
        <f>RANK($P49,$P$5:$P$104,1)+COUNTIF(P$5:P49,P49)-1</f>
        <v>#VALUE!</v>
      </c>
      <c r="AB49" s="14" t="e">
        <f t="shared" si="14"/>
        <v>#VALUE!</v>
      </c>
      <c r="AC49" s="1" t="str">
        <f t="shared" si="22"/>
        <v xml:space="preserve"> </v>
      </c>
      <c r="AD49" s="1" t="str">
        <f t="shared" si="23"/>
        <v>-</v>
      </c>
      <c r="AE49" s="35" t="str">
        <f t="shared" si="15"/>
        <v>-</v>
      </c>
      <c r="AF49" s="35" t="str">
        <f t="shared" si="16"/>
        <v>-</v>
      </c>
      <c r="AG49" s="35" t="str">
        <f t="shared" si="17"/>
        <v>-</v>
      </c>
      <c r="AH49" s="35" t="str">
        <f t="shared" si="18"/>
        <v>-</v>
      </c>
      <c r="AI49" s="35" t="str">
        <f t="shared" si="19"/>
        <v>-</v>
      </c>
      <c r="AJ49" s="35" t="str">
        <f t="shared" si="20"/>
        <v>-</v>
      </c>
      <c r="AL49" s="4">
        <v>45</v>
      </c>
      <c r="AM49" s="2" t="e">
        <f>VLOOKUP(AL49,Q$5:$AJ$104,$AN$2,FALSE)</f>
        <v>#N/A</v>
      </c>
      <c r="AN49" s="6" t="e">
        <f>VLOOKUP(AL49,Q$5:$AJ$104,$AN$2+11,FALSE)</f>
        <v>#N/A</v>
      </c>
      <c r="AO49" s="2" t="e">
        <f t="shared" si="21"/>
        <v>#N/A</v>
      </c>
      <c r="AQ49" s="4">
        <v>45</v>
      </c>
      <c r="AR49" s="2" t="e">
        <f>VLOOKUP(AQ49,$S$5:$AJ$104,$AS$2,FALSE)</f>
        <v>#N/A</v>
      </c>
      <c r="AS49" s="6" t="e">
        <f>VLOOKUP(AQ49,$S$5:$AJ$104,$AS$2+9,FALSE)</f>
        <v>#N/A</v>
      </c>
      <c r="AT49" s="2" t="e">
        <f>VLOOKUP(AR49,$S$5:$AJ$104,$AS$2+12,FALSE)</f>
        <v>#N/A</v>
      </c>
      <c r="AU49" s="9"/>
      <c r="AV49" s="4">
        <v>45</v>
      </c>
      <c r="AW49" s="2" t="e">
        <f>VLOOKUP(AV49,$U$5:$AJ$104,$AX$2,FALSE)</f>
        <v>#N/A</v>
      </c>
      <c r="AX49" s="6" t="e">
        <f>VLOOKUP(AV49,$U$5:$AJ$104,$AX$2+7,FALSE)</f>
        <v>#N/A</v>
      </c>
      <c r="AY49" s="2" t="e">
        <f>VLOOKUP(AW49,$U$5:$AJ$104,$AX$2+11,FALSE)</f>
        <v>#N/A</v>
      </c>
      <c r="BA49" s="4">
        <v>45</v>
      </c>
      <c r="BB49" s="2" t="e">
        <f>VLOOKUP(BA49,$W$5:$AJ$104,$BC$2,FALSE)</f>
        <v>#N/A</v>
      </c>
      <c r="BC49" s="6" t="e">
        <f>VLOOKUP(BA49,$W$5:$AJ$104,$BC$2+5,FALSE)</f>
        <v>#N/A</v>
      </c>
      <c r="BD49" s="2" t="e">
        <f>VLOOKUP(BB49,$W$5:$AJ$104,$BC$2+10,FALSE)</f>
        <v>#N/A</v>
      </c>
      <c r="BE49" s="9"/>
      <c r="BF49" s="4">
        <v>45</v>
      </c>
      <c r="BG49" s="2" t="e">
        <f>VLOOKUP(BF49,$Y$5:$AJ$104,$BH$2,FALSE)</f>
        <v>#N/A</v>
      </c>
      <c r="BH49" s="6" t="e">
        <f>VLOOKUP(BF49,$Y$5:$AJ$104,$BH$2+3,FALSE)</f>
        <v>#N/A</v>
      </c>
      <c r="BI49" s="58" t="e">
        <f>VLOOKUP(BG49,$Y$5:$AJ$104,$BH$2+9,FALSE)</f>
        <v>#N/A</v>
      </c>
      <c r="BK49" s="4">
        <v>45</v>
      </c>
      <c r="BL49" s="2" t="e">
        <f>VLOOKUP(BK49,$AA$5:$AJ$104,$BM$2,FALSE)</f>
        <v>#N/A</v>
      </c>
      <c r="BM49" s="6" t="e">
        <f>VLOOKUP(BK49,$AA$5:$AJ$104,$BM$2+1,FALSE)</f>
        <v>#N/A</v>
      </c>
      <c r="BN49" s="58" t="e">
        <f>VLOOKUP(BL49,$AA$5:$AJ$104,$BM$2+8,FALSE)</f>
        <v>#N/A</v>
      </c>
      <c r="BP49" s="2" t="e">
        <f>'Eclectic A'!CD49</f>
        <v>#N/A</v>
      </c>
      <c r="BQ49" s="6" t="e">
        <f>'Eclectic A'!CE49</f>
        <v>#N/A</v>
      </c>
      <c r="BR49" s="103" t="e">
        <f>'Eclectic A'!CF49</f>
        <v>#N/A</v>
      </c>
    </row>
    <row r="50" spans="1:70">
      <c r="A50" s="10" t="str">
        <f>IF(ISBLANK(Players!A48),"",Players!A48)</f>
        <v/>
      </c>
      <c r="B50" s="10" t="str">
        <f>IF(ISBLANK(Players!B48),"",Players!B48)</f>
        <v/>
      </c>
      <c r="C50" s="10" t="str">
        <f>IF(ISBLANK(Players!D48),"",Players!D48)</f>
        <v/>
      </c>
      <c r="D50" s="69" t="str">
        <f>IF(ISNUMBER(C50),MIN((C50*Rules!$N$14/113)+(Rules!$N$13-Rules!$N$12),Rules!$N$37),"-")</f>
        <v>-</v>
      </c>
      <c r="E50" s="69" t="str">
        <f>IF(ISNUMBER(C50),    ROUND( (D50*Rules!$N$11) / 100,0),"-")</f>
        <v>-</v>
      </c>
      <c r="F50" s="36" t="str">
        <f>IF(AND(ISNUMBER(C50),C50&gt;=Rules!$M$10,C50&lt;=Rules!$N$10),"Y","N")</f>
        <v>N</v>
      </c>
      <c r="G50" s="137" t="str">
        <f>'Eclectic A'!M50</f>
        <v>-</v>
      </c>
      <c r="H50" s="137" t="str">
        <f>'Eclectic A'!W50</f>
        <v>-</v>
      </c>
      <c r="I50" s="137" t="str">
        <f>'Eclectic A'!AJ50</f>
        <v>-</v>
      </c>
      <c r="J50" s="137" t="str">
        <f>'Eclectic A'!AT50</f>
        <v>-</v>
      </c>
      <c r="K50" s="108" t="str">
        <f t="shared" si="3"/>
        <v>-</v>
      </c>
      <c r="L50" s="108" t="str">
        <f t="shared" si="4"/>
        <v>-</v>
      </c>
      <c r="M50" s="108" t="str">
        <f t="shared" si="5"/>
        <v>-</v>
      </c>
      <c r="N50" s="108" t="str">
        <f t="shared" si="6"/>
        <v>-</v>
      </c>
      <c r="O50" s="108" t="str">
        <f t="shared" si="7"/>
        <v>-</v>
      </c>
      <c r="P50" s="108" t="str">
        <f t="shared" si="8"/>
        <v>-</v>
      </c>
      <c r="Q50" s="14" t="e">
        <f>RANK($K50,$K$5:$K$104,1)+COUNTIF(K$5:K50,K50)-1</f>
        <v>#VALUE!</v>
      </c>
      <c r="R50" s="14" t="e">
        <f t="shared" si="9"/>
        <v>#VALUE!</v>
      </c>
      <c r="S50" s="14" t="e">
        <f>RANK($L50,$L$5:$L$104,1)+COUNTIF(L$5:L50,L50)-1</f>
        <v>#VALUE!</v>
      </c>
      <c r="T50" s="14" t="e">
        <f t="shared" si="10"/>
        <v>#VALUE!</v>
      </c>
      <c r="U50" s="14" t="e">
        <f>RANK($M50,$M$5:$M$104,1)+COUNTIF(M$5:M50,M50)-1</f>
        <v>#VALUE!</v>
      </c>
      <c r="V50" s="14" t="e">
        <f t="shared" si="11"/>
        <v>#VALUE!</v>
      </c>
      <c r="W50" s="14" t="e">
        <f>RANK($N50,$N$5:$N$104,1)+COUNTIF(N$5:N50,N50)-1</f>
        <v>#VALUE!</v>
      </c>
      <c r="X50" s="14" t="e">
        <f t="shared" si="12"/>
        <v>#VALUE!</v>
      </c>
      <c r="Y50" s="14" t="e">
        <f>RANK($O50,$O$5:$O$104,1)+COUNTIF(O$5:O50,O50)-1</f>
        <v>#VALUE!</v>
      </c>
      <c r="Z50" s="14" t="e">
        <f t="shared" si="13"/>
        <v>#VALUE!</v>
      </c>
      <c r="AA50" s="14" t="e">
        <f>RANK($P50,$P$5:$P$104,1)+COUNTIF(P$5:P50,P50)-1</f>
        <v>#VALUE!</v>
      </c>
      <c r="AB50" s="14" t="e">
        <f t="shared" si="14"/>
        <v>#VALUE!</v>
      </c>
      <c r="AC50" s="1" t="str">
        <f t="shared" si="22"/>
        <v xml:space="preserve"> </v>
      </c>
      <c r="AD50" s="1" t="str">
        <f t="shared" si="23"/>
        <v>-</v>
      </c>
      <c r="AE50" s="35" t="str">
        <f t="shared" si="15"/>
        <v>-</v>
      </c>
      <c r="AF50" s="35" t="str">
        <f t="shared" si="16"/>
        <v>-</v>
      </c>
      <c r="AG50" s="35" t="str">
        <f t="shared" si="17"/>
        <v>-</v>
      </c>
      <c r="AH50" s="35" t="str">
        <f t="shared" si="18"/>
        <v>-</v>
      </c>
      <c r="AI50" s="35" t="str">
        <f t="shared" si="19"/>
        <v>-</v>
      </c>
      <c r="AJ50" s="35" t="str">
        <f t="shared" si="20"/>
        <v>-</v>
      </c>
      <c r="AL50" s="4">
        <v>46</v>
      </c>
      <c r="AM50" s="2" t="e">
        <f>VLOOKUP(AL50,Q$5:$AJ$104,$AN$2,FALSE)</f>
        <v>#N/A</v>
      </c>
      <c r="AN50" s="6" t="e">
        <f>VLOOKUP(AL50,Q$5:$AJ$104,$AN$2+11,FALSE)</f>
        <v>#N/A</v>
      </c>
      <c r="AO50" s="2" t="e">
        <f t="shared" si="21"/>
        <v>#N/A</v>
      </c>
      <c r="AQ50" s="4">
        <v>46</v>
      </c>
      <c r="AR50" s="2" t="e">
        <f>VLOOKUP(AQ50,$S$5:$AJ$104,$AS$2,FALSE)</f>
        <v>#N/A</v>
      </c>
      <c r="AS50" s="6" t="e">
        <f>VLOOKUP(AQ50,$S$5:$AJ$104,$AS$2+9,FALSE)</f>
        <v>#N/A</v>
      </c>
      <c r="AT50" s="2" t="e">
        <f>VLOOKUP(AR50,$S$5:$AJ$104,$AS$2+12,FALSE)</f>
        <v>#N/A</v>
      </c>
      <c r="AU50" s="9"/>
      <c r="AV50" s="4">
        <v>46</v>
      </c>
      <c r="AW50" s="2" t="e">
        <f>VLOOKUP(AV50,$U$5:$AJ$104,$AX$2,FALSE)</f>
        <v>#N/A</v>
      </c>
      <c r="AX50" s="6" t="e">
        <f>VLOOKUP(AV50,$U$5:$AJ$104,$AX$2+7,FALSE)</f>
        <v>#N/A</v>
      </c>
      <c r="AY50" s="2" t="e">
        <f>VLOOKUP(AW50,$U$5:$AJ$104,$AX$2+11,FALSE)</f>
        <v>#N/A</v>
      </c>
      <c r="BA50" s="4">
        <v>46</v>
      </c>
      <c r="BB50" s="2" t="e">
        <f>VLOOKUP(BA50,$W$5:$AJ$104,$BC$2,FALSE)</f>
        <v>#N/A</v>
      </c>
      <c r="BC50" s="6" t="e">
        <f>VLOOKUP(BA50,$W$5:$AJ$104,$BC$2+5,FALSE)</f>
        <v>#N/A</v>
      </c>
      <c r="BD50" s="2" t="e">
        <f>VLOOKUP(BB50,$W$5:$AJ$104,$BC$2+10,FALSE)</f>
        <v>#N/A</v>
      </c>
      <c r="BE50" s="9"/>
      <c r="BF50" s="4">
        <v>46</v>
      </c>
      <c r="BG50" s="2" t="e">
        <f>VLOOKUP(BF50,$Y$5:$AJ$104,$BH$2,FALSE)</f>
        <v>#N/A</v>
      </c>
      <c r="BH50" s="6" t="e">
        <f>VLOOKUP(BF50,$Y$5:$AJ$104,$BH$2+3,FALSE)</f>
        <v>#N/A</v>
      </c>
      <c r="BI50" s="58" t="e">
        <f>VLOOKUP(BG50,$Y$5:$AJ$104,$BH$2+9,FALSE)</f>
        <v>#N/A</v>
      </c>
      <c r="BK50" s="4">
        <v>46</v>
      </c>
      <c r="BL50" s="2" t="e">
        <f>VLOOKUP(BK50,$AA$5:$AJ$104,$BM$2,FALSE)</f>
        <v>#N/A</v>
      </c>
      <c r="BM50" s="6" t="e">
        <f>VLOOKUP(BK50,$AA$5:$AJ$104,$BM$2+1,FALSE)</f>
        <v>#N/A</v>
      </c>
      <c r="BN50" s="58" t="e">
        <f>VLOOKUP(BL50,$AA$5:$AJ$104,$BM$2+8,FALSE)</f>
        <v>#N/A</v>
      </c>
      <c r="BP50" s="2" t="e">
        <f>'Eclectic A'!CD50</f>
        <v>#N/A</v>
      </c>
      <c r="BQ50" s="6" t="e">
        <f>'Eclectic A'!CE50</f>
        <v>#N/A</v>
      </c>
      <c r="BR50" s="103" t="e">
        <f>'Eclectic A'!CF50</f>
        <v>#N/A</v>
      </c>
    </row>
    <row r="51" spans="1:70">
      <c r="A51" s="10" t="str">
        <f>IF(ISBLANK(Players!A49),"",Players!A49)</f>
        <v/>
      </c>
      <c r="B51" s="10" t="str">
        <f>IF(ISBLANK(Players!B49),"",Players!B49)</f>
        <v/>
      </c>
      <c r="C51" s="10" t="str">
        <f>IF(ISBLANK(Players!D49),"",Players!D49)</f>
        <v/>
      </c>
      <c r="D51" s="69" t="str">
        <f>IF(ISNUMBER(C51),MIN((C51*Rules!$N$14/113)+(Rules!$N$13-Rules!$N$12),Rules!$N$37),"-")</f>
        <v>-</v>
      </c>
      <c r="E51" s="69" t="str">
        <f>IF(ISNUMBER(C51),    ROUND( (D51*Rules!$N$11) / 100,0),"-")</f>
        <v>-</v>
      </c>
      <c r="F51" s="36" t="str">
        <f>IF(AND(ISNUMBER(C51),C51&gt;=Rules!$M$10,C51&lt;=Rules!$N$10),"Y","N")</f>
        <v>N</v>
      </c>
      <c r="G51" s="137" t="str">
        <f>'Eclectic A'!M51</f>
        <v>-</v>
      </c>
      <c r="H51" s="137" t="str">
        <f>'Eclectic A'!W51</f>
        <v>-</v>
      </c>
      <c r="I51" s="137" t="str">
        <f>'Eclectic A'!AJ51</f>
        <v>-</v>
      </c>
      <c r="J51" s="137" t="str">
        <f>'Eclectic A'!AT51</f>
        <v>-</v>
      </c>
      <c r="K51" s="108" t="str">
        <f t="shared" si="3"/>
        <v>-</v>
      </c>
      <c r="L51" s="108" t="str">
        <f t="shared" si="4"/>
        <v>-</v>
      </c>
      <c r="M51" s="108" t="str">
        <f t="shared" si="5"/>
        <v>-</v>
      </c>
      <c r="N51" s="108" t="str">
        <f t="shared" si="6"/>
        <v>-</v>
      </c>
      <c r="O51" s="108" t="str">
        <f t="shared" si="7"/>
        <v>-</v>
      </c>
      <c r="P51" s="108" t="str">
        <f t="shared" si="8"/>
        <v>-</v>
      </c>
      <c r="Q51" s="14" t="e">
        <f>RANK($K51,$K$5:$K$104,1)+COUNTIF(K$5:K51,K51)-1</f>
        <v>#VALUE!</v>
      </c>
      <c r="R51" s="14" t="e">
        <f t="shared" si="9"/>
        <v>#VALUE!</v>
      </c>
      <c r="S51" s="14" t="e">
        <f>RANK($L51,$L$5:$L$104,1)+COUNTIF(L$5:L51,L51)-1</f>
        <v>#VALUE!</v>
      </c>
      <c r="T51" s="14" t="e">
        <f t="shared" si="10"/>
        <v>#VALUE!</v>
      </c>
      <c r="U51" s="14" t="e">
        <f>RANK($M51,$M$5:$M$104,1)+COUNTIF(M$5:M51,M51)-1</f>
        <v>#VALUE!</v>
      </c>
      <c r="V51" s="14" t="e">
        <f t="shared" si="11"/>
        <v>#VALUE!</v>
      </c>
      <c r="W51" s="14" t="e">
        <f>RANK($N51,$N$5:$N$104,1)+COUNTIF(N$5:N51,N51)-1</f>
        <v>#VALUE!</v>
      </c>
      <c r="X51" s="14" t="e">
        <f t="shared" si="12"/>
        <v>#VALUE!</v>
      </c>
      <c r="Y51" s="14" t="e">
        <f>RANK($O51,$O$5:$O$104,1)+COUNTIF(O$5:O51,O51)-1</f>
        <v>#VALUE!</v>
      </c>
      <c r="Z51" s="14" t="e">
        <f t="shared" si="13"/>
        <v>#VALUE!</v>
      </c>
      <c r="AA51" s="14" t="e">
        <f>RANK($P51,$P$5:$P$104,1)+COUNTIF(P$5:P51,P51)-1</f>
        <v>#VALUE!</v>
      </c>
      <c r="AB51" s="14" t="e">
        <f t="shared" si="14"/>
        <v>#VALUE!</v>
      </c>
      <c r="AC51" s="1" t="str">
        <f t="shared" si="22"/>
        <v xml:space="preserve"> </v>
      </c>
      <c r="AD51" s="1" t="str">
        <f t="shared" si="23"/>
        <v>-</v>
      </c>
      <c r="AE51" s="35" t="str">
        <f t="shared" si="15"/>
        <v>-</v>
      </c>
      <c r="AF51" s="35" t="str">
        <f t="shared" si="16"/>
        <v>-</v>
      </c>
      <c r="AG51" s="35" t="str">
        <f t="shared" si="17"/>
        <v>-</v>
      </c>
      <c r="AH51" s="35" t="str">
        <f t="shared" si="18"/>
        <v>-</v>
      </c>
      <c r="AI51" s="35" t="str">
        <f t="shared" si="19"/>
        <v>-</v>
      </c>
      <c r="AJ51" s="35" t="str">
        <f t="shared" si="20"/>
        <v>-</v>
      </c>
      <c r="AL51" s="4">
        <v>47</v>
      </c>
      <c r="AM51" s="2" t="e">
        <f>VLOOKUP(AL51,Q$5:$AJ$104,$AN$2,FALSE)</f>
        <v>#N/A</v>
      </c>
      <c r="AN51" s="6" t="e">
        <f>VLOOKUP(AL51,Q$5:$AJ$104,$AN$2+11,FALSE)</f>
        <v>#N/A</v>
      </c>
      <c r="AO51" s="2" t="e">
        <f t="shared" si="21"/>
        <v>#N/A</v>
      </c>
      <c r="AQ51" s="4">
        <v>47</v>
      </c>
      <c r="AR51" s="2" t="e">
        <f>VLOOKUP(AQ51,$S$5:$AJ$104,$AS$2,FALSE)</f>
        <v>#N/A</v>
      </c>
      <c r="AS51" s="6" t="e">
        <f>VLOOKUP(AQ51,$S$5:$AJ$104,$AS$2+9,FALSE)</f>
        <v>#N/A</v>
      </c>
      <c r="AT51" s="2" t="e">
        <f>VLOOKUP(AR51,$S$5:$AJ$104,$AS$2+12,FALSE)</f>
        <v>#N/A</v>
      </c>
      <c r="AU51" s="9"/>
      <c r="AV51" s="4">
        <v>47</v>
      </c>
      <c r="AW51" s="2" t="e">
        <f>VLOOKUP(AV51,$U$5:$AJ$104,$AX$2,FALSE)</f>
        <v>#N/A</v>
      </c>
      <c r="AX51" s="6" t="e">
        <f>VLOOKUP(AV51,$U$5:$AJ$104,$AX$2+7,FALSE)</f>
        <v>#N/A</v>
      </c>
      <c r="AY51" s="2" t="e">
        <f>VLOOKUP(AW51,$U$5:$AJ$104,$AX$2+11,FALSE)</f>
        <v>#N/A</v>
      </c>
      <c r="BA51" s="4">
        <v>47</v>
      </c>
      <c r="BB51" s="2" t="e">
        <f>VLOOKUP(BA51,$W$5:$AJ$104,$BC$2,FALSE)</f>
        <v>#N/A</v>
      </c>
      <c r="BC51" s="6" t="e">
        <f>VLOOKUP(BA51,$W$5:$AJ$104,$BC$2+5,FALSE)</f>
        <v>#N/A</v>
      </c>
      <c r="BD51" s="2" t="e">
        <f>VLOOKUP(BB51,$W$5:$AJ$104,$BC$2+10,FALSE)</f>
        <v>#N/A</v>
      </c>
      <c r="BE51" s="9"/>
      <c r="BF51" s="4">
        <v>47</v>
      </c>
      <c r="BG51" s="2" t="e">
        <f>VLOOKUP(BF51,$Y$5:$AJ$104,$BH$2,FALSE)</f>
        <v>#N/A</v>
      </c>
      <c r="BH51" s="6" t="e">
        <f>VLOOKUP(BF51,$Y$5:$AJ$104,$BH$2+3,FALSE)</f>
        <v>#N/A</v>
      </c>
      <c r="BI51" s="58" t="e">
        <f>VLOOKUP(BG51,$Y$5:$AJ$104,$BH$2+9,FALSE)</f>
        <v>#N/A</v>
      </c>
      <c r="BK51" s="4">
        <v>47</v>
      </c>
      <c r="BL51" s="2" t="e">
        <f>VLOOKUP(BK51,$AA$5:$AJ$104,$BM$2,FALSE)</f>
        <v>#N/A</v>
      </c>
      <c r="BM51" s="6" t="e">
        <f>VLOOKUP(BK51,$AA$5:$AJ$104,$BM$2+1,FALSE)</f>
        <v>#N/A</v>
      </c>
      <c r="BN51" s="58" t="e">
        <f>VLOOKUP(BL51,$AA$5:$AJ$104,$BM$2+8,FALSE)</f>
        <v>#N/A</v>
      </c>
      <c r="BP51" s="2" t="e">
        <f>'Eclectic A'!CD51</f>
        <v>#N/A</v>
      </c>
      <c r="BQ51" s="6" t="e">
        <f>'Eclectic A'!CE51</f>
        <v>#N/A</v>
      </c>
      <c r="BR51" s="103" t="e">
        <f>'Eclectic A'!CF51</f>
        <v>#N/A</v>
      </c>
    </row>
    <row r="52" spans="1:70">
      <c r="A52" s="10" t="str">
        <f>IF(ISBLANK(Players!A50),"",Players!A50)</f>
        <v/>
      </c>
      <c r="B52" s="10" t="str">
        <f>IF(ISBLANK(Players!B50),"",Players!B50)</f>
        <v/>
      </c>
      <c r="C52" s="10" t="str">
        <f>IF(ISBLANK(Players!D50),"",Players!D50)</f>
        <v/>
      </c>
      <c r="D52" s="69" t="str">
        <f>IF(ISNUMBER(C52),MIN((C52*Rules!$N$14/113)+(Rules!$N$13-Rules!$N$12),Rules!$N$37),"-")</f>
        <v>-</v>
      </c>
      <c r="E52" s="69" t="str">
        <f>IF(ISNUMBER(C52),    ROUND( (D52*Rules!$N$11) / 100,0),"-")</f>
        <v>-</v>
      </c>
      <c r="F52" s="36" t="str">
        <f>IF(AND(ISNUMBER(C52),C52&gt;=Rules!$M$10,C52&lt;=Rules!$N$10),"Y","N")</f>
        <v>N</v>
      </c>
      <c r="G52" s="137" t="str">
        <f>'Eclectic A'!M52</f>
        <v>-</v>
      </c>
      <c r="H52" s="137" t="str">
        <f>'Eclectic A'!W52</f>
        <v>-</v>
      </c>
      <c r="I52" s="137" t="str">
        <f>'Eclectic A'!AJ52</f>
        <v>-</v>
      </c>
      <c r="J52" s="137" t="str">
        <f>'Eclectic A'!AT52</f>
        <v>-</v>
      </c>
      <c r="K52" s="108" t="str">
        <f t="shared" si="3"/>
        <v>-</v>
      </c>
      <c r="L52" s="108" t="str">
        <f t="shared" si="4"/>
        <v>-</v>
      </c>
      <c r="M52" s="108" t="str">
        <f t="shared" si="5"/>
        <v>-</v>
      </c>
      <c r="N52" s="108" t="str">
        <f t="shared" si="6"/>
        <v>-</v>
      </c>
      <c r="O52" s="108" t="str">
        <f t="shared" si="7"/>
        <v>-</v>
      </c>
      <c r="P52" s="108" t="str">
        <f t="shared" si="8"/>
        <v>-</v>
      </c>
      <c r="Q52" s="14" t="e">
        <f>RANK($K52,$K$5:$K$104,1)+COUNTIF(K$5:K52,K52)-1</f>
        <v>#VALUE!</v>
      </c>
      <c r="R52" s="14" t="e">
        <f t="shared" si="9"/>
        <v>#VALUE!</v>
      </c>
      <c r="S52" s="14" t="e">
        <f>RANK($L52,$L$5:$L$104,1)+COUNTIF(L$5:L52,L52)-1</f>
        <v>#VALUE!</v>
      </c>
      <c r="T52" s="14" t="e">
        <f t="shared" si="10"/>
        <v>#VALUE!</v>
      </c>
      <c r="U52" s="14" t="e">
        <f>RANK($M52,$M$5:$M$104,1)+COUNTIF(M$5:M52,M52)-1</f>
        <v>#VALUE!</v>
      </c>
      <c r="V52" s="14" t="e">
        <f t="shared" si="11"/>
        <v>#VALUE!</v>
      </c>
      <c r="W52" s="14" t="e">
        <f>RANK($N52,$N$5:$N$104,1)+COUNTIF(N$5:N52,N52)-1</f>
        <v>#VALUE!</v>
      </c>
      <c r="X52" s="14" t="e">
        <f t="shared" si="12"/>
        <v>#VALUE!</v>
      </c>
      <c r="Y52" s="14" t="e">
        <f>RANK($O52,$O$5:$O$104,1)+COUNTIF(O$5:O52,O52)-1</f>
        <v>#VALUE!</v>
      </c>
      <c r="Z52" s="14" t="e">
        <f t="shared" si="13"/>
        <v>#VALUE!</v>
      </c>
      <c r="AA52" s="14" t="e">
        <f>RANK($P52,$P$5:$P$104,1)+COUNTIF(P$5:P52,P52)-1</f>
        <v>#VALUE!</v>
      </c>
      <c r="AB52" s="14" t="e">
        <f t="shared" si="14"/>
        <v>#VALUE!</v>
      </c>
      <c r="AC52" s="1" t="str">
        <f t="shared" si="22"/>
        <v xml:space="preserve"> </v>
      </c>
      <c r="AD52" s="1" t="str">
        <f t="shared" si="23"/>
        <v>-</v>
      </c>
      <c r="AE52" s="35" t="str">
        <f t="shared" si="15"/>
        <v>-</v>
      </c>
      <c r="AF52" s="35" t="str">
        <f t="shared" si="16"/>
        <v>-</v>
      </c>
      <c r="AG52" s="35" t="str">
        <f t="shared" si="17"/>
        <v>-</v>
      </c>
      <c r="AH52" s="35" t="str">
        <f t="shared" si="18"/>
        <v>-</v>
      </c>
      <c r="AI52" s="35" t="str">
        <f t="shared" si="19"/>
        <v>-</v>
      </c>
      <c r="AJ52" s="35" t="str">
        <f t="shared" si="20"/>
        <v>-</v>
      </c>
      <c r="AL52" s="4">
        <v>48</v>
      </c>
      <c r="AM52" s="2" t="e">
        <f>VLOOKUP(AL52,Q$5:$AJ$104,$AN$2,FALSE)</f>
        <v>#N/A</v>
      </c>
      <c r="AN52" s="6" t="e">
        <f>VLOOKUP(AL52,Q$5:$AJ$104,$AN$2+11,FALSE)</f>
        <v>#N/A</v>
      </c>
      <c r="AO52" s="2" t="e">
        <f t="shared" si="21"/>
        <v>#N/A</v>
      </c>
      <c r="AQ52" s="4">
        <v>48</v>
      </c>
      <c r="AR52" s="2" t="e">
        <f>VLOOKUP(AQ52,$S$5:$AJ$104,$AS$2,FALSE)</f>
        <v>#N/A</v>
      </c>
      <c r="AS52" s="6" t="e">
        <f>VLOOKUP(AQ52,$S$5:$AJ$104,$AS$2+9,FALSE)</f>
        <v>#N/A</v>
      </c>
      <c r="AT52" s="2" t="e">
        <f>VLOOKUP(AR52,$S$5:$AJ$104,$AS$2+12,FALSE)</f>
        <v>#N/A</v>
      </c>
      <c r="AU52" s="9"/>
      <c r="AV52" s="4">
        <v>48</v>
      </c>
      <c r="AW52" s="2" t="e">
        <f>VLOOKUP(AV52,$U$5:$AJ$104,$AX$2,FALSE)</f>
        <v>#N/A</v>
      </c>
      <c r="AX52" s="6" t="e">
        <f>VLOOKUP(AV52,$U$5:$AJ$104,$AX$2+7,FALSE)</f>
        <v>#N/A</v>
      </c>
      <c r="AY52" s="2" t="e">
        <f>VLOOKUP(AW52,$U$5:$AJ$104,$AX$2+11,FALSE)</f>
        <v>#N/A</v>
      </c>
      <c r="BA52" s="4">
        <v>48</v>
      </c>
      <c r="BB52" s="2" t="e">
        <f>VLOOKUP(BA52,$W$5:$AJ$104,$BC$2,FALSE)</f>
        <v>#N/A</v>
      </c>
      <c r="BC52" s="6" t="e">
        <f>VLOOKUP(BA52,$W$5:$AJ$104,$BC$2+5,FALSE)</f>
        <v>#N/A</v>
      </c>
      <c r="BD52" s="2" t="e">
        <f>VLOOKUP(BB52,$W$5:$AJ$104,$BC$2+10,FALSE)</f>
        <v>#N/A</v>
      </c>
      <c r="BE52" s="9"/>
      <c r="BF52" s="4">
        <v>48</v>
      </c>
      <c r="BG52" s="2" t="e">
        <f>VLOOKUP(BF52,$Y$5:$AJ$104,$BH$2,FALSE)</f>
        <v>#N/A</v>
      </c>
      <c r="BH52" s="6" t="e">
        <f>VLOOKUP(BF52,$Y$5:$AJ$104,$BH$2+3,FALSE)</f>
        <v>#N/A</v>
      </c>
      <c r="BI52" s="58" t="e">
        <f>VLOOKUP(BG52,$Y$5:$AJ$104,$BH$2+9,FALSE)</f>
        <v>#N/A</v>
      </c>
      <c r="BK52" s="4">
        <v>48</v>
      </c>
      <c r="BL52" s="2" t="e">
        <f>VLOOKUP(BK52,$AA$5:$AJ$104,$BM$2,FALSE)</f>
        <v>#N/A</v>
      </c>
      <c r="BM52" s="6" t="e">
        <f>VLOOKUP(BK52,$AA$5:$AJ$104,$BM$2+1,FALSE)</f>
        <v>#N/A</v>
      </c>
      <c r="BN52" s="58" t="e">
        <f>VLOOKUP(BL52,$AA$5:$AJ$104,$BM$2+8,FALSE)</f>
        <v>#N/A</v>
      </c>
      <c r="BP52" s="2" t="e">
        <f>'Eclectic A'!CD52</f>
        <v>#N/A</v>
      </c>
      <c r="BQ52" s="6" t="e">
        <f>'Eclectic A'!CE52</f>
        <v>#N/A</v>
      </c>
      <c r="BR52" s="103" t="e">
        <f>'Eclectic A'!CF52</f>
        <v>#N/A</v>
      </c>
    </row>
    <row r="53" spans="1:70">
      <c r="A53" s="10" t="str">
        <f>IF(ISBLANK(Players!A51),"",Players!A51)</f>
        <v/>
      </c>
      <c r="B53" s="10" t="str">
        <f>IF(ISBLANK(Players!B51),"",Players!B51)</f>
        <v/>
      </c>
      <c r="C53" s="10" t="str">
        <f>IF(ISBLANK(Players!D51),"",Players!D51)</f>
        <v/>
      </c>
      <c r="D53" s="69" t="str">
        <f>IF(ISNUMBER(C53),MIN((C53*Rules!$N$14/113)+(Rules!$N$13-Rules!$N$12),Rules!$N$37),"-")</f>
        <v>-</v>
      </c>
      <c r="E53" s="69" t="str">
        <f>IF(ISNUMBER(C53),    ROUND( (D53*Rules!$N$11) / 100,0),"-")</f>
        <v>-</v>
      </c>
      <c r="F53" s="36" t="str">
        <f>IF(AND(ISNUMBER(C53),C53&gt;=Rules!$M$10,C53&lt;=Rules!$N$10),"Y","N")</f>
        <v>N</v>
      </c>
      <c r="G53" s="137" t="str">
        <f>'Eclectic A'!M53</f>
        <v>-</v>
      </c>
      <c r="H53" s="137" t="str">
        <f>'Eclectic A'!W53</f>
        <v>-</v>
      </c>
      <c r="I53" s="137" t="str">
        <f>'Eclectic A'!AJ53</f>
        <v>-</v>
      </c>
      <c r="J53" s="137" t="str">
        <f>'Eclectic A'!AT53</f>
        <v>-</v>
      </c>
      <c r="K53" s="108" t="str">
        <f t="shared" si="3"/>
        <v>-</v>
      </c>
      <c r="L53" s="108" t="str">
        <f t="shared" si="4"/>
        <v>-</v>
      </c>
      <c r="M53" s="108" t="str">
        <f t="shared" si="5"/>
        <v>-</v>
      </c>
      <c r="N53" s="108" t="str">
        <f t="shared" si="6"/>
        <v>-</v>
      </c>
      <c r="O53" s="108" t="str">
        <f t="shared" si="7"/>
        <v>-</v>
      </c>
      <c r="P53" s="108" t="str">
        <f t="shared" si="8"/>
        <v>-</v>
      </c>
      <c r="Q53" s="14" t="e">
        <f>RANK($K53,$K$5:$K$104,1)+COUNTIF(K$5:K53,K53)-1</f>
        <v>#VALUE!</v>
      </c>
      <c r="R53" s="14" t="e">
        <f t="shared" si="9"/>
        <v>#VALUE!</v>
      </c>
      <c r="S53" s="14" t="e">
        <f>RANK($L53,$L$5:$L$104,1)+COUNTIF(L$5:L53,L53)-1</f>
        <v>#VALUE!</v>
      </c>
      <c r="T53" s="14" t="e">
        <f t="shared" si="10"/>
        <v>#VALUE!</v>
      </c>
      <c r="U53" s="14" t="e">
        <f>RANK($M53,$M$5:$M$104,1)+COUNTIF(M$5:M53,M53)-1</f>
        <v>#VALUE!</v>
      </c>
      <c r="V53" s="14" t="e">
        <f t="shared" si="11"/>
        <v>#VALUE!</v>
      </c>
      <c r="W53" s="14" t="e">
        <f>RANK($N53,$N$5:$N$104,1)+COUNTIF(N$5:N53,N53)-1</f>
        <v>#VALUE!</v>
      </c>
      <c r="X53" s="14" t="e">
        <f t="shared" si="12"/>
        <v>#VALUE!</v>
      </c>
      <c r="Y53" s="14" t="e">
        <f>RANK($O53,$O$5:$O$104,1)+COUNTIF(O$5:O53,O53)-1</f>
        <v>#VALUE!</v>
      </c>
      <c r="Z53" s="14" t="e">
        <f t="shared" si="13"/>
        <v>#VALUE!</v>
      </c>
      <c r="AA53" s="14" t="e">
        <f>RANK($P53,$P$5:$P$104,1)+COUNTIF(P$5:P53,P53)-1</f>
        <v>#VALUE!</v>
      </c>
      <c r="AB53" s="14" t="e">
        <f t="shared" si="14"/>
        <v>#VALUE!</v>
      </c>
      <c r="AC53" s="1" t="str">
        <f t="shared" si="22"/>
        <v xml:space="preserve"> </v>
      </c>
      <c r="AD53" s="1" t="str">
        <f t="shared" si="23"/>
        <v>-</v>
      </c>
      <c r="AE53" s="35" t="str">
        <f t="shared" si="15"/>
        <v>-</v>
      </c>
      <c r="AF53" s="35" t="str">
        <f t="shared" si="16"/>
        <v>-</v>
      </c>
      <c r="AG53" s="35" t="str">
        <f t="shared" si="17"/>
        <v>-</v>
      </c>
      <c r="AH53" s="35" t="str">
        <f t="shared" si="18"/>
        <v>-</v>
      </c>
      <c r="AI53" s="35" t="str">
        <f t="shared" si="19"/>
        <v>-</v>
      </c>
      <c r="AJ53" s="35" t="str">
        <f t="shared" si="20"/>
        <v>-</v>
      </c>
      <c r="AL53" s="4">
        <v>49</v>
      </c>
      <c r="AM53" s="2" t="e">
        <f>VLOOKUP(AL53,Q$5:$AJ$104,$AN$2,FALSE)</f>
        <v>#N/A</v>
      </c>
      <c r="AN53" s="6" t="e">
        <f>VLOOKUP(AL53,Q$5:$AJ$104,$AN$2+11,FALSE)</f>
        <v>#N/A</v>
      </c>
      <c r="AO53" s="2" t="e">
        <f t="shared" si="21"/>
        <v>#N/A</v>
      </c>
      <c r="AQ53" s="4">
        <v>49</v>
      </c>
      <c r="AR53" s="2" t="e">
        <f>VLOOKUP(AQ53,$S$5:$AJ$104,$AS$2,FALSE)</f>
        <v>#N/A</v>
      </c>
      <c r="AS53" s="6" t="e">
        <f>VLOOKUP(AQ53,$S$5:$AJ$104,$AS$2+9,FALSE)</f>
        <v>#N/A</v>
      </c>
      <c r="AT53" s="2" t="e">
        <f>VLOOKUP(AR53,$S$5:$AJ$104,$AS$2+12,FALSE)</f>
        <v>#N/A</v>
      </c>
      <c r="AU53" s="9"/>
      <c r="AV53" s="4">
        <v>49</v>
      </c>
      <c r="AW53" s="2" t="e">
        <f>VLOOKUP(AV53,$U$5:$AJ$104,$AX$2,FALSE)</f>
        <v>#N/A</v>
      </c>
      <c r="AX53" s="6" t="e">
        <f>VLOOKUP(AV53,$U$5:$AJ$104,$AX$2+7,FALSE)</f>
        <v>#N/A</v>
      </c>
      <c r="AY53" s="2" t="e">
        <f>VLOOKUP(AW53,$U$5:$AJ$104,$AX$2+11,FALSE)</f>
        <v>#N/A</v>
      </c>
      <c r="BA53" s="4">
        <v>49</v>
      </c>
      <c r="BB53" s="2" t="e">
        <f>VLOOKUP(BA53,$W$5:$AJ$104,$BC$2,FALSE)</f>
        <v>#N/A</v>
      </c>
      <c r="BC53" s="6" t="e">
        <f>VLOOKUP(BA53,$W$5:$AJ$104,$BC$2+5,FALSE)</f>
        <v>#N/A</v>
      </c>
      <c r="BD53" s="2" t="e">
        <f>VLOOKUP(BB53,$W$5:$AJ$104,$BC$2+10,FALSE)</f>
        <v>#N/A</v>
      </c>
      <c r="BE53" s="9"/>
      <c r="BF53" s="4">
        <v>49</v>
      </c>
      <c r="BG53" s="2" t="e">
        <f>VLOOKUP(BF53,$Y$5:$AJ$104,$BH$2,FALSE)</f>
        <v>#N/A</v>
      </c>
      <c r="BH53" s="6" t="e">
        <f>VLOOKUP(BF53,$Y$5:$AJ$104,$BH$2+3,FALSE)</f>
        <v>#N/A</v>
      </c>
      <c r="BI53" s="58" t="e">
        <f>VLOOKUP(BG53,$Y$5:$AJ$104,$BH$2+9,FALSE)</f>
        <v>#N/A</v>
      </c>
      <c r="BK53" s="4">
        <v>49</v>
      </c>
      <c r="BL53" s="2" t="e">
        <f>VLOOKUP(BK53,$AA$5:$AJ$104,$BM$2,FALSE)</f>
        <v>#N/A</v>
      </c>
      <c r="BM53" s="6" t="e">
        <f>VLOOKUP(BK53,$AA$5:$AJ$104,$BM$2+1,FALSE)</f>
        <v>#N/A</v>
      </c>
      <c r="BN53" s="58" t="e">
        <f>VLOOKUP(BL53,$AA$5:$AJ$104,$BM$2+8,FALSE)</f>
        <v>#N/A</v>
      </c>
      <c r="BP53" s="2" t="e">
        <f>'Eclectic A'!CD53</f>
        <v>#N/A</v>
      </c>
      <c r="BQ53" s="6" t="e">
        <f>'Eclectic A'!CE53</f>
        <v>#N/A</v>
      </c>
      <c r="BR53" s="103" t="e">
        <f>'Eclectic A'!CF53</f>
        <v>#N/A</v>
      </c>
    </row>
    <row r="54" spans="1:70">
      <c r="A54" s="10" t="str">
        <f>IF(ISBLANK(Players!A52),"",Players!A52)</f>
        <v/>
      </c>
      <c r="B54" s="10" t="str">
        <f>IF(ISBLANK(Players!B52),"",Players!B52)</f>
        <v/>
      </c>
      <c r="C54" s="10" t="str">
        <f>IF(ISBLANK(Players!D52),"",Players!D52)</f>
        <v/>
      </c>
      <c r="D54" s="69" t="str">
        <f>IF(ISNUMBER(C54),MIN((C54*Rules!$N$14/113)+(Rules!$N$13-Rules!$N$12),Rules!$N$37),"-")</f>
        <v>-</v>
      </c>
      <c r="E54" s="69" t="str">
        <f>IF(ISNUMBER(C54),    ROUND( (D54*Rules!$N$11) / 100,0),"-")</f>
        <v>-</v>
      </c>
      <c r="F54" s="36" t="str">
        <f>IF(AND(ISNUMBER(C54),C54&gt;=Rules!$M$10,C54&lt;=Rules!$N$10),"Y","N")</f>
        <v>N</v>
      </c>
      <c r="G54" s="137" t="str">
        <f>'Eclectic A'!M54</f>
        <v>-</v>
      </c>
      <c r="H54" s="137" t="str">
        <f>'Eclectic A'!W54</f>
        <v>-</v>
      </c>
      <c r="I54" s="137" t="str">
        <f>'Eclectic A'!AJ54</f>
        <v>-</v>
      </c>
      <c r="J54" s="137" t="str">
        <f>'Eclectic A'!AT54</f>
        <v>-</v>
      </c>
      <c r="K54" s="108" t="str">
        <f t="shared" si="3"/>
        <v>-</v>
      </c>
      <c r="L54" s="108" t="str">
        <f t="shared" si="4"/>
        <v>-</v>
      </c>
      <c r="M54" s="108" t="str">
        <f t="shared" si="5"/>
        <v>-</v>
      </c>
      <c r="N54" s="108" t="str">
        <f t="shared" si="6"/>
        <v>-</v>
      </c>
      <c r="O54" s="108" t="str">
        <f t="shared" si="7"/>
        <v>-</v>
      </c>
      <c r="P54" s="108" t="str">
        <f t="shared" si="8"/>
        <v>-</v>
      </c>
      <c r="Q54" s="14" t="e">
        <f>RANK($K54,$K$5:$K$104,1)+COUNTIF(K$5:K54,K54)-1</f>
        <v>#VALUE!</v>
      </c>
      <c r="R54" s="14" t="e">
        <f t="shared" si="9"/>
        <v>#VALUE!</v>
      </c>
      <c r="S54" s="14" t="e">
        <f>RANK($L54,$L$5:$L$104,1)+COUNTIF(L$5:L54,L54)-1</f>
        <v>#VALUE!</v>
      </c>
      <c r="T54" s="14" t="e">
        <f t="shared" si="10"/>
        <v>#VALUE!</v>
      </c>
      <c r="U54" s="14" t="e">
        <f>RANK($M54,$M$5:$M$104,1)+COUNTIF(M$5:M54,M54)-1</f>
        <v>#VALUE!</v>
      </c>
      <c r="V54" s="14" t="e">
        <f t="shared" si="11"/>
        <v>#VALUE!</v>
      </c>
      <c r="W54" s="14" t="e">
        <f>RANK($N54,$N$5:$N$104,1)+COUNTIF(N$5:N54,N54)-1</f>
        <v>#VALUE!</v>
      </c>
      <c r="X54" s="14" t="e">
        <f t="shared" si="12"/>
        <v>#VALUE!</v>
      </c>
      <c r="Y54" s="14" t="e">
        <f>RANK($O54,$O$5:$O$104,1)+COUNTIF(O$5:O54,O54)-1</f>
        <v>#VALUE!</v>
      </c>
      <c r="Z54" s="14" t="e">
        <f t="shared" si="13"/>
        <v>#VALUE!</v>
      </c>
      <c r="AA54" s="14" t="e">
        <f>RANK($P54,$P$5:$P$104,1)+COUNTIF(P$5:P54,P54)-1</f>
        <v>#VALUE!</v>
      </c>
      <c r="AB54" s="14" t="e">
        <f t="shared" si="14"/>
        <v>#VALUE!</v>
      </c>
      <c r="AC54" s="1" t="str">
        <f t="shared" si="22"/>
        <v xml:space="preserve"> </v>
      </c>
      <c r="AD54" s="1" t="str">
        <f t="shared" si="23"/>
        <v>-</v>
      </c>
      <c r="AE54" s="35" t="str">
        <f t="shared" si="15"/>
        <v>-</v>
      </c>
      <c r="AF54" s="35" t="str">
        <f t="shared" si="16"/>
        <v>-</v>
      </c>
      <c r="AG54" s="35" t="str">
        <f t="shared" si="17"/>
        <v>-</v>
      </c>
      <c r="AH54" s="35" t="str">
        <f t="shared" si="18"/>
        <v>-</v>
      </c>
      <c r="AI54" s="35" t="str">
        <f t="shared" si="19"/>
        <v>-</v>
      </c>
      <c r="AJ54" s="35" t="str">
        <f t="shared" si="20"/>
        <v>-</v>
      </c>
      <c r="AL54" s="4">
        <v>50</v>
      </c>
      <c r="AM54" s="2" t="e">
        <f>VLOOKUP(AL54,Q$5:$AJ$104,$AN$2,FALSE)</f>
        <v>#N/A</v>
      </c>
      <c r="AN54" s="6" t="e">
        <f>VLOOKUP(AL54,Q$5:$AJ$104,$AN$2+11,FALSE)</f>
        <v>#N/A</v>
      </c>
      <c r="AO54" s="2" t="e">
        <f t="shared" si="21"/>
        <v>#N/A</v>
      </c>
      <c r="AQ54" s="4">
        <v>50</v>
      </c>
      <c r="AR54" s="2" t="e">
        <f>VLOOKUP(AQ54,$S$5:$AJ$104,$AS$2,FALSE)</f>
        <v>#N/A</v>
      </c>
      <c r="AS54" s="6" t="e">
        <f>VLOOKUP(AQ54,$S$5:$AJ$104,$AS$2+9,FALSE)</f>
        <v>#N/A</v>
      </c>
      <c r="AT54" s="2" t="e">
        <f>VLOOKUP(AR54,$S$5:$AJ$104,$AS$2+12,FALSE)</f>
        <v>#N/A</v>
      </c>
      <c r="AU54" s="9"/>
      <c r="AV54" s="4">
        <v>50</v>
      </c>
      <c r="AW54" s="2" t="e">
        <f>VLOOKUP(AV54,$U$5:$AJ$104,$AX$2,FALSE)</f>
        <v>#N/A</v>
      </c>
      <c r="AX54" s="6" t="e">
        <f>VLOOKUP(AV54,$U$5:$AJ$104,$AX$2+7,FALSE)</f>
        <v>#N/A</v>
      </c>
      <c r="AY54" s="2" t="e">
        <f>VLOOKUP(AW54,$U$5:$AJ$104,$AX$2+11,FALSE)</f>
        <v>#N/A</v>
      </c>
      <c r="BA54" s="4">
        <v>50</v>
      </c>
      <c r="BB54" s="2" t="e">
        <f>VLOOKUP(BA54,$W$5:$AJ$104,$BC$2,FALSE)</f>
        <v>#N/A</v>
      </c>
      <c r="BC54" s="6" t="e">
        <f>VLOOKUP(BA54,$W$5:$AJ$104,$BC$2+5,FALSE)</f>
        <v>#N/A</v>
      </c>
      <c r="BD54" s="2" t="e">
        <f>VLOOKUP(BB54,$W$5:$AJ$104,$BC$2+10,FALSE)</f>
        <v>#N/A</v>
      </c>
      <c r="BE54" s="9"/>
      <c r="BF54" s="4">
        <v>50</v>
      </c>
      <c r="BG54" s="2" t="e">
        <f>VLOOKUP(BF54,$Y$5:$AJ$104,$BH$2,FALSE)</f>
        <v>#N/A</v>
      </c>
      <c r="BH54" s="6" t="e">
        <f>VLOOKUP(BF54,$Y$5:$AJ$104,$BH$2+3,FALSE)</f>
        <v>#N/A</v>
      </c>
      <c r="BI54" s="58" t="e">
        <f>VLOOKUP(BG54,$Y$5:$AJ$104,$BH$2+9,FALSE)</f>
        <v>#N/A</v>
      </c>
      <c r="BK54" s="4">
        <v>50</v>
      </c>
      <c r="BL54" s="2" t="e">
        <f>VLOOKUP(BK54,$AA$5:$AJ$104,$BM$2,FALSE)</f>
        <v>#N/A</v>
      </c>
      <c r="BM54" s="6" t="e">
        <f>VLOOKUP(BK54,$AA$5:$AJ$104,$BM$2+1,FALSE)</f>
        <v>#N/A</v>
      </c>
      <c r="BN54" s="58" t="e">
        <f>VLOOKUP(BL54,$AA$5:$AJ$104,$BM$2+8,FALSE)</f>
        <v>#N/A</v>
      </c>
      <c r="BP54" s="2" t="e">
        <f>'Eclectic A'!CD54</f>
        <v>#N/A</v>
      </c>
      <c r="BQ54" s="6" t="e">
        <f>'Eclectic A'!CE54</f>
        <v>#N/A</v>
      </c>
      <c r="BR54" s="103" t="e">
        <f>'Eclectic A'!CF54</f>
        <v>#N/A</v>
      </c>
    </row>
    <row r="55" spans="1:70">
      <c r="A55" s="10" t="str">
        <f>IF(ISBLANK(Players!A53),"",Players!A53)</f>
        <v/>
      </c>
      <c r="B55" s="10" t="str">
        <f>IF(ISBLANK(Players!B53),"",Players!B53)</f>
        <v/>
      </c>
      <c r="C55" s="10" t="str">
        <f>IF(ISBLANK(Players!D53),"",Players!D53)</f>
        <v/>
      </c>
      <c r="D55" s="69" t="str">
        <f>IF(ISNUMBER(C55),MIN((C55*Rules!$N$14/113)+(Rules!$N$13-Rules!$N$12),Rules!$N$37),"-")</f>
        <v>-</v>
      </c>
      <c r="E55" s="69" t="str">
        <f>IF(ISNUMBER(C55),    ROUND( (D55*Rules!$N$11) / 100,0),"-")</f>
        <v>-</v>
      </c>
      <c r="F55" s="36" t="str">
        <f>IF(AND(ISNUMBER(C55),C55&gt;=Rules!$M$10,C55&lt;=Rules!$N$10),"Y","N")</f>
        <v>N</v>
      </c>
      <c r="G55" s="137" t="str">
        <f>'Eclectic A'!M55</f>
        <v>-</v>
      </c>
      <c r="H55" s="137" t="str">
        <f>'Eclectic A'!W55</f>
        <v>-</v>
      </c>
      <c r="I55" s="137" t="str">
        <f>'Eclectic A'!AJ55</f>
        <v>-</v>
      </c>
      <c r="J55" s="137" t="str">
        <f>'Eclectic A'!AT55</f>
        <v>-</v>
      </c>
      <c r="K55" s="108" t="str">
        <f t="shared" si="3"/>
        <v>-</v>
      </c>
      <c r="L55" s="108" t="str">
        <f t="shared" si="4"/>
        <v>-</v>
      </c>
      <c r="M55" s="108" t="str">
        <f t="shared" si="5"/>
        <v>-</v>
      </c>
      <c r="N55" s="108" t="str">
        <f t="shared" si="6"/>
        <v>-</v>
      </c>
      <c r="O55" s="108" t="str">
        <f t="shared" si="7"/>
        <v>-</v>
      </c>
      <c r="P55" s="108" t="str">
        <f t="shared" si="8"/>
        <v>-</v>
      </c>
      <c r="Q55" s="14" t="e">
        <f>RANK($K55,$K$5:$K$104,1)+COUNTIF(K$5:K55,K55)-1</f>
        <v>#VALUE!</v>
      </c>
      <c r="R55" s="14" t="e">
        <f t="shared" si="9"/>
        <v>#VALUE!</v>
      </c>
      <c r="S55" s="14" t="e">
        <f>RANK($L55,$L$5:$L$104,1)+COUNTIF(L$5:L55,L55)-1</f>
        <v>#VALUE!</v>
      </c>
      <c r="T55" s="14" t="e">
        <f t="shared" si="10"/>
        <v>#VALUE!</v>
      </c>
      <c r="U55" s="14" t="e">
        <f>RANK($M55,$M$5:$M$104,1)+COUNTIF(M$5:M55,M55)-1</f>
        <v>#VALUE!</v>
      </c>
      <c r="V55" s="14" t="e">
        <f t="shared" si="11"/>
        <v>#VALUE!</v>
      </c>
      <c r="W55" s="14" t="e">
        <f>RANK($N55,$N$5:$N$104,1)+COUNTIF(N$5:N55,N55)-1</f>
        <v>#VALUE!</v>
      </c>
      <c r="X55" s="14" t="e">
        <f t="shared" si="12"/>
        <v>#VALUE!</v>
      </c>
      <c r="Y55" s="14" t="e">
        <f>RANK($O55,$O$5:$O$104,1)+COUNTIF(O$5:O55,O55)-1</f>
        <v>#VALUE!</v>
      </c>
      <c r="Z55" s="14" t="e">
        <f t="shared" si="13"/>
        <v>#VALUE!</v>
      </c>
      <c r="AA55" s="14" t="e">
        <f>RANK($P55,$P$5:$P$104,1)+COUNTIF(P$5:P55,P55)-1</f>
        <v>#VALUE!</v>
      </c>
      <c r="AB55" s="14" t="e">
        <f t="shared" si="14"/>
        <v>#VALUE!</v>
      </c>
      <c r="AC55" s="1" t="str">
        <f t="shared" si="22"/>
        <v xml:space="preserve"> </v>
      </c>
      <c r="AD55" s="1" t="str">
        <f t="shared" si="23"/>
        <v>-</v>
      </c>
      <c r="AE55" s="35" t="str">
        <f t="shared" si="15"/>
        <v>-</v>
      </c>
      <c r="AF55" s="35" t="str">
        <f t="shared" si="16"/>
        <v>-</v>
      </c>
      <c r="AG55" s="35" t="str">
        <f t="shared" si="17"/>
        <v>-</v>
      </c>
      <c r="AH55" s="35" t="str">
        <f t="shared" si="18"/>
        <v>-</v>
      </c>
      <c r="AI55" s="35" t="str">
        <f t="shared" si="19"/>
        <v>-</v>
      </c>
      <c r="AJ55" s="35" t="str">
        <f t="shared" si="20"/>
        <v>-</v>
      </c>
      <c r="AL55" s="4">
        <v>51</v>
      </c>
      <c r="AM55" s="2" t="e">
        <f>VLOOKUP(AL55,Q$5:$AJ$104,$AN$2,FALSE)</f>
        <v>#N/A</v>
      </c>
      <c r="AN55" s="6" t="e">
        <f>VLOOKUP(AL55,Q$5:$AJ$104,$AN$2+11,FALSE)</f>
        <v>#N/A</v>
      </c>
      <c r="AO55" s="2" t="e">
        <f t="shared" si="21"/>
        <v>#N/A</v>
      </c>
      <c r="AQ55" s="4">
        <v>51</v>
      </c>
      <c r="AR55" s="2" t="e">
        <f>VLOOKUP(AQ55,$S$5:$AJ$104,$AS$2,FALSE)</f>
        <v>#N/A</v>
      </c>
      <c r="AS55" s="6" t="e">
        <f>VLOOKUP(AQ55,$S$5:$AJ$104,$AS$2+9,FALSE)</f>
        <v>#N/A</v>
      </c>
      <c r="AT55" s="2" t="e">
        <f>VLOOKUP(AR55,$S$5:$AJ$104,$AS$2+12,FALSE)</f>
        <v>#N/A</v>
      </c>
      <c r="AU55" s="9"/>
      <c r="AV55" s="4">
        <v>51</v>
      </c>
      <c r="AW55" s="2" t="e">
        <f>VLOOKUP(AV55,$U$5:$AJ$104,$AX$2,FALSE)</f>
        <v>#N/A</v>
      </c>
      <c r="AX55" s="6" t="e">
        <f>VLOOKUP(AV55,$U$5:$AJ$104,$AX$2+7,FALSE)</f>
        <v>#N/A</v>
      </c>
      <c r="AY55" s="2" t="e">
        <f>VLOOKUP(AW55,$U$5:$AJ$104,$AX$2+11,FALSE)</f>
        <v>#N/A</v>
      </c>
      <c r="BA55" s="4">
        <v>51</v>
      </c>
      <c r="BB55" s="2" t="e">
        <f>VLOOKUP(BA55,$W$5:$AJ$104,$BC$2,FALSE)</f>
        <v>#N/A</v>
      </c>
      <c r="BC55" s="6" t="e">
        <f>VLOOKUP(BA55,$W$5:$AJ$104,$BC$2+5,FALSE)</f>
        <v>#N/A</v>
      </c>
      <c r="BD55" s="2" t="e">
        <f>VLOOKUP(BB55,$W$5:$AJ$104,$BC$2+10,FALSE)</f>
        <v>#N/A</v>
      </c>
      <c r="BE55" s="9"/>
      <c r="BF55" s="4">
        <v>51</v>
      </c>
      <c r="BG55" s="2" t="e">
        <f>VLOOKUP(BF55,$Y$5:$AJ$104,$BH$2,FALSE)</f>
        <v>#N/A</v>
      </c>
      <c r="BH55" s="6" t="e">
        <f>VLOOKUP(BF55,$Y$5:$AJ$104,$BH$2+3,FALSE)</f>
        <v>#N/A</v>
      </c>
      <c r="BI55" s="58" t="e">
        <f>VLOOKUP(BG55,$Y$5:$AJ$104,$BH$2+9,FALSE)</f>
        <v>#N/A</v>
      </c>
      <c r="BK55" s="4">
        <v>51</v>
      </c>
      <c r="BL55" s="2" t="e">
        <f>VLOOKUP(BK55,$AA$5:$AJ$104,$BM$2,FALSE)</f>
        <v>#N/A</v>
      </c>
      <c r="BM55" s="6" t="e">
        <f>VLOOKUP(BK55,$AA$5:$AJ$104,$BM$2+1,FALSE)</f>
        <v>#N/A</v>
      </c>
      <c r="BN55" s="58" t="e">
        <f>VLOOKUP(BL55,$AA$5:$AJ$104,$BM$2+8,FALSE)</f>
        <v>#N/A</v>
      </c>
      <c r="BP55" s="2" t="e">
        <f>'Eclectic A'!CD55</f>
        <v>#N/A</v>
      </c>
      <c r="BQ55" s="6" t="e">
        <f>'Eclectic A'!CE55</f>
        <v>#N/A</v>
      </c>
      <c r="BR55" s="103" t="e">
        <f>'Eclectic A'!CF55</f>
        <v>#N/A</v>
      </c>
    </row>
    <row r="56" spans="1:70">
      <c r="A56" s="10" t="str">
        <f>IF(ISBLANK(Players!A54),"",Players!A54)</f>
        <v/>
      </c>
      <c r="B56" s="10" t="str">
        <f>IF(ISBLANK(Players!B54),"",Players!B54)</f>
        <v/>
      </c>
      <c r="C56" s="10" t="str">
        <f>IF(ISBLANK(Players!D54),"",Players!D54)</f>
        <v/>
      </c>
      <c r="D56" s="69" t="str">
        <f>IF(ISNUMBER(C56),MIN((C56*Rules!$N$14/113)+(Rules!$N$13-Rules!$N$12),Rules!$N$37),"-")</f>
        <v>-</v>
      </c>
      <c r="E56" s="69" t="str">
        <f>IF(ISNUMBER(C56),    ROUND( (D56*Rules!$N$11) / 100,0),"-")</f>
        <v>-</v>
      </c>
      <c r="F56" s="36" t="str">
        <f>IF(AND(ISNUMBER(C56),C56&gt;=Rules!$M$10,C56&lt;=Rules!$N$10),"Y","N")</f>
        <v>N</v>
      </c>
      <c r="G56" s="137" t="str">
        <f>'Eclectic A'!M56</f>
        <v>-</v>
      </c>
      <c r="H56" s="137" t="str">
        <f>'Eclectic A'!W56</f>
        <v>-</v>
      </c>
      <c r="I56" s="137" t="str">
        <f>'Eclectic A'!AJ56</f>
        <v>-</v>
      </c>
      <c r="J56" s="137" t="str">
        <f>'Eclectic A'!AT56</f>
        <v>-</v>
      </c>
      <c r="K56" s="108" t="str">
        <f t="shared" si="3"/>
        <v>-</v>
      </c>
      <c r="L56" s="108" t="str">
        <f t="shared" si="4"/>
        <v>-</v>
      </c>
      <c r="M56" s="108" t="str">
        <f t="shared" si="5"/>
        <v>-</v>
      </c>
      <c r="N56" s="108" t="str">
        <f t="shared" si="6"/>
        <v>-</v>
      </c>
      <c r="O56" s="108" t="str">
        <f t="shared" si="7"/>
        <v>-</v>
      </c>
      <c r="P56" s="108" t="str">
        <f t="shared" si="8"/>
        <v>-</v>
      </c>
      <c r="Q56" s="14" t="e">
        <f>RANK($K56,$K$5:$K$104,1)+COUNTIF(K$5:K56,K56)-1</f>
        <v>#VALUE!</v>
      </c>
      <c r="R56" s="14" t="e">
        <f t="shared" si="9"/>
        <v>#VALUE!</v>
      </c>
      <c r="S56" s="14" t="e">
        <f>RANK($L56,$L$5:$L$104,1)+COUNTIF(L$5:L56,L56)-1</f>
        <v>#VALUE!</v>
      </c>
      <c r="T56" s="14" t="e">
        <f t="shared" si="10"/>
        <v>#VALUE!</v>
      </c>
      <c r="U56" s="14" t="e">
        <f>RANK($M56,$M$5:$M$104,1)+COUNTIF(M$5:M56,M56)-1</f>
        <v>#VALUE!</v>
      </c>
      <c r="V56" s="14" t="e">
        <f t="shared" si="11"/>
        <v>#VALUE!</v>
      </c>
      <c r="W56" s="14" t="e">
        <f>RANK($N56,$N$5:$N$104,1)+COUNTIF(N$5:N56,N56)-1</f>
        <v>#VALUE!</v>
      </c>
      <c r="X56" s="14" t="e">
        <f t="shared" si="12"/>
        <v>#VALUE!</v>
      </c>
      <c r="Y56" s="14" t="e">
        <f>RANK($O56,$O$5:$O$104,1)+COUNTIF(O$5:O56,O56)-1</f>
        <v>#VALUE!</v>
      </c>
      <c r="Z56" s="14" t="e">
        <f t="shared" si="13"/>
        <v>#VALUE!</v>
      </c>
      <c r="AA56" s="14" t="e">
        <f>RANK($P56,$P$5:$P$104,1)+COUNTIF(P$5:P56,P56)-1</f>
        <v>#VALUE!</v>
      </c>
      <c r="AB56" s="14" t="e">
        <f t="shared" si="14"/>
        <v>#VALUE!</v>
      </c>
      <c r="AC56" s="1" t="str">
        <f t="shared" si="22"/>
        <v xml:space="preserve"> </v>
      </c>
      <c r="AD56" s="1" t="str">
        <f t="shared" si="23"/>
        <v>-</v>
      </c>
      <c r="AE56" s="35" t="str">
        <f t="shared" si="15"/>
        <v>-</v>
      </c>
      <c r="AF56" s="35" t="str">
        <f t="shared" si="16"/>
        <v>-</v>
      </c>
      <c r="AG56" s="35" t="str">
        <f t="shared" si="17"/>
        <v>-</v>
      </c>
      <c r="AH56" s="35" t="str">
        <f t="shared" si="18"/>
        <v>-</v>
      </c>
      <c r="AI56" s="35" t="str">
        <f t="shared" si="19"/>
        <v>-</v>
      </c>
      <c r="AJ56" s="35" t="str">
        <f t="shared" si="20"/>
        <v>-</v>
      </c>
      <c r="AL56" s="4">
        <v>52</v>
      </c>
      <c r="AM56" s="2" t="e">
        <f>VLOOKUP(AL56,Q$5:$AJ$104,$AN$2,FALSE)</f>
        <v>#N/A</v>
      </c>
      <c r="AN56" s="6" t="e">
        <f>VLOOKUP(AL56,Q$5:$AJ$104,$AN$2+11,FALSE)</f>
        <v>#N/A</v>
      </c>
      <c r="AO56" s="2" t="e">
        <f t="shared" si="21"/>
        <v>#N/A</v>
      </c>
      <c r="AQ56" s="4">
        <v>52</v>
      </c>
      <c r="AR56" s="2" t="e">
        <f>VLOOKUP(AQ56,$S$5:$AJ$104,$AS$2,FALSE)</f>
        <v>#N/A</v>
      </c>
      <c r="AS56" s="6" t="e">
        <f>VLOOKUP(AQ56,$S$5:$AJ$104,$AS$2+9,FALSE)</f>
        <v>#N/A</v>
      </c>
      <c r="AT56" s="2" t="e">
        <f>VLOOKUP(AR56,$S$5:$AJ$104,$AS$2+12,FALSE)</f>
        <v>#N/A</v>
      </c>
      <c r="AU56" s="9"/>
      <c r="AV56" s="4">
        <v>52</v>
      </c>
      <c r="AW56" s="2" t="e">
        <f>VLOOKUP(AV56,$U$5:$AJ$104,$AX$2,FALSE)</f>
        <v>#N/A</v>
      </c>
      <c r="AX56" s="6" t="e">
        <f>VLOOKUP(AV56,$U$5:$AJ$104,$AX$2+7,FALSE)</f>
        <v>#N/A</v>
      </c>
      <c r="AY56" s="2" t="e">
        <f>VLOOKUP(AW56,$U$5:$AJ$104,$AX$2+11,FALSE)</f>
        <v>#N/A</v>
      </c>
      <c r="BA56" s="4">
        <v>52</v>
      </c>
      <c r="BB56" s="2" t="e">
        <f>VLOOKUP(BA56,$W$5:$AJ$104,$BC$2,FALSE)</f>
        <v>#N/A</v>
      </c>
      <c r="BC56" s="6" t="e">
        <f>VLOOKUP(BA56,$W$5:$AJ$104,$BC$2+5,FALSE)</f>
        <v>#N/A</v>
      </c>
      <c r="BD56" s="2" t="e">
        <f>VLOOKUP(BB56,$W$5:$AJ$104,$BC$2+10,FALSE)</f>
        <v>#N/A</v>
      </c>
      <c r="BE56" s="9"/>
      <c r="BF56" s="4">
        <v>52</v>
      </c>
      <c r="BG56" s="2" t="e">
        <f>VLOOKUP(BF56,$Y$5:$AJ$104,$BH$2,FALSE)</f>
        <v>#N/A</v>
      </c>
      <c r="BH56" s="6" t="e">
        <f>VLOOKUP(BF56,$Y$5:$AJ$104,$BH$2+3,FALSE)</f>
        <v>#N/A</v>
      </c>
      <c r="BI56" s="58" t="e">
        <f>VLOOKUP(BG56,$Y$5:$AJ$104,$BH$2+9,FALSE)</f>
        <v>#N/A</v>
      </c>
      <c r="BK56" s="4">
        <v>52</v>
      </c>
      <c r="BL56" s="2" t="e">
        <f>VLOOKUP(BK56,$AA$5:$AJ$104,$BM$2,FALSE)</f>
        <v>#N/A</v>
      </c>
      <c r="BM56" s="6" t="e">
        <f>VLOOKUP(BK56,$AA$5:$AJ$104,$BM$2+1,FALSE)</f>
        <v>#N/A</v>
      </c>
      <c r="BN56" s="58" t="e">
        <f>VLOOKUP(BL56,$AA$5:$AJ$104,$BM$2+8,FALSE)</f>
        <v>#N/A</v>
      </c>
      <c r="BP56" s="2" t="e">
        <f>'Eclectic A'!CD56</f>
        <v>#N/A</v>
      </c>
      <c r="BQ56" s="6" t="e">
        <f>'Eclectic A'!CE56</f>
        <v>#N/A</v>
      </c>
      <c r="BR56" s="103" t="e">
        <f>'Eclectic A'!CF56</f>
        <v>#N/A</v>
      </c>
    </row>
    <row r="57" spans="1:70">
      <c r="A57" s="10" t="str">
        <f>IF(ISBLANK(Players!A55),"",Players!A55)</f>
        <v/>
      </c>
      <c r="B57" s="10" t="str">
        <f>IF(ISBLANK(Players!B55),"",Players!B55)</f>
        <v/>
      </c>
      <c r="C57" s="10" t="str">
        <f>IF(ISBLANK(Players!D55),"",Players!D55)</f>
        <v/>
      </c>
      <c r="D57" s="69" t="str">
        <f>IF(ISNUMBER(C57),MIN((C57*Rules!$N$14/113)+(Rules!$N$13-Rules!$N$12),Rules!$N$37),"-")</f>
        <v>-</v>
      </c>
      <c r="E57" s="69" t="str">
        <f>IF(ISNUMBER(C57),    ROUND( (D57*Rules!$N$11) / 100,0),"-")</f>
        <v>-</v>
      </c>
      <c r="F57" s="36" t="str">
        <f>IF(AND(ISNUMBER(C57),C57&gt;=Rules!$M$10,C57&lt;=Rules!$N$10),"Y","N")</f>
        <v>N</v>
      </c>
      <c r="G57" s="137" t="str">
        <f>'Eclectic A'!M57</f>
        <v>-</v>
      </c>
      <c r="H57" s="137" t="str">
        <f>'Eclectic A'!W57</f>
        <v>-</v>
      </c>
      <c r="I57" s="137" t="str">
        <f>'Eclectic A'!AJ57</f>
        <v>-</v>
      </c>
      <c r="J57" s="137" t="str">
        <f>'Eclectic A'!AT57</f>
        <v>-</v>
      </c>
      <c r="K57" s="108" t="str">
        <f t="shared" si="3"/>
        <v>-</v>
      </c>
      <c r="L57" s="108" t="str">
        <f t="shared" si="4"/>
        <v>-</v>
      </c>
      <c r="M57" s="108" t="str">
        <f t="shared" si="5"/>
        <v>-</v>
      </c>
      <c r="N57" s="108" t="str">
        <f t="shared" si="6"/>
        <v>-</v>
      </c>
      <c r="O57" s="108" t="str">
        <f t="shared" si="7"/>
        <v>-</v>
      </c>
      <c r="P57" s="108" t="str">
        <f t="shared" si="8"/>
        <v>-</v>
      </c>
      <c r="Q57" s="14" t="e">
        <f>RANK($K57,$K$5:$K$104,1)+COUNTIF(K$5:K57,K57)-1</f>
        <v>#VALUE!</v>
      </c>
      <c r="R57" s="14" t="e">
        <f t="shared" si="9"/>
        <v>#VALUE!</v>
      </c>
      <c r="S57" s="14" t="e">
        <f>RANK($L57,$L$5:$L$104,1)+COUNTIF(L$5:L57,L57)-1</f>
        <v>#VALUE!</v>
      </c>
      <c r="T57" s="14" t="e">
        <f t="shared" si="10"/>
        <v>#VALUE!</v>
      </c>
      <c r="U57" s="14" t="e">
        <f>RANK($M57,$M$5:$M$104,1)+COUNTIF(M$5:M57,M57)-1</f>
        <v>#VALUE!</v>
      </c>
      <c r="V57" s="14" t="e">
        <f t="shared" si="11"/>
        <v>#VALUE!</v>
      </c>
      <c r="W57" s="14" t="e">
        <f>RANK($N57,$N$5:$N$104,1)+COUNTIF(N$5:N57,N57)-1</f>
        <v>#VALUE!</v>
      </c>
      <c r="X57" s="14" t="e">
        <f t="shared" si="12"/>
        <v>#VALUE!</v>
      </c>
      <c r="Y57" s="14" t="e">
        <f>RANK($O57,$O$5:$O$104,1)+COUNTIF(O$5:O57,O57)-1</f>
        <v>#VALUE!</v>
      </c>
      <c r="Z57" s="14" t="e">
        <f t="shared" si="13"/>
        <v>#VALUE!</v>
      </c>
      <c r="AA57" s="14" t="e">
        <f>RANK($P57,$P$5:$P$104,1)+COUNTIF(P$5:P57,P57)-1</f>
        <v>#VALUE!</v>
      </c>
      <c r="AB57" s="14" t="e">
        <f t="shared" si="14"/>
        <v>#VALUE!</v>
      </c>
      <c r="AC57" s="1" t="str">
        <f t="shared" si="22"/>
        <v xml:space="preserve"> </v>
      </c>
      <c r="AD57" s="1" t="str">
        <f t="shared" si="23"/>
        <v>-</v>
      </c>
      <c r="AE57" s="35" t="str">
        <f t="shared" si="15"/>
        <v>-</v>
      </c>
      <c r="AF57" s="35" t="str">
        <f t="shared" si="16"/>
        <v>-</v>
      </c>
      <c r="AG57" s="35" t="str">
        <f t="shared" si="17"/>
        <v>-</v>
      </c>
      <c r="AH57" s="35" t="str">
        <f t="shared" si="18"/>
        <v>-</v>
      </c>
      <c r="AI57" s="35" t="str">
        <f t="shared" si="19"/>
        <v>-</v>
      </c>
      <c r="AJ57" s="35" t="str">
        <f t="shared" si="20"/>
        <v>-</v>
      </c>
      <c r="AL57" s="4">
        <v>53</v>
      </c>
      <c r="AM57" s="2" t="e">
        <f>VLOOKUP(AL57,Q$5:$AJ$104,$AN$2,FALSE)</f>
        <v>#N/A</v>
      </c>
      <c r="AN57" s="6" t="e">
        <f>VLOOKUP(AL57,Q$5:$AJ$104,$AN$2+11,FALSE)</f>
        <v>#N/A</v>
      </c>
      <c r="AO57" s="2" t="e">
        <f t="shared" si="21"/>
        <v>#N/A</v>
      </c>
      <c r="AQ57" s="4">
        <v>53</v>
      </c>
      <c r="AR57" s="2" t="e">
        <f>VLOOKUP(AQ57,$S$5:$AJ$104,$AS$2,FALSE)</f>
        <v>#N/A</v>
      </c>
      <c r="AS57" s="6" t="e">
        <f>VLOOKUP(AQ57,$S$5:$AJ$104,$AS$2+9,FALSE)</f>
        <v>#N/A</v>
      </c>
      <c r="AT57" s="2" t="e">
        <f>VLOOKUP(AR57,$S$5:$AJ$104,$AS$2+12,FALSE)</f>
        <v>#N/A</v>
      </c>
      <c r="AU57" s="9"/>
      <c r="AV57" s="4">
        <v>53</v>
      </c>
      <c r="AW57" s="2" t="e">
        <f>VLOOKUP(AV57,$U$5:$AJ$104,$AX$2,FALSE)</f>
        <v>#N/A</v>
      </c>
      <c r="AX57" s="6" t="e">
        <f>VLOOKUP(AV57,$U$5:$AJ$104,$AX$2+7,FALSE)</f>
        <v>#N/A</v>
      </c>
      <c r="AY57" s="2" t="e">
        <f>VLOOKUP(AW57,$U$5:$AJ$104,$AX$2+11,FALSE)</f>
        <v>#N/A</v>
      </c>
      <c r="BA57" s="4">
        <v>53</v>
      </c>
      <c r="BB57" s="2" t="e">
        <f>VLOOKUP(BA57,$W$5:$AJ$104,$BC$2,FALSE)</f>
        <v>#N/A</v>
      </c>
      <c r="BC57" s="6" t="e">
        <f>VLOOKUP(BA57,$W$5:$AJ$104,$BC$2+5,FALSE)</f>
        <v>#N/A</v>
      </c>
      <c r="BD57" s="2" t="e">
        <f>VLOOKUP(BB57,$W$5:$AJ$104,$BC$2+10,FALSE)</f>
        <v>#N/A</v>
      </c>
      <c r="BE57" s="9"/>
      <c r="BF57" s="4">
        <v>53</v>
      </c>
      <c r="BG57" s="2" t="e">
        <f>VLOOKUP(BF57,$Y$5:$AJ$104,$BH$2,FALSE)</f>
        <v>#N/A</v>
      </c>
      <c r="BH57" s="6" t="e">
        <f>VLOOKUP(BF57,$Y$5:$AJ$104,$BH$2+3,FALSE)</f>
        <v>#N/A</v>
      </c>
      <c r="BI57" s="58" t="e">
        <f>VLOOKUP(BG57,$Y$5:$AJ$104,$BH$2+9,FALSE)</f>
        <v>#N/A</v>
      </c>
      <c r="BK57" s="4">
        <v>53</v>
      </c>
      <c r="BL57" s="2" t="e">
        <f>VLOOKUP(BK57,$AA$5:$AJ$104,$BM$2,FALSE)</f>
        <v>#N/A</v>
      </c>
      <c r="BM57" s="6" t="e">
        <f>VLOOKUP(BK57,$AA$5:$AJ$104,$BM$2+1,FALSE)</f>
        <v>#N/A</v>
      </c>
      <c r="BN57" s="58" t="e">
        <f>VLOOKUP(BL57,$AA$5:$AJ$104,$BM$2+8,FALSE)</f>
        <v>#N/A</v>
      </c>
      <c r="BP57" s="2" t="e">
        <f>'Eclectic A'!CD57</f>
        <v>#N/A</v>
      </c>
      <c r="BQ57" s="6" t="e">
        <f>'Eclectic A'!CE57</f>
        <v>#N/A</v>
      </c>
      <c r="BR57" s="103" t="e">
        <f>'Eclectic A'!CF57</f>
        <v>#N/A</v>
      </c>
    </row>
    <row r="58" spans="1:70">
      <c r="A58" s="10" t="str">
        <f>IF(ISBLANK(Players!A56),"",Players!A56)</f>
        <v/>
      </c>
      <c r="B58" s="10" t="str">
        <f>IF(ISBLANK(Players!B56),"",Players!B56)</f>
        <v/>
      </c>
      <c r="C58" s="10" t="str">
        <f>IF(ISBLANK(Players!D56),"",Players!D56)</f>
        <v/>
      </c>
      <c r="D58" s="69" t="str">
        <f>IF(ISNUMBER(C58),MIN((C58*Rules!$N$14/113)+(Rules!$N$13-Rules!$N$12),Rules!$N$37),"-")</f>
        <v>-</v>
      </c>
      <c r="E58" s="69" t="str">
        <f>IF(ISNUMBER(C58),    ROUND( (D58*Rules!$N$11) / 100,0),"-")</f>
        <v>-</v>
      </c>
      <c r="F58" s="36" t="str">
        <f>IF(AND(ISNUMBER(C58),C58&gt;=Rules!$M$10,C58&lt;=Rules!$N$10),"Y","N")</f>
        <v>N</v>
      </c>
      <c r="G58" s="137" t="str">
        <f>'Eclectic A'!M58</f>
        <v>-</v>
      </c>
      <c r="H58" s="137" t="str">
        <f>'Eclectic A'!W58</f>
        <v>-</v>
      </c>
      <c r="I58" s="137" t="str">
        <f>'Eclectic A'!AJ58</f>
        <v>-</v>
      </c>
      <c r="J58" s="137" t="str">
        <f>'Eclectic A'!AT58</f>
        <v>-</v>
      </c>
      <c r="K58" s="108" t="str">
        <f t="shared" si="3"/>
        <v>-</v>
      </c>
      <c r="L58" s="108" t="str">
        <f t="shared" si="4"/>
        <v>-</v>
      </c>
      <c r="M58" s="108" t="str">
        <f t="shared" si="5"/>
        <v>-</v>
      </c>
      <c r="N58" s="108" t="str">
        <f t="shared" si="6"/>
        <v>-</v>
      </c>
      <c r="O58" s="108" t="str">
        <f t="shared" si="7"/>
        <v>-</v>
      </c>
      <c r="P58" s="108" t="str">
        <f t="shared" si="8"/>
        <v>-</v>
      </c>
      <c r="Q58" s="14" t="e">
        <f>RANK($K58,$K$5:$K$104,1)+COUNTIF(K$5:K58,K58)-1</f>
        <v>#VALUE!</v>
      </c>
      <c r="R58" s="14" t="e">
        <f t="shared" si="9"/>
        <v>#VALUE!</v>
      </c>
      <c r="S58" s="14" t="e">
        <f>RANK($L58,$L$5:$L$104,1)+COUNTIF(L$5:L58,L58)-1</f>
        <v>#VALUE!</v>
      </c>
      <c r="T58" s="14" t="e">
        <f t="shared" si="10"/>
        <v>#VALUE!</v>
      </c>
      <c r="U58" s="14" t="e">
        <f>RANK($M58,$M$5:$M$104,1)+COUNTIF(M$5:M58,M58)-1</f>
        <v>#VALUE!</v>
      </c>
      <c r="V58" s="14" t="e">
        <f t="shared" si="11"/>
        <v>#VALUE!</v>
      </c>
      <c r="W58" s="14" t="e">
        <f>RANK($N58,$N$5:$N$104,1)+COUNTIF(N$5:N58,N58)-1</f>
        <v>#VALUE!</v>
      </c>
      <c r="X58" s="14" t="e">
        <f t="shared" si="12"/>
        <v>#VALUE!</v>
      </c>
      <c r="Y58" s="14" t="e">
        <f>RANK($O58,$O$5:$O$104,1)+COUNTIF(O$5:O58,O58)-1</f>
        <v>#VALUE!</v>
      </c>
      <c r="Z58" s="14" t="e">
        <f t="shared" si="13"/>
        <v>#VALUE!</v>
      </c>
      <c r="AA58" s="14" t="e">
        <f>RANK($P58,$P$5:$P$104,1)+COUNTIF(P$5:P58,P58)-1</f>
        <v>#VALUE!</v>
      </c>
      <c r="AB58" s="14" t="e">
        <f t="shared" si="14"/>
        <v>#VALUE!</v>
      </c>
      <c r="AC58" s="1" t="str">
        <f t="shared" si="22"/>
        <v xml:space="preserve"> </v>
      </c>
      <c r="AD58" s="1" t="str">
        <f t="shared" si="23"/>
        <v>-</v>
      </c>
      <c r="AE58" s="35" t="str">
        <f t="shared" si="15"/>
        <v>-</v>
      </c>
      <c r="AF58" s="35" t="str">
        <f t="shared" si="16"/>
        <v>-</v>
      </c>
      <c r="AG58" s="35" t="str">
        <f t="shared" si="17"/>
        <v>-</v>
      </c>
      <c r="AH58" s="35" t="str">
        <f t="shared" si="18"/>
        <v>-</v>
      </c>
      <c r="AI58" s="35" t="str">
        <f t="shared" si="19"/>
        <v>-</v>
      </c>
      <c r="AJ58" s="35" t="str">
        <f t="shared" si="20"/>
        <v>-</v>
      </c>
      <c r="AL58" s="4">
        <v>54</v>
      </c>
      <c r="AM58" s="2" t="e">
        <f>VLOOKUP(AL58,Q$5:$AJ$104,$AN$2,FALSE)</f>
        <v>#N/A</v>
      </c>
      <c r="AN58" s="6" t="e">
        <f>VLOOKUP(AL58,Q$5:$AJ$104,$AN$2+11,FALSE)</f>
        <v>#N/A</v>
      </c>
      <c r="AO58" s="2" t="e">
        <f t="shared" si="21"/>
        <v>#N/A</v>
      </c>
      <c r="AQ58" s="4">
        <v>54</v>
      </c>
      <c r="AR58" s="2" t="e">
        <f>VLOOKUP(AQ58,$S$5:$AJ$104,$AS$2,FALSE)</f>
        <v>#N/A</v>
      </c>
      <c r="AS58" s="6" t="e">
        <f>VLOOKUP(AQ58,$S$5:$AJ$104,$AS$2+9,FALSE)</f>
        <v>#N/A</v>
      </c>
      <c r="AT58" s="2" t="e">
        <f>VLOOKUP(AR58,$S$5:$AJ$104,$AS$2+12,FALSE)</f>
        <v>#N/A</v>
      </c>
      <c r="AU58" s="9"/>
      <c r="AV58" s="4">
        <v>54</v>
      </c>
      <c r="AW58" s="2" t="e">
        <f>VLOOKUP(AV58,$U$5:$AJ$104,$AX$2,FALSE)</f>
        <v>#N/A</v>
      </c>
      <c r="AX58" s="6" t="e">
        <f>VLOOKUP(AV58,$U$5:$AJ$104,$AX$2+7,FALSE)</f>
        <v>#N/A</v>
      </c>
      <c r="AY58" s="2" t="e">
        <f>VLOOKUP(AW58,$U$5:$AJ$104,$AX$2+11,FALSE)</f>
        <v>#N/A</v>
      </c>
      <c r="BA58" s="4">
        <v>54</v>
      </c>
      <c r="BB58" s="2" t="e">
        <f>VLOOKUP(BA58,$W$5:$AJ$104,$BC$2,FALSE)</f>
        <v>#N/A</v>
      </c>
      <c r="BC58" s="6" t="e">
        <f>VLOOKUP(BA58,$W$5:$AJ$104,$BC$2+5,FALSE)</f>
        <v>#N/A</v>
      </c>
      <c r="BD58" s="2" t="e">
        <f>VLOOKUP(BB58,$W$5:$AJ$104,$BC$2+10,FALSE)</f>
        <v>#N/A</v>
      </c>
      <c r="BE58" s="9"/>
      <c r="BF58" s="4">
        <v>54</v>
      </c>
      <c r="BG58" s="2" t="e">
        <f>VLOOKUP(BF58,$Y$5:$AJ$104,$BH$2,FALSE)</f>
        <v>#N/A</v>
      </c>
      <c r="BH58" s="6" t="e">
        <f>VLOOKUP(BF58,$Y$5:$AJ$104,$BH$2+3,FALSE)</f>
        <v>#N/A</v>
      </c>
      <c r="BI58" s="58" t="e">
        <f>VLOOKUP(BG58,$Y$5:$AJ$104,$BH$2+9,FALSE)</f>
        <v>#N/A</v>
      </c>
      <c r="BK58" s="4">
        <v>54</v>
      </c>
      <c r="BL58" s="2" t="e">
        <f>VLOOKUP(BK58,$AA$5:$AJ$104,$BM$2,FALSE)</f>
        <v>#N/A</v>
      </c>
      <c r="BM58" s="6" t="e">
        <f>VLOOKUP(BK58,$AA$5:$AJ$104,$BM$2+1,FALSE)</f>
        <v>#N/A</v>
      </c>
      <c r="BN58" s="58" t="e">
        <f>VLOOKUP(BL58,$AA$5:$AJ$104,$BM$2+8,FALSE)</f>
        <v>#N/A</v>
      </c>
      <c r="BP58" s="2" t="e">
        <f>'Eclectic A'!CD58</f>
        <v>#N/A</v>
      </c>
      <c r="BQ58" s="6" t="e">
        <f>'Eclectic A'!CE58</f>
        <v>#N/A</v>
      </c>
      <c r="BR58" s="103" t="e">
        <f>'Eclectic A'!CF58</f>
        <v>#N/A</v>
      </c>
    </row>
    <row r="59" spans="1:70">
      <c r="A59" s="10" t="str">
        <f>IF(ISBLANK(Players!A57),"",Players!A57)</f>
        <v/>
      </c>
      <c r="B59" s="10" t="str">
        <f>IF(ISBLANK(Players!B57),"",Players!B57)</f>
        <v/>
      </c>
      <c r="C59" s="10" t="str">
        <f>IF(ISBLANK(Players!D57),"",Players!D57)</f>
        <v/>
      </c>
      <c r="D59" s="69" t="str">
        <f>IF(ISNUMBER(C59),MIN((C59*Rules!$N$14/113)+(Rules!$N$13-Rules!$N$12),Rules!$N$37),"-")</f>
        <v>-</v>
      </c>
      <c r="E59" s="69" t="str">
        <f>IF(ISNUMBER(C59),    ROUND( (D59*Rules!$N$11) / 100,0),"-")</f>
        <v>-</v>
      </c>
      <c r="F59" s="36" t="str">
        <f>IF(AND(ISNUMBER(C59),C59&gt;=Rules!$M$10,C59&lt;=Rules!$N$10),"Y","N")</f>
        <v>N</v>
      </c>
      <c r="G59" s="137" t="str">
        <f>'Eclectic A'!M59</f>
        <v>-</v>
      </c>
      <c r="H59" s="137" t="str">
        <f>'Eclectic A'!W59</f>
        <v>-</v>
      </c>
      <c r="I59" s="137" t="str">
        <f>'Eclectic A'!AJ59</f>
        <v>-</v>
      </c>
      <c r="J59" s="137" t="str">
        <f>'Eclectic A'!AT59</f>
        <v>-</v>
      </c>
      <c r="K59" s="108" t="str">
        <f t="shared" si="3"/>
        <v>-</v>
      </c>
      <c r="L59" s="108" t="str">
        <f t="shared" si="4"/>
        <v>-</v>
      </c>
      <c r="M59" s="108" t="str">
        <f t="shared" si="5"/>
        <v>-</v>
      </c>
      <c r="N59" s="108" t="str">
        <f t="shared" si="6"/>
        <v>-</v>
      </c>
      <c r="O59" s="108" t="str">
        <f t="shared" si="7"/>
        <v>-</v>
      </c>
      <c r="P59" s="108" t="str">
        <f t="shared" si="8"/>
        <v>-</v>
      </c>
      <c r="Q59" s="14" t="e">
        <f>RANK($K59,$K$5:$K$104,1)+COUNTIF(K$5:K59,K59)-1</f>
        <v>#VALUE!</v>
      </c>
      <c r="R59" s="14" t="e">
        <f t="shared" si="9"/>
        <v>#VALUE!</v>
      </c>
      <c r="S59" s="14" t="e">
        <f>RANK($L59,$L$5:$L$104,1)+COUNTIF(L$5:L59,L59)-1</f>
        <v>#VALUE!</v>
      </c>
      <c r="T59" s="14" t="e">
        <f t="shared" si="10"/>
        <v>#VALUE!</v>
      </c>
      <c r="U59" s="14" t="e">
        <f>RANK($M59,$M$5:$M$104,1)+COUNTIF(M$5:M59,M59)-1</f>
        <v>#VALUE!</v>
      </c>
      <c r="V59" s="14" t="e">
        <f t="shared" si="11"/>
        <v>#VALUE!</v>
      </c>
      <c r="W59" s="14" t="e">
        <f>RANK($N59,$N$5:$N$104,1)+COUNTIF(N$5:N59,N59)-1</f>
        <v>#VALUE!</v>
      </c>
      <c r="X59" s="14" t="e">
        <f t="shared" si="12"/>
        <v>#VALUE!</v>
      </c>
      <c r="Y59" s="14" t="e">
        <f>RANK($O59,$O$5:$O$104,1)+COUNTIF(O$5:O59,O59)-1</f>
        <v>#VALUE!</v>
      </c>
      <c r="Z59" s="14" t="e">
        <f t="shared" si="13"/>
        <v>#VALUE!</v>
      </c>
      <c r="AA59" s="14" t="e">
        <f>RANK($P59,$P$5:$P$104,1)+COUNTIF(P$5:P59,P59)-1</f>
        <v>#VALUE!</v>
      </c>
      <c r="AB59" s="14" t="e">
        <f t="shared" si="14"/>
        <v>#VALUE!</v>
      </c>
      <c r="AC59" s="1" t="str">
        <f t="shared" si="22"/>
        <v xml:space="preserve"> </v>
      </c>
      <c r="AD59" s="1" t="str">
        <f t="shared" si="23"/>
        <v>-</v>
      </c>
      <c r="AE59" s="35" t="str">
        <f t="shared" si="15"/>
        <v>-</v>
      </c>
      <c r="AF59" s="35" t="str">
        <f t="shared" si="16"/>
        <v>-</v>
      </c>
      <c r="AG59" s="35" t="str">
        <f t="shared" si="17"/>
        <v>-</v>
      </c>
      <c r="AH59" s="35" t="str">
        <f t="shared" si="18"/>
        <v>-</v>
      </c>
      <c r="AI59" s="35" t="str">
        <f t="shared" si="19"/>
        <v>-</v>
      </c>
      <c r="AJ59" s="35" t="str">
        <f t="shared" si="20"/>
        <v>-</v>
      </c>
      <c r="AL59" s="4">
        <v>55</v>
      </c>
      <c r="AM59" s="2" t="e">
        <f>VLOOKUP(AL59,Q$5:$AJ$104,$AN$2,FALSE)</f>
        <v>#N/A</v>
      </c>
      <c r="AN59" s="6" t="e">
        <f>VLOOKUP(AL59,Q$5:$AJ$104,$AN$2+11,FALSE)</f>
        <v>#N/A</v>
      </c>
      <c r="AO59" s="2" t="e">
        <f t="shared" si="21"/>
        <v>#N/A</v>
      </c>
      <c r="AQ59" s="4">
        <v>55</v>
      </c>
      <c r="AR59" s="2" t="e">
        <f>VLOOKUP(AQ59,$S$5:$AJ$104,$AS$2,FALSE)</f>
        <v>#N/A</v>
      </c>
      <c r="AS59" s="6" t="e">
        <f>VLOOKUP(AQ59,$S$5:$AJ$104,$AS$2+9,FALSE)</f>
        <v>#N/A</v>
      </c>
      <c r="AT59" s="2" t="e">
        <f>VLOOKUP(AR59,$S$5:$AJ$104,$AS$2+12,FALSE)</f>
        <v>#N/A</v>
      </c>
      <c r="AU59" s="9"/>
      <c r="AV59" s="4">
        <v>55</v>
      </c>
      <c r="AW59" s="2" t="e">
        <f>VLOOKUP(AV59,$U$5:$AJ$104,$AX$2,FALSE)</f>
        <v>#N/A</v>
      </c>
      <c r="AX59" s="6" t="e">
        <f>VLOOKUP(AV59,$U$5:$AJ$104,$AX$2+7,FALSE)</f>
        <v>#N/A</v>
      </c>
      <c r="AY59" s="2" t="e">
        <f>VLOOKUP(AW59,$U$5:$AJ$104,$AX$2+11,FALSE)</f>
        <v>#N/A</v>
      </c>
      <c r="BA59" s="4">
        <v>55</v>
      </c>
      <c r="BB59" s="2" t="e">
        <f>VLOOKUP(BA59,$W$5:$AJ$104,$BC$2,FALSE)</f>
        <v>#N/A</v>
      </c>
      <c r="BC59" s="6" t="e">
        <f>VLOOKUP(BA59,$W$5:$AJ$104,$BC$2+5,FALSE)</f>
        <v>#N/A</v>
      </c>
      <c r="BD59" s="2" t="e">
        <f>VLOOKUP(BB59,$W$5:$AJ$104,$BC$2+10,FALSE)</f>
        <v>#N/A</v>
      </c>
      <c r="BE59" s="9"/>
      <c r="BF59" s="4">
        <v>55</v>
      </c>
      <c r="BG59" s="2" t="e">
        <f>VLOOKUP(BF59,$Y$5:$AJ$104,$BH$2,FALSE)</f>
        <v>#N/A</v>
      </c>
      <c r="BH59" s="6" t="e">
        <f>VLOOKUP(BF59,$Y$5:$AJ$104,$BH$2+3,FALSE)</f>
        <v>#N/A</v>
      </c>
      <c r="BI59" s="58" t="e">
        <f>VLOOKUP(BG59,$Y$5:$AJ$104,$BH$2+9,FALSE)</f>
        <v>#N/A</v>
      </c>
      <c r="BK59" s="4">
        <v>55</v>
      </c>
      <c r="BL59" s="2" t="e">
        <f>VLOOKUP(BK59,$AA$5:$AJ$104,$BM$2,FALSE)</f>
        <v>#N/A</v>
      </c>
      <c r="BM59" s="6" t="e">
        <f>VLOOKUP(BK59,$AA$5:$AJ$104,$BM$2+1,FALSE)</f>
        <v>#N/A</v>
      </c>
      <c r="BN59" s="58" t="e">
        <f>VLOOKUP(BL59,$AA$5:$AJ$104,$BM$2+8,FALSE)</f>
        <v>#N/A</v>
      </c>
      <c r="BP59" s="2" t="e">
        <f>'Eclectic A'!CD59</f>
        <v>#N/A</v>
      </c>
      <c r="BQ59" s="6" t="e">
        <f>'Eclectic A'!CE59</f>
        <v>#N/A</v>
      </c>
      <c r="BR59" s="103" t="e">
        <f>'Eclectic A'!CF59</f>
        <v>#N/A</v>
      </c>
    </row>
    <row r="60" spans="1:70">
      <c r="A60" s="10" t="str">
        <f>IF(ISBLANK(Players!A58),"",Players!A58)</f>
        <v/>
      </c>
      <c r="B60" s="10" t="str">
        <f>IF(ISBLANK(Players!B58),"",Players!B58)</f>
        <v/>
      </c>
      <c r="C60" s="10" t="str">
        <f>IF(ISBLANK(Players!D58),"",Players!D58)</f>
        <v/>
      </c>
      <c r="D60" s="69" t="str">
        <f>IF(ISNUMBER(C60),MIN((C60*Rules!$N$14/113)+(Rules!$N$13-Rules!$N$12),Rules!$N$37),"-")</f>
        <v>-</v>
      </c>
      <c r="E60" s="69" t="str">
        <f>IF(ISNUMBER(C60),    ROUND( (D60*Rules!$N$11) / 100,0),"-")</f>
        <v>-</v>
      </c>
      <c r="F60" s="36" t="str">
        <f>IF(AND(ISNUMBER(C60),C60&gt;=Rules!$M$10,C60&lt;=Rules!$N$10),"Y","N")</f>
        <v>N</v>
      </c>
      <c r="G60" s="137" t="str">
        <f>'Eclectic A'!M60</f>
        <v>-</v>
      </c>
      <c r="H60" s="137" t="str">
        <f>'Eclectic A'!W60</f>
        <v>-</v>
      </c>
      <c r="I60" s="137" t="str">
        <f>'Eclectic A'!AJ60</f>
        <v>-</v>
      </c>
      <c r="J60" s="137" t="str">
        <f>'Eclectic A'!AT60</f>
        <v>-</v>
      </c>
      <c r="K60" s="108" t="str">
        <f t="shared" si="3"/>
        <v>-</v>
      </c>
      <c r="L60" s="108" t="str">
        <f t="shared" si="4"/>
        <v>-</v>
      </c>
      <c r="M60" s="108" t="str">
        <f t="shared" si="5"/>
        <v>-</v>
      </c>
      <c r="N60" s="108" t="str">
        <f t="shared" si="6"/>
        <v>-</v>
      </c>
      <c r="O60" s="108" t="str">
        <f t="shared" si="7"/>
        <v>-</v>
      </c>
      <c r="P60" s="108" t="str">
        <f t="shared" si="8"/>
        <v>-</v>
      </c>
      <c r="Q60" s="14" t="e">
        <f>RANK($K60,$K$5:$K$104,1)+COUNTIF(K$5:K60,K60)-1</f>
        <v>#VALUE!</v>
      </c>
      <c r="R60" s="14" t="e">
        <f t="shared" si="9"/>
        <v>#VALUE!</v>
      </c>
      <c r="S60" s="14" t="e">
        <f>RANK($L60,$L$5:$L$104,1)+COUNTIF(L$5:L60,L60)-1</f>
        <v>#VALUE!</v>
      </c>
      <c r="T60" s="14" t="e">
        <f t="shared" si="10"/>
        <v>#VALUE!</v>
      </c>
      <c r="U60" s="14" t="e">
        <f>RANK($M60,$M$5:$M$104,1)+COUNTIF(M$5:M60,M60)-1</f>
        <v>#VALUE!</v>
      </c>
      <c r="V60" s="14" t="e">
        <f t="shared" si="11"/>
        <v>#VALUE!</v>
      </c>
      <c r="W60" s="14" t="e">
        <f>RANK($N60,$N$5:$N$104,1)+COUNTIF(N$5:N60,N60)-1</f>
        <v>#VALUE!</v>
      </c>
      <c r="X60" s="14" t="e">
        <f t="shared" si="12"/>
        <v>#VALUE!</v>
      </c>
      <c r="Y60" s="14" t="e">
        <f>RANK($O60,$O$5:$O$104,1)+COUNTIF(O$5:O60,O60)-1</f>
        <v>#VALUE!</v>
      </c>
      <c r="Z60" s="14" t="e">
        <f t="shared" si="13"/>
        <v>#VALUE!</v>
      </c>
      <c r="AA60" s="14" t="e">
        <f>RANK($P60,$P$5:$P$104,1)+COUNTIF(P$5:P60,P60)-1</f>
        <v>#VALUE!</v>
      </c>
      <c r="AB60" s="14" t="e">
        <f t="shared" si="14"/>
        <v>#VALUE!</v>
      </c>
      <c r="AC60" s="1" t="str">
        <f t="shared" si="22"/>
        <v xml:space="preserve"> </v>
      </c>
      <c r="AD60" s="1" t="str">
        <f t="shared" si="23"/>
        <v>-</v>
      </c>
      <c r="AE60" s="35" t="str">
        <f t="shared" si="15"/>
        <v>-</v>
      </c>
      <c r="AF60" s="35" t="str">
        <f t="shared" si="16"/>
        <v>-</v>
      </c>
      <c r="AG60" s="35" t="str">
        <f t="shared" si="17"/>
        <v>-</v>
      </c>
      <c r="AH60" s="35" t="str">
        <f t="shared" si="18"/>
        <v>-</v>
      </c>
      <c r="AI60" s="35" t="str">
        <f t="shared" si="19"/>
        <v>-</v>
      </c>
      <c r="AJ60" s="35" t="str">
        <f t="shared" si="20"/>
        <v>-</v>
      </c>
      <c r="AL60" s="4">
        <v>56</v>
      </c>
      <c r="AM60" s="2" t="e">
        <f>VLOOKUP(AL60,Q$5:$AJ$104,$AN$2,FALSE)</f>
        <v>#N/A</v>
      </c>
      <c r="AN60" s="6" t="e">
        <f>VLOOKUP(AL60,Q$5:$AJ$104,$AN$2+11,FALSE)</f>
        <v>#N/A</v>
      </c>
      <c r="AO60" s="2" t="e">
        <f t="shared" si="21"/>
        <v>#N/A</v>
      </c>
      <c r="AQ60" s="4">
        <v>56</v>
      </c>
      <c r="AR60" s="2" t="e">
        <f>VLOOKUP(AQ60,$S$5:$AJ$104,$AS$2,FALSE)</f>
        <v>#N/A</v>
      </c>
      <c r="AS60" s="6" t="e">
        <f>VLOOKUP(AQ60,$S$5:$AJ$104,$AS$2+9,FALSE)</f>
        <v>#N/A</v>
      </c>
      <c r="AT60" s="2" t="e">
        <f>VLOOKUP(AR60,$S$5:$AJ$104,$AS$2+12,FALSE)</f>
        <v>#N/A</v>
      </c>
      <c r="AU60" s="9"/>
      <c r="AV60" s="4">
        <v>56</v>
      </c>
      <c r="AW60" s="2" t="e">
        <f>VLOOKUP(AV60,$U$5:$AJ$104,$AX$2,FALSE)</f>
        <v>#N/A</v>
      </c>
      <c r="AX60" s="6" t="e">
        <f>VLOOKUP(AV60,$U$5:$AJ$104,$AX$2+7,FALSE)</f>
        <v>#N/A</v>
      </c>
      <c r="AY60" s="2" t="e">
        <f>VLOOKUP(AW60,$U$5:$AJ$104,$AX$2+11,FALSE)</f>
        <v>#N/A</v>
      </c>
      <c r="BA60" s="4">
        <v>56</v>
      </c>
      <c r="BB60" s="2" t="e">
        <f>VLOOKUP(BA60,$W$5:$AJ$104,$BC$2,FALSE)</f>
        <v>#N/A</v>
      </c>
      <c r="BC60" s="6" t="e">
        <f>VLOOKUP(BA60,$W$5:$AJ$104,$BC$2+5,FALSE)</f>
        <v>#N/A</v>
      </c>
      <c r="BD60" s="2" t="e">
        <f>VLOOKUP(BB60,$W$5:$AJ$104,$BC$2+10,FALSE)</f>
        <v>#N/A</v>
      </c>
      <c r="BE60" s="9"/>
      <c r="BF60" s="4">
        <v>56</v>
      </c>
      <c r="BG60" s="2" t="e">
        <f>VLOOKUP(BF60,$Y$5:$AJ$104,$BH$2,FALSE)</f>
        <v>#N/A</v>
      </c>
      <c r="BH60" s="6" t="e">
        <f>VLOOKUP(BF60,$Y$5:$AJ$104,$BH$2+3,FALSE)</f>
        <v>#N/A</v>
      </c>
      <c r="BI60" s="58" t="e">
        <f>VLOOKUP(BG60,$Y$5:$AJ$104,$BH$2+9,FALSE)</f>
        <v>#N/A</v>
      </c>
      <c r="BK60" s="4">
        <v>56</v>
      </c>
      <c r="BL60" s="2" t="e">
        <f>VLOOKUP(BK60,$AA$5:$AJ$104,$BM$2,FALSE)</f>
        <v>#N/A</v>
      </c>
      <c r="BM60" s="6" t="e">
        <f>VLOOKUP(BK60,$AA$5:$AJ$104,$BM$2+1,FALSE)</f>
        <v>#N/A</v>
      </c>
      <c r="BN60" s="58" t="e">
        <f>VLOOKUP(BL60,$AA$5:$AJ$104,$BM$2+8,FALSE)</f>
        <v>#N/A</v>
      </c>
      <c r="BP60" s="2" t="e">
        <f>'Eclectic A'!CD60</f>
        <v>#N/A</v>
      </c>
      <c r="BQ60" s="6" t="e">
        <f>'Eclectic A'!CE60</f>
        <v>#N/A</v>
      </c>
      <c r="BR60" s="103" t="e">
        <f>'Eclectic A'!CF60</f>
        <v>#N/A</v>
      </c>
    </row>
    <row r="61" spans="1:70">
      <c r="A61" s="10" t="str">
        <f>IF(ISBLANK(Players!A59),"",Players!A59)</f>
        <v/>
      </c>
      <c r="B61" s="10" t="str">
        <f>IF(ISBLANK(Players!B59),"",Players!B59)</f>
        <v/>
      </c>
      <c r="C61" s="10" t="str">
        <f>IF(ISBLANK(Players!D59),"",Players!D59)</f>
        <v/>
      </c>
      <c r="D61" s="69" t="str">
        <f>IF(ISNUMBER(C61),MIN((C61*Rules!$N$14/113)+(Rules!$N$13-Rules!$N$12),Rules!$N$37),"-")</f>
        <v>-</v>
      </c>
      <c r="E61" s="69" t="str">
        <f>IF(ISNUMBER(C61),    ROUND( (D61*Rules!$N$11) / 100,0),"-")</f>
        <v>-</v>
      </c>
      <c r="F61" s="36" t="str">
        <f>IF(AND(ISNUMBER(C61),C61&gt;=Rules!$M$10,C61&lt;=Rules!$N$10),"Y","N")</f>
        <v>N</v>
      </c>
      <c r="G61" s="137" t="str">
        <f>'Eclectic A'!M61</f>
        <v>-</v>
      </c>
      <c r="H61" s="137" t="str">
        <f>'Eclectic A'!W61</f>
        <v>-</v>
      </c>
      <c r="I61" s="137" t="str">
        <f>'Eclectic A'!AJ61</f>
        <v>-</v>
      </c>
      <c r="J61" s="137" t="str">
        <f>'Eclectic A'!AT61</f>
        <v>-</v>
      </c>
      <c r="K61" s="108" t="str">
        <f t="shared" si="3"/>
        <v>-</v>
      </c>
      <c r="L61" s="108" t="str">
        <f t="shared" si="4"/>
        <v>-</v>
      </c>
      <c r="M61" s="108" t="str">
        <f t="shared" si="5"/>
        <v>-</v>
      </c>
      <c r="N61" s="108" t="str">
        <f t="shared" si="6"/>
        <v>-</v>
      </c>
      <c r="O61" s="108" t="str">
        <f t="shared" si="7"/>
        <v>-</v>
      </c>
      <c r="P61" s="108" t="str">
        <f t="shared" si="8"/>
        <v>-</v>
      </c>
      <c r="Q61" s="14" t="e">
        <f>RANK($K61,$K$5:$K$104,1)+COUNTIF(K$5:K61,K61)-1</f>
        <v>#VALUE!</v>
      </c>
      <c r="R61" s="14" t="e">
        <f t="shared" si="9"/>
        <v>#VALUE!</v>
      </c>
      <c r="S61" s="14" t="e">
        <f>RANK($L61,$L$5:$L$104,1)+COUNTIF(L$5:L61,L61)-1</f>
        <v>#VALUE!</v>
      </c>
      <c r="T61" s="14" t="e">
        <f t="shared" si="10"/>
        <v>#VALUE!</v>
      </c>
      <c r="U61" s="14" t="e">
        <f>RANK($M61,$M$5:$M$104,1)+COUNTIF(M$5:M61,M61)-1</f>
        <v>#VALUE!</v>
      </c>
      <c r="V61" s="14" t="e">
        <f t="shared" si="11"/>
        <v>#VALUE!</v>
      </c>
      <c r="W61" s="14" t="e">
        <f>RANK($N61,$N$5:$N$104,1)+COUNTIF(N$5:N61,N61)-1</f>
        <v>#VALUE!</v>
      </c>
      <c r="X61" s="14" t="e">
        <f t="shared" si="12"/>
        <v>#VALUE!</v>
      </c>
      <c r="Y61" s="14" t="e">
        <f>RANK($O61,$O$5:$O$104,1)+COUNTIF(O$5:O61,O61)-1</f>
        <v>#VALUE!</v>
      </c>
      <c r="Z61" s="14" t="e">
        <f t="shared" si="13"/>
        <v>#VALUE!</v>
      </c>
      <c r="AA61" s="14" t="e">
        <f>RANK($P61,$P$5:$P$104,1)+COUNTIF(P$5:P61,P61)-1</f>
        <v>#VALUE!</v>
      </c>
      <c r="AB61" s="14" t="e">
        <f t="shared" si="14"/>
        <v>#VALUE!</v>
      </c>
      <c r="AC61" s="1" t="str">
        <f t="shared" si="22"/>
        <v xml:space="preserve"> </v>
      </c>
      <c r="AD61" s="1" t="str">
        <f t="shared" si="23"/>
        <v>-</v>
      </c>
      <c r="AE61" s="35" t="str">
        <f t="shared" si="15"/>
        <v>-</v>
      </c>
      <c r="AF61" s="35" t="str">
        <f t="shared" si="16"/>
        <v>-</v>
      </c>
      <c r="AG61" s="35" t="str">
        <f t="shared" si="17"/>
        <v>-</v>
      </c>
      <c r="AH61" s="35" t="str">
        <f t="shared" si="18"/>
        <v>-</v>
      </c>
      <c r="AI61" s="35" t="str">
        <f t="shared" si="19"/>
        <v>-</v>
      </c>
      <c r="AJ61" s="35" t="str">
        <f t="shared" si="20"/>
        <v>-</v>
      </c>
      <c r="AL61" s="4">
        <v>57</v>
      </c>
      <c r="AM61" s="2" t="e">
        <f>VLOOKUP(AL61,Q$5:$AJ$104,$AN$2,FALSE)</f>
        <v>#N/A</v>
      </c>
      <c r="AN61" s="6" t="e">
        <f>VLOOKUP(AL61,Q$5:$AJ$104,$AN$2+11,FALSE)</f>
        <v>#N/A</v>
      </c>
      <c r="AO61" s="2" t="e">
        <f t="shared" si="21"/>
        <v>#N/A</v>
      </c>
      <c r="AQ61" s="4">
        <v>57</v>
      </c>
      <c r="AR61" s="2" t="e">
        <f>VLOOKUP(AQ61,$S$5:$AJ$104,$AS$2,FALSE)</f>
        <v>#N/A</v>
      </c>
      <c r="AS61" s="6" t="e">
        <f>VLOOKUP(AQ61,$S$5:$AJ$104,$AS$2+9,FALSE)</f>
        <v>#N/A</v>
      </c>
      <c r="AT61" s="2" t="e">
        <f>VLOOKUP(AR61,$S$5:$AJ$104,$AS$2+12,FALSE)</f>
        <v>#N/A</v>
      </c>
      <c r="AU61" s="9"/>
      <c r="AV61" s="4">
        <v>57</v>
      </c>
      <c r="AW61" s="2" t="e">
        <f>VLOOKUP(AV61,$U$5:$AJ$104,$AX$2,FALSE)</f>
        <v>#N/A</v>
      </c>
      <c r="AX61" s="6" t="e">
        <f>VLOOKUP(AV61,$U$5:$AJ$104,$AX$2+7,FALSE)</f>
        <v>#N/A</v>
      </c>
      <c r="AY61" s="2" t="e">
        <f>VLOOKUP(AW61,$U$5:$AJ$104,$AX$2+11,FALSE)</f>
        <v>#N/A</v>
      </c>
      <c r="BA61" s="4">
        <v>57</v>
      </c>
      <c r="BB61" s="2" t="e">
        <f>VLOOKUP(BA61,$W$5:$AJ$104,$BC$2,FALSE)</f>
        <v>#N/A</v>
      </c>
      <c r="BC61" s="6" t="e">
        <f>VLOOKUP(BA61,$W$5:$AJ$104,$BC$2+5,FALSE)</f>
        <v>#N/A</v>
      </c>
      <c r="BD61" s="2" t="e">
        <f>VLOOKUP(BB61,$W$5:$AJ$104,$BC$2+10,FALSE)</f>
        <v>#N/A</v>
      </c>
      <c r="BE61" s="9"/>
      <c r="BF61" s="4">
        <v>57</v>
      </c>
      <c r="BG61" s="2" t="e">
        <f>VLOOKUP(BF61,$Y$5:$AJ$104,$BH$2,FALSE)</f>
        <v>#N/A</v>
      </c>
      <c r="BH61" s="6" t="e">
        <f>VLOOKUP(BF61,$Y$5:$AJ$104,$BH$2+3,FALSE)</f>
        <v>#N/A</v>
      </c>
      <c r="BI61" s="58" t="e">
        <f>VLOOKUP(BG61,$Y$5:$AJ$104,$BH$2+9,FALSE)</f>
        <v>#N/A</v>
      </c>
      <c r="BK61" s="4">
        <v>57</v>
      </c>
      <c r="BL61" s="2" t="e">
        <f>VLOOKUP(BK61,$AA$5:$AJ$104,$BM$2,FALSE)</f>
        <v>#N/A</v>
      </c>
      <c r="BM61" s="6" t="e">
        <f>VLOOKUP(BK61,$AA$5:$AJ$104,$BM$2+1,FALSE)</f>
        <v>#N/A</v>
      </c>
      <c r="BN61" s="58" t="e">
        <f>VLOOKUP(BL61,$AA$5:$AJ$104,$BM$2+8,FALSE)</f>
        <v>#N/A</v>
      </c>
      <c r="BP61" s="2" t="e">
        <f>'Eclectic A'!CD61</f>
        <v>#N/A</v>
      </c>
      <c r="BQ61" s="6" t="e">
        <f>'Eclectic A'!CE61</f>
        <v>#N/A</v>
      </c>
      <c r="BR61" s="103" t="e">
        <f>'Eclectic A'!CF61</f>
        <v>#N/A</v>
      </c>
    </row>
    <row r="62" spans="1:70">
      <c r="A62" s="10" t="str">
        <f>IF(ISBLANK(Players!A60),"",Players!A60)</f>
        <v/>
      </c>
      <c r="B62" s="10" t="str">
        <f>IF(ISBLANK(Players!B60),"",Players!B60)</f>
        <v/>
      </c>
      <c r="C62" s="10" t="str">
        <f>IF(ISBLANK(Players!D60),"",Players!D60)</f>
        <v/>
      </c>
      <c r="D62" s="69" t="str">
        <f>IF(ISNUMBER(C62),MIN((C62*Rules!$N$14/113)+(Rules!$N$13-Rules!$N$12),Rules!$N$37),"-")</f>
        <v>-</v>
      </c>
      <c r="E62" s="69" t="str">
        <f>IF(ISNUMBER(C62),    ROUND( (D62*Rules!$N$11) / 100,0),"-")</f>
        <v>-</v>
      </c>
      <c r="F62" s="36" t="str">
        <f>IF(AND(ISNUMBER(C62),C62&gt;=Rules!$M$10,C62&lt;=Rules!$N$10),"Y","N")</f>
        <v>N</v>
      </c>
      <c r="G62" s="137" t="str">
        <f>'Eclectic A'!M62</f>
        <v>-</v>
      </c>
      <c r="H62" s="137" t="str">
        <f>'Eclectic A'!W62</f>
        <v>-</v>
      </c>
      <c r="I62" s="137" t="str">
        <f>'Eclectic A'!AJ62</f>
        <v>-</v>
      </c>
      <c r="J62" s="137" t="str">
        <f>'Eclectic A'!AT62</f>
        <v>-</v>
      </c>
      <c r="K62" s="108" t="str">
        <f t="shared" si="3"/>
        <v>-</v>
      </c>
      <c r="L62" s="108" t="str">
        <f t="shared" si="4"/>
        <v>-</v>
      </c>
      <c r="M62" s="108" t="str">
        <f t="shared" si="5"/>
        <v>-</v>
      </c>
      <c r="N62" s="108" t="str">
        <f t="shared" si="6"/>
        <v>-</v>
      </c>
      <c r="O62" s="108" t="str">
        <f t="shared" si="7"/>
        <v>-</v>
      </c>
      <c r="P62" s="108" t="str">
        <f t="shared" si="8"/>
        <v>-</v>
      </c>
      <c r="Q62" s="14" t="e">
        <f>RANK($K62,$K$5:$K$104,1)+COUNTIF(K$5:K62,K62)-1</f>
        <v>#VALUE!</v>
      </c>
      <c r="R62" s="14" t="e">
        <f t="shared" si="9"/>
        <v>#VALUE!</v>
      </c>
      <c r="S62" s="14" t="e">
        <f>RANK($L62,$L$5:$L$104,1)+COUNTIF(L$5:L62,L62)-1</f>
        <v>#VALUE!</v>
      </c>
      <c r="T62" s="14" t="e">
        <f t="shared" si="10"/>
        <v>#VALUE!</v>
      </c>
      <c r="U62" s="14" t="e">
        <f>RANK($M62,$M$5:$M$104,1)+COUNTIF(M$5:M62,M62)-1</f>
        <v>#VALUE!</v>
      </c>
      <c r="V62" s="14" t="e">
        <f t="shared" si="11"/>
        <v>#VALUE!</v>
      </c>
      <c r="W62" s="14" t="e">
        <f>RANK($N62,$N$5:$N$104,1)+COUNTIF(N$5:N62,N62)-1</f>
        <v>#VALUE!</v>
      </c>
      <c r="X62" s="14" t="e">
        <f t="shared" si="12"/>
        <v>#VALUE!</v>
      </c>
      <c r="Y62" s="14" t="e">
        <f>RANK($O62,$O$5:$O$104,1)+COUNTIF(O$5:O62,O62)-1</f>
        <v>#VALUE!</v>
      </c>
      <c r="Z62" s="14" t="e">
        <f t="shared" si="13"/>
        <v>#VALUE!</v>
      </c>
      <c r="AA62" s="14" t="e">
        <f>RANK($P62,$P$5:$P$104,1)+COUNTIF(P$5:P62,P62)-1</f>
        <v>#VALUE!</v>
      </c>
      <c r="AB62" s="14" t="e">
        <f t="shared" si="14"/>
        <v>#VALUE!</v>
      </c>
      <c r="AC62" s="1" t="str">
        <f t="shared" si="22"/>
        <v xml:space="preserve"> </v>
      </c>
      <c r="AD62" s="1" t="str">
        <f t="shared" si="23"/>
        <v>-</v>
      </c>
      <c r="AE62" s="35" t="str">
        <f t="shared" si="15"/>
        <v>-</v>
      </c>
      <c r="AF62" s="35" t="str">
        <f t="shared" si="16"/>
        <v>-</v>
      </c>
      <c r="AG62" s="35" t="str">
        <f t="shared" si="17"/>
        <v>-</v>
      </c>
      <c r="AH62" s="35" t="str">
        <f t="shared" si="18"/>
        <v>-</v>
      </c>
      <c r="AI62" s="35" t="str">
        <f t="shared" si="19"/>
        <v>-</v>
      </c>
      <c r="AJ62" s="35" t="str">
        <f t="shared" si="20"/>
        <v>-</v>
      </c>
      <c r="AL62" s="4">
        <v>58</v>
      </c>
      <c r="AM62" s="2" t="e">
        <f>VLOOKUP(AL62,Q$5:$AJ$104,$AN$2,FALSE)</f>
        <v>#N/A</v>
      </c>
      <c r="AN62" s="6" t="e">
        <f>VLOOKUP(AL62,Q$5:$AJ$104,$AN$2+11,FALSE)</f>
        <v>#N/A</v>
      </c>
      <c r="AO62" s="2" t="e">
        <f t="shared" si="21"/>
        <v>#N/A</v>
      </c>
      <c r="AQ62" s="4">
        <v>58</v>
      </c>
      <c r="AR62" s="2" t="e">
        <f>VLOOKUP(AQ62,$S$5:$AJ$104,$AS$2,FALSE)</f>
        <v>#N/A</v>
      </c>
      <c r="AS62" s="6" t="e">
        <f>VLOOKUP(AQ62,$S$5:$AJ$104,$AS$2+9,FALSE)</f>
        <v>#N/A</v>
      </c>
      <c r="AT62" s="2" t="e">
        <f>VLOOKUP(AR62,$S$5:$AJ$104,$AS$2+12,FALSE)</f>
        <v>#N/A</v>
      </c>
      <c r="AU62" s="9"/>
      <c r="AV62" s="4">
        <v>58</v>
      </c>
      <c r="AW62" s="2" t="e">
        <f>VLOOKUP(AV62,$U$5:$AJ$104,$AX$2,FALSE)</f>
        <v>#N/A</v>
      </c>
      <c r="AX62" s="6" t="e">
        <f>VLOOKUP(AV62,$U$5:$AJ$104,$AX$2+7,FALSE)</f>
        <v>#N/A</v>
      </c>
      <c r="AY62" s="2" t="e">
        <f>VLOOKUP(AW62,$U$5:$AJ$104,$AX$2+11,FALSE)</f>
        <v>#N/A</v>
      </c>
      <c r="BA62" s="4">
        <v>58</v>
      </c>
      <c r="BB62" s="2" t="e">
        <f>VLOOKUP(BA62,$W$5:$AJ$104,$BC$2,FALSE)</f>
        <v>#N/A</v>
      </c>
      <c r="BC62" s="6" t="e">
        <f>VLOOKUP(BA62,$W$5:$AJ$104,$BC$2+5,FALSE)</f>
        <v>#N/A</v>
      </c>
      <c r="BD62" s="2" t="e">
        <f>VLOOKUP(BB62,$W$5:$AJ$104,$BC$2+10,FALSE)</f>
        <v>#N/A</v>
      </c>
      <c r="BE62" s="9"/>
      <c r="BF62" s="4">
        <v>58</v>
      </c>
      <c r="BG62" s="2" t="e">
        <f>VLOOKUP(BF62,$Y$5:$AJ$104,$BH$2,FALSE)</f>
        <v>#N/A</v>
      </c>
      <c r="BH62" s="6" t="e">
        <f>VLOOKUP(BF62,$Y$5:$AJ$104,$BH$2+3,FALSE)</f>
        <v>#N/A</v>
      </c>
      <c r="BI62" s="58" t="e">
        <f>VLOOKUP(BG62,$Y$5:$AJ$104,$BH$2+9,FALSE)</f>
        <v>#N/A</v>
      </c>
      <c r="BK62" s="4">
        <v>58</v>
      </c>
      <c r="BL62" s="2" t="e">
        <f>VLOOKUP(BK62,$AA$5:$AJ$104,$BM$2,FALSE)</f>
        <v>#N/A</v>
      </c>
      <c r="BM62" s="6" t="e">
        <f>VLOOKUP(BK62,$AA$5:$AJ$104,$BM$2+1,FALSE)</f>
        <v>#N/A</v>
      </c>
      <c r="BN62" s="58" t="e">
        <f>VLOOKUP(BL62,$AA$5:$AJ$104,$BM$2+8,FALSE)</f>
        <v>#N/A</v>
      </c>
      <c r="BP62" s="2" t="e">
        <f>'Eclectic A'!CD62</f>
        <v>#N/A</v>
      </c>
      <c r="BQ62" s="6" t="e">
        <f>'Eclectic A'!CE62</f>
        <v>#N/A</v>
      </c>
      <c r="BR62" s="103" t="e">
        <f>'Eclectic A'!CF62</f>
        <v>#N/A</v>
      </c>
    </row>
    <row r="63" spans="1:70">
      <c r="A63" s="10" t="str">
        <f>IF(ISBLANK(Players!A61),"",Players!A61)</f>
        <v/>
      </c>
      <c r="B63" s="10" t="str">
        <f>IF(ISBLANK(Players!B61),"",Players!B61)</f>
        <v/>
      </c>
      <c r="C63" s="10" t="str">
        <f>IF(ISBLANK(Players!D61),"",Players!D61)</f>
        <v/>
      </c>
      <c r="D63" s="69" t="str">
        <f>IF(ISNUMBER(C63),MIN((C63*Rules!$N$14/113)+(Rules!$N$13-Rules!$N$12),Rules!$N$37),"-")</f>
        <v>-</v>
      </c>
      <c r="E63" s="69" t="str">
        <f>IF(ISNUMBER(C63),    ROUND( (D63*Rules!$N$11) / 100,0),"-")</f>
        <v>-</v>
      </c>
      <c r="F63" s="36" t="str">
        <f>IF(AND(ISNUMBER(C63),C63&gt;=Rules!$M$10,C63&lt;=Rules!$N$10),"Y","N")</f>
        <v>N</v>
      </c>
      <c r="G63" s="137" t="str">
        <f>'Eclectic A'!M63</f>
        <v>-</v>
      </c>
      <c r="H63" s="137" t="str">
        <f>'Eclectic A'!W63</f>
        <v>-</v>
      </c>
      <c r="I63" s="137" t="str">
        <f>'Eclectic A'!AJ63</f>
        <v>-</v>
      </c>
      <c r="J63" s="137" t="str">
        <f>'Eclectic A'!AT63</f>
        <v>-</v>
      </c>
      <c r="K63" s="108" t="str">
        <f t="shared" si="3"/>
        <v>-</v>
      </c>
      <c r="L63" s="108" t="str">
        <f t="shared" si="4"/>
        <v>-</v>
      </c>
      <c r="M63" s="108" t="str">
        <f t="shared" si="5"/>
        <v>-</v>
      </c>
      <c r="N63" s="108" t="str">
        <f t="shared" si="6"/>
        <v>-</v>
      </c>
      <c r="O63" s="108" t="str">
        <f t="shared" si="7"/>
        <v>-</v>
      </c>
      <c r="P63" s="108" t="str">
        <f t="shared" si="8"/>
        <v>-</v>
      </c>
      <c r="Q63" s="14" t="e">
        <f>RANK($K63,$K$5:$K$104,1)+COUNTIF(K$5:K63,K63)-1</f>
        <v>#VALUE!</v>
      </c>
      <c r="R63" s="14" t="e">
        <f t="shared" si="9"/>
        <v>#VALUE!</v>
      </c>
      <c r="S63" s="14" t="e">
        <f>RANK($L63,$L$5:$L$104,1)+COUNTIF(L$5:L63,L63)-1</f>
        <v>#VALUE!</v>
      </c>
      <c r="T63" s="14" t="e">
        <f t="shared" si="10"/>
        <v>#VALUE!</v>
      </c>
      <c r="U63" s="14" t="e">
        <f>RANK($M63,$M$5:$M$104,1)+COUNTIF(M$5:M63,M63)-1</f>
        <v>#VALUE!</v>
      </c>
      <c r="V63" s="14" t="e">
        <f t="shared" si="11"/>
        <v>#VALUE!</v>
      </c>
      <c r="W63" s="14" t="e">
        <f>RANK($N63,$N$5:$N$104,1)+COUNTIF(N$5:N63,N63)-1</f>
        <v>#VALUE!</v>
      </c>
      <c r="X63" s="14" t="e">
        <f t="shared" si="12"/>
        <v>#VALUE!</v>
      </c>
      <c r="Y63" s="14" t="e">
        <f>RANK($O63,$O$5:$O$104,1)+COUNTIF(O$5:O63,O63)-1</f>
        <v>#VALUE!</v>
      </c>
      <c r="Z63" s="14" t="e">
        <f t="shared" si="13"/>
        <v>#VALUE!</v>
      </c>
      <c r="AA63" s="14" t="e">
        <f>RANK($P63,$P$5:$P$104,1)+COUNTIF(P$5:P63,P63)-1</f>
        <v>#VALUE!</v>
      </c>
      <c r="AB63" s="14" t="e">
        <f t="shared" si="14"/>
        <v>#VALUE!</v>
      </c>
      <c r="AC63" s="1" t="str">
        <f t="shared" si="22"/>
        <v xml:space="preserve"> </v>
      </c>
      <c r="AD63" s="1" t="str">
        <f t="shared" si="23"/>
        <v>-</v>
      </c>
      <c r="AE63" s="35" t="str">
        <f t="shared" si="15"/>
        <v>-</v>
      </c>
      <c r="AF63" s="35" t="str">
        <f t="shared" si="16"/>
        <v>-</v>
      </c>
      <c r="AG63" s="35" t="str">
        <f t="shared" si="17"/>
        <v>-</v>
      </c>
      <c r="AH63" s="35" t="str">
        <f t="shared" si="18"/>
        <v>-</v>
      </c>
      <c r="AI63" s="35" t="str">
        <f t="shared" si="19"/>
        <v>-</v>
      </c>
      <c r="AJ63" s="35" t="str">
        <f t="shared" si="20"/>
        <v>-</v>
      </c>
      <c r="AL63" s="4">
        <v>59</v>
      </c>
      <c r="AM63" s="2" t="e">
        <f>VLOOKUP(AL63,Q$5:$AJ$104,$AN$2,FALSE)</f>
        <v>#N/A</v>
      </c>
      <c r="AN63" s="6" t="e">
        <f>VLOOKUP(AL63,Q$5:$AJ$104,$AN$2+11,FALSE)</f>
        <v>#N/A</v>
      </c>
      <c r="AO63" s="2" t="e">
        <f t="shared" si="21"/>
        <v>#N/A</v>
      </c>
      <c r="AQ63" s="4">
        <v>59</v>
      </c>
      <c r="AR63" s="2" t="e">
        <f>VLOOKUP(AQ63,$S$5:$AJ$104,$AS$2,FALSE)</f>
        <v>#N/A</v>
      </c>
      <c r="AS63" s="6" t="e">
        <f>VLOOKUP(AQ63,$S$5:$AJ$104,$AS$2+9,FALSE)</f>
        <v>#N/A</v>
      </c>
      <c r="AT63" s="2" t="e">
        <f>VLOOKUP(AR63,$S$5:$AJ$104,$AS$2+12,FALSE)</f>
        <v>#N/A</v>
      </c>
      <c r="AU63" s="9"/>
      <c r="AV63" s="4">
        <v>59</v>
      </c>
      <c r="AW63" s="2" t="e">
        <f>VLOOKUP(AV63,$U$5:$AJ$104,$AX$2,FALSE)</f>
        <v>#N/A</v>
      </c>
      <c r="AX63" s="6" t="e">
        <f>VLOOKUP(AV63,$U$5:$AJ$104,$AX$2+7,FALSE)</f>
        <v>#N/A</v>
      </c>
      <c r="AY63" s="2" t="e">
        <f>VLOOKUP(AW63,$U$5:$AJ$104,$AX$2+11,FALSE)</f>
        <v>#N/A</v>
      </c>
      <c r="BA63" s="4">
        <v>59</v>
      </c>
      <c r="BB63" s="2" t="e">
        <f>VLOOKUP(BA63,$W$5:$AJ$104,$BC$2,FALSE)</f>
        <v>#N/A</v>
      </c>
      <c r="BC63" s="6" t="e">
        <f>VLOOKUP(BA63,$W$5:$AJ$104,$BC$2+5,FALSE)</f>
        <v>#N/A</v>
      </c>
      <c r="BD63" s="2" t="e">
        <f>VLOOKUP(BB63,$W$5:$AJ$104,$BC$2+10,FALSE)</f>
        <v>#N/A</v>
      </c>
      <c r="BE63" s="9"/>
      <c r="BF63" s="4">
        <v>59</v>
      </c>
      <c r="BG63" s="2" t="e">
        <f>VLOOKUP(BF63,$Y$5:$AJ$104,$BH$2,FALSE)</f>
        <v>#N/A</v>
      </c>
      <c r="BH63" s="6" t="e">
        <f>VLOOKUP(BF63,$Y$5:$AJ$104,$BH$2+3,FALSE)</f>
        <v>#N/A</v>
      </c>
      <c r="BI63" s="58" t="e">
        <f>VLOOKUP(BG63,$Y$5:$AJ$104,$BH$2+9,FALSE)</f>
        <v>#N/A</v>
      </c>
      <c r="BK63" s="4">
        <v>59</v>
      </c>
      <c r="BL63" s="2" t="e">
        <f>VLOOKUP(BK63,$AA$5:$AJ$104,$BM$2,FALSE)</f>
        <v>#N/A</v>
      </c>
      <c r="BM63" s="6" t="e">
        <f>VLOOKUP(BK63,$AA$5:$AJ$104,$BM$2+1,FALSE)</f>
        <v>#N/A</v>
      </c>
      <c r="BN63" s="58" t="e">
        <f>VLOOKUP(BL63,$AA$5:$AJ$104,$BM$2+8,FALSE)</f>
        <v>#N/A</v>
      </c>
      <c r="BP63" s="2" t="e">
        <f>'Eclectic A'!CD63</f>
        <v>#N/A</v>
      </c>
      <c r="BQ63" s="6" t="e">
        <f>'Eclectic A'!CE63</f>
        <v>#N/A</v>
      </c>
      <c r="BR63" s="103" t="e">
        <f>'Eclectic A'!CF63</f>
        <v>#N/A</v>
      </c>
    </row>
    <row r="64" spans="1:70">
      <c r="A64" s="10" t="str">
        <f>IF(ISBLANK(Players!A62),"",Players!A62)</f>
        <v/>
      </c>
      <c r="B64" s="10" t="str">
        <f>IF(ISBLANK(Players!B62),"",Players!B62)</f>
        <v/>
      </c>
      <c r="C64" s="10" t="str">
        <f>IF(ISBLANK(Players!D62),"",Players!D62)</f>
        <v/>
      </c>
      <c r="D64" s="69" t="str">
        <f>IF(ISNUMBER(C64),MIN((C64*Rules!$N$14/113)+(Rules!$N$13-Rules!$N$12),Rules!$N$37),"-")</f>
        <v>-</v>
      </c>
      <c r="E64" s="69" t="str">
        <f>IF(ISNUMBER(C64),    ROUND( (D64*Rules!$N$11) / 100,0),"-")</f>
        <v>-</v>
      </c>
      <c r="F64" s="36" t="str">
        <f>IF(AND(ISNUMBER(C64),C64&gt;=Rules!$M$10,C64&lt;=Rules!$N$10),"Y","N")</f>
        <v>N</v>
      </c>
      <c r="G64" s="137" t="str">
        <f>'Eclectic A'!M64</f>
        <v>-</v>
      </c>
      <c r="H64" s="137" t="str">
        <f>'Eclectic A'!W64</f>
        <v>-</v>
      </c>
      <c r="I64" s="137" t="str">
        <f>'Eclectic A'!AJ64</f>
        <v>-</v>
      </c>
      <c r="J64" s="137" t="str">
        <f>'Eclectic A'!AT64</f>
        <v>-</v>
      </c>
      <c r="K64" s="108" t="str">
        <f t="shared" si="3"/>
        <v>-</v>
      </c>
      <c r="L64" s="108" t="str">
        <f t="shared" si="4"/>
        <v>-</v>
      </c>
      <c r="M64" s="108" t="str">
        <f t="shared" si="5"/>
        <v>-</v>
      </c>
      <c r="N64" s="108" t="str">
        <f t="shared" si="6"/>
        <v>-</v>
      </c>
      <c r="O64" s="108" t="str">
        <f t="shared" si="7"/>
        <v>-</v>
      </c>
      <c r="P64" s="108" t="str">
        <f t="shared" si="8"/>
        <v>-</v>
      </c>
      <c r="Q64" s="14" t="e">
        <f>RANK($K64,$K$5:$K$104,1)+COUNTIF(K$5:K64,K64)-1</f>
        <v>#VALUE!</v>
      </c>
      <c r="R64" s="14" t="e">
        <f t="shared" si="9"/>
        <v>#VALUE!</v>
      </c>
      <c r="S64" s="14" t="e">
        <f>RANK($L64,$L$5:$L$104,1)+COUNTIF(L$5:L64,L64)-1</f>
        <v>#VALUE!</v>
      </c>
      <c r="T64" s="14" t="e">
        <f t="shared" si="10"/>
        <v>#VALUE!</v>
      </c>
      <c r="U64" s="14" t="e">
        <f>RANK($M64,$M$5:$M$104,1)+COUNTIF(M$5:M64,M64)-1</f>
        <v>#VALUE!</v>
      </c>
      <c r="V64" s="14" t="e">
        <f t="shared" si="11"/>
        <v>#VALUE!</v>
      </c>
      <c r="W64" s="14" t="e">
        <f>RANK($N64,$N$5:$N$104,1)+COUNTIF(N$5:N64,N64)-1</f>
        <v>#VALUE!</v>
      </c>
      <c r="X64" s="14" t="e">
        <f t="shared" si="12"/>
        <v>#VALUE!</v>
      </c>
      <c r="Y64" s="14" t="e">
        <f>RANK($O64,$O$5:$O$104,1)+COUNTIF(O$5:O64,O64)-1</f>
        <v>#VALUE!</v>
      </c>
      <c r="Z64" s="14" t="e">
        <f t="shared" si="13"/>
        <v>#VALUE!</v>
      </c>
      <c r="AA64" s="14" t="e">
        <f>RANK($P64,$P$5:$P$104,1)+COUNTIF(P$5:P64,P64)-1</f>
        <v>#VALUE!</v>
      </c>
      <c r="AB64" s="14" t="e">
        <f t="shared" si="14"/>
        <v>#VALUE!</v>
      </c>
      <c r="AC64" s="1" t="str">
        <f t="shared" si="22"/>
        <v xml:space="preserve"> </v>
      </c>
      <c r="AD64" s="1" t="str">
        <f t="shared" si="23"/>
        <v>-</v>
      </c>
      <c r="AE64" s="35" t="str">
        <f t="shared" si="15"/>
        <v>-</v>
      </c>
      <c r="AF64" s="35" t="str">
        <f t="shared" si="16"/>
        <v>-</v>
      </c>
      <c r="AG64" s="35" t="str">
        <f t="shared" si="17"/>
        <v>-</v>
      </c>
      <c r="AH64" s="35" t="str">
        <f t="shared" si="18"/>
        <v>-</v>
      </c>
      <c r="AI64" s="35" t="str">
        <f t="shared" si="19"/>
        <v>-</v>
      </c>
      <c r="AJ64" s="35" t="str">
        <f t="shared" si="20"/>
        <v>-</v>
      </c>
      <c r="AL64" s="4">
        <v>60</v>
      </c>
      <c r="AM64" s="2" t="e">
        <f>VLOOKUP(AL64,Q$5:$AJ$104,$AN$2,FALSE)</f>
        <v>#N/A</v>
      </c>
      <c r="AN64" s="6" t="e">
        <f>VLOOKUP(AL64,Q$5:$AJ$104,$AN$2+11,FALSE)</f>
        <v>#N/A</v>
      </c>
      <c r="AO64" s="2" t="e">
        <f t="shared" si="21"/>
        <v>#N/A</v>
      </c>
      <c r="AQ64" s="4">
        <v>60</v>
      </c>
      <c r="AR64" s="2" t="e">
        <f>VLOOKUP(AQ64,$S$5:$AJ$104,$AS$2,FALSE)</f>
        <v>#N/A</v>
      </c>
      <c r="AS64" s="6" t="e">
        <f>VLOOKUP(AQ64,$S$5:$AJ$104,$AS$2+9,FALSE)</f>
        <v>#N/A</v>
      </c>
      <c r="AT64" s="2" t="e">
        <f>VLOOKUP(AR64,$S$5:$AJ$104,$AS$2+12,FALSE)</f>
        <v>#N/A</v>
      </c>
      <c r="AU64" s="9"/>
      <c r="AV64" s="4">
        <v>60</v>
      </c>
      <c r="AW64" s="2" t="e">
        <f>VLOOKUP(AV64,$U$5:$AJ$104,$AX$2,FALSE)</f>
        <v>#N/A</v>
      </c>
      <c r="AX64" s="6" t="e">
        <f>VLOOKUP(AV64,$U$5:$AJ$104,$AX$2+7,FALSE)</f>
        <v>#N/A</v>
      </c>
      <c r="AY64" s="2" t="e">
        <f>VLOOKUP(AW64,$U$5:$AJ$104,$AX$2+11,FALSE)</f>
        <v>#N/A</v>
      </c>
      <c r="BA64" s="4">
        <v>60</v>
      </c>
      <c r="BB64" s="2" t="e">
        <f>VLOOKUP(BA64,$W$5:$AJ$104,$BC$2,FALSE)</f>
        <v>#N/A</v>
      </c>
      <c r="BC64" s="6" t="e">
        <f>VLOOKUP(BA64,$W$5:$AJ$104,$BC$2+5,FALSE)</f>
        <v>#N/A</v>
      </c>
      <c r="BD64" s="2" t="e">
        <f>VLOOKUP(BB64,$W$5:$AJ$104,$BC$2+10,FALSE)</f>
        <v>#N/A</v>
      </c>
      <c r="BE64" s="9"/>
      <c r="BF64" s="4">
        <v>60</v>
      </c>
      <c r="BG64" s="2" t="e">
        <f>VLOOKUP(BF64,$Y$5:$AJ$104,$BH$2,FALSE)</f>
        <v>#N/A</v>
      </c>
      <c r="BH64" s="6" t="e">
        <f>VLOOKUP(BF64,$Y$5:$AJ$104,$BH$2+3,FALSE)</f>
        <v>#N/A</v>
      </c>
      <c r="BI64" s="58" t="e">
        <f>VLOOKUP(BG64,$Y$5:$AJ$104,$BH$2+9,FALSE)</f>
        <v>#N/A</v>
      </c>
      <c r="BK64" s="4">
        <v>60</v>
      </c>
      <c r="BL64" s="2" t="e">
        <f>VLOOKUP(BK64,$AA$5:$AJ$104,$BM$2,FALSE)</f>
        <v>#N/A</v>
      </c>
      <c r="BM64" s="6" t="e">
        <f>VLOOKUP(BK64,$AA$5:$AJ$104,$BM$2+1,FALSE)</f>
        <v>#N/A</v>
      </c>
      <c r="BN64" s="58" t="e">
        <f>VLOOKUP(BL64,$AA$5:$AJ$104,$BM$2+8,FALSE)</f>
        <v>#N/A</v>
      </c>
      <c r="BP64" s="2" t="e">
        <f>'Eclectic A'!CD64</f>
        <v>#N/A</v>
      </c>
      <c r="BQ64" s="6" t="e">
        <f>'Eclectic A'!CE64</f>
        <v>#N/A</v>
      </c>
      <c r="BR64" s="103" t="e">
        <f>'Eclectic A'!CF64</f>
        <v>#N/A</v>
      </c>
    </row>
    <row r="65" spans="1:70">
      <c r="A65" s="10" t="str">
        <f>IF(ISBLANK(Players!A63),"",Players!A63)</f>
        <v/>
      </c>
      <c r="B65" s="10" t="str">
        <f>IF(ISBLANK(Players!B63),"",Players!B63)</f>
        <v/>
      </c>
      <c r="C65" s="10" t="str">
        <f>IF(ISBLANK(Players!D63),"",Players!D63)</f>
        <v/>
      </c>
      <c r="D65" s="69" t="str">
        <f>IF(ISNUMBER(C65),MIN((C65*Rules!$N$14/113)+(Rules!$N$13-Rules!$N$12),Rules!$N$37),"-")</f>
        <v>-</v>
      </c>
      <c r="E65" s="69" t="str">
        <f>IF(ISNUMBER(C65),    ROUND( (D65*Rules!$N$11) / 100,0),"-")</f>
        <v>-</v>
      </c>
      <c r="F65" s="36" t="str">
        <f>IF(AND(ISNUMBER(C65),C65&gt;=Rules!$M$10,C65&lt;=Rules!$N$10),"Y","N")</f>
        <v>N</v>
      </c>
      <c r="G65" s="137" t="str">
        <f>'Eclectic A'!M65</f>
        <v>-</v>
      </c>
      <c r="H65" s="137" t="str">
        <f>'Eclectic A'!W65</f>
        <v>-</v>
      </c>
      <c r="I65" s="137" t="str">
        <f>'Eclectic A'!AJ65</f>
        <v>-</v>
      </c>
      <c r="J65" s="137" t="str">
        <f>'Eclectic A'!AT65</f>
        <v>-</v>
      </c>
      <c r="K65" s="108" t="str">
        <f t="shared" si="3"/>
        <v>-</v>
      </c>
      <c r="L65" s="108" t="str">
        <f t="shared" si="4"/>
        <v>-</v>
      </c>
      <c r="M65" s="108" t="str">
        <f t="shared" si="5"/>
        <v>-</v>
      </c>
      <c r="N65" s="108" t="str">
        <f t="shared" si="6"/>
        <v>-</v>
      </c>
      <c r="O65" s="108" t="str">
        <f t="shared" si="7"/>
        <v>-</v>
      </c>
      <c r="P65" s="108" t="str">
        <f t="shared" si="8"/>
        <v>-</v>
      </c>
      <c r="Q65" s="14" t="e">
        <f>RANK($K65,$K$5:$K$104,1)+COUNTIF(K$5:K65,K65)-1</f>
        <v>#VALUE!</v>
      </c>
      <c r="R65" s="14" t="e">
        <f t="shared" si="9"/>
        <v>#VALUE!</v>
      </c>
      <c r="S65" s="14" t="e">
        <f>RANK($L65,$L$5:$L$104,1)+COUNTIF(L$5:L65,L65)-1</f>
        <v>#VALUE!</v>
      </c>
      <c r="T65" s="14" t="e">
        <f t="shared" si="10"/>
        <v>#VALUE!</v>
      </c>
      <c r="U65" s="14" t="e">
        <f>RANK($M65,$M$5:$M$104,1)+COUNTIF(M$5:M65,M65)-1</f>
        <v>#VALUE!</v>
      </c>
      <c r="V65" s="14" t="e">
        <f t="shared" si="11"/>
        <v>#VALUE!</v>
      </c>
      <c r="W65" s="14" t="e">
        <f>RANK($N65,$N$5:$N$104,1)+COUNTIF(N$5:N65,N65)-1</f>
        <v>#VALUE!</v>
      </c>
      <c r="X65" s="14" t="e">
        <f t="shared" si="12"/>
        <v>#VALUE!</v>
      </c>
      <c r="Y65" s="14" t="e">
        <f>RANK($O65,$O$5:$O$104,1)+COUNTIF(O$5:O65,O65)-1</f>
        <v>#VALUE!</v>
      </c>
      <c r="Z65" s="14" t="e">
        <f t="shared" si="13"/>
        <v>#VALUE!</v>
      </c>
      <c r="AA65" s="14" t="e">
        <f>RANK($P65,$P$5:$P$104,1)+COUNTIF(P$5:P65,P65)-1</f>
        <v>#VALUE!</v>
      </c>
      <c r="AB65" s="14" t="e">
        <f t="shared" si="14"/>
        <v>#VALUE!</v>
      </c>
      <c r="AC65" s="1" t="str">
        <f t="shared" si="22"/>
        <v xml:space="preserve"> </v>
      </c>
      <c r="AD65" s="1" t="str">
        <f t="shared" si="23"/>
        <v>-</v>
      </c>
      <c r="AE65" s="35" t="str">
        <f t="shared" si="15"/>
        <v>-</v>
      </c>
      <c r="AF65" s="35" t="str">
        <f t="shared" si="16"/>
        <v>-</v>
      </c>
      <c r="AG65" s="35" t="str">
        <f t="shared" si="17"/>
        <v>-</v>
      </c>
      <c r="AH65" s="35" t="str">
        <f t="shared" si="18"/>
        <v>-</v>
      </c>
      <c r="AI65" s="35" t="str">
        <f t="shared" si="19"/>
        <v>-</v>
      </c>
      <c r="AJ65" s="35" t="str">
        <f t="shared" si="20"/>
        <v>-</v>
      </c>
      <c r="AL65" s="4">
        <v>61</v>
      </c>
      <c r="AM65" s="2" t="e">
        <f>VLOOKUP(AL65,Q$5:$AJ$104,$AN$2,FALSE)</f>
        <v>#N/A</v>
      </c>
      <c r="AN65" s="6" t="e">
        <f>VLOOKUP(AL65,Q$5:$AJ$104,$AN$2+11,FALSE)</f>
        <v>#N/A</v>
      </c>
      <c r="AO65" s="2" t="e">
        <f t="shared" si="21"/>
        <v>#N/A</v>
      </c>
      <c r="AQ65" s="4">
        <v>61</v>
      </c>
      <c r="AR65" s="2" t="e">
        <f>VLOOKUP(AQ65,$S$5:$AJ$104,$AS$2,FALSE)</f>
        <v>#N/A</v>
      </c>
      <c r="AS65" s="6" t="e">
        <f>VLOOKUP(AQ65,$S$5:$AJ$104,$AS$2+9,FALSE)</f>
        <v>#N/A</v>
      </c>
      <c r="AT65" s="2" t="e">
        <f>VLOOKUP(AR65,$S$5:$AJ$104,$AS$2+12,FALSE)</f>
        <v>#N/A</v>
      </c>
      <c r="AU65" s="9"/>
      <c r="AV65" s="4">
        <v>61</v>
      </c>
      <c r="AW65" s="2" t="e">
        <f>VLOOKUP(AV65,$U$5:$AJ$104,$AX$2,FALSE)</f>
        <v>#N/A</v>
      </c>
      <c r="AX65" s="6" t="e">
        <f>VLOOKUP(AV65,$U$5:$AJ$104,$AX$2+7,FALSE)</f>
        <v>#N/A</v>
      </c>
      <c r="AY65" s="2" t="e">
        <f>VLOOKUP(AW65,$U$5:$AJ$104,$AX$2+11,FALSE)</f>
        <v>#N/A</v>
      </c>
      <c r="BA65" s="4">
        <v>61</v>
      </c>
      <c r="BB65" s="2" t="e">
        <f>VLOOKUP(BA65,$W$5:$AJ$104,$BC$2,FALSE)</f>
        <v>#N/A</v>
      </c>
      <c r="BC65" s="6" t="e">
        <f>VLOOKUP(BA65,$W$5:$AJ$104,$BC$2+5,FALSE)</f>
        <v>#N/A</v>
      </c>
      <c r="BD65" s="2" t="e">
        <f>VLOOKUP(BB65,$W$5:$AJ$104,$BC$2+10,FALSE)</f>
        <v>#N/A</v>
      </c>
      <c r="BE65" s="9"/>
      <c r="BF65" s="4">
        <v>61</v>
      </c>
      <c r="BG65" s="2" t="e">
        <f>VLOOKUP(BF65,$Y$5:$AJ$104,$BH$2,FALSE)</f>
        <v>#N/A</v>
      </c>
      <c r="BH65" s="6" t="e">
        <f>VLOOKUP(BF65,$Y$5:$AJ$104,$BH$2+3,FALSE)</f>
        <v>#N/A</v>
      </c>
      <c r="BI65" s="58" t="e">
        <f>VLOOKUP(BG65,$Y$5:$AJ$104,$BH$2+9,FALSE)</f>
        <v>#N/A</v>
      </c>
      <c r="BK65" s="4">
        <v>61</v>
      </c>
      <c r="BL65" s="2" t="e">
        <f>VLOOKUP(BK65,$AA$5:$AJ$104,$BM$2,FALSE)</f>
        <v>#N/A</v>
      </c>
      <c r="BM65" s="6" t="e">
        <f>VLOOKUP(BK65,$AA$5:$AJ$104,$BM$2+1,FALSE)</f>
        <v>#N/A</v>
      </c>
      <c r="BN65" s="58" t="e">
        <f>VLOOKUP(BL65,$AA$5:$AJ$104,$BM$2+8,FALSE)</f>
        <v>#N/A</v>
      </c>
      <c r="BP65" s="2" t="e">
        <f>'Eclectic A'!CD65</f>
        <v>#N/A</v>
      </c>
      <c r="BQ65" s="6" t="e">
        <f>'Eclectic A'!CE65</f>
        <v>#N/A</v>
      </c>
      <c r="BR65" s="103" t="e">
        <f>'Eclectic A'!CF65</f>
        <v>#N/A</v>
      </c>
    </row>
    <row r="66" spans="1:70">
      <c r="A66" s="10" t="str">
        <f>IF(ISBLANK(Players!A64),"",Players!A64)</f>
        <v/>
      </c>
      <c r="B66" s="10" t="str">
        <f>IF(ISBLANK(Players!B64),"",Players!B64)</f>
        <v/>
      </c>
      <c r="C66" s="10" t="str">
        <f>IF(ISBLANK(Players!D64),"",Players!D64)</f>
        <v/>
      </c>
      <c r="D66" s="69" t="str">
        <f>IF(ISNUMBER(C66),MIN((C66*Rules!$N$14/113)+(Rules!$N$13-Rules!$N$12),Rules!$N$37),"-")</f>
        <v>-</v>
      </c>
      <c r="E66" s="69" t="str">
        <f>IF(ISNUMBER(C66),    ROUND( (D66*Rules!$N$11) / 100,0),"-")</f>
        <v>-</v>
      </c>
      <c r="F66" s="36" t="str">
        <f>IF(AND(ISNUMBER(C66),C66&gt;=Rules!$M$10,C66&lt;=Rules!$N$10),"Y","N")</f>
        <v>N</v>
      </c>
      <c r="G66" s="137" t="str">
        <f>'Eclectic A'!M66</f>
        <v>-</v>
      </c>
      <c r="H66" s="137" t="str">
        <f>'Eclectic A'!W66</f>
        <v>-</v>
      </c>
      <c r="I66" s="137" t="str">
        <f>'Eclectic A'!AJ66</f>
        <v>-</v>
      </c>
      <c r="J66" s="137" t="str">
        <f>'Eclectic A'!AT66</f>
        <v>-</v>
      </c>
      <c r="K66" s="108" t="str">
        <f t="shared" si="3"/>
        <v>-</v>
      </c>
      <c r="L66" s="108" t="str">
        <f t="shared" si="4"/>
        <v>-</v>
      </c>
      <c r="M66" s="108" t="str">
        <f t="shared" si="5"/>
        <v>-</v>
      </c>
      <c r="N66" s="108" t="str">
        <f t="shared" si="6"/>
        <v>-</v>
      </c>
      <c r="O66" s="108" t="str">
        <f t="shared" si="7"/>
        <v>-</v>
      </c>
      <c r="P66" s="108" t="str">
        <f t="shared" si="8"/>
        <v>-</v>
      </c>
      <c r="Q66" s="14" t="e">
        <f>RANK($K66,$K$5:$K$104,1)+COUNTIF(K$5:K66,K66)-1</f>
        <v>#VALUE!</v>
      </c>
      <c r="R66" s="14" t="e">
        <f t="shared" si="9"/>
        <v>#VALUE!</v>
      </c>
      <c r="S66" s="14" t="e">
        <f>RANK($L66,$L$5:$L$104,1)+COUNTIF(L$5:L66,L66)-1</f>
        <v>#VALUE!</v>
      </c>
      <c r="T66" s="14" t="e">
        <f t="shared" si="10"/>
        <v>#VALUE!</v>
      </c>
      <c r="U66" s="14" t="e">
        <f>RANK($M66,$M$5:$M$104,1)+COUNTIF(M$5:M66,M66)-1</f>
        <v>#VALUE!</v>
      </c>
      <c r="V66" s="14" t="e">
        <f t="shared" si="11"/>
        <v>#VALUE!</v>
      </c>
      <c r="W66" s="14" t="e">
        <f>RANK($N66,$N$5:$N$104,1)+COUNTIF(N$5:N66,N66)-1</f>
        <v>#VALUE!</v>
      </c>
      <c r="X66" s="14" t="e">
        <f t="shared" si="12"/>
        <v>#VALUE!</v>
      </c>
      <c r="Y66" s="14" t="e">
        <f>RANK($O66,$O$5:$O$104,1)+COUNTIF(O$5:O66,O66)-1</f>
        <v>#VALUE!</v>
      </c>
      <c r="Z66" s="14" t="e">
        <f t="shared" si="13"/>
        <v>#VALUE!</v>
      </c>
      <c r="AA66" s="14" t="e">
        <f>RANK($P66,$P$5:$P$104,1)+COUNTIF(P$5:P66,P66)-1</f>
        <v>#VALUE!</v>
      </c>
      <c r="AB66" s="14" t="e">
        <f t="shared" si="14"/>
        <v>#VALUE!</v>
      </c>
      <c r="AC66" s="1" t="str">
        <f t="shared" si="22"/>
        <v xml:space="preserve"> </v>
      </c>
      <c r="AD66" s="1" t="str">
        <f t="shared" si="23"/>
        <v>-</v>
      </c>
      <c r="AE66" s="35" t="str">
        <f t="shared" si="15"/>
        <v>-</v>
      </c>
      <c r="AF66" s="35" t="str">
        <f t="shared" si="16"/>
        <v>-</v>
      </c>
      <c r="AG66" s="35" t="str">
        <f t="shared" si="17"/>
        <v>-</v>
      </c>
      <c r="AH66" s="35" t="str">
        <f t="shared" si="18"/>
        <v>-</v>
      </c>
      <c r="AI66" s="35" t="str">
        <f t="shared" si="19"/>
        <v>-</v>
      </c>
      <c r="AJ66" s="35" t="str">
        <f t="shared" si="20"/>
        <v>-</v>
      </c>
      <c r="AL66" s="4">
        <v>62</v>
      </c>
      <c r="AM66" s="2" t="e">
        <f>VLOOKUP(AL66,Q$5:$AJ$104,$AN$2,FALSE)</f>
        <v>#N/A</v>
      </c>
      <c r="AN66" s="6" t="e">
        <f>VLOOKUP(AL66,Q$5:$AJ$104,$AN$2+11,FALSE)</f>
        <v>#N/A</v>
      </c>
      <c r="AO66" s="2" t="e">
        <f t="shared" si="21"/>
        <v>#N/A</v>
      </c>
      <c r="AQ66" s="4">
        <v>62</v>
      </c>
      <c r="AR66" s="2" t="e">
        <f>VLOOKUP(AQ66,$S$5:$AJ$104,$AS$2,FALSE)</f>
        <v>#N/A</v>
      </c>
      <c r="AS66" s="6" t="e">
        <f>VLOOKUP(AQ66,$S$5:$AJ$104,$AS$2+9,FALSE)</f>
        <v>#N/A</v>
      </c>
      <c r="AT66" s="2" t="e">
        <f>VLOOKUP(AR66,$S$5:$AJ$104,$AS$2+12,FALSE)</f>
        <v>#N/A</v>
      </c>
      <c r="AU66" s="9"/>
      <c r="AV66" s="4">
        <v>62</v>
      </c>
      <c r="AW66" s="2" t="e">
        <f>VLOOKUP(AV66,$U$5:$AJ$104,$AX$2,FALSE)</f>
        <v>#N/A</v>
      </c>
      <c r="AX66" s="6" t="e">
        <f>VLOOKUP(AV66,$U$5:$AJ$104,$AX$2+7,FALSE)</f>
        <v>#N/A</v>
      </c>
      <c r="AY66" s="2" t="e">
        <f>VLOOKUP(AW66,$U$5:$AJ$104,$AX$2+11,FALSE)</f>
        <v>#N/A</v>
      </c>
      <c r="BA66" s="4">
        <v>62</v>
      </c>
      <c r="BB66" s="2" t="e">
        <f>VLOOKUP(BA66,$W$5:$AJ$104,$BC$2,FALSE)</f>
        <v>#N/A</v>
      </c>
      <c r="BC66" s="6" t="e">
        <f>VLOOKUP(BA66,$W$5:$AJ$104,$BC$2+5,FALSE)</f>
        <v>#N/A</v>
      </c>
      <c r="BD66" s="2" t="e">
        <f>VLOOKUP(BB66,$W$5:$AJ$104,$BC$2+10,FALSE)</f>
        <v>#N/A</v>
      </c>
      <c r="BE66" s="9"/>
      <c r="BF66" s="4">
        <v>62</v>
      </c>
      <c r="BG66" s="2" t="e">
        <f>VLOOKUP(BF66,$Y$5:$AJ$104,$BH$2,FALSE)</f>
        <v>#N/A</v>
      </c>
      <c r="BH66" s="6" t="e">
        <f>VLOOKUP(BF66,$Y$5:$AJ$104,$BH$2+3,FALSE)</f>
        <v>#N/A</v>
      </c>
      <c r="BI66" s="58" t="e">
        <f>VLOOKUP(BG66,$Y$5:$AJ$104,$BH$2+9,FALSE)</f>
        <v>#N/A</v>
      </c>
      <c r="BK66" s="4">
        <v>62</v>
      </c>
      <c r="BL66" s="2" t="e">
        <f>VLOOKUP(BK66,$AA$5:$AJ$104,$BM$2,FALSE)</f>
        <v>#N/A</v>
      </c>
      <c r="BM66" s="6" t="e">
        <f>VLOOKUP(BK66,$AA$5:$AJ$104,$BM$2+1,FALSE)</f>
        <v>#N/A</v>
      </c>
      <c r="BN66" s="58" t="e">
        <f>VLOOKUP(BL66,$AA$5:$AJ$104,$BM$2+8,FALSE)</f>
        <v>#N/A</v>
      </c>
      <c r="BP66" s="2" t="e">
        <f>'Eclectic A'!CD66</f>
        <v>#N/A</v>
      </c>
      <c r="BQ66" s="6" t="e">
        <f>'Eclectic A'!CE66</f>
        <v>#N/A</v>
      </c>
      <c r="BR66" s="103" t="e">
        <f>'Eclectic A'!CF66</f>
        <v>#N/A</v>
      </c>
    </row>
    <row r="67" spans="1:70">
      <c r="A67" s="10" t="str">
        <f>IF(ISBLANK(Players!A65),"",Players!A65)</f>
        <v/>
      </c>
      <c r="B67" s="10" t="str">
        <f>IF(ISBLANK(Players!B65),"",Players!B65)</f>
        <v/>
      </c>
      <c r="C67" s="10" t="str">
        <f>IF(ISBLANK(Players!D65),"",Players!D65)</f>
        <v/>
      </c>
      <c r="D67" s="69" t="str">
        <f>IF(ISNUMBER(C67),MIN((C67*Rules!$N$14/113)+(Rules!$N$13-Rules!$N$12),Rules!$N$37),"-")</f>
        <v>-</v>
      </c>
      <c r="E67" s="69" t="str">
        <f>IF(ISNUMBER(C67),    ROUND( (D67*Rules!$N$11) / 100,0),"-")</f>
        <v>-</v>
      </c>
      <c r="F67" s="36" t="str">
        <f>IF(AND(ISNUMBER(C67),C67&gt;=Rules!$M$10,C67&lt;=Rules!$N$10),"Y","N")</f>
        <v>N</v>
      </c>
      <c r="G67" s="137" t="str">
        <f>'Eclectic A'!M67</f>
        <v>-</v>
      </c>
      <c r="H67" s="137" t="str">
        <f>'Eclectic A'!W67</f>
        <v>-</v>
      </c>
      <c r="I67" s="137" t="str">
        <f>'Eclectic A'!AJ67</f>
        <v>-</v>
      </c>
      <c r="J67" s="137" t="str">
        <f>'Eclectic A'!AT67</f>
        <v>-</v>
      </c>
      <c r="K67" s="108" t="str">
        <f t="shared" si="3"/>
        <v>-</v>
      </c>
      <c r="L67" s="108" t="str">
        <f t="shared" si="4"/>
        <v>-</v>
      </c>
      <c r="M67" s="108" t="str">
        <f t="shared" si="5"/>
        <v>-</v>
      </c>
      <c r="N67" s="108" t="str">
        <f t="shared" si="6"/>
        <v>-</v>
      </c>
      <c r="O67" s="108" t="str">
        <f t="shared" si="7"/>
        <v>-</v>
      </c>
      <c r="P67" s="108" t="str">
        <f t="shared" si="8"/>
        <v>-</v>
      </c>
      <c r="Q67" s="14" t="e">
        <f>RANK($K67,$K$5:$K$104,1)+COUNTIF(K$5:K67,K67)-1</f>
        <v>#VALUE!</v>
      </c>
      <c r="R67" s="14" t="e">
        <f t="shared" si="9"/>
        <v>#VALUE!</v>
      </c>
      <c r="S67" s="14" t="e">
        <f>RANK($L67,$L$5:$L$104,1)+COUNTIF(L$5:L67,L67)-1</f>
        <v>#VALUE!</v>
      </c>
      <c r="T67" s="14" t="e">
        <f t="shared" si="10"/>
        <v>#VALUE!</v>
      </c>
      <c r="U67" s="14" t="e">
        <f>RANK($M67,$M$5:$M$104,1)+COUNTIF(M$5:M67,M67)-1</f>
        <v>#VALUE!</v>
      </c>
      <c r="V67" s="14" t="e">
        <f t="shared" si="11"/>
        <v>#VALUE!</v>
      </c>
      <c r="W67" s="14" t="e">
        <f>RANK($N67,$N$5:$N$104,1)+COUNTIF(N$5:N67,N67)-1</f>
        <v>#VALUE!</v>
      </c>
      <c r="X67" s="14" t="e">
        <f t="shared" si="12"/>
        <v>#VALUE!</v>
      </c>
      <c r="Y67" s="14" t="e">
        <f>RANK($O67,$O$5:$O$104,1)+COUNTIF(O$5:O67,O67)-1</f>
        <v>#VALUE!</v>
      </c>
      <c r="Z67" s="14" t="e">
        <f t="shared" si="13"/>
        <v>#VALUE!</v>
      </c>
      <c r="AA67" s="14" t="e">
        <f>RANK($P67,$P$5:$P$104,1)+COUNTIF(P$5:P67,P67)-1</f>
        <v>#VALUE!</v>
      </c>
      <c r="AB67" s="14" t="e">
        <f t="shared" si="14"/>
        <v>#VALUE!</v>
      </c>
      <c r="AC67" s="1" t="str">
        <f t="shared" si="22"/>
        <v xml:space="preserve"> </v>
      </c>
      <c r="AD67" s="1" t="str">
        <f t="shared" si="23"/>
        <v>-</v>
      </c>
      <c r="AE67" s="35" t="str">
        <f t="shared" si="15"/>
        <v>-</v>
      </c>
      <c r="AF67" s="35" t="str">
        <f t="shared" si="16"/>
        <v>-</v>
      </c>
      <c r="AG67" s="35" t="str">
        <f t="shared" si="17"/>
        <v>-</v>
      </c>
      <c r="AH67" s="35" t="str">
        <f t="shared" si="18"/>
        <v>-</v>
      </c>
      <c r="AI67" s="35" t="str">
        <f t="shared" si="19"/>
        <v>-</v>
      </c>
      <c r="AJ67" s="35" t="str">
        <f t="shared" si="20"/>
        <v>-</v>
      </c>
      <c r="AL67" s="4">
        <v>63</v>
      </c>
      <c r="AM67" s="2" t="e">
        <f>VLOOKUP(AL67,Q$5:$AJ$104,$AN$2,FALSE)</f>
        <v>#N/A</v>
      </c>
      <c r="AN67" s="6" t="e">
        <f>VLOOKUP(AL67,Q$5:$AJ$104,$AN$2+11,FALSE)</f>
        <v>#N/A</v>
      </c>
      <c r="AO67" s="2" t="e">
        <f t="shared" si="21"/>
        <v>#N/A</v>
      </c>
      <c r="AQ67" s="4">
        <v>63</v>
      </c>
      <c r="AR67" s="2" t="e">
        <f>VLOOKUP(AQ67,$S$5:$AJ$104,$AS$2,FALSE)</f>
        <v>#N/A</v>
      </c>
      <c r="AS67" s="6" t="e">
        <f>VLOOKUP(AQ67,$S$5:$AJ$104,$AS$2+9,FALSE)</f>
        <v>#N/A</v>
      </c>
      <c r="AT67" s="2" t="e">
        <f>VLOOKUP(AR67,$S$5:$AJ$104,$AS$2+12,FALSE)</f>
        <v>#N/A</v>
      </c>
      <c r="AU67" s="9"/>
      <c r="AV67" s="4">
        <v>63</v>
      </c>
      <c r="AW67" s="2" t="e">
        <f>VLOOKUP(AV67,$U$5:$AJ$104,$AX$2,FALSE)</f>
        <v>#N/A</v>
      </c>
      <c r="AX67" s="6" t="e">
        <f>VLOOKUP(AV67,$U$5:$AJ$104,$AX$2+7,FALSE)</f>
        <v>#N/A</v>
      </c>
      <c r="AY67" s="2" t="e">
        <f>VLOOKUP(AW67,$U$5:$AJ$104,$AX$2+11,FALSE)</f>
        <v>#N/A</v>
      </c>
      <c r="BA67" s="4">
        <v>63</v>
      </c>
      <c r="BB67" s="2" t="e">
        <f>VLOOKUP(BA67,$W$5:$AJ$104,$BC$2,FALSE)</f>
        <v>#N/A</v>
      </c>
      <c r="BC67" s="6" t="e">
        <f>VLOOKUP(BA67,$W$5:$AJ$104,$BC$2+5,FALSE)</f>
        <v>#N/A</v>
      </c>
      <c r="BD67" s="2" t="e">
        <f>VLOOKUP(BB67,$W$5:$AJ$104,$BC$2+10,FALSE)</f>
        <v>#N/A</v>
      </c>
      <c r="BE67" s="9"/>
      <c r="BF67" s="4">
        <v>63</v>
      </c>
      <c r="BG67" s="2" t="e">
        <f>VLOOKUP(BF67,$Y$5:$AJ$104,$BH$2,FALSE)</f>
        <v>#N/A</v>
      </c>
      <c r="BH67" s="6" t="e">
        <f>VLOOKUP(BF67,$Y$5:$AJ$104,$BH$2+3,FALSE)</f>
        <v>#N/A</v>
      </c>
      <c r="BI67" s="58" t="e">
        <f>VLOOKUP(BG67,$Y$5:$AJ$104,$BH$2+9,FALSE)</f>
        <v>#N/A</v>
      </c>
      <c r="BK67" s="4">
        <v>63</v>
      </c>
      <c r="BL67" s="2" t="e">
        <f>VLOOKUP(BK67,$AA$5:$AJ$104,$BM$2,FALSE)</f>
        <v>#N/A</v>
      </c>
      <c r="BM67" s="6" t="e">
        <f>VLOOKUP(BK67,$AA$5:$AJ$104,$BM$2+1,FALSE)</f>
        <v>#N/A</v>
      </c>
      <c r="BN67" s="58" t="e">
        <f>VLOOKUP(BL67,$AA$5:$AJ$104,$BM$2+8,FALSE)</f>
        <v>#N/A</v>
      </c>
      <c r="BP67" s="2" t="e">
        <f>'Eclectic A'!CD67</f>
        <v>#N/A</v>
      </c>
      <c r="BQ67" s="6" t="e">
        <f>'Eclectic A'!CE67</f>
        <v>#N/A</v>
      </c>
      <c r="BR67" s="103" t="e">
        <f>'Eclectic A'!CF67</f>
        <v>#N/A</v>
      </c>
    </row>
    <row r="68" spans="1:70">
      <c r="A68" s="10" t="str">
        <f>IF(ISBLANK(Players!A66),"",Players!A66)</f>
        <v/>
      </c>
      <c r="B68" s="10" t="str">
        <f>IF(ISBLANK(Players!B66),"",Players!B66)</f>
        <v/>
      </c>
      <c r="C68" s="10" t="str">
        <f>IF(ISBLANK(Players!D66),"",Players!D66)</f>
        <v/>
      </c>
      <c r="D68" s="69" t="str">
        <f>IF(ISNUMBER(C68),MIN((C68*Rules!$N$14/113)+(Rules!$N$13-Rules!$N$12),Rules!$N$37),"-")</f>
        <v>-</v>
      </c>
      <c r="E68" s="69" t="str">
        <f>IF(ISNUMBER(C68),    ROUND( (D68*Rules!$N$11) / 100,0),"-")</f>
        <v>-</v>
      </c>
      <c r="F68" s="36" t="str">
        <f>IF(AND(ISNUMBER(C68),C68&gt;=Rules!$M$10,C68&lt;=Rules!$N$10),"Y","N")</f>
        <v>N</v>
      </c>
      <c r="G68" s="137" t="str">
        <f>'Eclectic A'!M68</f>
        <v>-</v>
      </c>
      <c r="H68" s="137" t="str">
        <f>'Eclectic A'!W68</f>
        <v>-</v>
      </c>
      <c r="I68" s="137" t="str">
        <f>'Eclectic A'!AJ68</f>
        <v>-</v>
      </c>
      <c r="J68" s="137" t="str">
        <f>'Eclectic A'!AT68</f>
        <v>-</v>
      </c>
      <c r="K68" s="108" t="str">
        <f t="shared" si="3"/>
        <v>-</v>
      </c>
      <c r="L68" s="108" t="str">
        <f t="shared" si="4"/>
        <v>-</v>
      </c>
      <c r="M68" s="108" t="str">
        <f t="shared" si="5"/>
        <v>-</v>
      </c>
      <c r="N68" s="108" t="str">
        <f t="shared" si="6"/>
        <v>-</v>
      </c>
      <c r="O68" s="108" t="str">
        <f t="shared" si="7"/>
        <v>-</v>
      </c>
      <c r="P68" s="108" t="str">
        <f t="shared" si="8"/>
        <v>-</v>
      </c>
      <c r="Q68" s="14" t="e">
        <f>RANK($K68,$K$5:$K$104,1)+COUNTIF(K$5:K68,K68)-1</f>
        <v>#VALUE!</v>
      </c>
      <c r="R68" s="14" t="e">
        <f t="shared" si="9"/>
        <v>#VALUE!</v>
      </c>
      <c r="S68" s="14" t="e">
        <f>RANK($L68,$L$5:$L$104,1)+COUNTIF(L$5:L68,L68)-1</f>
        <v>#VALUE!</v>
      </c>
      <c r="T68" s="14" t="e">
        <f t="shared" si="10"/>
        <v>#VALUE!</v>
      </c>
      <c r="U68" s="14" t="e">
        <f>RANK($M68,$M$5:$M$104,1)+COUNTIF(M$5:M68,M68)-1</f>
        <v>#VALUE!</v>
      </c>
      <c r="V68" s="14" t="e">
        <f t="shared" si="11"/>
        <v>#VALUE!</v>
      </c>
      <c r="W68" s="14" t="e">
        <f>RANK($N68,$N$5:$N$104,1)+COUNTIF(N$5:N68,N68)-1</f>
        <v>#VALUE!</v>
      </c>
      <c r="X68" s="14" t="e">
        <f t="shared" si="12"/>
        <v>#VALUE!</v>
      </c>
      <c r="Y68" s="14" t="e">
        <f>RANK($O68,$O$5:$O$104,1)+COUNTIF(O$5:O68,O68)-1</f>
        <v>#VALUE!</v>
      </c>
      <c r="Z68" s="14" t="e">
        <f t="shared" si="13"/>
        <v>#VALUE!</v>
      </c>
      <c r="AA68" s="14" t="e">
        <f>RANK($P68,$P$5:$P$104,1)+COUNTIF(P$5:P68,P68)-1</f>
        <v>#VALUE!</v>
      </c>
      <c r="AB68" s="14" t="e">
        <f t="shared" si="14"/>
        <v>#VALUE!</v>
      </c>
      <c r="AC68" s="1" t="str">
        <f t="shared" si="22"/>
        <v xml:space="preserve"> </v>
      </c>
      <c r="AD68" s="1" t="str">
        <f t="shared" si="23"/>
        <v>-</v>
      </c>
      <c r="AE68" s="35" t="str">
        <f t="shared" si="15"/>
        <v>-</v>
      </c>
      <c r="AF68" s="35" t="str">
        <f t="shared" si="16"/>
        <v>-</v>
      </c>
      <c r="AG68" s="35" t="str">
        <f t="shared" si="17"/>
        <v>-</v>
      </c>
      <c r="AH68" s="35" t="str">
        <f t="shared" si="18"/>
        <v>-</v>
      </c>
      <c r="AI68" s="35" t="str">
        <f t="shared" si="19"/>
        <v>-</v>
      </c>
      <c r="AJ68" s="35" t="str">
        <f t="shared" si="20"/>
        <v>-</v>
      </c>
      <c r="AL68" s="4">
        <v>64</v>
      </c>
      <c r="AM68" s="2" t="e">
        <f>VLOOKUP(AL68,Q$5:$AJ$104,$AN$2,FALSE)</f>
        <v>#N/A</v>
      </c>
      <c r="AN68" s="6" t="e">
        <f>VLOOKUP(AL68,Q$5:$AJ$104,$AN$2+11,FALSE)</f>
        <v>#N/A</v>
      </c>
      <c r="AO68" s="2" t="e">
        <f t="shared" si="21"/>
        <v>#N/A</v>
      </c>
      <c r="AQ68" s="4">
        <v>64</v>
      </c>
      <c r="AR68" s="2" t="e">
        <f>VLOOKUP(AQ68,$S$5:$AJ$104,$AS$2,FALSE)</f>
        <v>#N/A</v>
      </c>
      <c r="AS68" s="6" t="e">
        <f>VLOOKUP(AQ68,$S$5:$AJ$104,$AS$2+9,FALSE)</f>
        <v>#N/A</v>
      </c>
      <c r="AT68" s="2" t="e">
        <f>VLOOKUP(AR68,$S$5:$AJ$104,$AS$2+12,FALSE)</f>
        <v>#N/A</v>
      </c>
      <c r="AU68" s="9"/>
      <c r="AV68" s="4">
        <v>64</v>
      </c>
      <c r="AW68" s="2" t="e">
        <f>VLOOKUP(AV68,$U$5:$AJ$104,$AX$2,FALSE)</f>
        <v>#N/A</v>
      </c>
      <c r="AX68" s="6" t="e">
        <f>VLOOKUP(AV68,$U$5:$AJ$104,$AX$2+7,FALSE)</f>
        <v>#N/A</v>
      </c>
      <c r="AY68" s="2" t="e">
        <f>VLOOKUP(AW68,$U$5:$AJ$104,$AX$2+11,FALSE)</f>
        <v>#N/A</v>
      </c>
      <c r="BA68" s="4">
        <v>64</v>
      </c>
      <c r="BB68" s="2" t="e">
        <f>VLOOKUP(BA68,$W$5:$AJ$104,$BC$2,FALSE)</f>
        <v>#N/A</v>
      </c>
      <c r="BC68" s="6" t="e">
        <f>VLOOKUP(BA68,$W$5:$AJ$104,$BC$2+5,FALSE)</f>
        <v>#N/A</v>
      </c>
      <c r="BD68" s="2" t="e">
        <f>VLOOKUP(BB68,$W$5:$AJ$104,$BC$2+10,FALSE)</f>
        <v>#N/A</v>
      </c>
      <c r="BE68" s="9"/>
      <c r="BF68" s="4">
        <v>64</v>
      </c>
      <c r="BG68" s="2" t="e">
        <f>VLOOKUP(BF68,$Y$5:$AJ$104,$BH$2,FALSE)</f>
        <v>#N/A</v>
      </c>
      <c r="BH68" s="6" t="e">
        <f>VLOOKUP(BF68,$Y$5:$AJ$104,$BH$2+3,FALSE)</f>
        <v>#N/A</v>
      </c>
      <c r="BI68" s="58" t="e">
        <f>VLOOKUP(BG68,$Y$5:$AJ$104,$BH$2+9,FALSE)</f>
        <v>#N/A</v>
      </c>
      <c r="BK68" s="4">
        <v>64</v>
      </c>
      <c r="BL68" s="2" t="e">
        <f>VLOOKUP(BK68,$AA$5:$AJ$104,$BM$2,FALSE)</f>
        <v>#N/A</v>
      </c>
      <c r="BM68" s="6" t="e">
        <f>VLOOKUP(BK68,$AA$5:$AJ$104,$BM$2+1,FALSE)</f>
        <v>#N/A</v>
      </c>
      <c r="BN68" s="58" t="e">
        <f>VLOOKUP(BL68,$AA$5:$AJ$104,$BM$2+8,FALSE)</f>
        <v>#N/A</v>
      </c>
      <c r="BP68" s="2" t="e">
        <f>'Eclectic A'!CD68</f>
        <v>#N/A</v>
      </c>
      <c r="BQ68" s="6" t="e">
        <f>'Eclectic A'!CE68</f>
        <v>#N/A</v>
      </c>
      <c r="BR68" s="103" t="e">
        <f>'Eclectic A'!CF68</f>
        <v>#N/A</v>
      </c>
    </row>
    <row r="69" spans="1:70">
      <c r="A69" s="10" t="str">
        <f>IF(ISBLANK(Players!A67),"",Players!A67)</f>
        <v/>
      </c>
      <c r="B69" s="10" t="str">
        <f>IF(ISBLANK(Players!B67),"",Players!B67)</f>
        <v/>
      </c>
      <c r="C69" s="10" t="str">
        <f>IF(ISBLANK(Players!D67),"",Players!D67)</f>
        <v/>
      </c>
      <c r="D69" s="69" t="str">
        <f>IF(ISNUMBER(C69),MIN((C69*Rules!$N$14/113)+(Rules!$N$13-Rules!$N$12),Rules!$N$37),"-")</f>
        <v>-</v>
      </c>
      <c r="E69" s="69" t="str">
        <f>IF(ISNUMBER(C69),    ROUND( (D69*Rules!$N$11) / 100,0),"-")</f>
        <v>-</v>
      </c>
      <c r="F69" s="36" t="str">
        <f>IF(AND(ISNUMBER(C69),C69&gt;=Rules!$M$10,C69&lt;=Rules!$N$10),"Y","N")</f>
        <v>N</v>
      </c>
      <c r="G69" s="137" t="str">
        <f>'Eclectic A'!M69</f>
        <v>-</v>
      </c>
      <c r="H69" s="137" t="str">
        <f>'Eclectic A'!W69</f>
        <v>-</v>
      </c>
      <c r="I69" s="137" t="str">
        <f>'Eclectic A'!AJ69</f>
        <v>-</v>
      </c>
      <c r="J69" s="137" t="str">
        <f>'Eclectic A'!AT69</f>
        <v>-</v>
      </c>
      <c r="K69" s="108" t="str">
        <f t="shared" si="3"/>
        <v>-</v>
      </c>
      <c r="L69" s="108" t="str">
        <f t="shared" si="4"/>
        <v>-</v>
      </c>
      <c r="M69" s="108" t="str">
        <f t="shared" si="5"/>
        <v>-</v>
      </c>
      <c r="N69" s="108" t="str">
        <f t="shared" si="6"/>
        <v>-</v>
      </c>
      <c r="O69" s="108" t="str">
        <f t="shared" si="7"/>
        <v>-</v>
      </c>
      <c r="P69" s="108" t="str">
        <f t="shared" si="8"/>
        <v>-</v>
      </c>
      <c r="Q69" s="14" t="e">
        <f>RANK($K69,$K$5:$K$104,1)+COUNTIF(K$5:K69,K69)-1</f>
        <v>#VALUE!</v>
      </c>
      <c r="R69" s="14" t="e">
        <f t="shared" si="9"/>
        <v>#VALUE!</v>
      </c>
      <c r="S69" s="14" t="e">
        <f>RANK($L69,$L$5:$L$104,1)+COUNTIF(L$5:L69,L69)-1</f>
        <v>#VALUE!</v>
      </c>
      <c r="T69" s="14" t="e">
        <f t="shared" si="10"/>
        <v>#VALUE!</v>
      </c>
      <c r="U69" s="14" t="e">
        <f>RANK($M69,$M$5:$M$104,1)+COUNTIF(M$5:M69,M69)-1</f>
        <v>#VALUE!</v>
      </c>
      <c r="V69" s="14" t="e">
        <f t="shared" si="11"/>
        <v>#VALUE!</v>
      </c>
      <c r="W69" s="14" t="e">
        <f>RANK($N69,$N$5:$N$104,1)+COUNTIF(N$5:N69,N69)-1</f>
        <v>#VALUE!</v>
      </c>
      <c r="X69" s="14" t="e">
        <f t="shared" si="12"/>
        <v>#VALUE!</v>
      </c>
      <c r="Y69" s="14" t="e">
        <f>RANK($O69,$O$5:$O$104,1)+COUNTIF(O$5:O69,O69)-1</f>
        <v>#VALUE!</v>
      </c>
      <c r="Z69" s="14" t="e">
        <f t="shared" si="13"/>
        <v>#VALUE!</v>
      </c>
      <c r="AA69" s="14" t="e">
        <f>RANK($P69,$P$5:$P$104,1)+COUNTIF(P$5:P69,P69)-1</f>
        <v>#VALUE!</v>
      </c>
      <c r="AB69" s="14" t="e">
        <f t="shared" si="14"/>
        <v>#VALUE!</v>
      </c>
      <c r="AC69" s="1" t="str">
        <f t="shared" ref="AC69:AC104" si="24">A69 &amp; " " &amp; B69</f>
        <v xml:space="preserve"> </v>
      </c>
      <c r="AD69" s="1" t="str">
        <f t="shared" ref="AD69:AD104" si="25">D69</f>
        <v>-</v>
      </c>
      <c r="AE69" s="35" t="str">
        <f t="shared" si="15"/>
        <v>-</v>
      </c>
      <c r="AF69" s="35" t="str">
        <f t="shared" si="16"/>
        <v>-</v>
      </c>
      <c r="AG69" s="35" t="str">
        <f t="shared" si="17"/>
        <v>-</v>
      </c>
      <c r="AH69" s="35" t="str">
        <f t="shared" si="18"/>
        <v>-</v>
      </c>
      <c r="AI69" s="35" t="str">
        <f t="shared" si="19"/>
        <v>-</v>
      </c>
      <c r="AJ69" s="35" t="str">
        <f t="shared" si="20"/>
        <v>-</v>
      </c>
      <c r="AL69" s="4">
        <v>65</v>
      </c>
      <c r="AM69" s="2" t="e">
        <f>VLOOKUP(AL69,Q$5:$AJ$104,$AN$2,FALSE)</f>
        <v>#N/A</v>
      </c>
      <c r="AN69" s="6" t="e">
        <f>VLOOKUP(AL69,Q$5:$AJ$104,$AN$2+11,FALSE)</f>
        <v>#N/A</v>
      </c>
      <c r="AO69" s="2" t="e">
        <f t="shared" si="21"/>
        <v>#N/A</v>
      </c>
      <c r="AQ69" s="4">
        <v>65</v>
      </c>
      <c r="AR69" s="2" t="e">
        <f>VLOOKUP(AQ69,$S$5:$AJ$104,$AS$2,FALSE)</f>
        <v>#N/A</v>
      </c>
      <c r="AS69" s="6" t="e">
        <f>VLOOKUP(AQ69,$S$5:$AJ$104,$AS$2+9,FALSE)</f>
        <v>#N/A</v>
      </c>
      <c r="AT69" s="2" t="e">
        <f>VLOOKUP(AR69,$S$5:$AJ$104,$AS$2+12,FALSE)</f>
        <v>#N/A</v>
      </c>
      <c r="AU69" s="9"/>
      <c r="AV69" s="4">
        <v>65</v>
      </c>
      <c r="AW69" s="2" t="e">
        <f>VLOOKUP(AV69,$U$5:$AJ$104,$AX$2,FALSE)</f>
        <v>#N/A</v>
      </c>
      <c r="AX69" s="6" t="e">
        <f>VLOOKUP(AV69,$U$5:$AJ$104,$AX$2+7,FALSE)</f>
        <v>#N/A</v>
      </c>
      <c r="AY69" s="2" t="e">
        <f>VLOOKUP(AW69,$U$5:$AJ$104,$AX$2+11,FALSE)</f>
        <v>#N/A</v>
      </c>
      <c r="BA69" s="4">
        <v>65</v>
      </c>
      <c r="BB69" s="2" t="e">
        <f>VLOOKUP(BA69,$W$5:$AJ$104,$BC$2,FALSE)</f>
        <v>#N/A</v>
      </c>
      <c r="BC69" s="6" t="e">
        <f>VLOOKUP(BA69,$W$5:$AJ$104,$BC$2+5,FALSE)</f>
        <v>#N/A</v>
      </c>
      <c r="BD69" s="2" t="e">
        <f>VLOOKUP(BB69,$W$5:$AJ$104,$BC$2+10,FALSE)</f>
        <v>#N/A</v>
      </c>
      <c r="BE69" s="9"/>
      <c r="BF69" s="4">
        <v>65</v>
      </c>
      <c r="BG69" s="2" t="e">
        <f>VLOOKUP(BF69,$Y$5:$AJ$104,$BH$2,FALSE)</f>
        <v>#N/A</v>
      </c>
      <c r="BH69" s="6" t="e">
        <f>VLOOKUP(BF69,$Y$5:$AJ$104,$BH$2+3,FALSE)</f>
        <v>#N/A</v>
      </c>
      <c r="BI69" s="58" t="e">
        <f>VLOOKUP(BG69,$Y$5:$AJ$104,$BH$2+9,FALSE)</f>
        <v>#N/A</v>
      </c>
      <c r="BK69" s="4">
        <v>65</v>
      </c>
      <c r="BL69" s="2" t="e">
        <f>VLOOKUP(BK69,$AA$5:$AJ$104,$BM$2,FALSE)</f>
        <v>#N/A</v>
      </c>
      <c r="BM69" s="6" t="e">
        <f>VLOOKUP(BK69,$AA$5:$AJ$104,$BM$2+1,FALSE)</f>
        <v>#N/A</v>
      </c>
      <c r="BN69" s="58" t="e">
        <f>VLOOKUP(BL69,$AA$5:$AJ$104,$BM$2+8,FALSE)</f>
        <v>#N/A</v>
      </c>
      <c r="BP69" s="2" t="e">
        <f>'Eclectic A'!CD69</f>
        <v>#N/A</v>
      </c>
      <c r="BQ69" s="6" t="e">
        <f>'Eclectic A'!CE69</f>
        <v>#N/A</v>
      </c>
      <c r="BR69" s="103" t="e">
        <f>'Eclectic A'!CF69</f>
        <v>#N/A</v>
      </c>
    </row>
    <row r="70" spans="1:70">
      <c r="A70" s="10" t="str">
        <f>IF(ISBLANK(Players!A68),"",Players!A68)</f>
        <v/>
      </c>
      <c r="B70" s="10" t="str">
        <f>IF(ISBLANK(Players!B68),"",Players!B68)</f>
        <v/>
      </c>
      <c r="C70" s="10" t="str">
        <f>IF(ISBLANK(Players!D68),"",Players!D68)</f>
        <v/>
      </c>
      <c r="D70" s="69" t="str">
        <f>IF(ISNUMBER(C70),MIN((C70*Rules!$N$14/113)+(Rules!$N$13-Rules!$N$12),Rules!$N$37),"-")</f>
        <v>-</v>
      </c>
      <c r="E70" s="69" t="str">
        <f>IF(ISNUMBER(C70),    ROUND( (D70*Rules!$N$11) / 100,0),"-")</f>
        <v>-</v>
      </c>
      <c r="F70" s="36" t="str">
        <f>IF(AND(ISNUMBER(C70),C70&gt;=Rules!$M$10,C70&lt;=Rules!$N$10),"Y","N")</f>
        <v>N</v>
      </c>
      <c r="G70" s="137" t="str">
        <f>'Eclectic A'!M70</f>
        <v>-</v>
      </c>
      <c r="H70" s="137" t="str">
        <f>'Eclectic A'!W70</f>
        <v>-</v>
      </c>
      <c r="I70" s="137" t="str">
        <f>'Eclectic A'!AJ70</f>
        <v>-</v>
      </c>
      <c r="J70" s="137" t="str">
        <f>'Eclectic A'!AT70</f>
        <v>-</v>
      </c>
      <c r="K70" s="108" t="str">
        <f t="shared" ref="K70:K104" si="26">IF(AND(ISNUMBER(G70), ISNUMBER(H70)),G70+H70,"-")</f>
        <v>-</v>
      </c>
      <c r="L70" s="108" t="str">
        <f t="shared" ref="L70:L104" si="27">IF(AND(ISNUMBER(G70), ISNUMBER(H70)),K70-E70,"-")</f>
        <v>-</v>
      </c>
      <c r="M70" s="108" t="str">
        <f t="shared" ref="M70:M104" si="28">IF(AND(ISNUMBER(I70), ISNUMBER(J70)),I70+J70,"-")</f>
        <v>-</v>
      </c>
      <c r="N70" s="108" t="str">
        <f t="shared" ref="N70:N104" si="29">IF(AND(ISNUMBER(I70), ISNUMBER(J70)),M70-E70,"-")</f>
        <v>-</v>
      </c>
      <c r="O70" s="108" t="str">
        <f t="shared" ref="O70:O104" si="30">IF(AND(ISNUMBER(K70), ISNUMBER(M70)),K70+M70,"-")</f>
        <v>-</v>
      </c>
      <c r="P70" s="108" t="str">
        <f t="shared" ref="P70:P104" si="31">IF(AND(ISNUMBER(L70), ISNUMBER(N70)),L70+N70,"-")</f>
        <v>-</v>
      </c>
      <c r="Q70" s="14" t="e">
        <f>RANK($K70,$K$5:$K$104,1)+COUNTIF(K$5:K70,K70)-1</f>
        <v>#VALUE!</v>
      </c>
      <c r="R70" s="14" t="e">
        <f t="shared" ref="R70:R104" si="32">RANK($K70,$K$5:$K$105,1)</f>
        <v>#VALUE!</v>
      </c>
      <c r="S70" s="14" t="e">
        <f>RANK($L70,$L$5:$L$104,1)+COUNTIF(L$5:L70,L70)-1</f>
        <v>#VALUE!</v>
      </c>
      <c r="T70" s="14" t="e">
        <f t="shared" ref="T70:T104" si="33">RANK($L70,$L$5:$L$105,1)</f>
        <v>#VALUE!</v>
      </c>
      <c r="U70" s="14" t="e">
        <f>RANK($M70,$M$5:$M$104,1)+COUNTIF(M$5:M70,M70)-1</f>
        <v>#VALUE!</v>
      </c>
      <c r="V70" s="14" t="e">
        <f t="shared" ref="V70:V104" si="34">RANK($M70,$M$5:$M$105,1)</f>
        <v>#VALUE!</v>
      </c>
      <c r="W70" s="14" t="e">
        <f>RANK($N70,$N$5:$N$104,1)+COUNTIF(N$5:N70,N70)-1</f>
        <v>#VALUE!</v>
      </c>
      <c r="X70" s="14" t="e">
        <f t="shared" ref="X70:X104" si="35">RANK($N70,$N$5:$N$105,1)</f>
        <v>#VALUE!</v>
      </c>
      <c r="Y70" s="14" t="e">
        <f>RANK($O70,$O$5:$O$104,1)+COUNTIF(O$5:O70,O70)-1</f>
        <v>#VALUE!</v>
      </c>
      <c r="Z70" s="14" t="e">
        <f t="shared" ref="Z70:Z104" si="36">RANK($O70,$O$5:$O$105,1)</f>
        <v>#VALUE!</v>
      </c>
      <c r="AA70" s="14" t="e">
        <f>RANK($P70,$P$5:$P$104,1)+COUNTIF(P$5:P70,P70)-1</f>
        <v>#VALUE!</v>
      </c>
      <c r="AB70" s="14" t="e">
        <f t="shared" ref="AB70:AB104" si="37">RANK($P70,$P$5:$P$105,1)</f>
        <v>#VALUE!</v>
      </c>
      <c r="AC70" s="1" t="str">
        <f t="shared" si="24"/>
        <v xml:space="preserve"> </v>
      </c>
      <c r="AD70" s="1" t="str">
        <f t="shared" si="25"/>
        <v>-</v>
      </c>
      <c r="AE70" s="35" t="str">
        <f t="shared" ref="AE70:AE104" si="38">K70</f>
        <v>-</v>
      </c>
      <c r="AF70" s="35" t="str">
        <f t="shared" ref="AF70:AF104" si="39">L70</f>
        <v>-</v>
      </c>
      <c r="AG70" s="35" t="str">
        <f t="shared" ref="AG70:AG104" si="40">M70</f>
        <v>-</v>
      </c>
      <c r="AH70" s="35" t="str">
        <f t="shared" ref="AH70:AH104" si="41">N70</f>
        <v>-</v>
      </c>
      <c r="AI70" s="35" t="str">
        <f t="shared" ref="AI70:AI104" si="42">O70</f>
        <v>-</v>
      </c>
      <c r="AJ70" s="35" t="str">
        <f t="shared" ref="AJ70:AJ104" si="43">P70</f>
        <v>-</v>
      </c>
      <c r="AL70" s="4">
        <v>66</v>
      </c>
      <c r="AM70" s="2" t="e">
        <f>VLOOKUP(AL70,Q$5:$AJ$104,$AN$2,FALSE)</f>
        <v>#N/A</v>
      </c>
      <c r="AN70" s="6" t="e">
        <f>VLOOKUP(AL70,Q$5:$AJ$104,$AN$2+11,FALSE)</f>
        <v>#N/A</v>
      </c>
      <c r="AO70" s="2" t="e">
        <f t="shared" ref="AO70:AO104" si="44">VLOOKUP(AM70,$Q$5:$AJ$104,$AN$2+13,FALSE)</f>
        <v>#N/A</v>
      </c>
      <c r="AQ70" s="4">
        <v>66</v>
      </c>
      <c r="AR70" s="2" t="e">
        <f>VLOOKUP(AQ70,$S$5:$AJ$104,$AS$2,FALSE)</f>
        <v>#N/A</v>
      </c>
      <c r="AS70" s="6" t="e">
        <f>VLOOKUP(AQ70,$S$5:$AJ$104,$AS$2+9,FALSE)</f>
        <v>#N/A</v>
      </c>
      <c r="AT70" s="2" t="e">
        <f>VLOOKUP(AR70,$S$5:$AJ$104,$AS$2+12,FALSE)</f>
        <v>#N/A</v>
      </c>
      <c r="AU70" s="9"/>
      <c r="AV70" s="4">
        <v>66</v>
      </c>
      <c r="AW70" s="2" t="e">
        <f>VLOOKUP(AV70,$U$5:$AJ$104,$AX$2,FALSE)</f>
        <v>#N/A</v>
      </c>
      <c r="AX70" s="6" t="e">
        <f>VLOOKUP(AV70,$U$5:$AJ$104,$AX$2+7,FALSE)</f>
        <v>#N/A</v>
      </c>
      <c r="AY70" s="2" t="e">
        <f>VLOOKUP(AW70,$U$5:$AJ$104,$AX$2+11,FALSE)</f>
        <v>#N/A</v>
      </c>
      <c r="BA70" s="4">
        <v>66</v>
      </c>
      <c r="BB70" s="2" t="e">
        <f>VLOOKUP(BA70,$W$5:$AJ$104,$BC$2,FALSE)</f>
        <v>#N/A</v>
      </c>
      <c r="BC70" s="6" t="e">
        <f>VLOOKUP(BA70,$W$5:$AJ$104,$BC$2+5,FALSE)</f>
        <v>#N/A</v>
      </c>
      <c r="BD70" s="2" t="e">
        <f>VLOOKUP(BB70,$W$5:$AJ$104,$BC$2+10,FALSE)</f>
        <v>#N/A</v>
      </c>
      <c r="BE70" s="9"/>
      <c r="BF70" s="4">
        <v>66</v>
      </c>
      <c r="BG70" s="2" t="e">
        <f>VLOOKUP(BF70,$Y$5:$AJ$104,$BH$2,FALSE)</f>
        <v>#N/A</v>
      </c>
      <c r="BH70" s="6" t="e">
        <f>VLOOKUP(BF70,$Y$5:$AJ$104,$BH$2+3,FALSE)</f>
        <v>#N/A</v>
      </c>
      <c r="BI70" s="58" t="e">
        <f>VLOOKUP(BG70,$Y$5:$AJ$104,$BH$2+9,FALSE)</f>
        <v>#N/A</v>
      </c>
      <c r="BK70" s="4">
        <v>66</v>
      </c>
      <c r="BL70" s="2" t="e">
        <f>VLOOKUP(BK70,$AA$5:$AJ$104,$BM$2,FALSE)</f>
        <v>#N/A</v>
      </c>
      <c r="BM70" s="6" t="e">
        <f>VLOOKUP(BK70,$AA$5:$AJ$104,$BM$2+1,FALSE)</f>
        <v>#N/A</v>
      </c>
      <c r="BN70" s="58" t="e">
        <f>VLOOKUP(BL70,$AA$5:$AJ$104,$BM$2+8,FALSE)</f>
        <v>#N/A</v>
      </c>
      <c r="BP70" s="2" t="e">
        <f>'Eclectic A'!CD70</f>
        <v>#N/A</v>
      </c>
      <c r="BQ70" s="6" t="e">
        <f>'Eclectic A'!CE70</f>
        <v>#N/A</v>
      </c>
      <c r="BR70" s="103" t="e">
        <f>'Eclectic A'!CF70</f>
        <v>#N/A</v>
      </c>
    </row>
    <row r="71" spans="1:70">
      <c r="A71" s="10" t="str">
        <f>IF(ISBLANK(Players!A69),"",Players!A69)</f>
        <v/>
      </c>
      <c r="B71" s="10" t="str">
        <f>IF(ISBLANK(Players!B69),"",Players!B69)</f>
        <v/>
      </c>
      <c r="C71" s="10" t="str">
        <f>IF(ISBLANK(Players!D69),"",Players!D69)</f>
        <v/>
      </c>
      <c r="D71" s="69" t="str">
        <f>IF(ISNUMBER(C71),MIN((C71*Rules!$N$14/113)+(Rules!$N$13-Rules!$N$12),Rules!$N$37),"-")</f>
        <v>-</v>
      </c>
      <c r="E71" s="69" t="str">
        <f>IF(ISNUMBER(C71),    ROUND( (D71*Rules!$N$11) / 100,0),"-")</f>
        <v>-</v>
      </c>
      <c r="F71" s="36" t="str">
        <f>IF(AND(ISNUMBER(C71),C71&gt;=Rules!$M$10,C71&lt;=Rules!$N$10),"Y","N")</f>
        <v>N</v>
      </c>
      <c r="G71" s="137" t="str">
        <f>'Eclectic A'!M71</f>
        <v>-</v>
      </c>
      <c r="H71" s="137" t="str">
        <f>'Eclectic A'!W71</f>
        <v>-</v>
      </c>
      <c r="I71" s="137" t="str">
        <f>'Eclectic A'!AJ71</f>
        <v>-</v>
      </c>
      <c r="J71" s="137" t="str">
        <f>'Eclectic A'!AT71</f>
        <v>-</v>
      </c>
      <c r="K71" s="108" t="str">
        <f t="shared" si="26"/>
        <v>-</v>
      </c>
      <c r="L71" s="108" t="str">
        <f t="shared" si="27"/>
        <v>-</v>
      </c>
      <c r="M71" s="108" t="str">
        <f t="shared" si="28"/>
        <v>-</v>
      </c>
      <c r="N71" s="108" t="str">
        <f t="shared" si="29"/>
        <v>-</v>
      </c>
      <c r="O71" s="108" t="str">
        <f t="shared" si="30"/>
        <v>-</v>
      </c>
      <c r="P71" s="108" t="str">
        <f t="shared" si="31"/>
        <v>-</v>
      </c>
      <c r="Q71" s="14" t="e">
        <f>RANK($K71,$K$5:$K$104,1)+COUNTIF(K$5:K71,K71)-1</f>
        <v>#VALUE!</v>
      </c>
      <c r="R71" s="14" t="e">
        <f t="shared" si="32"/>
        <v>#VALUE!</v>
      </c>
      <c r="S71" s="14" t="e">
        <f>RANK($L71,$L$5:$L$104,1)+COUNTIF(L$5:L71,L71)-1</f>
        <v>#VALUE!</v>
      </c>
      <c r="T71" s="14" t="e">
        <f t="shared" si="33"/>
        <v>#VALUE!</v>
      </c>
      <c r="U71" s="14" t="e">
        <f>RANK($M71,$M$5:$M$104,1)+COUNTIF(M$5:M71,M71)-1</f>
        <v>#VALUE!</v>
      </c>
      <c r="V71" s="14" t="e">
        <f t="shared" si="34"/>
        <v>#VALUE!</v>
      </c>
      <c r="W71" s="14" t="e">
        <f>RANK($N71,$N$5:$N$104,1)+COUNTIF(N$5:N71,N71)-1</f>
        <v>#VALUE!</v>
      </c>
      <c r="X71" s="14" t="e">
        <f t="shared" si="35"/>
        <v>#VALUE!</v>
      </c>
      <c r="Y71" s="14" t="e">
        <f>RANK($O71,$O$5:$O$104,1)+COUNTIF(O$5:O71,O71)-1</f>
        <v>#VALUE!</v>
      </c>
      <c r="Z71" s="14" t="e">
        <f t="shared" si="36"/>
        <v>#VALUE!</v>
      </c>
      <c r="AA71" s="14" t="e">
        <f>RANK($P71,$P$5:$P$104,1)+COUNTIF(P$5:P71,P71)-1</f>
        <v>#VALUE!</v>
      </c>
      <c r="AB71" s="14" t="e">
        <f t="shared" si="37"/>
        <v>#VALUE!</v>
      </c>
      <c r="AC71" s="1" t="str">
        <f t="shared" si="24"/>
        <v xml:space="preserve"> </v>
      </c>
      <c r="AD71" s="1" t="str">
        <f t="shared" si="25"/>
        <v>-</v>
      </c>
      <c r="AE71" s="35" t="str">
        <f t="shared" si="38"/>
        <v>-</v>
      </c>
      <c r="AF71" s="35" t="str">
        <f t="shared" si="39"/>
        <v>-</v>
      </c>
      <c r="AG71" s="35" t="str">
        <f t="shared" si="40"/>
        <v>-</v>
      </c>
      <c r="AH71" s="35" t="str">
        <f t="shared" si="41"/>
        <v>-</v>
      </c>
      <c r="AI71" s="35" t="str">
        <f t="shared" si="42"/>
        <v>-</v>
      </c>
      <c r="AJ71" s="35" t="str">
        <f t="shared" si="43"/>
        <v>-</v>
      </c>
      <c r="AL71" s="4">
        <v>67</v>
      </c>
      <c r="AM71" s="2" t="e">
        <f>VLOOKUP(AL71,Q$5:$AJ$104,$AN$2,FALSE)</f>
        <v>#N/A</v>
      </c>
      <c r="AN71" s="6" t="e">
        <f>VLOOKUP(AL71,Q$5:$AJ$104,$AN$2+11,FALSE)</f>
        <v>#N/A</v>
      </c>
      <c r="AO71" s="2" t="e">
        <f t="shared" si="44"/>
        <v>#N/A</v>
      </c>
      <c r="AQ71" s="4">
        <v>67</v>
      </c>
      <c r="AR71" s="2" t="e">
        <f>VLOOKUP(AQ71,$S$5:$AJ$104,$AS$2,FALSE)</f>
        <v>#N/A</v>
      </c>
      <c r="AS71" s="6" t="e">
        <f>VLOOKUP(AQ71,$S$5:$AJ$104,$AS$2+9,FALSE)</f>
        <v>#N/A</v>
      </c>
      <c r="AT71" s="2" t="e">
        <f>VLOOKUP(AR71,$S$5:$AJ$104,$AS$2+12,FALSE)</f>
        <v>#N/A</v>
      </c>
      <c r="AU71" s="9"/>
      <c r="AV71" s="4">
        <v>67</v>
      </c>
      <c r="AW71" s="2" t="e">
        <f>VLOOKUP(AV71,$U$5:$AJ$104,$AX$2,FALSE)</f>
        <v>#N/A</v>
      </c>
      <c r="AX71" s="6" t="e">
        <f>VLOOKUP(AV71,$U$5:$AJ$104,$AX$2+7,FALSE)</f>
        <v>#N/A</v>
      </c>
      <c r="AY71" s="2" t="e">
        <f>VLOOKUP(AW71,$U$5:$AJ$104,$AX$2+11,FALSE)</f>
        <v>#N/A</v>
      </c>
      <c r="BA71" s="4">
        <v>67</v>
      </c>
      <c r="BB71" s="2" t="e">
        <f>VLOOKUP(BA71,$W$5:$AJ$104,$BC$2,FALSE)</f>
        <v>#N/A</v>
      </c>
      <c r="BC71" s="6" t="e">
        <f>VLOOKUP(BA71,$W$5:$AJ$104,$BC$2+5,FALSE)</f>
        <v>#N/A</v>
      </c>
      <c r="BD71" s="2" t="e">
        <f>VLOOKUP(BB71,$W$5:$AJ$104,$BC$2+10,FALSE)</f>
        <v>#N/A</v>
      </c>
      <c r="BE71" s="9"/>
      <c r="BF71" s="4">
        <v>67</v>
      </c>
      <c r="BG71" s="2" t="e">
        <f>VLOOKUP(BF71,$Y$5:$AJ$104,$BH$2,FALSE)</f>
        <v>#N/A</v>
      </c>
      <c r="BH71" s="6" t="e">
        <f>VLOOKUP(BF71,$Y$5:$AJ$104,$BH$2+3,FALSE)</f>
        <v>#N/A</v>
      </c>
      <c r="BI71" s="58" t="e">
        <f>VLOOKUP(BG71,$Y$5:$AJ$104,$BH$2+9,FALSE)</f>
        <v>#N/A</v>
      </c>
      <c r="BK71" s="4">
        <v>67</v>
      </c>
      <c r="BL71" s="2" t="e">
        <f>VLOOKUP(BK71,$AA$5:$AJ$104,$BM$2,FALSE)</f>
        <v>#N/A</v>
      </c>
      <c r="BM71" s="6" t="e">
        <f>VLOOKUP(BK71,$AA$5:$AJ$104,$BM$2+1,FALSE)</f>
        <v>#N/A</v>
      </c>
      <c r="BN71" s="58" t="e">
        <f>VLOOKUP(BL71,$AA$5:$AJ$104,$BM$2+8,FALSE)</f>
        <v>#N/A</v>
      </c>
      <c r="BP71" s="2" t="e">
        <f>'Eclectic A'!CD71</f>
        <v>#N/A</v>
      </c>
      <c r="BQ71" s="6" t="e">
        <f>'Eclectic A'!CE71</f>
        <v>#N/A</v>
      </c>
      <c r="BR71" s="103" t="e">
        <f>'Eclectic A'!CF71</f>
        <v>#N/A</v>
      </c>
    </row>
    <row r="72" spans="1:70">
      <c r="A72" s="10" t="str">
        <f>IF(ISBLANK(Players!A70),"",Players!A70)</f>
        <v/>
      </c>
      <c r="B72" s="10" t="str">
        <f>IF(ISBLANK(Players!B70),"",Players!B70)</f>
        <v/>
      </c>
      <c r="C72" s="10" t="str">
        <f>IF(ISBLANK(Players!D70),"",Players!D70)</f>
        <v/>
      </c>
      <c r="D72" s="69" t="str">
        <f>IF(ISNUMBER(C72),MIN((C72*Rules!$N$14/113)+(Rules!$N$13-Rules!$N$12),Rules!$N$37),"-")</f>
        <v>-</v>
      </c>
      <c r="E72" s="69" t="str">
        <f>IF(ISNUMBER(C72),    ROUND( (D72*Rules!$N$11) / 100,0),"-")</f>
        <v>-</v>
      </c>
      <c r="F72" s="36" t="str">
        <f>IF(AND(ISNUMBER(C72),C72&gt;=Rules!$M$10,C72&lt;=Rules!$N$10),"Y","N")</f>
        <v>N</v>
      </c>
      <c r="G72" s="137" t="str">
        <f>'Eclectic A'!M72</f>
        <v>-</v>
      </c>
      <c r="H72" s="137" t="str">
        <f>'Eclectic A'!W72</f>
        <v>-</v>
      </c>
      <c r="I72" s="137" t="str">
        <f>'Eclectic A'!AJ72</f>
        <v>-</v>
      </c>
      <c r="J72" s="137" t="str">
        <f>'Eclectic A'!AT72</f>
        <v>-</v>
      </c>
      <c r="K72" s="108" t="str">
        <f t="shared" si="26"/>
        <v>-</v>
      </c>
      <c r="L72" s="108" t="str">
        <f t="shared" si="27"/>
        <v>-</v>
      </c>
      <c r="M72" s="108" t="str">
        <f t="shared" si="28"/>
        <v>-</v>
      </c>
      <c r="N72" s="108" t="str">
        <f t="shared" si="29"/>
        <v>-</v>
      </c>
      <c r="O72" s="108" t="str">
        <f t="shared" si="30"/>
        <v>-</v>
      </c>
      <c r="P72" s="108" t="str">
        <f t="shared" si="31"/>
        <v>-</v>
      </c>
      <c r="Q72" s="14" t="e">
        <f>RANK($K72,$K$5:$K$104,1)+COUNTIF(K$5:K72,K72)-1</f>
        <v>#VALUE!</v>
      </c>
      <c r="R72" s="14" t="e">
        <f t="shared" si="32"/>
        <v>#VALUE!</v>
      </c>
      <c r="S72" s="14" t="e">
        <f>RANK($L72,$L$5:$L$104,1)+COUNTIF(L$5:L72,L72)-1</f>
        <v>#VALUE!</v>
      </c>
      <c r="T72" s="14" t="e">
        <f t="shared" si="33"/>
        <v>#VALUE!</v>
      </c>
      <c r="U72" s="14" t="e">
        <f>RANK($M72,$M$5:$M$104,1)+COUNTIF(M$5:M72,M72)-1</f>
        <v>#VALUE!</v>
      </c>
      <c r="V72" s="14" t="e">
        <f t="shared" si="34"/>
        <v>#VALUE!</v>
      </c>
      <c r="W72" s="14" t="e">
        <f>RANK($N72,$N$5:$N$104,1)+COUNTIF(N$5:N72,N72)-1</f>
        <v>#VALUE!</v>
      </c>
      <c r="X72" s="14" t="e">
        <f t="shared" si="35"/>
        <v>#VALUE!</v>
      </c>
      <c r="Y72" s="14" t="e">
        <f>RANK($O72,$O$5:$O$104,1)+COUNTIF(O$5:O72,O72)-1</f>
        <v>#VALUE!</v>
      </c>
      <c r="Z72" s="14" t="e">
        <f t="shared" si="36"/>
        <v>#VALUE!</v>
      </c>
      <c r="AA72" s="14" t="e">
        <f>RANK($P72,$P$5:$P$104,1)+COUNTIF(P$5:P72,P72)-1</f>
        <v>#VALUE!</v>
      </c>
      <c r="AB72" s="14" t="e">
        <f t="shared" si="37"/>
        <v>#VALUE!</v>
      </c>
      <c r="AC72" s="1" t="str">
        <f t="shared" si="24"/>
        <v xml:space="preserve"> </v>
      </c>
      <c r="AD72" s="1" t="str">
        <f t="shared" si="25"/>
        <v>-</v>
      </c>
      <c r="AE72" s="35" t="str">
        <f t="shared" si="38"/>
        <v>-</v>
      </c>
      <c r="AF72" s="35" t="str">
        <f t="shared" si="39"/>
        <v>-</v>
      </c>
      <c r="AG72" s="35" t="str">
        <f t="shared" si="40"/>
        <v>-</v>
      </c>
      <c r="AH72" s="35" t="str">
        <f t="shared" si="41"/>
        <v>-</v>
      </c>
      <c r="AI72" s="35" t="str">
        <f t="shared" si="42"/>
        <v>-</v>
      </c>
      <c r="AJ72" s="35" t="str">
        <f t="shared" si="43"/>
        <v>-</v>
      </c>
      <c r="AL72" s="4">
        <v>68</v>
      </c>
      <c r="AM72" s="2" t="e">
        <f>VLOOKUP(AL72,Q$5:$AJ$104,$AN$2,FALSE)</f>
        <v>#N/A</v>
      </c>
      <c r="AN72" s="6" t="e">
        <f>VLOOKUP(AL72,Q$5:$AJ$104,$AN$2+11,FALSE)</f>
        <v>#N/A</v>
      </c>
      <c r="AO72" s="2" t="e">
        <f t="shared" si="44"/>
        <v>#N/A</v>
      </c>
      <c r="AQ72" s="4">
        <v>68</v>
      </c>
      <c r="AR72" s="2" t="e">
        <f>VLOOKUP(AQ72,$S$5:$AJ$104,$AS$2,FALSE)</f>
        <v>#N/A</v>
      </c>
      <c r="AS72" s="6" t="e">
        <f>VLOOKUP(AQ72,$S$5:$AJ$104,$AS$2+9,FALSE)</f>
        <v>#N/A</v>
      </c>
      <c r="AT72" s="2" t="e">
        <f>VLOOKUP(AR72,$S$5:$AJ$104,$AS$2+12,FALSE)</f>
        <v>#N/A</v>
      </c>
      <c r="AU72" s="9"/>
      <c r="AV72" s="4">
        <v>68</v>
      </c>
      <c r="AW72" s="2" t="e">
        <f>VLOOKUP(AV72,$U$5:$AJ$104,$AX$2,FALSE)</f>
        <v>#N/A</v>
      </c>
      <c r="AX72" s="6" t="e">
        <f>VLOOKUP(AV72,$U$5:$AJ$104,$AX$2+7,FALSE)</f>
        <v>#N/A</v>
      </c>
      <c r="AY72" s="2" t="e">
        <f>VLOOKUP(AW72,$U$5:$AJ$104,$AX$2+11,FALSE)</f>
        <v>#N/A</v>
      </c>
      <c r="BA72" s="4">
        <v>68</v>
      </c>
      <c r="BB72" s="2" t="e">
        <f>VLOOKUP(BA72,$W$5:$AJ$104,$BC$2,FALSE)</f>
        <v>#N/A</v>
      </c>
      <c r="BC72" s="6" t="e">
        <f>VLOOKUP(BA72,$W$5:$AJ$104,$BC$2+5,FALSE)</f>
        <v>#N/A</v>
      </c>
      <c r="BD72" s="2" t="e">
        <f>VLOOKUP(BB72,$W$5:$AJ$104,$BC$2+10,FALSE)</f>
        <v>#N/A</v>
      </c>
      <c r="BE72" s="9"/>
      <c r="BF72" s="4">
        <v>68</v>
      </c>
      <c r="BG72" s="2" t="e">
        <f>VLOOKUP(BF72,$Y$5:$AJ$104,$BH$2,FALSE)</f>
        <v>#N/A</v>
      </c>
      <c r="BH72" s="6" t="e">
        <f>VLOOKUP(BF72,$Y$5:$AJ$104,$BH$2+3,FALSE)</f>
        <v>#N/A</v>
      </c>
      <c r="BI72" s="58" t="e">
        <f>VLOOKUP(BG72,$Y$5:$AJ$104,$BH$2+9,FALSE)</f>
        <v>#N/A</v>
      </c>
      <c r="BK72" s="4">
        <v>68</v>
      </c>
      <c r="BL72" s="2" t="e">
        <f>VLOOKUP(BK72,$AA$5:$AJ$104,$BM$2,FALSE)</f>
        <v>#N/A</v>
      </c>
      <c r="BM72" s="6" t="e">
        <f>VLOOKUP(BK72,$AA$5:$AJ$104,$BM$2+1,FALSE)</f>
        <v>#N/A</v>
      </c>
      <c r="BN72" s="58" t="e">
        <f>VLOOKUP(BL72,$AA$5:$AJ$104,$BM$2+8,FALSE)</f>
        <v>#N/A</v>
      </c>
      <c r="BP72" s="2" t="e">
        <f>'Eclectic A'!CD72</f>
        <v>#N/A</v>
      </c>
      <c r="BQ72" s="6" t="e">
        <f>'Eclectic A'!CE72</f>
        <v>#N/A</v>
      </c>
      <c r="BR72" s="103" t="e">
        <f>'Eclectic A'!CF72</f>
        <v>#N/A</v>
      </c>
    </row>
    <row r="73" spans="1:70">
      <c r="A73" s="10" t="str">
        <f>IF(ISBLANK(Players!A71),"",Players!A71)</f>
        <v/>
      </c>
      <c r="B73" s="10" t="str">
        <f>IF(ISBLANK(Players!B71),"",Players!B71)</f>
        <v/>
      </c>
      <c r="C73" s="10" t="str">
        <f>IF(ISBLANK(Players!D71),"",Players!D71)</f>
        <v/>
      </c>
      <c r="D73" s="69" t="str">
        <f>IF(ISNUMBER(C73),MIN((C73*Rules!$N$14/113)+(Rules!$N$13-Rules!$N$12),Rules!$N$37),"-")</f>
        <v>-</v>
      </c>
      <c r="E73" s="69" t="str">
        <f>IF(ISNUMBER(C73),    ROUND( (D73*Rules!$N$11) / 100,0),"-")</f>
        <v>-</v>
      </c>
      <c r="F73" s="36" t="str">
        <f>IF(AND(ISNUMBER(C73),C73&gt;=Rules!$M$10,C73&lt;=Rules!$N$10),"Y","N")</f>
        <v>N</v>
      </c>
      <c r="G73" s="137" t="str">
        <f>'Eclectic A'!M73</f>
        <v>-</v>
      </c>
      <c r="H73" s="137" t="str">
        <f>'Eclectic A'!W73</f>
        <v>-</v>
      </c>
      <c r="I73" s="137" t="str">
        <f>'Eclectic A'!AJ73</f>
        <v>-</v>
      </c>
      <c r="J73" s="137" t="str">
        <f>'Eclectic A'!AT73</f>
        <v>-</v>
      </c>
      <c r="K73" s="108" t="str">
        <f t="shared" si="26"/>
        <v>-</v>
      </c>
      <c r="L73" s="108" t="str">
        <f t="shared" si="27"/>
        <v>-</v>
      </c>
      <c r="M73" s="108" t="str">
        <f t="shared" si="28"/>
        <v>-</v>
      </c>
      <c r="N73" s="108" t="str">
        <f t="shared" si="29"/>
        <v>-</v>
      </c>
      <c r="O73" s="108" t="str">
        <f t="shared" si="30"/>
        <v>-</v>
      </c>
      <c r="P73" s="108" t="str">
        <f t="shared" si="31"/>
        <v>-</v>
      </c>
      <c r="Q73" s="14" t="e">
        <f>RANK($K73,$K$5:$K$104,1)+COUNTIF(K$5:K73,K73)-1</f>
        <v>#VALUE!</v>
      </c>
      <c r="R73" s="14" t="e">
        <f t="shared" si="32"/>
        <v>#VALUE!</v>
      </c>
      <c r="S73" s="14" t="e">
        <f>RANK($L73,$L$5:$L$104,1)+COUNTIF(L$5:L73,L73)-1</f>
        <v>#VALUE!</v>
      </c>
      <c r="T73" s="14" t="e">
        <f t="shared" si="33"/>
        <v>#VALUE!</v>
      </c>
      <c r="U73" s="14" t="e">
        <f>RANK($M73,$M$5:$M$104,1)+COUNTIF(M$5:M73,M73)-1</f>
        <v>#VALUE!</v>
      </c>
      <c r="V73" s="14" t="e">
        <f t="shared" si="34"/>
        <v>#VALUE!</v>
      </c>
      <c r="W73" s="14" t="e">
        <f>RANK($N73,$N$5:$N$104,1)+COUNTIF(N$5:N73,N73)-1</f>
        <v>#VALUE!</v>
      </c>
      <c r="X73" s="14" t="e">
        <f t="shared" si="35"/>
        <v>#VALUE!</v>
      </c>
      <c r="Y73" s="14" t="e">
        <f>RANK($O73,$O$5:$O$104,1)+COUNTIF(O$5:O73,O73)-1</f>
        <v>#VALUE!</v>
      </c>
      <c r="Z73" s="14" t="e">
        <f t="shared" si="36"/>
        <v>#VALUE!</v>
      </c>
      <c r="AA73" s="14" t="e">
        <f>RANK($P73,$P$5:$P$104,1)+COUNTIF(P$5:P73,P73)-1</f>
        <v>#VALUE!</v>
      </c>
      <c r="AB73" s="14" t="e">
        <f t="shared" si="37"/>
        <v>#VALUE!</v>
      </c>
      <c r="AC73" s="1" t="str">
        <f t="shared" si="24"/>
        <v xml:space="preserve"> </v>
      </c>
      <c r="AD73" s="1" t="str">
        <f t="shared" si="25"/>
        <v>-</v>
      </c>
      <c r="AE73" s="35" t="str">
        <f t="shared" si="38"/>
        <v>-</v>
      </c>
      <c r="AF73" s="35" t="str">
        <f t="shared" si="39"/>
        <v>-</v>
      </c>
      <c r="AG73" s="35" t="str">
        <f t="shared" si="40"/>
        <v>-</v>
      </c>
      <c r="AH73" s="35" t="str">
        <f t="shared" si="41"/>
        <v>-</v>
      </c>
      <c r="AI73" s="35" t="str">
        <f t="shared" si="42"/>
        <v>-</v>
      </c>
      <c r="AJ73" s="35" t="str">
        <f t="shared" si="43"/>
        <v>-</v>
      </c>
      <c r="AL73" s="4">
        <v>69</v>
      </c>
      <c r="AM73" s="2" t="e">
        <f>VLOOKUP(AL73,Q$5:$AJ$104,$AN$2,FALSE)</f>
        <v>#N/A</v>
      </c>
      <c r="AN73" s="6" t="e">
        <f>VLOOKUP(AL73,Q$5:$AJ$104,$AN$2+11,FALSE)</f>
        <v>#N/A</v>
      </c>
      <c r="AO73" s="2" t="e">
        <f t="shared" si="44"/>
        <v>#N/A</v>
      </c>
      <c r="AQ73" s="4">
        <v>69</v>
      </c>
      <c r="AR73" s="2" t="e">
        <f>VLOOKUP(AQ73,$S$5:$AJ$104,$AS$2,FALSE)</f>
        <v>#N/A</v>
      </c>
      <c r="AS73" s="6" t="e">
        <f>VLOOKUP(AQ73,$S$5:$AJ$104,$AS$2+9,FALSE)</f>
        <v>#N/A</v>
      </c>
      <c r="AT73" s="2" t="e">
        <f>VLOOKUP(AR73,$S$5:$AJ$104,$AS$2+12,FALSE)</f>
        <v>#N/A</v>
      </c>
      <c r="AU73" s="9"/>
      <c r="AV73" s="4">
        <v>69</v>
      </c>
      <c r="AW73" s="2" t="e">
        <f>VLOOKUP(AV73,$U$5:$AJ$104,$AX$2,FALSE)</f>
        <v>#N/A</v>
      </c>
      <c r="AX73" s="6" t="e">
        <f>VLOOKUP(AV73,$U$5:$AJ$104,$AX$2+7,FALSE)</f>
        <v>#N/A</v>
      </c>
      <c r="AY73" s="2" t="e">
        <f>VLOOKUP(AW73,$U$5:$AJ$104,$AX$2+11,FALSE)</f>
        <v>#N/A</v>
      </c>
      <c r="BA73" s="4">
        <v>69</v>
      </c>
      <c r="BB73" s="2" t="e">
        <f>VLOOKUP(BA73,$W$5:$AJ$104,$BC$2,FALSE)</f>
        <v>#N/A</v>
      </c>
      <c r="BC73" s="6" t="e">
        <f>VLOOKUP(BA73,$W$5:$AJ$104,$BC$2+5,FALSE)</f>
        <v>#N/A</v>
      </c>
      <c r="BD73" s="2" t="e">
        <f>VLOOKUP(BB73,$W$5:$AJ$104,$BC$2+10,FALSE)</f>
        <v>#N/A</v>
      </c>
      <c r="BE73" s="9"/>
      <c r="BF73" s="4">
        <v>69</v>
      </c>
      <c r="BG73" s="2" t="e">
        <f>VLOOKUP(BF73,$Y$5:$AJ$104,$BH$2,FALSE)</f>
        <v>#N/A</v>
      </c>
      <c r="BH73" s="6" t="e">
        <f>VLOOKUP(BF73,$Y$5:$AJ$104,$BH$2+3,FALSE)</f>
        <v>#N/A</v>
      </c>
      <c r="BI73" s="58" t="e">
        <f>VLOOKUP(BG73,$Y$5:$AJ$104,$BH$2+9,FALSE)</f>
        <v>#N/A</v>
      </c>
      <c r="BK73" s="4">
        <v>69</v>
      </c>
      <c r="BL73" s="2" t="e">
        <f>VLOOKUP(BK73,$AA$5:$AJ$104,$BM$2,FALSE)</f>
        <v>#N/A</v>
      </c>
      <c r="BM73" s="6" t="e">
        <f>VLOOKUP(BK73,$AA$5:$AJ$104,$BM$2+1,FALSE)</f>
        <v>#N/A</v>
      </c>
      <c r="BN73" s="58" t="e">
        <f>VLOOKUP(BL73,$AA$5:$AJ$104,$BM$2+8,FALSE)</f>
        <v>#N/A</v>
      </c>
      <c r="BP73" s="2" t="e">
        <f>'Eclectic A'!CD73</f>
        <v>#N/A</v>
      </c>
      <c r="BQ73" s="6" t="e">
        <f>'Eclectic A'!CE73</f>
        <v>#N/A</v>
      </c>
      <c r="BR73" s="103" t="e">
        <f>'Eclectic A'!CF73</f>
        <v>#N/A</v>
      </c>
    </row>
    <row r="74" spans="1:70">
      <c r="A74" s="10" t="str">
        <f>IF(ISBLANK(Players!A72),"",Players!A72)</f>
        <v/>
      </c>
      <c r="B74" s="10" t="str">
        <f>IF(ISBLANK(Players!B72),"",Players!B72)</f>
        <v/>
      </c>
      <c r="C74" s="10" t="str">
        <f>IF(ISBLANK(Players!D72),"",Players!D72)</f>
        <v/>
      </c>
      <c r="D74" s="69" t="str">
        <f>IF(ISNUMBER(C74),MIN((C74*Rules!$N$14/113)+(Rules!$N$13-Rules!$N$12),Rules!$N$37),"-")</f>
        <v>-</v>
      </c>
      <c r="E74" s="69" t="str">
        <f>IF(ISNUMBER(C74),    ROUND( (D74*Rules!$N$11) / 100,0),"-")</f>
        <v>-</v>
      </c>
      <c r="F74" s="36" t="str">
        <f>IF(AND(ISNUMBER(C74),C74&gt;=Rules!$M$10,C74&lt;=Rules!$N$10),"Y","N")</f>
        <v>N</v>
      </c>
      <c r="G74" s="137" t="str">
        <f>'Eclectic A'!M74</f>
        <v>-</v>
      </c>
      <c r="H74" s="137" t="str">
        <f>'Eclectic A'!W74</f>
        <v>-</v>
      </c>
      <c r="I74" s="137" t="str">
        <f>'Eclectic A'!AJ74</f>
        <v>-</v>
      </c>
      <c r="J74" s="137" t="str">
        <f>'Eclectic A'!AT74</f>
        <v>-</v>
      </c>
      <c r="K74" s="108" t="str">
        <f t="shared" si="26"/>
        <v>-</v>
      </c>
      <c r="L74" s="108" t="str">
        <f t="shared" si="27"/>
        <v>-</v>
      </c>
      <c r="M74" s="108" t="str">
        <f t="shared" si="28"/>
        <v>-</v>
      </c>
      <c r="N74" s="108" t="str">
        <f t="shared" si="29"/>
        <v>-</v>
      </c>
      <c r="O74" s="108" t="str">
        <f t="shared" si="30"/>
        <v>-</v>
      </c>
      <c r="P74" s="108" t="str">
        <f t="shared" si="31"/>
        <v>-</v>
      </c>
      <c r="Q74" s="14" t="e">
        <f>RANK($K74,$K$5:$K$104,1)+COUNTIF(K$5:K74,K74)-1</f>
        <v>#VALUE!</v>
      </c>
      <c r="R74" s="14" t="e">
        <f t="shared" si="32"/>
        <v>#VALUE!</v>
      </c>
      <c r="S74" s="14" t="e">
        <f>RANK($L74,$L$5:$L$104,1)+COUNTIF(L$5:L74,L74)-1</f>
        <v>#VALUE!</v>
      </c>
      <c r="T74" s="14" t="e">
        <f t="shared" si="33"/>
        <v>#VALUE!</v>
      </c>
      <c r="U74" s="14" t="e">
        <f>RANK($M74,$M$5:$M$104,1)+COUNTIF(M$5:M74,M74)-1</f>
        <v>#VALUE!</v>
      </c>
      <c r="V74" s="14" t="e">
        <f t="shared" si="34"/>
        <v>#VALUE!</v>
      </c>
      <c r="W74" s="14" t="e">
        <f>RANK($N74,$N$5:$N$104,1)+COUNTIF(N$5:N74,N74)-1</f>
        <v>#VALUE!</v>
      </c>
      <c r="X74" s="14" t="e">
        <f t="shared" si="35"/>
        <v>#VALUE!</v>
      </c>
      <c r="Y74" s="14" t="e">
        <f>RANK($O74,$O$5:$O$104,1)+COUNTIF(O$5:O74,O74)-1</f>
        <v>#VALUE!</v>
      </c>
      <c r="Z74" s="14" t="e">
        <f t="shared" si="36"/>
        <v>#VALUE!</v>
      </c>
      <c r="AA74" s="14" t="e">
        <f>RANK($P74,$P$5:$P$104,1)+COUNTIF(P$5:P74,P74)-1</f>
        <v>#VALUE!</v>
      </c>
      <c r="AB74" s="14" t="e">
        <f t="shared" si="37"/>
        <v>#VALUE!</v>
      </c>
      <c r="AC74" s="1" t="str">
        <f t="shared" si="24"/>
        <v xml:space="preserve"> </v>
      </c>
      <c r="AD74" s="1" t="str">
        <f t="shared" si="25"/>
        <v>-</v>
      </c>
      <c r="AE74" s="35" t="str">
        <f t="shared" si="38"/>
        <v>-</v>
      </c>
      <c r="AF74" s="35" t="str">
        <f t="shared" si="39"/>
        <v>-</v>
      </c>
      <c r="AG74" s="35" t="str">
        <f t="shared" si="40"/>
        <v>-</v>
      </c>
      <c r="AH74" s="35" t="str">
        <f t="shared" si="41"/>
        <v>-</v>
      </c>
      <c r="AI74" s="35" t="str">
        <f t="shared" si="42"/>
        <v>-</v>
      </c>
      <c r="AJ74" s="35" t="str">
        <f t="shared" si="43"/>
        <v>-</v>
      </c>
      <c r="AL74" s="4">
        <v>70</v>
      </c>
      <c r="AM74" s="2" t="e">
        <f>VLOOKUP(AL74,Q$5:$AJ$104,$AN$2,FALSE)</f>
        <v>#N/A</v>
      </c>
      <c r="AN74" s="6" t="e">
        <f>VLOOKUP(AL74,Q$5:$AJ$104,$AN$2+11,FALSE)</f>
        <v>#N/A</v>
      </c>
      <c r="AO74" s="2" t="e">
        <f t="shared" si="44"/>
        <v>#N/A</v>
      </c>
      <c r="AQ74" s="4">
        <v>70</v>
      </c>
      <c r="AR74" s="2" t="e">
        <f>VLOOKUP(AQ74,$S$5:$AJ$104,$AS$2,FALSE)</f>
        <v>#N/A</v>
      </c>
      <c r="AS74" s="6" t="e">
        <f>VLOOKUP(AQ74,$S$5:$AJ$104,$AS$2+9,FALSE)</f>
        <v>#N/A</v>
      </c>
      <c r="AT74" s="2" t="e">
        <f>VLOOKUP(AR74,$S$5:$AJ$104,$AS$2+12,FALSE)</f>
        <v>#N/A</v>
      </c>
      <c r="AU74" s="9"/>
      <c r="AV74" s="4">
        <v>70</v>
      </c>
      <c r="AW74" s="2" t="e">
        <f>VLOOKUP(AV74,$U$5:$AJ$104,$AX$2,FALSE)</f>
        <v>#N/A</v>
      </c>
      <c r="AX74" s="6" t="e">
        <f>VLOOKUP(AV74,$U$5:$AJ$104,$AX$2+7,FALSE)</f>
        <v>#N/A</v>
      </c>
      <c r="AY74" s="2" t="e">
        <f>VLOOKUP(AW74,$U$5:$AJ$104,$AX$2+11,FALSE)</f>
        <v>#N/A</v>
      </c>
      <c r="BA74" s="4">
        <v>70</v>
      </c>
      <c r="BB74" s="2" t="e">
        <f>VLOOKUP(BA74,$W$5:$AJ$104,$BC$2,FALSE)</f>
        <v>#N/A</v>
      </c>
      <c r="BC74" s="6" t="e">
        <f>VLOOKUP(BA74,$W$5:$AJ$104,$BC$2+5,FALSE)</f>
        <v>#N/A</v>
      </c>
      <c r="BD74" s="2" t="e">
        <f>VLOOKUP(BB74,$W$5:$AJ$104,$BC$2+10,FALSE)</f>
        <v>#N/A</v>
      </c>
      <c r="BE74" s="9"/>
      <c r="BF74" s="4">
        <v>70</v>
      </c>
      <c r="BG74" s="2" t="e">
        <f>VLOOKUP(BF74,$Y$5:$AJ$104,$BH$2,FALSE)</f>
        <v>#N/A</v>
      </c>
      <c r="BH74" s="6" t="e">
        <f>VLOOKUP(BF74,$Y$5:$AJ$104,$BH$2+3,FALSE)</f>
        <v>#N/A</v>
      </c>
      <c r="BI74" s="58" t="e">
        <f>VLOOKUP(BG74,$Y$5:$AJ$104,$BH$2+9,FALSE)</f>
        <v>#N/A</v>
      </c>
      <c r="BK74" s="4">
        <v>70</v>
      </c>
      <c r="BL74" s="2" t="e">
        <f>VLOOKUP(BK74,$AA$5:$AJ$104,$BM$2,FALSE)</f>
        <v>#N/A</v>
      </c>
      <c r="BM74" s="6" t="e">
        <f>VLOOKUP(BK74,$AA$5:$AJ$104,$BM$2+1,FALSE)</f>
        <v>#N/A</v>
      </c>
      <c r="BN74" s="58" t="e">
        <f>VLOOKUP(BL74,$AA$5:$AJ$104,$BM$2+8,FALSE)</f>
        <v>#N/A</v>
      </c>
      <c r="BP74" s="2" t="e">
        <f>'Eclectic A'!CD74</f>
        <v>#N/A</v>
      </c>
      <c r="BQ74" s="6" t="e">
        <f>'Eclectic A'!CE74</f>
        <v>#N/A</v>
      </c>
      <c r="BR74" s="103" t="e">
        <f>'Eclectic A'!CF74</f>
        <v>#N/A</v>
      </c>
    </row>
    <row r="75" spans="1:70">
      <c r="A75" s="10" t="str">
        <f>IF(ISBLANK(Players!A73),"",Players!A73)</f>
        <v/>
      </c>
      <c r="B75" s="10" t="str">
        <f>IF(ISBLANK(Players!B73),"",Players!B73)</f>
        <v/>
      </c>
      <c r="C75" s="10" t="str">
        <f>IF(ISBLANK(Players!D73),"",Players!D73)</f>
        <v/>
      </c>
      <c r="D75" s="69" t="str">
        <f>IF(ISNUMBER(C75),MIN((C75*Rules!$N$14/113)+(Rules!$N$13-Rules!$N$12),Rules!$N$37),"-")</f>
        <v>-</v>
      </c>
      <c r="E75" s="69" t="str">
        <f>IF(ISNUMBER(C75),    ROUND( (D75*Rules!$N$11) / 100,0),"-")</f>
        <v>-</v>
      </c>
      <c r="F75" s="36" t="str">
        <f>IF(AND(ISNUMBER(C75),C75&gt;=Rules!$M$10,C75&lt;=Rules!$N$10),"Y","N")</f>
        <v>N</v>
      </c>
      <c r="G75" s="137" t="str">
        <f>'Eclectic A'!M75</f>
        <v>-</v>
      </c>
      <c r="H75" s="137" t="str">
        <f>'Eclectic A'!W75</f>
        <v>-</v>
      </c>
      <c r="I75" s="137" t="str">
        <f>'Eclectic A'!AJ75</f>
        <v>-</v>
      </c>
      <c r="J75" s="137" t="str">
        <f>'Eclectic A'!AT75</f>
        <v>-</v>
      </c>
      <c r="K75" s="108" t="str">
        <f t="shared" si="26"/>
        <v>-</v>
      </c>
      <c r="L75" s="108" t="str">
        <f t="shared" si="27"/>
        <v>-</v>
      </c>
      <c r="M75" s="108" t="str">
        <f t="shared" si="28"/>
        <v>-</v>
      </c>
      <c r="N75" s="108" t="str">
        <f t="shared" si="29"/>
        <v>-</v>
      </c>
      <c r="O75" s="108" t="str">
        <f t="shared" si="30"/>
        <v>-</v>
      </c>
      <c r="P75" s="108" t="str">
        <f t="shared" si="31"/>
        <v>-</v>
      </c>
      <c r="Q75" s="14" t="e">
        <f>RANK($K75,$K$5:$K$104,1)+COUNTIF(K$5:K75,K75)-1</f>
        <v>#VALUE!</v>
      </c>
      <c r="R75" s="14" t="e">
        <f t="shared" si="32"/>
        <v>#VALUE!</v>
      </c>
      <c r="S75" s="14" t="e">
        <f>RANK($L75,$L$5:$L$104,1)+COUNTIF(L$5:L75,L75)-1</f>
        <v>#VALUE!</v>
      </c>
      <c r="T75" s="14" t="e">
        <f t="shared" si="33"/>
        <v>#VALUE!</v>
      </c>
      <c r="U75" s="14" t="e">
        <f>RANK($M75,$M$5:$M$104,1)+COUNTIF(M$5:M75,M75)-1</f>
        <v>#VALUE!</v>
      </c>
      <c r="V75" s="14" t="e">
        <f t="shared" si="34"/>
        <v>#VALUE!</v>
      </c>
      <c r="W75" s="14" t="e">
        <f>RANK($N75,$N$5:$N$104,1)+COUNTIF(N$5:N75,N75)-1</f>
        <v>#VALUE!</v>
      </c>
      <c r="X75" s="14" t="e">
        <f t="shared" si="35"/>
        <v>#VALUE!</v>
      </c>
      <c r="Y75" s="14" t="e">
        <f>RANK($O75,$O$5:$O$104,1)+COUNTIF(O$5:O75,O75)-1</f>
        <v>#VALUE!</v>
      </c>
      <c r="Z75" s="14" t="e">
        <f t="shared" si="36"/>
        <v>#VALUE!</v>
      </c>
      <c r="AA75" s="14" t="e">
        <f>RANK($P75,$P$5:$P$104,1)+COUNTIF(P$5:P75,P75)-1</f>
        <v>#VALUE!</v>
      </c>
      <c r="AB75" s="14" t="e">
        <f t="shared" si="37"/>
        <v>#VALUE!</v>
      </c>
      <c r="AC75" s="1" t="str">
        <f t="shared" si="24"/>
        <v xml:space="preserve"> </v>
      </c>
      <c r="AD75" s="1" t="str">
        <f t="shared" si="25"/>
        <v>-</v>
      </c>
      <c r="AE75" s="35" t="str">
        <f t="shared" si="38"/>
        <v>-</v>
      </c>
      <c r="AF75" s="35" t="str">
        <f t="shared" si="39"/>
        <v>-</v>
      </c>
      <c r="AG75" s="35" t="str">
        <f t="shared" si="40"/>
        <v>-</v>
      </c>
      <c r="AH75" s="35" t="str">
        <f t="shared" si="41"/>
        <v>-</v>
      </c>
      <c r="AI75" s="35" t="str">
        <f t="shared" si="42"/>
        <v>-</v>
      </c>
      <c r="AJ75" s="35" t="str">
        <f t="shared" si="43"/>
        <v>-</v>
      </c>
      <c r="AL75" s="4">
        <v>71</v>
      </c>
      <c r="AM75" s="2" t="e">
        <f>VLOOKUP(AL75,Q$5:$AJ$104,$AN$2,FALSE)</f>
        <v>#N/A</v>
      </c>
      <c r="AN75" s="6" t="e">
        <f>VLOOKUP(AL75,Q$5:$AJ$104,$AN$2+11,FALSE)</f>
        <v>#N/A</v>
      </c>
      <c r="AO75" s="2" t="e">
        <f t="shared" si="44"/>
        <v>#N/A</v>
      </c>
      <c r="AQ75" s="4">
        <v>71</v>
      </c>
      <c r="AR75" s="2" t="e">
        <f>VLOOKUP(AQ75,$S$5:$AJ$104,$AS$2,FALSE)</f>
        <v>#N/A</v>
      </c>
      <c r="AS75" s="6" t="e">
        <f>VLOOKUP(AQ75,$S$5:$AJ$104,$AS$2+9,FALSE)</f>
        <v>#N/A</v>
      </c>
      <c r="AT75" s="2" t="e">
        <f>VLOOKUP(AR75,$S$5:$AJ$104,$AS$2+12,FALSE)</f>
        <v>#N/A</v>
      </c>
      <c r="AU75" s="9"/>
      <c r="AV75" s="4">
        <v>71</v>
      </c>
      <c r="AW75" s="2" t="e">
        <f>VLOOKUP(AV75,$U$5:$AJ$104,$AX$2,FALSE)</f>
        <v>#N/A</v>
      </c>
      <c r="AX75" s="6" t="e">
        <f>VLOOKUP(AV75,$U$5:$AJ$104,$AX$2+7,FALSE)</f>
        <v>#N/A</v>
      </c>
      <c r="AY75" s="2" t="e">
        <f>VLOOKUP(AW75,$U$5:$AJ$104,$AX$2+11,FALSE)</f>
        <v>#N/A</v>
      </c>
      <c r="BA75" s="4">
        <v>71</v>
      </c>
      <c r="BB75" s="2" t="e">
        <f>VLOOKUP(BA75,$W$5:$AJ$104,$BC$2,FALSE)</f>
        <v>#N/A</v>
      </c>
      <c r="BC75" s="6" t="e">
        <f>VLOOKUP(BA75,$W$5:$AJ$104,$BC$2+5,FALSE)</f>
        <v>#N/A</v>
      </c>
      <c r="BD75" s="2" t="e">
        <f>VLOOKUP(BB75,$W$5:$AJ$104,$BC$2+10,FALSE)</f>
        <v>#N/A</v>
      </c>
      <c r="BE75" s="9"/>
      <c r="BF75" s="4">
        <v>71</v>
      </c>
      <c r="BG75" s="2" t="e">
        <f>VLOOKUP(BF75,$Y$5:$AJ$104,$BH$2,FALSE)</f>
        <v>#N/A</v>
      </c>
      <c r="BH75" s="6" t="e">
        <f>VLOOKUP(BF75,$Y$5:$AJ$104,$BH$2+3,FALSE)</f>
        <v>#N/A</v>
      </c>
      <c r="BI75" s="58" t="e">
        <f>VLOOKUP(BG75,$Y$5:$AJ$104,$BH$2+9,FALSE)</f>
        <v>#N/A</v>
      </c>
      <c r="BK75" s="4">
        <v>71</v>
      </c>
      <c r="BL75" s="2" t="e">
        <f>VLOOKUP(BK75,$AA$5:$AJ$104,$BM$2,FALSE)</f>
        <v>#N/A</v>
      </c>
      <c r="BM75" s="6" t="e">
        <f>VLOOKUP(BK75,$AA$5:$AJ$104,$BM$2+1,FALSE)</f>
        <v>#N/A</v>
      </c>
      <c r="BN75" s="58" t="e">
        <f>VLOOKUP(BL75,$AA$5:$AJ$104,$BM$2+8,FALSE)</f>
        <v>#N/A</v>
      </c>
      <c r="BP75" s="2" t="e">
        <f>'Eclectic A'!CD75</f>
        <v>#N/A</v>
      </c>
      <c r="BQ75" s="6" t="e">
        <f>'Eclectic A'!CE75</f>
        <v>#N/A</v>
      </c>
      <c r="BR75" s="103" t="e">
        <f>'Eclectic A'!CF75</f>
        <v>#N/A</v>
      </c>
    </row>
    <row r="76" spans="1:70">
      <c r="A76" s="10" t="str">
        <f>IF(ISBLANK(Players!A74),"",Players!A74)</f>
        <v/>
      </c>
      <c r="B76" s="10" t="str">
        <f>IF(ISBLANK(Players!B74),"",Players!B74)</f>
        <v/>
      </c>
      <c r="C76" s="10" t="str">
        <f>IF(ISBLANK(Players!D74),"",Players!D74)</f>
        <v/>
      </c>
      <c r="D76" s="69" t="str">
        <f>IF(ISNUMBER(C76),MIN((C76*Rules!$N$14/113)+(Rules!$N$13-Rules!$N$12),Rules!$N$37),"-")</f>
        <v>-</v>
      </c>
      <c r="E76" s="69" t="str">
        <f>IF(ISNUMBER(C76),    ROUND( (D76*Rules!$N$11) / 100,0),"-")</f>
        <v>-</v>
      </c>
      <c r="F76" s="36" t="str">
        <f>IF(AND(ISNUMBER(C76),C76&gt;=Rules!$M$10,C76&lt;=Rules!$N$10),"Y","N")</f>
        <v>N</v>
      </c>
      <c r="G76" s="137" t="str">
        <f>'Eclectic A'!M76</f>
        <v>-</v>
      </c>
      <c r="H76" s="137" t="str">
        <f>'Eclectic A'!W76</f>
        <v>-</v>
      </c>
      <c r="I76" s="137" t="str">
        <f>'Eclectic A'!AJ76</f>
        <v>-</v>
      </c>
      <c r="J76" s="137" t="str">
        <f>'Eclectic A'!AT76</f>
        <v>-</v>
      </c>
      <c r="K76" s="108" t="str">
        <f t="shared" si="26"/>
        <v>-</v>
      </c>
      <c r="L76" s="108" t="str">
        <f t="shared" si="27"/>
        <v>-</v>
      </c>
      <c r="M76" s="108" t="str">
        <f t="shared" si="28"/>
        <v>-</v>
      </c>
      <c r="N76" s="108" t="str">
        <f t="shared" si="29"/>
        <v>-</v>
      </c>
      <c r="O76" s="108" t="str">
        <f t="shared" si="30"/>
        <v>-</v>
      </c>
      <c r="P76" s="108" t="str">
        <f t="shared" si="31"/>
        <v>-</v>
      </c>
      <c r="Q76" s="14" t="e">
        <f>RANK($K76,$K$5:$K$104,1)+COUNTIF(K$5:K76,K76)-1</f>
        <v>#VALUE!</v>
      </c>
      <c r="R76" s="14" t="e">
        <f t="shared" si="32"/>
        <v>#VALUE!</v>
      </c>
      <c r="S76" s="14" t="e">
        <f>RANK($L76,$L$5:$L$104,1)+COUNTIF(L$5:L76,L76)-1</f>
        <v>#VALUE!</v>
      </c>
      <c r="T76" s="14" t="e">
        <f t="shared" si="33"/>
        <v>#VALUE!</v>
      </c>
      <c r="U76" s="14" t="e">
        <f>RANK($M76,$M$5:$M$104,1)+COUNTIF(M$5:M76,M76)-1</f>
        <v>#VALUE!</v>
      </c>
      <c r="V76" s="14" t="e">
        <f t="shared" si="34"/>
        <v>#VALUE!</v>
      </c>
      <c r="W76" s="14" t="e">
        <f>RANK($N76,$N$5:$N$104,1)+COUNTIF(N$5:N76,N76)-1</f>
        <v>#VALUE!</v>
      </c>
      <c r="X76" s="14" t="e">
        <f t="shared" si="35"/>
        <v>#VALUE!</v>
      </c>
      <c r="Y76" s="14" t="e">
        <f>RANK($O76,$O$5:$O$104,1)+COUNTIF(O$5:O76,O76)-1</f>
        <v>#VALUE!</v>
      </c>
      <c r="Z76" s="14" t="e">
        <f t="shared" si="36"/>
        <v>#VALUE!</v>
      </c>
      <c r="AA76" s="14" t="e">
        <f>RANK($P76,$P$5:$P$104,1)+COUNTIF(P$5:P76,P76)-1</f>
        <v>#VALUE!</v>
      </c>
      <c r="AB76" s="14" t="e">
        <f t="shared" si="37"/>
        <v>#VALUE!</v>
      </c>
      <c r="AC76" s="1" t="str">
        <f t="shared" si="24"/>
        <v xml:space="preserve"> </v>
      </c>
      <c r="AD76" s="1" t="str">
        <f t="shared" si="25"/>
        <v>-</v>
      </c>
      <c r="AE76" s="35" t="str">
        <f t="shared" si="38"/>
        <v>-</v>
      </c>
      <c r="AF76" s="35" t="str">
        <f t="shared" si="39"/>
        <v>-</v>
      </c>
      <c r="AG76" s="35" t="str">
        <f t="shared" si="40"/>
        <v>-</v>
      </c>
      <c r="AH76" s="35" t="str">
        <f t="shared" si="41"/>
        <v>-</v>
      </c>
      <c r="AI76" s="35" t="str">
        <f t="shared" si="42"/>
        <v>-</v>
      </c>
      <c r="AJ76" s="35" t="str">
        <f t="shared" si="43"/>
        <v>-</v>
      </c>
      <c r="AL76" s="4">
        <v>72</v>
      </c>
      <c r="AM76" s="2" t="e">
        <f>VLOOKUP(AL76,Q$5:$AJ$104,$AN$2,FALSE)</f>
        <v>#N/A</v>
      </c>
      <c r="AN76" s="6" t="e">
        <f>VLOOKUP(AL76,Q$5:$AJ$104,$AN$2+11,FALSE)</f>
        <v>#N/A</v>
      </c>
      <c r="AO76" s="2" t="e">
        <f t="shared" si="44"/>
        <v>#N/A</v>
      </c>
      <c r="AQ76" s="4">
        <v>72</v>
      </c>
      <c r="AR76" s="2" t="e">
        <f>VLOOKUP(AQ76,$S$5:$AJ$104,$AS$2,FALSE)</f>
        <v>#N/A</v>
      </c>
      <c r="AS76" s="6" t="e">
        <f>VLOOKUP(AQ76,$S$5:$AJ$104,$AS$2+9,FALSE)</f>
        <v>#N/A</v>
      </c>
      <c r="AT76" s="2" t="e">
        <f>VLOOKUP(AR76,$S$5:$AJ$104,$AS$2+12,FALSE)</f>
        <v>#N/A</v>
      </c>
      <c r="AU76" s="9"/>
      <c r="AV76" s="4">
        <v>72</v>
      </c>
      <c r="AW76" s="2" t="e">
        <f>VLOOKUP(AV76,$U$5:$AJ$104,$AX$2,FALSE)</f>
        <v>#N/A</v>
      </c>
      <c r="AX76" s="6" t="e">
        <f>VLOOKUP(AV76,$U$5:$AJ$104,$AX$2+7,FALSE)</f>
        <v>#N/A</v>
      </c>
      <c r="AY76" s="2" t="e">
        <f>VLOOKUP(AW76,$U$5:$AJ$104,$AX$2+11,FALSE)</f>
        <v>#N/A</v>
      </c>
      <c r="BA76" s="4">
        <v>72</v>
      </c>
      <c r="BB76" s="2" t="e">
        <f>VLOOKUP(BA76,$W$5:$AJ$104,$BC$2,FALSE)</f>
        <v>#N/A</v>
      </c>
      <c r="BC76" s="6" t="e">
        <f>VLOOKUP(BA76,$W$5:$AJ$104,$BC$2+5,FALSE)</f>
        <v>#N/A</v>
      </c>
      <c r="BD76" s="2" t="e">
        <f>VLOOKUP(BB76,$W$5:$AJ$104,$BC$2+10,FALSE)</f>
        <v>#N/A</v>
      </c>
      <c r="BE76" s="9"/>
      <c r="BF76" s="4">
        <v>72</v>
      </c>
      <c r="BG76" s="2" t="e">
        <f>VLOOKUP(BF76,$Y$5:$AJ$104,$BH$2,FALSE)</f>
        <v>#N/A</v>
      </c>
      <c r="BH76" s="6" t="e">
        <f>VLOOKUP(BF76,$Y$5:$AJ$104,$BH$2+3,FALSE)</f>
        <v>#N/A</v>
      </c>
      <c r="BI76" s="58" t="e">
        <f>VLOOKUP(BG76,$Y$5:$AJ$104,$BH$2+9,FALSE)</f>
        <v>#N/A</v>
      </c>
      <c r="BK76" s="4">
        <v>72</v>
      </c>
      <c r="BL76" s="2" t="e">
        <f>VLOOKUP(BK76,$AA$5:$AJ$104,$BM$2,FALSE)</f>
        <v>#N/A</v>
      </c>
      <c r="BM76" s="6" t="e">
        <f>VLOOKUP(BK76,$AA$5:$AJ$104,$BM$2+1,FALSE)</f>
        <v>#N/A</v>
      </c>
      <c r="BN76" s="58" t="e">
        <f>VLOOKUP(BL76,$AA$5:$AJ$104,$BM$2+8,FALSE)</f>
        <v>#N/A</v>
      </c>
      <c r="BP76" s="2" t="e">
        <f>'Eclectic A'!CD76</f>
        <v>#N/A</v>
      </c>
      <c r="BQ76" s="6" t="e">
        <f>'Eclectic A'!CE76</f>
        <v>#N/A</v>
      </c>
      <c r="BR76" s="103" t="e">
        <f>'Eclectic A'!CF76</f>
        <v>#N/A</v>
      </c>
    </row>
    <row r="77" spans="1:70">
      <c r="A77" s="10" t="str">
        <f>IF(ISBLANK(Players!A75),"",Players!A75)</f>
        <v/>
      </c>
      <c r="B77" s="10" t="str">
        <f>IF(ISBLANK(Players!B75),"",Players!B75)</f>
        <v/>
      </c>
      <c r="C77" s="10" t="str">
        <f>IF(ISBLANK(Players!D75),"",Players!D75)</f>
        <v/>
      </c>
      <c r="D77" s="69" t="str">
        <f>IF(ISNUMBER(C77),MIN((C77*Rules!$N$14/113)+(Rules!$N$13-Rules!$N$12),Rules!$N$37),"-")</f>
        <v>-</v>
      </c>
      <c r="E77" s="69" t="str">
        <f>IF(ISNUMBER(C77),    ROUND( (D77*Rules!$N$11) / 100,0),"-")</f>
        <v>-</v>
      </c>
      <c r="F77" s="36" t="str">
        <f>IF(AND(ISNUMBER(C77),C77&gt;=Rules!$M$10,C77&lt;=Rules!$N$10),"Y","N")</f>
        <v>N</v>
      </c>
      <c r="G77" s="137" t="str">
        <f>'Eclectic A'!M77</f>
        <v>-</v>
      </c>
      <c r="H77" s="137" t="str">
        <f>'Eclectic A'!W77</f>
        <v>-</v>
      </c>
      <c r="I77" s="137" t="str">
        <f>'Eclectic A'!AJ77</f>
        <v>-</v>
      </c>
      <c r="J77" s="137" t="str">
        <f>'Eclectic A'!AT77</f>
        <v>-</v>
      </c>
      <c r="K77" s="108" t="str">
        <f t="shared" si="26"/>
        <v>-</v>
      </c>
      <c r="L77" s="108" t="str">
        <f t="shared" si="27"/>
        <v>-</v>
      </c>
      <c r="M77" s="108" t="str">
        <f t="shared" si="28"/>
        <v>-</v>
      </c>
      <c r="N77" s="108" t="str">
        <f t="shared" si="29"/>
        <v>-</v>
      </c>
      <c r="O77" s="108" t="str">
        <f t="shared" si="30"/>
        <v>-</v>
      </c>
      <c r="P77" s="108" t="str">
        <f t="shared" si="31"/>
        <v>-</v>
      </c>
      <c r="Q77" s="14" t="e">
        <f>RANK($K77,$K$5:$K$104,1)+COUNTIF(K$5:K77,K77)-1</f>
        <v>#VALUE!</v>
      </c>
      <c r="R77" s="14" t="e">
        <f t="shared" si="32"/>
        <v>#VALUE!</v>
      </c>
      <c r="S77" s="14" t="e">
        <f>RANK($L77,$L$5:$L$104,1)+COUNTIF(L$5:L77,L77)-1</f>
        <v>#VALUE!</v>
      </c>
      <c r="T77" s="14" t="e">
        <f t="shared" si="33"/>
        <v>#VALUE!</v>
      </c>
      <c r="U77" s="14" t="e">
        <f>RANK($M77,$M$5:$M$104,1)+COUNTIF(M$5:M77,M77)-1</f>
        <v>#VALUE!</v>
      </c>
      <c r="V77" s="14" t="e">
        <f t="shared" si="34"/>
        <v>#VALUE!</v>
      </c>
      <c r="W77" s="14" t="e">
        <f>RANK($N77,$N$5:$N$104,1)+COUNTIF(N$5:N77,N77)-1</f>
        <v>#VALUE!</v>
      </c>
      <c r="X77" s="14" t="e">
        <f t="shared" si="35"/>
        <v>#VALUE!</v>
      </c>
      <c r="Y77" s="14" t="e">
        <f>RANK($O77,$O$5:$O$104,1)+COUNTIF(O$5:O77,O77)-1</f>
        <v>#VALUE!</v>
      </c>
      <c r="Z77" s="14" t="e">
        <f t="shared" si="36"/>
        <v>#VALUE!</v>
      </c>
      <c r="AA77" s="14" t="e">
        <f>RANK($P77,$P$5:$P$104,1)+COUNTIF(P$5:P77,P77)-1</f>
        <v>#VALUE!</v>
      </c>
      <c r="AB77" s="14" t="e">
        <f t="shared" si="37"/>
        <v>#VALUE!</v>
      </c>
      <c r="AC77" s="1" t="str">
        <f t="shared" si="24"/>
        <v xml:space="preserve"> </v>
      </c>
      <c r="AD77" s="1" t="str">
        <f t="shared" si="25"/>
        <v>-</v>
      </c>
      <c r="AE77" s="35" t="str">
        <f t="shared" si="38"/>
        <v>-</v>
      </c>
      <c r="AF77" s="35" t="str">
        <f t="shared" si="39"/>
        <v>-</v>
      </c>
      <c r="AG77" s="35" t="str">
        <f t="shared" si="40"/>
        <v>-</v>
      </c>
      <c r="AH77" s="35" t="str">
        <f t="shared" si="41"/>
        <v>-</v>
      </c>
      <c r="AI77" s="35" t="str">
        <f t="shared" si="42"/>
        <v>-</v>
      </c>
      <c r="AJ77" s="35" t="str">
        <f t="shared" si="43"/>
        <v>-</v>
      </c>
      <c r="AL77" s="4">
        <v>73</v>
      </c>
      <c r="AM77" s="2" t="e">
        <f>VLOOKUP(AL77,Q$5:$AJ$104,$AN$2,FALSE)</f>
        <v>#N/A</v>
      </c>
      <c r="AN77" s="6" t="e">
        <f>VLOOKUP(AL77,Q$5:$AJ$104,$AN$2+11,FALSE)</f>
        <v>#N/A</v>
      </c>
      <c r="AO77" s="2" t="e">
        <f t="shared" si="44"/>
        <v>#N/A</v>
      </c>
      <c r="AQ77" s="4">
        <v>73</v>
      </c>
      <c r="AR77" s="2" t="e">
        <f>VLOOKUP(AQ77,$S$5:$AJ$104,$AS$2,FALSE)</f>
        <v>#N/A</v>
      </c>
      <c r="AS77" s="6" t="e">
        <f>VLOOKUP(AQ77,$S$5:$AJ$104,$AS$2+9,FALSE)</f>
        <v>#N/A</v>
      </c>
      <c r="AT77" s="2" t="e">
        <f>VLOOKUP(AR77,$S$5:$AJ$104,$AS$2+12,FALSE)</f>
        <v>#N/A</v>
      </c>
      <c r="AU77" s="9"/>
      <c r="AV77" s="4">
        <v>73</v>
      </c>
      <c r="AW77" s="2" t="e">
        <f>VLOOKUP(AV77,$U$5:$AJ$104,$AX$2,FALSE)</f>
        <v>#N/A</v>
      </c>
      <c r="AX77" s="6" t="e">
        <f>VLOOKUP(AV77,$U$5:$AJ$104,$AX$2+7,FALSE)</f>
        <v>#N/A</v>
      </c>
      <c r="AY77" s="2" t="e">
        <f>VLOOKUP(AW77,$U$5:$AJ$104,$AX$2+11,FALSE)</f>
        <v>#N/A</v>
      </c>
      <c r="BA77" s="4">
        <v>73</v>
      </c>
      <c r="BB77" s="2" t="e">
        <f>VLOOKUP(BA77,$W$5:$AJ$104,$BC$2,FALSE)</f>
        <v>#N/A</v>
      </c>
      <c r="BC77" s="6" t="e">
        <f>VLOOKUP(BA77,$W$5:$AJ$104,$BC$2+5,FALSE)</f>
        <v>#N/A</v>
      </c>
      <c r="BD77" s="2" t="e">
        <f>VLOOKUP(BB77,$W$5:$AJ$104,$BC$2+10,FALSE)</f>
        <v>#N/A</v>
      </c>
      <c r="BE77" s="9"/>
      <c r="BF77" s="4">
        <v>73</v>
      </c>
      <c r="BG77" s="2" t="e">
        <f>VLOOKUP(BF77,$Y$5:$AJ$104,$BH$2,FALSE)</f>
        <v>#N/A</v>
      </c>
      <c r="BH77" s="6" t="e">
        <f>VLOOKUP(BF77,$Y$5:$AJ$104,$BH$2+3,FALSE)</f>
        <v>#N/A</v>
      </c>
      <c r="BI77" s="58" t="e">
        <f>VLOOKUP(BG77,$Y$5:$AJ$104,$BH$2+9,FALSE)</f>
        <v>#N/A</v>
      </c>
      <c r="BK77" s="4">
        <v>73</v>
      </c>
      <c r="BL77" s="2" t="e">
        <f>VLOOKUP(BK77,$AA$5:$AJ$104,$BM$2,FALSE)</f>
        <v>#N/A</v>
      </c>
      <c r="BM77" s="6" t="e">
        <f>VLOOKUP(BK77,$AA$5:$AJ$104,$BM$2+1,FALSE)</f>
        <v>#N/A</v>
      </c>
      <c r="BN77" s="58" t="e">
        <f>VLOOKUP(BL77,$AA$5:$AJ$104,$BM$2+8,FALSE)</f>
        <v>#N/A</v>
      </c>
      <c r="BP77" s="2" t="e">
        <f>'Eclectic A'!CD77</f>
        <v>#N/A</v>
      </c>
      <c r="BQ77" s="6" t="e">
        <f>'Eclectic A'!CE77</f>
        <v>#N/A</v>
      </c>
      <c r="BR77" s="103" t="e">
        <f>'Eclectic A'!CF77</f>
        <v>#N/A</v>
      </c>
    </row>
    <row r="78" spans="1:70">
      <c r="A78" s="10" t="str">
        <f>IF(ISBLANK(Players!A76),"",Players!A76)</f>
        <v/>
      </c>
      <c r="B78" s="10" t="str">
        <f>IF(ISBLANK(Players!B76),"",Players!B76)</f>
        <v/>
      </c>
      <c r="C78" s="10" t="str">
        <f>IF(ISBLANK(Players!D76),"",Players!D76)</f>
        <v/>
      </c>
      <c r="D78" s="69" t="str">
        <f>IF(ISNUMBER(C78),MIN((C78*Rules!$N$14/113)+(Rules!$N$13-Rules!$N$12),Rules!$N$37),"-")</f>
        <v>-</v>
      </c>
      <c r="E78" s="69" t="str">
        <f>IF(ISNUMBER(C78),    ROUND( (D78*Rules!$N$11) / 100,0),"-")</f>
        <v>-</v>
      </c>
      <c r="F78" s="36" t="str">
        <f>IF(AND(ISNUMBER(C78),C78&gt;=Rules!$M$10,C78&lt;=Rules!$N$10),"Y","N")</f>
        <v>N</v>
      </c>
      <c r="G78" s="137" t="str">
        <f>'Eclectic A'!M78</f>
        <v>-</v>
      </c>
      <c r="H78" s="137" t="str">
        <f>'Eclectic A'!W78</f>
        <v>-</v>
      </c>
      <c r="I78" s="137" t="str">
        <f>'Eclectic A'!AJ78</f>
        <v>-</v>
      </c>
      <c r="J78" s="137" t="str">
        <f>'Eclectic A'!AT78</f>
        <v>-</v>
      </c>
      <c r="K78" s="108" t="str">
        <f t="shared" si="26"/>
        <v>-</v>
      </c>
      <c r="L78" s="108" t="str">
        <f t="shared" si="27"/>
        <v>-</v>
      </c>
      <c r="M78" s="108" t="str">
        <f t="shared" si="28"/>
        <v>-</v>
      </c>
      <c r="N78" s="108" t="str">
        <f t="shared" si="29"/>
        <v>-</v>
      </c>
      <c r="O78" s="108" t="str">
        <f t="shared" si="30"/>
        <v>-</v>
      </c>
      <c r="P78" s="108" t="str">
        <f t="shared" si="31"/>
        <v>-</v>
      </c>
      <c r="Q78" s="14" t="e">
        <f>RANK($K78,$K$5:$K$104,1)+COUNTIF(K$5:K78,K78)-1</f>
        <v>#VALUE!</v>
      </c>
      <c r="R78" s="14" t="e">
        <f t="shared" si="32"/>
        <v>#VALUE!</v>
      </c>
      <c r="S78" s="14" t="e">
        <f>RANK($L78,$L$5:$L$104,1)+COUNTIF(L$5:L78,L78)-1</f>
        <v>#VALUE!</v>
      </c>
      <c r="T78" s="14" t="e">
        <f t="shared" si="33"/>
        <v>#VALUE!</v>
      </c>
      <c r="U78" s="14" t="e">
        <f>RANK($M78,$M$5:$M$104,1)+COUNTIF(M$5:M78,M78)-1</f>
        <v>#VALUE!</v>
      </c>
      <c r="V78" s="14" t="e">
        <f t="shared" si="34"/>
        <v>#VALUE!</v>
      </c>
      <c r="W78" s="14" t="e">
        <f>RANK($N78,$N$5:$N$104,1)+COUNTIF(N$5:N78,N78)-1</f>
        <v>#VALUE!</v>
      </c>
      <c r="X78" s="14" t="e">
        <f t="shared" si="35"/>
        <v>#VALUE!</v>
      </c>
      <c r="Y78" s="14" t="e">
        <f>RANK($O78,$O$5:$O$104,1)+COUNTIF(O$5:O78,O78)-1</f>
        <v>#VALUE!</v>
      </c>
      <c r="Z78" s="14" t="e">
        <f t="shared" si="36"/>
        <v>#VALUE!</v>
      </c>
      <c r="AA78" s="14" t="e">
        <f>RANK($P78,$P$5:$P$104,1)+COUNTIF(P$5:P78,P78)-1</f>
        <v>#VALUE!</v>
      </c>
      <c r="AB78" s="14" t="e">
        <f t="shared" si="37"/>
        <v>#VALUE!</v>
      </c>
      <c r="AC78" s="1" t="str">
        <f t="shared" si="24"/>
        <v xml:space="preserve"> </v>
      </c>
      <c r="AD78" s="1" t="str">
        <f t="shared" si="25"/>
        <v>-</v>
      </c>
      <c r="AE78" s="35" t="str">
        <f t="shared" si="38"/>
        <v>-</v>
      </c>
      <c r="AF78" s="35" t="str">
        <f t="shared" si="39"/>
        <v>-</v>
      </c>
      <c r="AG78" s="35" t="str">
        <f t="shared" si="40"/>
        <v>-</v>
      </c>
      <c r="AH78" s="35" t="str">
        <f t="shared" si="41"/>
        <v>-</v>
      </c>
      <c r="AI78" s="35" t="str">
        <f t="shared" si="42"/>
        <v>-</v>
      </c>
      <c r="AJ78" s="35" t="str">
        <f t="shared" si="43"/>
        <v>-</v>
      </c>
      <c r="AL78" s="4">
        <v>74</v>
      </c>
      <c r="AM78" s="2" t="e">
        <f>VLOOKUP(AL78,Q$5:$AJ$104,$AN$2,FALSE)</f>
        <v>#N/A</v>
      </c>
      <c r="AN78" s="6" t="e">
        <f>VLOOKUP(AL78,Q$5:$AJ$104,$AN$2+11,FALSE)</f>
        <v>#N/A</v>
      </c>
      <c r="AO78" s="2" t="e">
        <f t="shared" si="44"/>
        <v>#N/A</v>
      </c>
      <c r="AQ78" s="4">
        <v>74</v>
      </c>
      <c r="AR78" s="2" t="e">
        <f>VLOOKUP(AQ78,$S$5:$AJ$104,$AS$2,FALSE)</f>
        <v>#N/A</v>
      </c>
      <c r="AS78" s="6" t="e">
        <f>VLOOKUP(AQ78,$S$5:$AJ$104,$AS$2+9,FALSE)</f>
        <v>#N/A</v>
      </c>
      <c r="AT78" s="2" t="e">
        <f>VLOOKUP(AR78,$S$5:$AJ$104,$AS$2+12,FALSE)</f>
        <v>#N/A</v>
      </c>
      <c r="AU78" s="9"/>
      <c r="AV78" s="4">
        <v>74</v>
      </c>
      <c r="AW78" s="2" t="e">
        <f>VLOOKUP(AV78,$U$5:$AJ$104,$AX$2,FALSE)</f>
        <v>#N/A</v>
      </c>
      <c r="AX78" s="6" t="e">
        <f>VLOOKUP(AV78,$U$5:$AJ$104,$AX$2+7,FALSE)</f>
        <v>#N/A</v>
      </c>
      <c r="AY78" s="2" t="e">
        <f>VLOOKUP(AW78,$U$5:$AJ$104,$AX$2+11,FALSE)</f>
        <v>#N/A</v>
      </c>
      <c r="BA78" s="4">
        <v>74</v>
      </c>
      <c r="BB78" s="2" t="e">
        <f>VLOOKUP(BA78,$W$5:$AJ$104,$BC$2,FALSE)</f>
        <v>#N/A</v>
      </c>
      <c r="BC78" s="6" t="e">
        <f>VLOOKUP(BA78,$W$5:$AJ$104,$BC$2+5,FALSE)</f>
        <v>#N/A</v>
      </c>
      <c r="BD78" s="2" t="e">
        <f>VLOOKUP(BB78,$W$5:$AJ$104,$BC$2+10,FALSE)</f>
        <v>#N/A</v>
      </c>
      <c r="BE78" s="9"/>
      <c r="BF78" s="4">
        <v>74</v>
      </c>
      <c r="BG78" s="2" t="e">
        <f>VLOOKUP(BF78,$Y$5:$AJ$104,$BH$2,FALSE)</f>
        <v>#N/A</v>
      </c>
      <c r="BH78" s="6" t="e">
        <f>VLOOKUP(BF78,$Y$5:$AJ$104,$BH$2+3,FALSE)</f>
        <v>#N/A</v>
      </c>
      <c r="BI78" s="58" t="e">
        <f>VLOOKUP(BG78,$Y$5:$AJ$104,$BH$2+9,FALSE)</f>
        <v>#N/A</v>
      </c>
      <c r="BK78" s="4">
        <v>74</v>
      </c>
      <c r="BL78" s="2" t="e">
        <f>VLOOKUP(BK78,$AA$5:$AJ$104,$BM$2,FALSE)</f>
        <v>#N/A</v>
      </c>
      <c r="BM78" s="6" t="e">
        <f>VLOOKUP(BK78,$AA$5:$AJ$104,$BM$2+1,FALSE)</f>
        <v>#N/A</v>
      </c>
      <c r="BN78" s="58" t="e">
        <f>VLOOKUP(BL78,$AA$5:$AJ$104,$BM$2+8,FALSE)</f>
        <v>#N/A</v>
      </c>
      <c r="BP78" s="2" t="e">
        <f>'Eclectic A'!CD78</f>
        <v>#N/A</v>
      </c>
      <c r="BQ78" s="6" t="e">
        <f>'Eclectic A'!CE78</f>
        <v>#N/A</v>
      </c>
      <c r="BR78" s="103" t="e">
        <f>'Eclectic A'!CF78</f>
        <v>#N/A</v>
      </c>
    </row>
    <row r="79" spans="1:70">
      <c r="A79" s="10" t="str">
        <f>IF(ISBLANK(Players!A77),"",Players!A77)</f>
        <v/>
      </c>
      <c r="B79" s="10" t="str">
        <f>IF(ISBLANK(Players!B77),"",Players!B77)</f>
        <v/>
      </c>
      <c r="C79" s="10" t="str">
        <f>IF(ISBLANK(Players!D77),"",Players!D77)</f>
        <v/>
      </c>
      <c r="D79" s="69" t="str">
        <f>IF(ISNUMBER(C79),MIN((C79*Rules!$N$14/113)+(Rules!$N$13-Rules!$N$12),Rules!$N$37),"-")</f>
        <v>-</v>
      </c>
      <c r="E79" s="69" t="str">
        <f>IF(ISNUMBER(C79),    ROUND( (D79*Rules!$N$11) / 100,0),"-")</f>
        <v>-</v>
      </c>
      <c r="F79" s="36" t="str">
        <f>IF(AND(ISNUMBER(C79),C79&gt;=Rules!$M$10,C79&lt;=Rules!$N$10),"Y","N")</f>
        <v>N</v>
      </c>
      <c r="G79" s="137" t="str">
        <f>'Eclectic A'!M79</f>
        <v>-</v>
      </c>
      <c r="H79" s="137" t="str">
        <f>'Eclectic A'!W79</f>
        <v>-</v>
      </c>
      <c r="I79" s="137" t="str">
        <f>'Eclectic A'!AJ79</f>
        <v>-</v>
      </c>
      <c r="J79" s="137" t="str">
        <f>'Eclectic A'!AT79</f>
        <v>-</v>
      </c>
      <c r="K79" s="108" t="str">
        <f t="shared" si="26"/>
        <v>-</v>
      </c>
      <c r="L79" s="108" t="str">
        <f t="shared" si="27"/>
        <v>-</v>
      </c>
      <c r="M79" s="108" t="str">
        <f t="shared" si="28"/>
        <v>-</v>
      </c>
      <c r="N79" s="108" t="str">
        <f t="shared" si="29"/>
        <v>-</v>
      </c>
      <c r="O79" s="108" t="str">
        <f t="shared" si="30"/>
        <v>-</v>
      </c>
      <c r="P79" s="108" t="str">
        <f t="shared" si="31"/>
        <v>-</v>
      </c>
      <c r="Q79" s="14" t="e">
        <f>RANK($K79,$K$5:$K$104,1)+COUNTIF(K$5:K79,K79)-1</f>
        <v>#VALUE!</v>
      </c>
      <c r="R79" s="14" t="e">
        <f t="shared" si="32"/>
        <v>#VALUE!</v>
      </c>
      <c r="S79" s="14" t="e">
        <f>RANK($L79,$L$5:$L$104,1)+COUNTIF(L$5:L79,L79)-1</f>
        <v>#VALUE!</v>
      </c>
      <c r="T79" s="14" t="e">
        <f t="shared" si="33"/>
        <v>#VALUE!</v>
      </c>
      <c r="U79" s="14" t="e">
        <f>RANK($M79,$M$5:$M$104,1)+COUNTIF(M$5:M79,M79)-1</f>
        <v>#VALUE!</v>
      </c>
      <c r="V79" s="14" t="e">
        <f t="shared" si="34"/>
        <v>#VALUE!</v>
      </c>
      <c r="W79" s="14" t="e">
        <f>RANK($N79,$N$5:$N$104,1)+COUNTIF(N$5:N79,N79)-1</f>
        <v>#VALUE!</v>
      </c>
      <c r="X79" s="14" t="e">
        <f t="shared" si="35"/>
        <v>#VALUE!</v>
      </c>
      <c r="Y79" s="14" t="e">
        <f>RANK($O79,$O$5:$O$104,1)+COUNTIF(O$5:O79,O79)-1</f>
        <v>#VALUE!</v>
      </c>
      <c r="Z79" s="14" t="e">
        <f t="shared" si="36"/>
        <v>#VALUE!</v>
      </c>
      <c r="AA79" s="14" t="e">
        <f>RANK($P79,$P$5:$P$104,1)+COUNTIF(P$5:P79,P79)-1</f>
        <v>#VALUE!</v>
      </c>
      <c r="AB79" s="14" t="e">
        <f t="shared" si="37"/>
        <v>#VALUE!</v>
      </c>
      <c r="AC79" s="1" t="str">
        <f t="shared" si="24"/>
        <v xml:space="preserve"> </v>
      </c>
      <c r="AD79" s="1" t="str">
        <f t="shared" si="25"/>
        <v>-</v>
      </c>
      <c r="AE79" s="35" t="str">
        <f t="shared" si="38"/>
        <v>-</v>
      </c>
      <c r="AF79" s="35" t="str">
        <f t="shared" si="39"/>
        <v>-</v>
      </c>
      <c r="AG79" s="35" t="str">
        <f t="shared" si="40"/>
        <v>-</v>
      </c>
      <c r="AH79" s="35" t="str">
        <f t="shared" si="41"/>
        <v>-</v>
      </c>
      <c r="AI79" s="35" t="str">
        <f t="shared" si="42"/>
        <v>-</v>
      </c>
      <c r="AJ79" s="35" t="str">
        <f t="shared" si="43"/>
        <v>-</v>
      </c>
      <c r="AL79" s="4">
        <v>75</v>
      </c>
      <c r="AM79" s="2" t="e">
        <f>VLOOKUP(AL79,Q$5:$AJ$104,$AN$2,FALSE)</f>
        <v>#N/A</v>
      </c>
      <c r="AN79" s="6" t="e">
        <f>VLOOKUP(AL79,Q$5:$AJ$104,$AN$2+11,FALSE)</f>
        <v>#N/A</v>
      </c>
      <c r="AO79" s="2" t="e">
        <f t="shared" si="44"/>
        <v>#N/A</v>
      </c>
      <c r="AQ79" s="4">
        <v>75</v>
      </c>
      <c r="AR79" s="2" t="e">
        <f>VLOOKUP(AQ79,$S$5:$AJ$104,$AS$2,FALSE)</f>
        <v>#N/A</v>
      </c>
      <c r="AS79" s="6" t="e">
        <f>VLOOKUP(AQ79,$S$5:$AJ$104,$AS$2+9,FALSE)</f>
        <v>#N/A</v>
      </c>
      <c r="AT79" s="2" t="e">
        <f>VLOOKUP(AR79,$S$5:$AJ$104,$AS$2+12,FALSE)</f>
        <v>#N/A</v>
      </c>
      <c r="AU79" s="9"/>
      <c r="AV79" s="4">
        <v>75</v>
      </c>
      <c r="AW79" s="2" t="e">
        <f>VLOOKUP(AV79,$U$5:$AJ$104,$AX$2,FALSE)</f>
        <v>#N/A</v>
      </c>
      <c r="AX79" s="6" t="e">
        <f>VLOOKUP(AV79,$U$5:$AJ$104,$AX$2+7,FALSE)</f>
        <v>#N/A</v>
      </c>
      <c r="AY79" s="2" t="e">
        <f>VLOOKUP(AW79,$U$5:$AJ$104,$AX$2+11,FALSE)</f>
        <v>#N/A</v>
      </c>
      <c r="BA79" s="4">
        <v>75</v>
      </c>
      <c r="BB79" s="2" t="e">
        <f>VLOOKUP(BA79,$W$5:$AJ$104,$BC$2,FALSE)</f>
        <v>#N/A</v>
      </c>
      <c r="BC79" s="6" t="e">
        <f>VLOOKUP(BA79,$W$5:$AJ$104,$BC$2+5,FALSE)</f>
        <v>#N/A</v>
      </c>
      <c r="BD79" s="2" t="e">
        <f>VLOOKUP(BB79,$W$5:$AJ$104,$BC$2+10,FALSE)</f>
        <v>#N/A</v>
      </c>
      <c r="BE79" s="9"/>
      <c r="BF79" s="4">
        <v>75</v>
      </c>
      <c r="BG79" s="2" t="e">
        <f>VLOOKUP(BF79,$Y$5:$AJ$104,$BH$2,FALSE)</f>
        <v>#N/A</v>
      </c>
      <c r="BH79" s="6" t="e">
        <f>VLOOKUP(BF79,$Y$5:$AJ$104,$BH$2+3,FALSE)</f>
        <v>#N/A</v>
      </c>
      <c r="BI79" s="58" t="e">
        <f>VLOOKUP(BG79,$Y$5:$AJ$104,$BH$2+9,FALSE)</f>
        <v>#N/A</v>
      </c>
      <c r="BK79" s="4">
        <v>75</v>
      </c>
      <c r="BL79" s="2" t="e">
        <f>VLOOKUP(BK79,$AA$5:$AJ$104,$BM$2,FALSE)</f>
        <v>#N/A</v>
      </c>
      <c r="BM79" s="6" t="e">
        <f>VLOOKUP(BK79,$AA$5:$AJ$104,$BM$2+1,FALSE)</f>
        <v>#N/A</v>
      </c>
      <c r="BN79" s="58" t="e">
        <f>VLOOKUP(BL79,$AA$5:$AJ$104,$BM$2+8,FALSE)</f>
        <v>#N/A</v>
      </c>
      <c r="BP79" s="2" t="e">
        <f>'Eclectic A'!CD79</f>
        <v>#N/A</v>
      </c>
      <c r="BQ79" s="6" t="e">
        <f>'Eclectic A'!CE79</f>
        <v>#N/A</v>
      </c>
      <c r="BR79" s="103" t="e">
        <f>'Eclectic A'!CF79</f>
        <v>#N/A</v>
      </c>
    </row>
    <row r="80" spans="1:70">
      <c r="A80" s="10" t="str">
        <f>IF(ISBLANK(Players!A78),"",Players!A78)</f>
        <v/>
      </c>
      <c r="B80" s="10" t="str">
        <f>IF(ISBLANK(Players!B78),"",Players!B78)</f>
        <v/>
      </c>
      <c r="C80" s="10" t="str">
        <f>IF(ISBLANK(Players!D78),"",Players!D78)</f>
        <v/>
      </c>
      <c r="D80" s="69" t="str">
        <f>IF(ISNUMBER(C80),MIN((C80*Rules!$N$14/113)+(Rules!$N$13-Rules!$N$12),Rules!$N$37),"-")</f>
        <v>-</v>
      </c>
      <c r="E80" s="69" t="str">
        <f>IF(ISNUMBER(C80),    ROUND( (D80*Rules!$N$11) / 100,0),"-")</f>
        <v>-</v>
      </c>
      <c r="F80" s="36" t="str">
        <f>IF(AND(ISNUMBER(C80),C80&gt;=Rules!$M$10,C80&lt;=Rules!$N$10),"Y","N")</f>
        <v>N</v>
      </c>
      <c r="G80" s="137" t="str">
        <f>'Eclectic A'!M80</f>
        <v>-</v>
      </c>
      <c r="H80" s="137" t="str">
        <f>'Eclectic A'!W80</f>
        <v>-</v>
      </c>
      <c r="I80" s="137" t="str">
        <f>'Eclectic A'!AJ80</f>
        <v>-</v>
      </c>
      <c r="J80" s="137" t="str">
        <f>'Eclectic A'!AT80</f>
        <v>-</v>
      </c>
      <c r="K80" s="108" t="str">
        <f t="shared" si="26"/>
        <v>-</v>
      </c>
      <c r="L80" s="108" t="str">
        <f t="shared" si="27"/>
        <v>-</v>
      </c>
      <c r="M80" s="108" t="str">
        <f t="shared" si="28"/>
        <v>-</v>
      </c>
      <c r="N80" s="108" t="str">
        <f t="shared" si="29"/>
        <v>-</v>
      </c>
      <c r="O80" s="108" t="str">
        <f t="shared" si="30"/>
        <v>-</v>
      </c>
      <c r="P80" s="108" t="str">
        <f t="shared" si="31"/>
        <v>-</v>
      </c>
      <c r="Q80" s="14" t="e">
        <f>RANK($K80,$K$5:$K$104,1)+COUNTIF(K$5:K80,K80)-1</f>
        <v>#VALUE!</v>
      </c>
      <c r="R80" s="14" t="e">
        <f t="shared" si="32"/>
        <v>#VALUE!</v>
      </c>
      <c r="S80" s="14" t="e">
        <f>RANK($L80,$L$5:$L$104,1)+COUNTIF(L$5:L80,L80)-1</f>
        <v>#VALUE!</v>
      </c>
      <c r="T80" s="14" t="e">
        <f t="shared" si="33"/>
        <v>#VALUE!</v>
      </c>
      <c r="U80" s="14" t="e">
        <f>RANK($M80,$M$5:$M$104,1)+COUNTIF(M$5:M80,M80)-1</f>
        <v>#VALUE!</v>
      </c>
      <c r="V80" s="14" t="e">
        <f t="shared" si="34"/>
        <v>#VALUE!</v>
      </c>
      <c r="W80" s="14" t="e">
        <f>RANK($N80,$N$5:$N$104,1)+COUNTIF(N$5:N80,N80)-1</f>
        <v>#VALUE!</v>
      </c>
      <c r="X80" s="14" t="e">
        <f t="shared" si="35"/>
        <v>#VALUE!</v>
      </c>
      <c r="Y80" s="14" t="e">
        <f>RANK($O80,$O$5:$O$104,1)+COUNTIF(O$5:O80,O80)-1</f>
        <v>#VALUE!</v>
      </c>
      <c r="Z80" s="14" t="e">
        <f t="shared" si="36"/>
        <v>#VALUE!</v>
      </c>
      <c r="AA80" s="14" t="e">
        <f>RANK($P80,$P$5:$P$104,1)+COUNTIF(P$5:P80,P80)-1</f>
        <v>#VALUE!</v>
      </c>
      <c r="AB80" s="14" t="e">
        <f t="shared" si="37"/>
        <v>#VALUE!</v>
      </c>
      <c r="AC80" s="1" t="str">
        <f t="shared" si="24"/>
        <v xml:space="preserve"> </v>
      </c>
      <c r="AD80" s="1" t="str">
        <f t="shared" si="25"/>
        <v>-</v>
      </c>
      <c r="AE80" s="35" t="str">
        <f t="shared" si="38"/>
        <v>-</v>
      </c>
      <c r="AF80" s="35" t="str">
        <f t="shared" si="39"/>
        <v>-</v>
      </c>
      <c r="AG80" s="35" t="str">
        <f t="shared" si="40"/>
        <v>-</v>
      </c>
      <c r="AH80" s="35" t="str">
        <f t="shared" si="41"/>
        <v>-</v>
      </c>
      <c r="AI80" s="35" t="str">
        <f t="shared" si="42"/>
        <v>-</v>
      </c>
      <c r="AJ80" s="35" t="str">
        <f t="shared" si="43"/>
        <v>-</v>
      </c>
      <c r="AL80" s="4">
        <v>76</v>
      </c>
      <c r="AM80" s="2" t="e">
        <f>VLOOKUP(AL80,Q$5:$AJ$104,$AN$2,FALSE)</f>
        <v>#N/A</v>
      </c>
      <c r="AN80" s="6" t="e">
        <f>VLOOKUP(AL80,Q$5:$AJ$104,$AN$2+11,FALSE)</f>
        <v>#N/A</v>
      </c>
      <c r="AO80" s="2" t="e">
        <f t="shared" si="44"/>
        <v>#N/A</v>
      </c>
      <c r="AQ80" s="4">
        <v>76</v>
      </c>
      <c r="AR80" s="2" t="e">
        <f>VLOOKUP(AQ80,$S$5:$AJ$104,$AS$2,FALSE)</f>
        <v>#N/A</v>
      </c>
      <c r="AS80" s="6" t="e">
        <f>VLOOKUP(AQ80,$S$5:$AJ$104,$AS$2+9,FALSE)</f>
        <v>#N/A</v>
      </c>
      <c r="AT80" s="2" t="e">
        <f>VLOOKUP(AR80,$S$5:$AJ$104,$AS$2+12,FALSE)</f>
        <v>#N/A</v>
      </c>
      <c r="AU80" s="9"/>
      <c r="AV80" s="4">
        <v>76</v>
      </c>
      <c r="AW80" s="2" t="e">
        <f>VLOOKUP(AV80,$U$5:$AJ$104,$AX$2,FALSE)</f>
        <v>#N/A</v>
      </c>
      <c r="AX80" s="6" t="e">
        <f>VLOOKUP(AV80,$U$5:$AJ$104,$AX$2+7,FALSE)</f>
        <v>#N/A</v>
      </c>
      <c r="AY80" s="2" t="e">
        <f>VLOOKUP(AW80,$U$5:$AJ$104,$AX$2+11,FALSE)</f>
        <v>#N/A</v>
      </c>
      <c r="BA80" s="4">
        <v>76</v>
      </c>
      <c r="BB80" s="2" t="e">
        <f>VLOOKUP(BA80,$W$5:$AJ$104,$BC$2,FALSE)</f>
        <v>#N/A</v>
      </c>
      <c r="BC80" s="6" t="e">
        <f>VLOOKUP(BA80,$W$5:$AJ$104,$BC$2+5,FALSE)</f>
        <v>#N/A</v>
      </c>
      <c r="BD80" s="2" t="e">
        <f>VLOOKUP(BB80,$W$5:$AJ$104,$BC$2+10,FALSE)</f>
        <v>#N/A</v>
      </c>
      <c r="BE80" s="9"/>
      <c r="BF80" s="4">
        <v>76</v>
      </c>
      <c r="BG80" s="2" t="e">
        <f>VLOOKUP(BF80,$Y$5:$AJ$104,$BH$2,FALSE)</f>
        <v>#N/A</v>
      </c>
      <c r="BH80" s="6" t="e">
        <f>VLOOKUP(BF80,$Y$5:$AJ$104,$BH$2+3,FALSE)</f>
        <v>#N/A</v>
      </c>
      <c r="BI80" s="58" t="e">
        <f>VLOOKUP(BG80,$Y$5:$AJ$104,$BH$2+9,FALSE)</f>
        <v>#N/A</v>
      </c>
      <c r="BK80" s="4">
        <v>76</v>
      </c>
      <c r="BL80" s="2" t="e">
        <f>VLOOKUP(BK80,$AA$5:$AJ$104,$BM$2,FALSE)</f>
        <v>#N/A</v>
      </c>
      <c r="BM80" s="6" t="e">
        <f>VLOOKUP(BK80,$AA$5:$AJ$104,$BM$2+1,FALSE)</f>
        <v>#N/A</v>
      </c>
      <c r="BN80" s="58" t="e">
        <f>VLOOKUP(BL80,$AA$5:$AJ$104,$BM$2+8,FALSE)</f>
        <v>#N/A</v>
      </c>
      <c r="BP80" s="2" t="e">
        <f>'Eclectic A'!CD80</f>
        <v>#N/A</v>
      </c>
      <c r="BQ80" s="6" t="e">
        <f>'Eclectic A'!CE80</f>
        <v>#N/A</v>
      </c>
      <c r="BR80" s="103" t="e">
        <f>'Eclectic A'!CF80</f>
        <v>#N/A</v>
      </c>
    </row>
    <row r="81" spans="1:70">
      <c r="A81" s="10" t="str">
        <f>IF(ISBLANK(Players!A79),"",Players!A79)</f>
        <v/>
      </c>
      <c r="B81" s="10" t="str">
        <f>IF(ISBLANK(Players!B79),"",Players!B79)</f>
        <v/>
      </c>
      <c r="C81" s="10" t="str">
        <f>IF(ISBLANK(Players!D79),"",Players!D79)</f>
        <v/>
      </c>
      <c r="D81" s="69" t="str">
        <f>IF(ISNUMBER(C81),MIN((C81*Rules!$N$14/113)+(Rules!$N$13-Rules!$N$12),Rules!$N$37),"-")</f>
        <v>-</v>
      </c>
      <c r="E81" s="69" t="str">
        <f>IF(ISNUMBER(C81),    ROUND( (D81*Rules!$N$11) / 100,0),"-")</f>
        <v>-</v>
      </c>
      <c r="F81" s="36" t="str">
        <f>IF(AND(ISNUMBER(C81),C81&gt;=Rules!$M$10,C81&lt;=Rules!$N$10),"Y","N")</f>
        <v>N</v>
      </c>
      <c r="G81" s="137" t="str">
        <f>'Eclectic A'!M81</f>
        <v>-</v>
      </c>
      <c r="H81" s="137" t="str">
        <f>'Eclectic A'!W81</f>
        <v>-</v>
      </c>
      <c r="I81" s="137" t="str">
        <f>'Eclectic A'!AJ81</f>
        <v>-</v>
      </c>
      <c r="J81" s="137" t="str">
        <f>'Eclectic A'!AT81</f>
        <v>-</v>
      </c>
      <c r="K81" s="108" t="str">
        <f t="shared" si="26"/>
        <v>-</v>
      </c>
      <c r="L81" s="108" t="str">
        <f t="shared" si="27"/>
        <v>-</v>
      </c>
      <c r="M81" s="108" t="str">
        <f t="shared" si="28"/>
        <v>-</v>
      </c>
      <c r="N81" s="108" t="str">
        <f t="shared" si="29"/>
        <v>-</v>
      </c>
      <c r="O81" s="108" t="str">
        <f t="shared" si="30"/>
        <v>-</v>
      </c>
      <c r="P81" s="108" t="str">
        <f t="shared" si="31"/>
        <v>-</v>
      </c>
      <c r="Q81" s="14" t="e">
        <f>RANK($K81,$K$5:$K$104,1)+COUNTIF(K$5:K81,K81)-1</f>
        <v>#VALUE!</v>
      </c>
      <c r="R81" s="14" t="e">
        <f t="shared" si="32"/>
        <v>#VALUE!</v>
      </c>
      <c r="S81" s="14" t="e">
        <f>RANK($L81,$L$5:$L$104,1)+COUNTIF(L$5:L81,L81)-1</f>
        <v>#VALUE!</v>
      </c>
      <c r="T81" s="14" t="e">
        <f t="shared" si="33"/>
        <v>#VALUE!</v>
      </c>
      <c r="U81" s="14" t="e">
        <f>RANK($M81,$M$5:$M$104,1)+COUNTIF(M$5:M81,M81)-1</f>
        <v>#VALUE!</v>
      </c>
      <c r="V81" s="14" t="e">
        <f t="shared" si="34"/>
        <v>#VALUE!</v>
      </c>
      <c r="W81" s="14" t="e">
        <f>RANK($N81,$N$5:$N$104,1)+COUNTIF(N$5:N81,N81)-1</f>
        <v>#VALUE!</v>
      </c>
      <c r="X81" s="14" t="e">
        <f t="shared" si="35"/>
        <v>#VALUE!</v>
      </c>
      <c r="Y81" s="14" t="e">
        <f>RANK($O81,$O$5:$O$104,1)+COUNTIF(O$5:O81,O81)-1</f>
        <v>#VALUE!</v>
      </c>
      <c r="Z81" s="14" t="e">
        <f t="shared" si="36"/>
        <v>#VALUE!</v>
      </c>
      <c r="AA81" s="14" t="e">
        <f>RANK($P81,$P$5:$P$104,1)+COUNTIF(P$5:P81,P81)-1</f>
        <v>#VALUE!</v>
      </c>
      <c r="AB81" s="14" t="e">
        <f t="shared" si="37"/>
        <v>#VALUE!</v>
      </c>
      <c r="AC81" s="1" t="str">
        <f t="shared" si="24"/>
        <v xml:space="preserve"> </v>
      </c>
      <c r="AD81" s="1" t="str">
        <f t="shared" si="25"/>
        <v>-</v>
      </c>
      <c r="AE81" s="35" t="str">
        <f t="shared" si="38"/>
        <v>-</v>
      </c>
      <c r="AF81" s="35" t="str">
        <f t="shared" si="39"/>
        <v>-</v>
      </c>
      <c r="AG81" s="35" t="str">
        <f t="shared" si="40"/>
        <v>-</v>
      </c>
      <c r="AH81" s="35" t="str">
        <f t="shared" si="41"/>
        <v>-</v>
      </c>
      <c r="AI81" s="35" t="str">
        <f t="shared" si="42"/>
        <v>-</v>
      </c>
      <c r="AJ81" s="35" t="str">
        <f t="shared" si="43"/>
        <v>-</v>
      </c>
      <c r="AL81" s="4">
        <v>77</v>
      </c>
      <c r="AM81" s="2" t="e">
        <f>VLOOKUP(AL81,Q$5:$AJ$104,$AN$2,FALSE)</f>
        <v>#N/A</v>
      </c>
      <c r="AN81" s="6" t="e">
        <f>VLOOKUP(AL81,Q$5:$AJ$104,$AN$2+11,FALSE)</f>
        <v>#N/A</v>
      </c>
      <c r="AO81" s="2" t="e">
        <f t="shared" si="44"/>
        <v>#N/A</v>
      </c>
      <c r="AQ81" s="4">
        <v>77</v>
      </c>
      <c r="AR81" s="2" t="e">
        <f>VLOOKUP(AQ81,$S$5:$AJ$104,$AS$2,FALSE)</f>
        <v>#N/A</v>
      </c>
      <c r="AS81" s="6" t="e">
        <f>VLOOKUP(AQ81,$S$5:$AJ$104,$AS$2+9,FALSE)</f>
        <v>#N/A</v>
      </c>
      <c r="AT81" s="2" t="e">
        <f>VLOOKUP(AR81,$S$5:$AJ$104,$AS$2+12,FALSE)</f>
        <v>#N/A</v>
      </c>
      <c r="AU81" s="9"/>
      <c r="AV81" s="4">
        <v>77</v>
      </c>
      <c r="AW81" s="2" t="e">
        <f>VLOOKUP(AV81,$U$5:$AJ$104,$AX$2,FALSE)</f>
        <v>#N/A</v>
      </c>
      <c r="AX81" s="6" t="e">
        <f>VLOOKUP(AV81,$U$5:$AJ$104,$AX$2+7,FALSE)</f>
        <v>#N/A</v>
      </c>
      <c r="AY81" s="2" t="e">
        <f>VLOOKUP(AW81,$U$5:$AJ$104,$AX$2+11,FALSE)</f>
        <v>#N/A</v>
      </c>
      <c r="BA81" s="4">
        <v>77</v>
      </c>
      <c r="BB81" s="2" t="e">
        <f>VLOOKUP(BA81,$W$5:$AJ$104,$BC$2,FALSE)</f>
        <v>#N/A</v>
      </c>
      <c r="BC81" s="6" t="e">
        <f>VLOOKUP(BA81,$W$5:$AJ$104,$BC$2+5,FALSE)</f>
        <v>#N/A</v>
      </c>
      <c r="BD81" s="2" t="e">
        <f>VLOOKUP(BB81,$W$5:$AJ$104,$BC$2+10,FALSE)</f>
        <v>#N/A</v>
      </c>
      <c r="BE81" s="9"/>
      <c r="BF81" s="4">
        <v>77</v>
      </c>
      <c r="BG81" s="2" t="e">
        <f>VLOOKUP(BF81,$Y$5:$AJ$104,$BH$2,FALSE)</f>
        <v>#N/A</v>
      </c>
      <c r="BH81" s="6" t="e">
        <f>VLOOKUP(BF81,$Y$5:$AJ$104,$BH$2+3,FALSE)</f>
        <v>#N/A</v>
      </c>
      <c r="BI81" s="58" t="e">
        <f>VLOOKUP(BG81,$Y$5:$AJ$104,$BH$2+9,FALSE)</f>
        <v>#N/A</v>
      </c>
      <c r="BK81" s="4">
        <v>77</v>
      </c>
      <c r="BL81" s="2" t="e">
        <f>VLOOKUP(BK81,$AA$5:$AJ$104,$BM$2,FALSE)</f>
        <v>#N/A</v>
      </c>
      <c r="BM81" s="6" t="e">
        <f>VLOOKUP(BK81,$AA$5:$AJ$104,$BM$2+1,FALSE)</f>
        <v>#N/A</v>
      </c>
      <c r="BN81" s="58" t="e">
        <f>VLOOKUP(BL81,$AA$5:$AJ$104,$BM$2+8,FALSE)</f>
        <v>#N/A</v>
      </c>
      <c r="BP81" s="2" t="e">
        <f>'Eclectic A'!CD81</f>
        <v>#N/A</v>
      </c>
      <c r="BQ81" s="6" t="e">
        <f>'Eclectic A'!CE81</f>
        <v>#N/A</v>
      </c>
      <c r="BR81" s="103" t="e">
        <f>'Eclectic A'!CF81</f>
        <v>#N/A</v>
      </c>
    </row>
    <row r="82" spans="1:70">
      <c r="A82" s="10" t="str">
        <f>IF(ISBLANK(Players!A80),"",Players!A80)</f>
        <v/>
      </c>
      <c r="B82" s="10" t="str">
        <f>IF(ISBLANK(Players!B80),"",Players!B80)</f>
        <v/>
      </c>
      <c r="C82" s="10" t="str">
        <f>IF(ISBLANK(Players!D80),"",Players!D80)</f>
        <v/>
      </c>
      <c r="D82" s="69" t="str">
        <f>IF(ISNUMBER(C82),MIN((C82*Rules!$N$14/113)+(Rules!$N$13-Rules!$N$12),Rules!$N$37),"-")</f>
        <v>-</v>
      </c>
      <c r="E82" s="69" t="str">
        <f>IF(ISNUMBER(C82),    ROUND( (D82*Rules!$N$11) / 100,0),"-")</f>
        <v>-</v>
      </c>
      <c r="F82" s="36" t="str">
        <f>IF(AND(ISNUMBER(C82),C82&gt;=Rules!$M$10,C82&lt;=Rules!$N$10),"Y","N")</f>
        <v>N</v>
      </c>
      <c r="G82" s="137" t="str">
        <f>'Eclectic A'!M82</f>
        <v>-</v>
      </c>
      <c r="H82" s="137" t="str">
        <f>'Eclectic A'!W82</f>
        <v>-</v>
      </c>
      <c r="I82" s="137" t="str">
        <f>'Eclectic A'!AJ82</f>
        <v>-</v>
      </c>
      <c r="J82" s="137" t="str">
        <f>'Eclectic A'!AT82</f>
        <v>-</v>
      </c>
      <c r="K82" s="108" t="str">
        <f t="shared" si="26"/>
        <v>-</v>
      </c>
      <c r="L82" s="108" t="str">
        <f t="shared" si="27"/>
        <v>-</v>
      </c>
      <c r="M82" s="108" t="str">
        <f t="shared" si="28"/>
        <v>-</v>
      </c>
      <c r="N82" s="108" t="str">
        <f t="shared" si="29"/>
        <v>-</v>
      </c>
      <c r="O82" s="108" t="str">
        <f t="shared" si="30"/>
        <v>-</v>
      </c>
      <c r="P82" s="108" t="str">
        <f t="shared" si="31"/>
        <v>-</v>
      </c>
      <c r="Q82" s="14" t="e">
        <f>RANK($K82,$K$5:$K$104,1)+COUNTIF(K$5:K82,K82)-1</f>
        <v>#VALUE!</v>
      </c>
      <c r="R82" s="14" t="e">
        <f t="shared" si="32"/>
        <v>#VALUE!</v>
      </c>
      <c r="S82" s="14" t="e">
        <f>RANK($L82,$L$5:$L$104,1)+COUNTIF(L$5:L82,L82)-1</f>
        <v>#VALUE!</v>
      </c>
      <c r="T82" s="14" t="e">
        <f t="shared" si="33"/>
        <v>#VALUE!</v>
      </c>
      <c r="U82" s="14" t="e">
        <f>RANK($M82,$M$5:$M$104,1)+COUNTIF(M$5:M82,M82)-1</f>
        <v>#VALUE!</v>
      </c>
      <c r="V82" s="14" t="e">
        <f t="shared" si="34"/>
        <v>#VALUE!</v>
      </c>
      <c r="W82" s="14" t="e">
        <f>RANK($N82,$N$5:$N$104,1)+COUNTIF(N$5:N82,N82)-1</f>
        <v>#VALUE!</v>
      </c>
      <c r="X82" s="14" t="e">
        <f t="shared" si="35"/>
        <v>#VALUE!</v>
      </c>
      <c r="Y82" s="14" t="e">
        <f>RANK($O82,$O$5:$O$104,1)+COUNTIF(O$5:O82,O82)-1</f>
        <v>#VALUE!</v>
      </c>
      <c r="Z82" s="14" t="e">
        <f t="shared" si="36"/>
        <v>#VALUE!</v>
      </c>
      <c r="AA82" s="14" t="e">
        <f>RANK($P82,$P$5:$P$104,1)+COUNTIF(P$5:P82,P82)-1</f>
        <v>#VALUE!</v>
      </c>
      <c r="AB82" s="14" t="e">
        <f t="shared" si="37"/>
        <v>#VALUE!</v>
      </c>
      <c r="AC82" s="1" t="str">
        <f t="shared" si="24"/>
        <v xml:space="preserve"> </v>
      </c>
      <c r="AD82" s="1" t="str">
        <f t="shared" si="25"/>
        <v>-</v>
      </c>
      <c r="AE82" s="35" t="str">
        <f t="shared" si="38"/>
        <v>-</v>
      </c>
      <c r="AF82" s="35" t="str">
        <f t="shared" si="39"/>
        <v>-</v>
      </c>
      <c r="AG82" s="35" t="str">
        <f t="shared" si="40"/>
        <v>-</v>
      </c>
      <c r="AH82" s="35" t="str">
        <f t="shared" si="41"/>
        <v>-</v>
      </c>
      <c r="AI82" s="35" t="str">
        <f t="shared" si="42"/>
        <v>-</v>
      </c>
      <c r="AJ82" s="35" t="str">
        <f t="shared" si="43"/>
        <v>-</v>
      </c>
      <c r="AL82" s="4">
        <v>78</v>
      </c>
      <c r="AM82" s="2" t="e">
        <f>VLOOKUP(AL82,Q$5:$AJ$104,$AN$2,FALSE)</f>
        <v>#N/A</v>
      </c>
      <c r="AN82" s="6" t="e">
        <f>VLOOKUP(AL82,Q$5:$AJ$104,$AN$2+11,FALSE)</f>
        <v>#N/A</v>
      </c>
      <c r="AO82" s="2" t="e">
        <f t="shared" si="44"/>
        <v>#N/A</v>
      </c>
      <c r="AQ82" s="4">
        <v>78</v>
      </c>
      <c r="AR82" s="2" t="e">
        <f>VLOOKUP(AQ82,$S$5:$AJ$104,$AS$2,FALSE)</f>
        <v>#N/A</v>
      </c>
      <c r="AS82" s="6" t="e">
        <f>VLOOKUP(AQ82,$S$5:$AJ$104,$AS$2+9,FALSE)</f>
        <v>#N/A</v>
      </c>
      <c r="AT82" s="2" t="e">
        <f>VLOOKUP(AR82,$S$5:$AJ$104,$AS$2+12,FALSE)</f>
        <v>#N/A</v>
      </c>
      <c r="AU82" s="9"/>
      <c r="AV82" s="4">
        <v>78</v>
      </c>
      <c r="AW82" s="2" t="e">
        <f>VLOOKUP(AV82,$U$5:$AJ$104,$AX$2,FALSE)</f>
        <v>#N/A</v>
      </c>
      <c r="AX82" s="6" t="e">
        <f>VLOOKUP(AV82,$U$5:$AJ$104,$AX$2+7,FALSE)</f>
        <v>#N/A</v>
      </c>
      <c r="AY82" s="2" t="e">
        <f>VLOOKUP(AW82,$U$5:$AJ$104,$AX$2+11,FALSE)</f>
        <v>#N/A</v>
      </c>
      <c r="BA82" s="4">
        <v>78</v>
      </c>
      <c r="BB82" s="2" t="e">
        <f>VLOOKUP(BA82,$W$5:$AJ$104,$BC$2,FALSE)</f>
        <v>#N/A</v>
      </c>
      <c r="BC82" s="6" t="e">
        <f>VLOOKUP(BA82,$W$5:$AJ$104,$BC$2+5,FALSE)</f>
        <v>#N/A</v>
      </c>
      <c r="BD82" s="2" t="e">
        <f>VLOOKUP(BB82,$W$5:$AJ$104,$BC$2+10,FALSE)</f>
        <v>#N/A</v>
      </c>
      <c r="BE82" s="9"/>
      <c r="BF82" s="4">
        <v>78</v>
      </c>
      <c r="BG82" s="2" t="e">
        <f>VLOOKUP(BF82,$Y$5:$AJ$104,$BH$2,FALSE)</f>
        <v>#N/A</v>
      </c>
      <c r="BH82" s="6" t="e">
        <f>VLOOKUP(BF82,$Y$5:$AJ$104,$BH$2+3,FALSE)</f>
        <v>#N/A</v>
      </c>
      <c r="BI82" s="58" t="e">
        <f>VLOOKUP(BG82,$Y$5:$AJ$104,$BH$2+9,FALSE)</f>
        <v>#N/A</v>
      </c>
      <c r="BK82" s="4">
        <v>78</v>
      </c>
      <c r="BL82" s="2" t="e">
        <f>VLOOKUP(BK82,$AA$5:$AJ$104,$BM$2,FALSE)</f>
        <v>#N/A</v>
      </c>
      <c r="BM82" s="6" t="e">
        <f>VLOOKUP(BK82,$AA$5:$AJ$104,$BM$2+1,FALSE)</f>
        <v>#N/A</v>
      </c>
      <c r="BN82" s="58" t="e">
        <f>VLOOKUP(BL82,$AA$5:$AJ$104,$BM$2+8,FALSE)</f>
        <v>#N/A</v>
      </c>
      <c r="BP82" s="2" t="e">
        <f>'Eclectic A'!CD82</f>
        <v>#N/A</v>
      </c>
      <c r="BQ82" s="6" t="e">
        <f>'Eclectic A'!CE82</f>
        <v>#N/A</v>
      </c>
      <c r="BR82" s="103" t="e">
        <f>'Eclectic A'!CF82</f>
        <v>#N/A</v>
      </c>
    </row>
    <row r="83" spans="1:70">
      <c r="A83" s="10" t="str">
        <f>IF(ISBLANK(Players!A81),"",Players!A81)</f>
        <v/>
      </c>
      <c r="B83" s="10" t="str">
        <f>IF(ISBLANK(Players!B81),"",Players!B81)</f>
        <v/>
      </c>
      <c r="C83" s="10" t="str">
        <f>IF(ISBLANK(Players!D81),"",Players!D81)</f>
        <v/>
      </c>
      <c r="D83" s="69" t="str">
        <f>IF(ISNUMBER(C83),MIN((C83*Rules!$N$14/113)+(Rules!$N$13-Rules!$N$12),Rules!$N$37),"-")</f>
        <v>-</v>
      </c>
      <c r="E83" s="69" t="str">
        <f>IF(ISNUMBER(C83),    ROUND( (D83*Rules!$N$11) / 100,0),"-")</f>
        <v>-</v>
      </c>
      <c r="F83" s="36" t="str">
        <f>IF(AND(ISNUMBER(C83),C83&gt;=Rules!$M$10,C83&lt;=Rules!$N$10),"Y","N")</f>
        <v>N</v>
      </c>
      <c r="G83" s="137" t="str">
        <f>'Eclectic A'!M83</f>
        <v>-</v>
      </c>
      <c r="H83" s="137" t="str">
        <f>'Eclectic A'!W83</f>
        <v>-</v>
      </c>
      <c r="I83" s="137" t="str">
        <f>'Eclectic A'!AJ83</f>
        <v>-</v>
      </c>
      <c r="J83" s="137" t="str">
        <f>'Eclectic A'!AT83</f>
        <v>-</v>
      </c>
      <c r="K83" s="108" t="str">
        <f t="shared" si="26"/>
        <v>-</v>
      </c>
      <c r="L83" s="108" t="str">
        <f t="shared" si="27"/>
        <v>-</v>
      </c>
      <c r="M83" s="108" t="str">
        <f t="shared" si="28"/>
        <v>-</v>
      </c>
      <c r="N83" s="108" t="str">
        <f t="shared" si="29"/>
        <v>-</v>
      </c>
      <c r="O83" s="108" t="str">
        <f t="shared" si="30"/>
        <v>-</v>
      </c>
      <c r="P83" s="108" t="str">
        <f t="shared" si="31"/>
        <v>-</v>
      </c>
      <c r="Q83" s="14" t="e">
        <f>RANK($K83,$K$5:$K$104,1)+COUNTIF(K$5:K83,K83)-1</f>
        <v>#VALUE!</v>
      </c>
      <c r="R83" s="14" t="e">
        <f t="shared" si="32"/>
        <v>#VALUE!</v>
      </c>
      <c r="S83" s="14" t="e">
        <f>RANK($L83,$L$5:$L$104,1)+COUNTIF(L$5:L83,L83)-1</f>
        <v>#VALUE!</v>
      </c>
      <c r="T83" s="14" t="e">
        <f t="shared" si="33"/>
        <v>#VALUE!</v>
      </c>
      <c r="U83" s="14" t="e">
        <f>RANK($M83,$M$5:$M$104,1)+COUNTIF(M$5:M83,M83)-1</f>
        <v>#VALUE!</v>
      </c>
      <c r="V83" s="14" t="e">
        <f t="shared" si="34"/>
        <v>#VALUE!</v>
      </c>
      <c r="W83" s="14" t="e">
        <f>RANK($N83,$N$5:$N$104,1)+COUNTIF(N$5:N83,N83)-1</f>
        <v>#VALUE!</v>
      </c>
      <c r="X83" s="14" t="e">
        <f t="shared" si="35"/>
        <v>#VALUE!</v>
      </c>
      <c r="Y83" s="14" t="e">
        <f>RANK($O83,$O$5:$O$104,1)+COUNTIF(O$5:O83,O83)-1</f>
        <v>#VALUE!</v>
      </c>
      <c r="Z83" s="14" t="e">
        <f t="shared" si="36"/>
        <v>#VALUE!</v>
      </c>
      <c r="AA83" s="14" t="e">
        <f>RANK($P83,$P$5:$P$104,1)+COUNTIF(P$5:P83,P83)-1</f>
        <v>#VALUE!</v>
      </c>
      <c r="AB83" s="14" t="e">
        <f t="shared" si="37"/>
        <v>#VALUE!</v>
      </c>
      <c r="AC83" s="1" t="str">
        <f t="shared" si="24"/>
        <v xml:space="preserve"> </v>
      </c>
      <c r="AD83" s="1" t="str">
        <f t="shared" si="25"/>
        <v>-</v>
      </c>
      <c r="AE83" s="35" t="str">
        <f t="shared" si="38"/>
        <v>-</v>
      </c>
      <c r="AF83" s="35" t="str">
        <f t="shared" si="39"/>
        <v>-</v>
      </c>
      <c r="AG83" s="35" t="str">
        <f t="shared" si="40"/>
        <v>-</v>
      </c>
      <c r="AH83" s="35" t="str">
        <f t="shared" si="41"/>
        <v>-</v>
      </c>
      <c r="AI83" s="35" t="str">
        <f t="shared" si="42"/>
        <v>-</v>
      </c>
      <c r="AJ83" s="35" t="str">
        <f t="shared" si="43"/>
        <v>-</v>
      </c>
      <c r="AL83" s="4">
        <v>79</v>
      </c>
      <c r="AM83" s="2" t="e">
        <f>VLOOKUP(AL83,Q$5:$AJ$104,$AN$2,FALSE)</f>
        <v>#N/A</v>
      </c>
      <c r="AN83" s="6" t="e">
        <f>VLOOKUP(AL83,Q$5:$AJ$104,$AN$2+11,FALSE)</f>
        <v>#N/A</v>
      </c>
      <c r="AO83" s="2" t="e">
        <f t="shared" si="44"/>
        <v>#N/A</v>
      </c>
      <c r="AQ83" s="4">
        <v>79</v>
      </c>
      <c r="AR83" s="2" t="e">
        <f>VLOOKUP(AQ83,$S$5:$AJ$104,$AS$2,FALSE)</f>
        <v>#N/A</v>
      </c>
      <c r="AS83" s="6" t="e">
        <f>VLOOKUP(AQ83,$S$5:$AJ$104,$AS$2+9,FALSE)</f>
        <v>#N/A</v>
      </c>
      <c r="AT83" s="2" t="e">
        <f>VLOOKUP(AR83,$S$5:$AJ$104,$AS$2+12,FALSE)</f>
        <v>#N/A</v>
      </c>
      <c r="AU83" s="9"/>
      <c r="AV83" s="4">
        <v>79</v>
      </c>
      <c r="AW83" s="2" t="e">
        <f>VLOOKUP(AV83,$U$5:$AJ$104,$AX$2,FALSE)</f>
        <v>#N/A</v>
      </c>
      <c r="AX83" s="6" t="e">
        <f>VLOOKUP(AV83,$U$5:$AJ$104,$AX$2+7,FALSE)</f>
        <v>#N/A</v>
      </c>
      <c r="AY83" s="2" t="e">
        <f>VLOOKUP(AW83,$U$5:$AJ$104,$AX$2+11,FALSE)</f>
        <v>#N/A</v>
      </c>
      <c r="BA83" s="4">
        <v>79</v>
      </c>
      <c r="BB83" s="2" t="e">
        <f>VLOOKUP(BA83,$W$5:$AJ$104,$BC$2,FALSE)</f>
        <v>#N/A</v>
      </c>
      <c r="BC83" s="6" t="e">
        <f>VLOOKUP(BA83,$W$5:$AJ$104,$BC$2+5,FALSE)</f>
        <v>#N/A</v>
      </c>
      <c r="BD83" s="2" t="e">
        <f>VLOOKUP(BB83,$W$5:$AJ$104,$BC$2+10,FALSE)</f>
        <v>#N/A</v>
      </c>
      <c r="BE83" s="9"/>
      <c r="BF83" s="4">
        <v>79</v>
      </c>
      <c r="BG83" s="2" t="e">
        <f>VLOOKUP(BF83,$Y$5:$AJ$104,$BH$2,FALSE)</f>
        <v>#N/A</v>
      </c>
      <c r="BH83" s="6" t="e">
        <f>VLOOKUP(BF83,$Y$5:$AJ$104,$BH$2+3,FALSE)</f>
        <v>#N/A</v>
      </c>
      <c r="BI83" s="58" t="e">
        <f>VLOOKUP(BG83,$Y$5:$AJ$104,$BH$2+9,FALSE)</f>
        <v>#N/A</v>
      </c>
      <c r="BK83" s="4">
        <v>79</v>
      </c>
      <c r="BL83" s="2" t="e">
        <f>VLOOKUP(BK83,$AA$5:$AJ$104,$BM$2,FALSE)</f>
        <v>#N/A</v>
      </c>
      <c r="BM83" s="6" t="e">
        <f>VLOOKUP(BK83,$AA$5:$AJ$104,$BM$2+1,FALSE)</f>
        <v>#N/A</v>
      </c>
      <c r="BN83" s="58" t="e">
        <f>VLOOKUP(BL83,$AA$5:$AJ$104,$BM$2+8,FALSE)</f>
        <v>#N/A</v>
      </c>
      <c r="BP83" s="2" t="e">
        <f>'Eclectic A'!CD83</f>
        <v>#N/A</v>
      </c>
      <c r="BQ83" s="6" t="e">
        <f>'Eclectic A'!CE83</f>
        <v>#N/A</v>
      </c>
      <c r="BR83" s="103" t="e">
        <f>'Eclectic A'!CF83</f>
        <v>#N/A</v>
      </c>
    </row>
    <row r="84" spans="1:70">
      <c r="A84" s="10" t="str">
        <f>IF(ISBLANK(Players!A82),"",Players!A82)</f>
        <v/>
      </c>
      <c r="B84" s="10" t="str">
        <f>IF(ISBLANK(Players!B82),"",Players!B82)</f>
        <v/>
      </c>
      <c r="C84" s="10" t="str">
        <f>IF(ISBLANK(Players!D82),"",Players!D82)</f>
        <v/>
      </c>
      <c r="D84" s="69" t="str">
        <f>IF(ISNUMBER(C84),MIN((C84*Rules!$N$14/113)+(Rules!$N$13-Rules!$N$12),Rules!$N$37),"-")</f>
        <v>-</v>
      </c>
      <c r="E84" s="69" t="str">
        <f>IF(ISNUMBER(C84),    ROUND( (D84*Rules!$N$11) / 100,0),"-")</f>
        <v>-</v>
      </c>
      <c r="F84" s="36" t="str">
        <f>IF(AND(ISNUMBER(C84),C84&gt;=Rules!$M$10,C84&lt;=Rules!$N$10),"Y","N")</f>
        <v>N</v>
      </c>
      <c r="G84" s="137" t="str">
        <f>'Eclectic A'!M84</f>
        <v>-</v>
      </c>
      <c r="H84" s="137" t="str">
        <f>'Eclectic A'!W84</f>
        <v>-</v>
      </c>
      <c r="I84" s="137" t="str">
        <f>'Eclectic A'!AJ84</f>
        <v>-</v>
      </c>
      <c r="J84" s="137" t="str">
        <f>'Eclectic A'!AT84</f>
        <v>-</v>
      </c>
      <c r="K84" s="108" t="str">
        <f t="shared" si="26"/>
        <v>-</v>
      </c>
      <c r="L84" s="108" t="str">
        <f t="shared" si="27"/>
        <v>-</v>
      </c>
      <c r="M84" s="108" t="str">
        <f t="shared" si="28"/>
        <v>-</v>
      </c>
      <c r="N84" s="108" t="str">
        <f t="shared" si="29"/>
        <v>-</v>
      </c>
      <c r="O84" s="108" t="str">
        <f t="shared" si="30"/>
        <v>-</v>
      </c>
      <c r="P84" s="108" t="str">
        <f t="shared" si="31"/>
        <v>-</v>
      </c>
      <c r="Q84" s="14" t="e">
        <f>RANK($K84,$K$5:$K$104,1)+COUNTIF(K$5:K84,K84)-1</f>
        <v>#VALUE!</v>
      </c>
      <c r="R84" s="14" t="e">
        <f t="shared" si="32"/>
        <v>#VALUE!</v>
      </c>
      <c r="S84" s="14" t="e">
        <f>RANK($L84,$L$5:$L$104,1)+COUNTIF(L$5:L84,L84)-1</f>
        <v>#VALUE!</v>
      </c>
      <c r="T84" s="14" t="e">
        <f t="shared" si="33"/>
        <v>#VALUE!</v>
      </c>
      <c r="U84" s="14" t="e">
        <f>RANK($M84,$M$5:$M$104,1)+COUNTIF(M$5:M84,M84)-1</f>
        <v>#VALUE!</v>
      </c>
      <c r="V84" s="14" t="e">
        <f t="shared" si="34"/>
        <v>#VALUE!</v>
      </c>
      <c r="W84" s="14" t="e">
        <f>RANK($N84,$N$5:$N$104,1)+COUNTIF(N$5:N84,N84)-1</f>
        <v>#VALUE!</v>
      </c>
      <c r="X84" s="14" t="e">
        <f t="shared" si="35"/>
        <v>#VALUE!</v>
      </c>
      <c r="Y84" s="14" t="e">
        <f>RANK($O84,$O$5:$O$104,1)+COUNTIF(O$5:O84,O84)-1</f>
        <v>#VALUE!</v>
      </c>
      <c r="Z84" s="14" t="e">
        <f t="shared" si="36"/>
        <v>#VALUE!</v>
      </c>
      <c r="AA84" s="14" t="e">
        <f>RANK($P84,$P$5:$P$104,1)+COUNTIF(P$5:P84,P84)-1</f>
        <v>#VALUE!</v>
      </c>
      <c r="AB84" s="14" t="e">
        <f t="shared" si="37"/>
        <v>#VALUE!</v>
      </c>
      <c r="AC84" s="1" t="str">
        <f t="shared" si="24"/>
        <v xml:space="preserve"> </v>
      </c>
      <c r="AD84" s="1" t="str">
        <f t="shared" si="25"/>
        <v>-</v>
      </c>
      <c r="AE84" s="35" t="str">
        <f t="shared" si="38"/>
        <v>-</v>
      </c>
      <c r="AF84" s="35" t="str">
        <f t="shared" si="39"/>
        <v>-</v>
      </c>
      <c r="AG84" s="35" t="str">
        <f t="shared" si="40"/>
        <v>-</v>
      </c>
      <c r="AH84" s="35" t="str">
        <f t="shared" si="41"/>
        <v>-</v>
      </c>
      <c r="AI84" s="35" t="str">
        <f t="shared" si="42"/>
        <v>-</v>
      </c>
      <c r="AJ84" s="35" t="str">
        <f t="shared" si="43"/>
        <v>-</v>
      </c>
      <c r="AL84" s="4">
        <v>80</v>
      </c>
      <c r="AM84" s="2" t="e">
        <f>VLOOKUP(AL84,Q$5:$AJ$104,$AN$2,FALSE)</f>
        <v>#N/A</v>
      </c>
      <c r="AN84" s="6" t="e">
        <f>VLOOKUP(AL84,Q$5:$AJ$104,$AN$2+11,FALSE)</f>
        <v>#N/A</v>
      </c>
      <c r="AO84" s="2" t="e">
        <f t="shared" si="44"/>
        <v>#N/A</v>
      </c>
      <c r="AQ84" s="4">
        <v>80</v>
      </c>
      <c r="AR84" s="2" t="e">
        <f>VLOOKUP(AQ84,$S$5:$AJ$104,$AS$2,FALSE)</f>
        <v>#N/A</v>
      </c>
      <c r="AS84" s="6" t="e">
        <f>VLOOKUP(AQ84,$S$5:$AJ$104,$AS$2+9,FALSE)</f>
        <v>#N/A</v>
      </c>
      <c r="AT84" s="2" t="e">
        <f>VLOOKUP(AR84,$S$5:$AJ$104,$AS$2+12,FALSE)</f>
        <v>#N/A</v>
      </c>
      <c r="AU84" s="9"/>
      <c r="AV84" s="4">
        <v>80</v>
      </c>
      <c r="AW84" s="2" t="e">
        <f>VLOOKUP(AV84,$U$5:$AJ$104,$AX$2,FALSE)</f>
        <v>#N/A</v>
      </c>
      <c r="AX84" s="6" t="e">
        <f>VLOOKUP(AV84,$U$5:$AJ$104,$AX$2+7,FALSE)</f>
        <v>#N/A</v>
      </c>
      <c r="AY84" s="2" t="e">
        <f>VLOOKUP(AW84,$U$5:$AJ$104,$AX$2+11,FALSE)</f>
        <v>#N/A</v>
      </c>
      <c r="BA84" s="4">
        <v>80</v>
      </c>
      <c r="BB84" s="2" t="e">
        <f>VLOOKUP(BA84,$W$5:$AJ$104,$BC$2,FALSE)</f>
        <v>#N/A</v>
      </c>
      <c r="BC84" s="6" t="e">
        <f>VLOOKUP(BA84,$W$5:$AJ$104,$BC$2+5,FALSE)</f>
        <v>#N/A</v>
      </c>
      <c r="BD84" s="2" t="e">
        <f>VLOOKUP(BB84,$W$5:$AJ$104,$BC$2+10,FALSE)</f>
        <v>#N/A</v>
      </c>
      <c r="BE84" s="9"/>
      <c r="BF84" s="4">
        <v>80</v>
      </c>
      <c r="BG84" s="2" t="e">
        <f>VLOOKUP(BF84,$Y$5:$AJ$104,$BH$2,FALSE)</f>
        <v>#N/A</v>
      </c>
      <c r="BH84" s="6" t="e">
        <f>VLOOKUP(BF84,$Y$5:$AJ$104,$BH$2+3,FALSE)</f>
        <v>#N/A</v>
      </c>
      <c r="BI84" s="58" t="e">
        <f>VLOOKUP(BG84,$Y$5:$AJ$104,$BH$2+9,FALSE)</f>
        <v>#N/A</v>
      </c>
      <c r="BK84" s="4">
        <v>80</v>
      </c>
      <c r="BL84" s="2" t="e">
        <f>VLOOKUP(BK84,$AA$5:$AJ$104,$BM$2,FALSE)</f>
        <v>#N/A</v>
      </c>
      <c r="BM84" s="6" t="e">
        <f>VLOOKUP(BK84,$AA$5:$AJ$104,$BM$2+1,FALSE)</f>
        <v>#N/A</v>
      </c>
      <c r="BN84" s="58" t="e">
        <f>VLOOKUP(BL84,$AA$5:$AJ$104,$BM$2+8,FALSE)</f>
        <v>#N/A</v>
      </c>
      <c r="BP84" s="2" t="e">
        <f>'Eclectic A'!CD84</f>
        <v>#N/A</v>
      </c>
      <c r="BQ84" s="6" t="e">
        <f>'Eclectic A'!CE84</f>
        <v>#N/A</v>
      </c>
      <c r="BR84" s="103" t="e">
        <f>'Eclectic A'!CF84</f>
        <v>#N/A</v>
      </c>
    </row>
    <row r="85" spans="1:70">
      <c r="A85" s="10" t="str">
        <f>IF(ISBLANK(Players!A83),"",Players!A83)</f>
        <v/>
      </c>
      <c r="B85" s="10" t="str">
        <f>IF(ISBLANK(Players!B83),"",Players!B83)</f>
        <v/>
      </c>
      <c r="C85" s="10" t="str">
        <f>IF(ISBLANK(Players!D83),"",Players!D83)</f>
        <v/>
      </c>
      <c r="D85" s="69" t="str">
        <f>IF(ISNUMBER(C85),MIN((C85*Rules!$N$14/113)+(Rules!$N$13-Rules!$N$12),Rules!$N$37),"-")</f>
        <v>-</v>
      </c>
      <c r="E85" s="69" t="str">
        <f>IF(ISNUMBER(C85),    ROUND( (D85*Rules!$N$11) / 100,0),"-")</f>
        <v>-</v>
      </c>
      <c r="F85" s="36" t="str">
        <f>IF(AND(ISNUMBER(C85),C85&gt;=Rules!$M$10,C85&lt;=Rules!$N$10),"Y","N")</f>
        <v>N</v>
      </c>
      <c r="G85" s="137" t="str">
        <f>'Eclectic A'!M85</f>
        <v>-</v>
      </c>
      <c r="H85" s="137" t="str">
        <f>'Eclectic A'!W85</f>
        <v>-</v>
      </c>
      <c r="I85" s="137" t="str">
        <f>'Eclectic A'!AJ85</f>
        <v>-</v>
      </c>
      <c r="J85" s="137" t="str">
        <f>'Eclectic A'!AT85</f>
        <v>-</v>
      </c>
      <c r="K85" s="108" t="str">
        <f t="shared" si="26"/>
        <v>-</v>
      </c>
      <c r="L85" s="108" t="str">
        <f t="shared" si="27"/>
        <v>-</v>
      </c>
      <c r="M85" s="108" t="str">
        <f t="shared" si="28"/>
        <v>-</v>
      </c>
      <c r="N85" s="108" t="str">
        <f t="shared" si="29"/>
        <v>-</v>
      </c>
      <c r="O85" s="108" t="str">
        <f t="shared" si="30"/>
        <v>-</v>
      </c>
      <c r="P85" s="108" t="str">
        <f t="shared" si="31"/>
        <v>-</v>
      </c>
      <c r="Q85" s="14" t="e">
        <f>RANK($K85,$K$5:$K$104,1)+COUNTIF(K$5:K85,K85)-1</f>
        <v>#VALUE!</v>
      </c>
      <c r="R85" s="14" t="e">
        <f t="shared" si="32"/>
        <v>#VALUE!</v>
      </c>
      <c r="S85" s="14" t="e">
        <f>RANK($L85,$L$5:$L$104,1)+COUNTIF(L$5:L85,L85)-1</f>
        <v>#VALUE!</v>
      </c>
      <c r="T85" s="14" t="e">
        <f t="shared" si="33"/>
        <v>#VALUE!</v>
      </c>
      <c r="U85" s="14" t="e">
        <f>RANK($M85,$M$5:$M$104,1)+COUNTIF(M$5:M85,M85)-1</f>
        <v>#VALUE!</v>
      </c>
      <c r="V85" s="14" t="e">
        <f t="shared" si="34"/>
        <v>#VALUE!</v>
      </c>
      <c r="W85" s="14" t="e">
        <f>RANK($N85,$N$5:$N$104,1)+COUNTIF(N$5:N85,N85)-1</f>
        <v>#VALUE!</v>
      </c>
      <c r="X85" s="14" t="e">
        <f t="shared" si="35"/>
        <v>#VALUE!</v>
      </c>
      <c r="Y85" s="14" t="e">
        <f>RANK($O85,$O$5:$O$104,1)+COUNTIF(O$5:O85,O85)-1</f>
        <v>#VALUE!</v>
      </c>
      <c r="Z85" s="14" t="e">
        <f t="shared" si="36"/>
        <v>#VALUE!</v>
      </c>
      <c r="AA85" s="14" t="e">
        <f>RANK($P85,$P$5:$P$104,1)+COUNTIF(P$5:P85,P85)-1</f>
        <v>#VALUE!</v>
      </c>
      <c r="AB85" s="14" t="e">
        <f t="shared" si="37"/>
        <v>#VALUE!</v>
      </c>
      <c r="AC85" s="1" t="str">
        <f t="shared" si="24"/>
        <v xml:space="preserve"> </v>
      </c>
      <c r="AD85" s="1" t="str">
        <f t="shared" si="25"/>
        <v>-</v>
      </c>
      <c r="AE85" s="35" t="str">
        <f t="shared" si="38"/>
        <v>-</v>
      </c>
      <c r="AF85" s="35" t="str">
        <f t="shared" si="39"/>
        <v>-</v>
      </c>
      <c r="AG85" s="35" t="str">
        <f t="shared" si="40"/>
        <v>-</v>
      </c>
      <c r="AH85" s="35" t="str">
        <f t="shared" si="41"/>
        <v>-</v>
      </c>
      <c r="AI85" s="35" t="str">
        <f t="shared" si="42"/>
        <v>-</v>
      </c>
      <c r="AJ85" s="35" t="str">
        <f t="shared" si="43"/>
        <v>-</v>
      </c>
      <c r="AL85" s="4">
        <v>81</v>
      </c>
      <c r="AM85" s="2" t="e">
        <f>VLOOKUP(AL85,Q$5:$AJ$104,$AN$2,FALSE)</f>
        <v>#N/A</v>
      </c>
      <c r="AN85" s="6" t="e">
        <f>VLOOKUP(AL85,Q$5:$AJ$104,$AN$2+11,FALSE)</f>
        <v>#N/A</v>
      </c>
      <c r="AO85" s="2" t="e">
        <f t="shared" si="44"/>
        <v>#N/A</v>
      </c>
      <c r="AQ85" s="4">
        <v>81</v>
      </c>
      <c r="AR85" s="2" t="e">
        <f>VLOOKUP(AQ85,$S$5:$AJ$104,$AS$2,FALSE)</f>
        <v>#N/A</v>
      </c>
      <c r="AS85" s="6" t="e">
        <f>VLOOKUP(AQ85,$S$5:$AJ$104,$AS$2+9,FALSE)</f>
        <v>#N/A</v>
      </c>
      <c r="AT85" s="2" t="e">
        <f>VLOOKUP(AR85,$S$5:$AJ$104,$AS$2+12,FALSE)</f>
        <v>#N/A</v>
      </c>
      <c r="AU85" s="9"/>
      <c r="AV85" s="4">
        <v>81</v>
      </c>
      <c r="AW85" s="2" t="e">
        <f>VLOOKUP(AV85,$U$5:$AJ$104,$AX$2,FALSE)</f>
        <v>#N/A</v>
      </c>
      <c r="AX85" s="6" t="e">
        <f>VLOOKUP(AV85,$U$5:$AJ$104,$AX$2+7,FALSE)</f>
        <v>#N/A</v>
      </c>
      <c r="AY85" s="2" t="e">
        <f>VLOOKUP(AW85,$U$5:$AJ$104,$AX$2+11,FALSE)</f>
        <v>#N/A</v>
      </c>
      <c r="BA85" s="4">
        <v>81</v>
      </c>
      <c r="BB85" s="2" t="e">
        <f>VLOOKUP(BA85,$W$5:$AJ$104,$BC$2,FALSE)</f>
        <v>#N/A</v>
      </c>
      <c r="BC85" s="6" t="e">
        <f>VLOOKUP(BA85,$W$5:$AJ$104,$BC$2+5,FALSE)</f>
        <v>#N/A</v>
      </c>
      <c r="BD85" s="2" t="e">
        <f>VLOOKUP(BB85,$W$5:$AJ$104,$BC$2+10,FALSE)</f>
        <v>#N/A</v>
      </c>
      <c r="BE85" s="9"/>
      <c r="BF85" s="4">
        <v>81</v>
      </c>
      <c r="BG85" s="2" t="e">
        <f>VLOOKUP(BF85,$Y$5:$AJ$104,$BH$2,FALSE)</f>
        <v>#N/A</v>
      </c>
      <c r="BH85" s="6" t="e">
        <f>VLOOKUP(BF85,$Y$5:$AJ$104,$BH$2+3,FALSE)</f>
        <v>#N/A</v>
      </c>
      <c r="BI85" s="58" t="e">
        <f>VLOOKUP(BG85,$Y$5:$AJ$104,$BH$2+9,FALSE)</f>
        <v>#N/A</v>
      </c>
      <c r="BK85" s="4">
        <v>81</v>
      </c>
      <c r="BL85" s="2" t="e">
        <f>VLOOKUP(BK85,$AA$5:$AJ$104,$BM$2,FALSE)</f>
        <v>#N/A</v>
      </c>
      <c r="BM85" s="6" t="e">
        <f>VLOOKUP(BK85,$AA$5:$AJ$104,$BM$2+1,FALSE)</f>
        <v>#N/A</v>
      </c>
      <c r="BN85" s="58" t="e">
        <f>VLOOKUP(BL85,$AA$5:$AJ$104,$BM$2+8,FALSE)</f>
        <v>#N/A</v>
      </c>
      <c r="BP85" s="2" t="e">
        <f>'Eclectic A'!CD85</f>
        <v>#N/A</v>
      </c>
      <c r="BQ85" s="6" t="e">
        <f>'Eclectic A'!CE85</f>
        <v>#N/A</v>
      </c>
      <c r="BR85" s="103" t="e">
        <f>'Eclectic A'!CF85</f>
        <v>#N/A</v>
      </c>
    </row>
    <row r="86" spans="1:70">
      <c r="A86" s="10" t="str">
        <f>IF(ISBLANK(Players!A84),"",Players!A84)</f>
        <v/>
      </c>
      <c r="B86" s="10" t="str">
        <f>IF(ISBLANK(Players!B84),"",Players!B84)</f>
        <v/>
      </c>
      <c r="C86" s="10" t="str">
        <f>IF(ISBLANK(Players!D84),"",Players!D84)</f>
        <v/>
      </c>
      <c r="D86" s="69" t="str">
        <f>IF(ISNUMBER(C86),MIN((C86*Rules!$N$14/113)+(Rules!$N$13-Rules!$N$12),Rules!$N$37),"-")</f>
        <v>-</v>
      </c>
      <c r="E86" s="69" t="str">
        <f>IF(ISNUMBER(C86),    ROUND( (D86*Rules!$N$11) / 100,0),"-")</f>
        <v>-</v>
      </c>
      <c r="F86" s="36" t="str">
        <f>IF(AND(ISNUMBER(C86),C86&gt;=Rules!$M$10,C86&lt;=Rules!$N$10),"Y","N")</f>
        <v>N</v>
      </c>
      <c r="G86" s="137" t="str">
        <f>'Eclectic A'!M86</f>
        <v>-</v>
      </c>
      <c r="H86" s="137" t="str">
        <f>'Eclectic A'!W86</f>
        <v>-</v>
      </c>
      <c r="I86" s="137" t="str">
        <f>'Eclectic A'!AJ86</f>
        <v>-</v>
      </c>
      <c r="J86" s="137" t="str">
        <f>'Eclectic A'!AT86</f>
        <v>-</v>
      </c>
      <c r="K86" s="108" t="str">
        <f t="shared" si="26"/>
        <v>-</v>
      </c>
      <c r="L86" s="108" t="str">
        <f t="shared" si="27"/>
        <v>-</v>
      </c>
      <c r="M86" s="108" t="str">
        <f t="shared" si="28"/>
        <v>-</v>
      </c>
      <c r="N86" s="108" t="str">
        <f t="shared" si="29"/>
        <v>-</v>
      </c>
      <c r="O86" s="108" t="str">
        <f t="shared" si="30"/>
        <v>-</v>
      </c>
      <c r="P86" s="108" t="str">
        <f t="shared" si="31"/>
        <v>-</v>
      </c>
      <c r="Q86" s="14" t="e">
        <f>RANK($K86,$K$5:$K$104,1)+COUNTIF(K$5:K86,K86)-1</f>
        <v>#VALUE!</v>
      </c>
      <c r="R86" s="14" t="e">
        <f t="shared" si="32"/>
        <v>#VALUE!</v>
      </c>
      <c r="S86" s="14" t="e">
        <f>RANK($L86,$L$5:$L$104,1)+COUNTIF(L$5:L86,L86)-1</f>
        <v>#VALUE!</v>
      </c>
      <c r="T86" s="14" t="e">
        <f t="shared" si="33"/>
        <v>#VALUE!</v>
      </c>
      <c r="U86" s="14" t="e">
        <f>RANK($M86,$M$5:$M$104,1)+COUNTIF(M$5:M86,M86)-1</f>
        <v>#VALUE!</v>
      </c>
      <c r="V86" s="14" t="e">
        <f t="shared" si="34"/>
        <v>#VALUE!</v>
      </c>
      <c r="W86" s="14" t="e">
        <f>RANK($N86,$N$5:$N$104,1)+COUNTIF(N$5:N86,N86)-1</f>
        <v>#VALUE!</v>
      </c>
      <c r="X86" s="14" t="e">
        <f t="shared" si="35"/>
        <v>#VALUE!</v>
      </c>
      <c r="Y86" s="14" t="e">
        <f>RANK($O86,$O$5:$O$104,1)+COUNTIF(O$5:O86,O86)-1</f>
        <v>#VALUE!</v>
      </c>
      <c r="Z86" s="14" t="e">
        <f t="shared" si="36"/>
        <v>#VALUE!</v>
      </c>
      <c r="AA86" s="14" t="e">
        <f>RANK($P86,$P$5:$P$104,1)+COUNTIF(P$5:P86,P86)-1</f>
        <v>#VALUE!</v>
      </c>
      <c r="AB86" s="14" t="e">
        <f t="shared" si="37"/>
        <v>#VALUE!</v>
      </c>
      <c r="AC86" s="1" t="str">
        <f t="shared" si="24"/>
        <v xml:space="preserve"> </v>
      </c>
      <c r="AD86" s="1" t="str">
        <f t="shared" si="25"/>
        <v>-</v>
      </c>
      <c r="AE86" s="35" t="str">
        <f t="shared" si="38"/>
        <v>-</v>
      </c>
      <c r="AF86" s="35" t="str">
        <f t="shared" si="39"/>
        <v>-</v>
      </c>
      <c r="AG86" s="35" t="str">
        <f t="shared" si="40"/>
        <v>-</v>
      </c>
      <c r="AH86" s="35" t="str">
        <f t="shared" si="41"/>
        <v>-</v>
      </c>
      <c r="AI86" s="35" t="str">
        <f t="shared" si="42"/>
        <v>-</v>
      </c>
      <c r="AJ86" s="35" t="str">
        <f t="shared" si="43"/>
        <v>-</v>
      </c>
      <c r="AL86" s="4">
        <v>82</v>
      </c>
      <c r="AM86" s="2" t="e">
        <f>VLOOKUP(AL86,Q$5:$AJ$104,$AN$2,FALSE)</f>
        <v>#N/A</v>
      </c>
      <c r="AN86" s="6" t="e">
        <f>VLOOKUP(AL86,Q$5:$AJ$104,$AN$2+11,FALSE)</f>
        <v>#N/A</v>
      </c>
      <c r="AO86" s="2" t="e">
        <f t="shared" si="44"/>
        <v>#N/A</v>
      </c>
      <c r="AQ86" s="4">
        <v>82</v>
      </c>
      <c r="AR86" s="2" t="e">
        <f>VLOOKUP(AQ86,$S$5:$AJ$104,$AS$2,FALSE)</f>
        <v>#N/A</v>
      </c>
      <c r="AS86" s="6" t="e">
        <f>VLOOKUP(AQ86,$S$5:$AJ$104,$AS$2+9,FALSE)</f>
        <v>#N/A</v>
      </c>
      <c r="AT86" s="2" t="e">
        <f>VLOOKUP(AR86,$S$5:$AJ$104,$AS$2+12,FALSE)</f>
        <v>#N/A</v>
      </c>
      <c r="AU86" s="9"/>
      <c r="AV86" s="4">
        <v>82</v>
      </c>
      <c r="AW86" s="2" t="e">
        <f>VLOOKUP(AV86,$U$5:$AJ$104,$AX$2,FALSE)</f>
        <v>#N/A</v>
      </c>
      <c r="AX86" s="6" t="e">
        <f>VLOOKUP(AV86,$U$5:$AJ$104,$AX$2+7,FALSE)</f>
        <v>#N/A</v>
      </c>
      <c r="AY86" s="2" t="e">
        <f>VLOOKUP(AW86,$U$5:$AJ$104,$AX$2+11,FALSE)</f>
        <v>#N/A</v>
      </c>
      <c r="BA86" s="4">
        <v>82</v>
      </c>
      <c r="BB86" s="2" t="e">
        <f>VLOOKUP(BA86,$W$5:$AJ$104,$BC$2,FALSE)</f>
        <v>#N/A</v>
      </c>
      <c r="BC86" s="6" t="e">
        <f>VLOOKUP(BA86,$W$5:$AJ$104,$BC$2+5,FALSE)</f>
        <v>#N/A</v>
      </c>
      <c r="BD86" s="2" t="e">
        <f>VLOOKUP(BB86,$W$5:$AJ$104,$BC$2+10,FALSE)</f>
        <v>#N/A</v>
      </c>
      <c r="BE86" s="9"/>
      <c r="BF86" s="4">
        <v>82</v>
      </c>
      <c r="BG86" s="2" t="e">
        <f>VLOOKUP(BF86,$Y$5:$AJ$104,$BH$2,FALSE)</f>
        <v>#N/A</v>
      </c>
      <c r="BH86" s="6" t="e">
        <f>VLOOKUP(BF86,$Y$5:$AJ$104,$BH$2+3,FALSE)</f>
        <v>#N/A</v>
      </c>
      <c r="BI86" s="58" t="e">
        <f>VLOOKUP(BG86,$Y$5:$AJ$104,$BH$2+9,FALSE)</f>
        <v>#N/A</v>
      </c>
      <c r="BK86" s="4">
        <v>82</v>
      </c>
      <c r="BL86" s="2" t="e">
        <f>VLOOKUP(BK86,$AA$5:$AJ$104,$BM$2,FALSE)</f>
        <v>#N/A</v>
      </c>
      <c r="BM86" s="6" t="e">
        <f>VLOOKUP(BK86,$AA$5:$AJ$104,$BM$2+1,FALSE)</f>
        <v>#N/A</v>
      </c>
      <c r="BN86" s="58" t="e">
        <f>VLOOKUP(BL86,$AA$5:$AJ$104,$BM$2+8,FALSE)</f>
        <v>#N/A</v>
      </c>
      <c r="BP86" s="2" t="e">
        <f>'Eclectic A'!CD86</f>
        <v>#N/A</v>
      </c>
      <c r="BQ86" s="6" t="e">
        <f>'Eclectic A'!CE86</f>
        <v>#N/A</v>
      </c>
      <c r="BR86" s="103" t="e">
        <f>'Eclectic A'!CF86</f>
        <v>#N/A</v>
      </c>
    </row>
    <row r="87" spans="1:70">
      <c r="A87" s="10" t="str">
        <f>IF(ISBLANK(Players!A85),"",Players!A85)</f>
        <v/>
      </c>
      <c r="B87" s="10" t="str">
        <f>IF(ISBLANK(Players!B85),"",Players!B85)</f>
        <v/>
      </c>
      <c r="C87" s="10" t="str">
        <f>IF(ISBLANK(Players!D85),"",Players!D85)</f>
        <v/>
      </c>
      <c r="D87" s="69" t="str">
        <f>IF(ISNUMBER(C87),MIN((C87*Rules!$N$14/113)+(Rules!$N$13-Rules!$N$12),Rules!$N$37),"-")</f>
        <v>-</v>
      </c>
      <c r="E87" s="69" t="str">
        <f>IF(ISNUMBER(C87),    ROUND( (D87*Rules!$N$11) / 100,0),"-")</f>
        <v>-</v>
      </c>
      <c r="F87" s="36" t="str">
        <f>IF(AND(ISNUMBER(C87),C87&gt;=Rules!$M$10,C87&lt;=Rules!$N$10),"Y","N")</f>
        <v>N</v>
      </c>
      <c r="G87" s="137" t="str">
        <f>'Eclectic A'!M87</f>
        <v>-</v>
      </c>
      <c r="H87" s="137" t="str">
        <f>'Eclectic A'!W87</f>
        <v>-</v>
      </c>
      <c r="I87" s="137" t="str">
        <f>'Eclectic A'!AJ87</f>
        <v>-</v>
      </c>
      <c r="J87" s="137" t="str">
        <f>'Eclectic A'!AT87</f>
        <v>-</v>
      </c>
      <c r="K87" s="108" t="str">
        <f t="shared" si="26"/>
        <v>-</v>
      </c>
      <c r="L87" s="108" t="str">
        <f t="shared" si="27"/>
        <v>-</v>
      </c>
      <c r="M87" s="108" t="str">
        <f t="shared" si="28"/>
        <v>-</v>
      </c>
      <c r="N87" s="108" t="str">
        <f t="shared" si="29"/>
        <v>-</v>
      </c>
      <c r="O87" s="108" t="str">
        <f t="shared" si="30"/>
        <v>-</v>
      </c>
      <c r="P87" s="108" t="str">
        <f t="shared" si="31"/>
        <v>-</v>
      </c>
      <c r="Q87" s="14" t="e">
        <f>RANK($K87,$K$5:$K$104,1)+COUNTIF(K$5:K87,K87)-1</f>
        <v>#VALUE!</v>
      </c>
      <c r="R87" s="14" t="e">
        <f t="shared" si="32"/>
        <v>#VALUE!</v>
      </c>
      <c r="S87" s="14" t="e">
        <f>RANK($L87,$L$5:$L$104,1)+COUNTIF(L$5:L87,L87)-1</f>
        <v>#VALUE!</v>
      </c>
      <c r="T87" s="14" t="e">
        <f t="shared" si="33"/>
        <v>#VALUE!</v>
      </c>
      <c r="U87" s="14" t="e">
        <f>RANK($M87,$M$5:$M$104,1)+COUNTIF(M$5:M87,M87)-1</f>
        <v>#VALUE!</v>
      </c>
      <c r="V87" s="14" t="e">
        <f t="shared" si="34"/>
        <v>#VALUE!</v>
      </c>
      <c r="W87" s="14" t="e">
        <f>RANK($N87,$N$5:$N$104,1)+COUNTIF(N$5:N87,N87)-1</f>
        <v>#VALUE!</v>
      </c>
      <c r="X87" s="14" t="e">
        <f t="shared" si="35"/>
        <v>#VALUE!</v>
      </c>
      <c r="Y87" s="14" t="e">
        <f>RANK($O87,$O$5:$O$104,1)+COUNTIF(O$5:O87,O87)-1</f>
        <v>#VALUE!</v>
      </c>
      <c r="Z87" s="14" t="e">
        <f t="shared" si="36"/>
        <v>#VALUE!</v>
      </c>
      <c r="AA87" s="14" t="e">
        <f>RANK($P87,$P$5:$P$104,1)+COUNTIF(P$5:P87,P87)-1</f>
        <v>#VALUE!</v>
      </c>
      <c r="AB87" s="14" t="e">
        <f t="shared" si="37"/>
        <v>#VALUE!</v>
      </c>
      <c r="AC87" s="1" t="str">
        <f t="shared" si="24"/>
        <v xml:space="preserve"> </v>
      </c>
      <c r="AD87" s="1" t="str">
        <f t="shared" si="25"/>
        <v>-</v>
      </c>
      <c r="AE87" s="35" t="str">
        <f t="shared" si="38"/>
        <v>-</v>
      </c>
      <c r="AF87" s="35" t="str">
        <f t="shared" si="39"/>
        <v>-</v>
      </c>
      <c r="AG87" s="35" t="str">
        <f t="shared" si="40"/>
        <v>-</v>
      </c>
      <c r="AH87" s="35" t="str">
        <f t="shared" si="41"/>
        <v>-</v>
      </c>
      <c r="AI87" s="35" t="str">
        <f t="shared" si="42"/>
        <v>-</v>
      </c>
      <c r="AJ87" s="35" t="str">
        <f t="shared" si="43"/>
        <v>-</v>
      </c>
      <c r="AL87" s="4">
        <v>83</v>
      </c>
      <c r="AM87" s="2" t="e">
        <f>VLOOKUP(AL87,Q$5:$AJ$104,$AN$2,FALSE)</f>
        <v>#N/A</v>
      </c>
      <c r="AN87" s="6" t="e">
        <f>VLOOKUP(AL87,Q$5:$AJ$104,$AN$2+11,FALSE)</f>
        <v>#N/A</v>
      </c>
      <c r="AO87" s="2" t="e">
        <f t="shared" si="44"/>
        <v>#N/A</v>
      </c>
      <c r="AQ87" s="4">
        <v>83</v>
      </c>
      <c r="AR87" s="2" t="e">
        <f>VLOOKUP(AQ87,$S$5:$AJ$104,$AS$2,FALSE)</f>
        <v>#N/A</v>
      </c>
      <c r="AS87" s="6" t="e">
        <f>VLOOKUP(AQ87,$S$5:$AJ$104,$AS$2+9,FALSE)</f>
        <v>#N/A</v>
      </c>
      <c r="AT87" s="2" t="e">
        <f>VLOOKUP(AR87,$S$5:$AJ$104,$AS$2+12,FALSE)</f>
        <v>#N/A</v>
      </c>
      <c r="AU87" s="9"/>
      <c r="AV87" s="4">
        <v>83</v>
      </c>
      <c r="AW87" s="2" t="e">
        <f>VLOOKUP(AV87,$U$5:$AJ$104,$AX$2,FALSE)</f>
        <v>#N/A</v>
      </c>
      <c r="AX87" s="6" t="e">
        <f>VLOOKUP(AV87,$U$5:$AJ$104,$AX$2+7,FALSE)</f>
        <v>#N/A</v>
      </c>
      <c r="AY87" s="2" t="e">
        <f>VLOOKUP(AW87,$U$5:$AJ$104,$AX$2+11,FALSE)</f>
        <v>#N/A</v>
      </c>
      <c r="BA87" s="4">
        <v>83</v>
      </c>
      <c r="BB87" s="2" t="e">
        <f>VLOOKUP(BA87,$W$5:$AJ$104,$BC$2,FALSE)</f>
        <v>#N/A</v>
      </c>
      <c r="BC87" s="6" t="e">
        <f>VLOOKUP(BA87,$W$5:$AJ$104,$BC$2+5,FALSE)</f>
        <v>#N/A</v>
      </c>
      <c r="BD87" s="2" t="e">
        <f>VLOOKUP(BB87,$W$5:$AJ$104,$BC$2+10,FALSE)</f>
        <v>#N/A</v>
      </c>
      <c r="BE87" s="9"/>
      <c r="BF87" s="4">
        <v>83</v>
      </c>
      <c r="BG87" s="2" t="e">
        <f>VLOOKUP(BF87,$Y$5:$AJ$104,$BH$2,FALSE)</f>
        <v>#N/A</v>
      </c>
      <c r="BH87" s="6" t="e">
        <f>VLOOKUP(BF87,$Y$5:$AJ$104,$BH$2+3,FALSE)</f>
        <v>#N/A</v>
      </c>
      <c r="BI87" s="58" t="e">
        <f>VLOOKUP(BG87,$Y$5:$AJ$104,$BH$2+9,FALSE)</f>
        <v>#N/A</v>
      </c>
      <c r="BK87" s="4">
        <v>83</v>
      </c>
      <c r="BL87" s="2" t="e">
        <f>VLOOKUP(BK87,$AA$5:$AJ$104,$BM$2,FALSE)</f>
        <v>#N/A</v>
      </c>
      <c r="BM87" s="6" t="e">
        <f>VLOOKUP(BK87,$AA$5:$AJ$104,$BM$2+1,FALSE)</f>
        <v>#N/A</v>
      </c>
      <c r="BN87" s="58" t="e">
        <f>VLOOKUP(BL87,$AA$5:$AJ$104,$BM$2+8,FALSE)</f>
        <v>#N/A</v>
      </c>
      <c r="BP87" s="2" t="e">
        <f>'Eclectic A'!CD87</f>
        <v>#N/A</v>
      </c>
      <c r="BQ87" s="6" t="e">
        <f>'Eclectic A'!CE87</f>
        <v>#N/A</v>
      </c>
      <c r="BR87" s="103" t="e">
        <f>'Eclectic A'!CF87</f>
        <v>#N/A</v>
      </c>
    </row>
    <row r="88" spans="1:70">
      <c r="A88" s="10" t="str">
        <f>IF(ISBLANK(Players!A86),"",Players!A86)</f>
        <v/>
      </c>
      <c r="B88" s="10" t="str">
        <f>IF(ISBLANK(Players!B86),"",Players!B86)</f>
        <v/>
      </c>
      <c r="C88" s="10" t="str">
        <f>IF(ISBLANK(Players!D86),"",Players!D86)</f>
        <v/>
      </c>
      <c r="D88" s="69" t="str">
        <f>IF(ISNUMBER(C88),MIN((C88*Rules!$N$14/113)+(Rules!$N$13-Rules!$N$12),Rules!$N$37),"-")</f>
        <v>-</v>
      </c>
      <c r="E88" s="69" t="str">
        <f>IF(ISNUMBER(C88),    ROUND( (D88*Rules!$N$11) / 100,0),"-")</f>
        <v>-</v>
      </c>
      <c r="F88" s="36" t="str">
        <f>IF(AND(ISNUMBER(C88),C88&gt;=Rules!$M$10,C88&lt;=Rules!$N$10),"Y","N")</f>
        <v>N</v>
      </c>
      <c r="G88" s="137" t="str">
        <f>'Eclectic A'!M88</f>
        <v>-</v>
      </c>
      <c r="H88" s="137" t="str">
        <f>'Eclectic A'!W88</f>
        <v>-</v>
      </c>
      <c r="I88" s="137" t="str">
        <f>'Eclectic A'!AJ88</f>
        <v>-</v>
      </c>
      <c r="J88" s="137" t="str">
        <f>'Eclectic A'!AT88</f>
        <v>-</v>
      </c>
      <c r="K88" s="108" t="str">
        <f t="shared" si="26"/>
        <v>-</v>
      </c>
      <c r="L88" s="108" t="str">
        <f t="shared" si="27"/>
        <v>-</v>
      </c>
      <c r="M88" s="108" t="str">
        <f t="shared" si="28"/>
        <v>-</v>
      </c>
      <c r="N88" s="108" t="str">
        <f t="shared" si="29"/>
        <v>-</v>
      </c>
      <c r="O88" s="108" t="str">
        <f t="shared" si="30"/>
        <v>-</v>
      </c>
      <c r="P88" s="108" t="str">
        <f t="shared" si="31"/>
        <v>-</v>
      </c>
      <c r="Q88" s="14" t="e">
        <f>RANK($K88,$K$5:$K$104,1)+COUNTIF(K$5:K88,K88)-1</f>
        <v>#VALUE!</v>
      </c>
      <c r="R88" s="14" t="e">
        <f t="shared" si="32"/>
        <v>#VALUE!</v>
      </c>
      <c r="S88" s="14" t="e">
        <f>RANK($L88,$L$5:$L$104,1)+COUNTIF(L$5:L88,L88)-1</f>
        <v>#VALUE!</v>
      </c>
      <c r="T88" s="14" t="e">
        <f t="shared" si="33"/>
        <v>#VALUE!</v>
      </c>
      <c r="U88" s="14" t="e">
        <f>RANK($M88,$M$5:$M$104,1)+COUNTIF(M$5:M88,M88)-1</f>
        <v>#VALUE!</v>
      </c>
      <c r="V88" s="14" t="e">
        <f t="shared" si="34"/>
        <v>#VALUE!</v>
      </c>
      <c r="W88" s="14" t="e">
        <f>RANK($N88,$N$5:$N$104,1)+COUNTIF(N$5:N88,N88)-1</f>
        <v>#VALUE!</v>
      </c>
      <c r="X88" s="14" t="e">
        <f t="shared" si="35"/>
        <v>#VALUE!</v>
      </c>
      <c r="Y88" s="14" t="e">
        <f>RANK($O88,$O$5:$O$104,1)+COUNTIF(O$5:O88,O88)-1</f>
        <v>#VALUE!</v>
      </c>
      <c r="Z88" s="14" t="e">
        <f t="shared" si="36"/>
        <v>#VALUE!</v>
      </c>
      <c r="AA88" s="14" t="e">
        <f>RANK($P88,$P$5:$P$104,1)+COUNTIF(P$5:P88,P88)-1</f>
        <v>#VALUE!</v>
      </c>
      <c r="AB88" s="14" t="e">
        <f t="shared" si="37"/>
        <v>#VALUE!</v>
      </c>
      <c r="AC88" s="1" t="str">
        <f t="shared" si="24"/>
        <v xml:space="preserve"> </v>
      </c>
      <c r="AD88" s="1" t="str">
        <f t="shared" si="25"/>
        <v>-</v>
      </c>
      <c r="AE88" s="35" t="str">
        <f t="shared" si="38"/>
        <v>-</v>
      </c>
      <c r="AF88" s="35" t="str">
        <f t="shared" si="39"/>
        <v>-</v>
      </c>
      <c r="AG88" s="35" t="str">
        <f t="shared" si="40"/>
        <v>-</v>
      </c>
      <c r="AH88" s="35" t="str">
        <f t="shared" si="41"/>
        <v>-</v>
      </c>
      <c r="AI88" s="35" t="str">
        <f t="shared" si="42"/>
        <v>-</v>
      </c>
      <c r="AJ88" s="35" t="str">
        <f t="shared" si="43"/>
        <v>-</v>
      </c>
      <c r="AL88" s="4">
        <v>84</v>
      </c>
      <c r="AM88" s="2" t="e">
        <f>VLOOKUP(AL88,Q$5:$AJ$104,$AN$2,FALSE)</f>
        <v>#N/A</v>
      </c>
      <c r="AN88" s="6" t="e">
        <f>VLOOKUP(AL88,Q$5:$AJ$104,$AN$2+11,FALSE)</f>
        <v>#N/A</v>
      </c>
      <c r="AO88" s="2" t="e">
        <f t="shared" si="44"/>
        <v>#N/A</v>
      </c>
      <c r="AQ88" s="4">
        <v>84</v>
      </c>
      <c r="AR88" s="2" t="e">
        <f>VLOOKUP(AQ88,$S$5:$AJ$104,$AS$2,FALSE)</f>
        <v>#N/A</v>
      </c>
      <c r="AS88" s="6" t="e">
        <f>VLOOKUP(AQ88,$S$5:$AJ$104,$AS$2+9,FALSE)</f>
        <v>#N/A</v>
      </c>
      <c r="AT88" s="2" t="e">
        <f>VLOOKUP(AR88,$S$5:$AJ$104,$AS$2+12,FALSE)</f>
        <v>#N/A</v>
      </c>
      <c r="AU88" s="9"/>
      <c r="AV88" s="4">
        <v>84</v>
      </c>
      <c r="AW88" s="2" t="e">
        <f>VLOOKUP(AV88,$U$5:$AJ$104,$AX$2,FALSE)</f>
        <v>#N/A</v>
      </c>
      <c r="AX88" s="6" t="e">
        <f>VLOOKUP(AV88,$U$5:$AJ$104,$AX$2+7,FALSE)</f>
        <v>#N/A</v>
      </c>
      <c r="AY88" s="2" t="e">
        <f>VLOOKUP(AW88,$U$5:$AJ$104,$AX$2+11,FALSE)</f>
        <v>#N/A</v>
      </c>
      <c r="BA88" s="4">
        <v>84</v>
      </c>
      <c r="BB88" s="2" t="e">
        <f>VLOOKUP(BA88,$W$5:$AJ$104,$BC$2,FALSE)</f>
        <v>#N/A</v>
      </c>
      <c r="BC88" s="6" t="e">
        <f>VLOOKUP(BA88,$W$5:$AJ$104,$BC$2+5,FALSE)</f>
        <v>#N/A</v>
      </c>
      <c r="BD88" s="2" t="e">
        <f>VLOOKUP(BB88,$W$5:$AJ$104,$BC$2+10,FALSE)</f>
        <v>#N/A</v>
      </c>
      <c r="BE88" s="9"/>
      <c r="BF88" s="4">
        <v>84</v>
      </c>
      <c r="BG88" s="2" t="e">
        <f>VLOOKUP(BF88,$Y$5:$AJ$104,$BH$2,FALSE)</f>
        <v>#N/A</v>
      </c>
      <c r="BH88" s="6" t="e">
        <f>VLOOKUP(BF88,$Y$5:$AJ$104,$BH$2+3,FALSE)</f>
        <v>#N/A</v>
      </c>
      <c r="BI88" s="58" t="e">
        <f>VLOOKUP(BG88,$Y$5:$AJ$104,$BH$2+9,FALSE)</f>
        <v>#N/A</v>
      </c>
      <c r="BK88" s="4">
        <v>84</v>
      </c>
      <c r="BL88" s="2" t="e">
        <f>VLOOKUP(BK88,$AA$5:$AJ$104,$BM$2,FALSE)</f>
        <v>#N/A</v>
      </c>
      <c r="BM88" s="6" t="e">
        <f>VLOOKUP(BK88,$AA$5:$AJ$104,$BM$2+1,FALSE)</f>
        <v>#N/A</v>
      </c>
      <c r="BN88" s="58" t="e">
        <f>VLOOKUP(BL88,$AA$5:$AJ$104,$BM$2+8,FALSE)</f>
        <v>#N/A</v>
      </c>
      <c r="BP88" s="2" t="e">
        <f>'Eclectic A'!CD88</f>
        <v>#N/A</v>
      </c>
      <c r="BQ88" s="6" t="e">
        <f>'Eclectic A'!CE88</f>
        <v>#N/A</v>
      </c>
      <c r="BR88" s="103" t="e">
        <f>'Eclectic A'!CF88</f>
        <v>#N/A</v>
      </c>
    </row>
    <row r="89" spans="1:70">
      <c r="A89" s="10" t="str">
        <f>IF(ISBLANK(Players!A87),"",Players!A87)</f>
        <v/>
      </c>
      <c r="B89" s="10" t="str">
        <f>IF(ISBLANK(Players!B87),"",Players!B87)</f>
        <v/>
      </c>
      <c r="C89" s="10" t="str">
        <f>IF(ISBLANK(Players!D87),"",Players!D87)</f>
        <v/>
      </c>
      <c r="D89" s="69" t="str">
        <f>IF(ISNUMBER(C89),MIN((C89*Rules!$N$14/113)+(Rules!$N$13-Rules!$N$12),Rules!$N$37),"-")</f>
        <v>-</v>
      </c>
      <c r="E89" s="69" t="str">
        <f>IF(ISNUMBER(C89),    ROUND( (D89*Rules!$N$11) / 100,0),"-")</f>
        <v>-</v>
      </c>
      <c r="F89" s="36" t="str">
        <f>IF(AND(ISNUMBER(C89),C89&gt;=Rules!$M$10,C89&lt;=Rules!$N$10),"Y","N")</f>
        <v>N</v>
      </c>
      <c r="G89" s="137" t="str">
        <f>'Eclectic A'!M89</f>
        <v>-</v>
      </c>
      <c r="H89" s="137" t="str">
        <f>'Eclectic A'!W89</f>
        <v>-</v>
      </c>
      <c r="I89" s="137" t="str">
        <f>'Eclectic A'!AJ89</f>
        <v>-</v>
      </c>
      <c r="J89" s="137" t="str">
        <f>'Eclectic A'!AT89</f>
        <v>-</v>
      </c>
      <c r="K89" s="108" t="str">
        <f t="shared" si="26"/>
        <v>-</v>
      </c>
      <c r="L89" s="108" t="str">
        <f t="shared" si="27"/>
        <v>-</v>
      </c>
      <c r="M89" s="108" t="str">
        <f t="shared" si="28"/>
        <v>-</v>
      </c>
      <c r="N89" s="108" t="str">
        <f t="shared" si="29"/>
        <v>-</v>
      </c>
      <c r="O89" s="108" t="str">
        <f t="shared" si="30"/>
        <v>-</v>
      </c>
      <c r="P89" s="108" t="str">
        <f t="shared" si="31"/>
        <v>-</v>
      </c>
      <c r="Q89" s="14" t="e">
        <f>RANK($K89,$K$5:$K$104,1)+COUNTIF(K$5:K89,K89)-1</f>
        <v>#VALUE!</v>
      </c>
      <c r="R89" s="14" t="e">
        <f t="shared" si="32"/>
        <v>#VALUE!</v>
      </c>
      <c r="S89" s="14" t="e">
        <f>RANK($L89,$L$5:$L$104,1)+COUNTIF(L$5:L89,L89)-1</f>
        <v>#VALUE!</v>
      </c>
      <c r="T89" s="14" t="e">
        <f t="shared" si="33"/>
        <v>#VALUE!</v>
      </c>
      <c r="U89" s="14" t="e">
        <f>RANK($M89,$M$5:$M$104,1)+COUNTIF(M$5:M89,M89)-1</f>
        <v>#VALUE!</v>
      </c>
      <c r="V89" s="14" t="e">
        <f t="shared" si="34"/>
        <v>#VALUE!</v>
      </c>
      <c r="W89" s="14" t="e">
        <f>RANK($N89,$N$5:$N$104,1)+COUNTIF(N$5:N89,N89)-1</f>
        <v>#VALUE!</v>
      </c>
      <c r="X89" s="14" t="e">
        <f t="shared" si="35"/>
        <v>#VALUE!</v>
      </c>
      <c r="Y89" s="14" t="e">
        <f>RANK($O89,$O$5:$O$104,1)+COUNTIF(O$5:O89,O89)-1</f>
        <v>#VALUE!</v>
      </c>
      <c r="Z89" s="14" t="e">
        <f t="shared" si="36"/>
        <v>#VALUE!</v>
      </c>
      <c r="AA89" s="14" t="e">
        <f>RANK($P89,$P$5:$P$104,1)+COUNTIF(P$5:P89,P89)-1</f>
        <v>#VALUE!</v>
      </c>
      <c r="AB89" s="14" t="e">
        <f t="shared" si="37"/>
        <v>#VALUE!</v>
      </c>
      <c r="AC89" s="1" t="str">
        <f t="shared" si="24"/>
        <v xml:space="preserve"> </v>
      </c>
      <c r="AD89" s="1" t="str">
        <f t="shared" si="25"/>
        <v>-</v>
      </c>
      <c r="AE89" s="35" t="str">
        <f t="shared" si="38"/>
        <v>-</v>
      </c>
      <c r="AF89" s="35" t="str">
        <f t="shared" si="39"/>
        <v>-</v>
      </c>
      <c r="AG89" s="35" t="str">
        <f t="shared" si="40"/>
        <v>-</v>
      </c>
      <c r="AH89" s="35" t="str">
        <f t="shared" si="41"/>
        <v>-</v>
      </c>
      <c r="AI89" s="35" t="str">
        <f t="shared" si="42"/>
        <v>-</v>
      </c>
      <c r="AJ89" s="35" t="str">
        <f t="shared" si="43"/>
        <v>-</v>
      </c>
      <c r="AL89" s="4">
        <v>85</v>
      </c>
      <c r="AM89" s="2" t="e">
        <f>VLOOKUP(AL89,Q$5:$AJ$104,$AN$2,FALSE)</f>
        <v>#N/A</v>
      </c>
      <c r="AN89" s="6" t="e">
        <f>VLOOKUP(AL89,Q$5:$AJ$104,$AN$2+11,FALSE)</f>
        <v>#N/A</v>
      </c>
      <c r="AO89" s="2" t="e">
        <f t="shared" si="44"/>
        <v>#N/A</v>
      </c>
      <c r="AQ89" s="4">
        <v>85</v>
      </c>
      <c r="AR89" s="2" t="e">
        <f>VLOOKUP(AQ89,$S$5:$AJ$104,$AS$2,FALSE)</f>
        <v>#N/A</v>
      </c>
      <c r="AS89" s="6" t="e">
        <f>VLOOKUP(AQ89,$S$5:$AJ$104,$AS$2+9,FALSE)</f>
        <v>#N/A</v>
      </c>
      <c r="AT89" s="2" t="e">
        <f>VLOOKUP(AR89,$S$5:$AJ$104,$AS$2+12,FALSE)</f>
        <v>#N/A</v>
      </c>
      <c r="AU89" s="9"/>
      <c r="AV89" s="4">
        <v>85</v>
      </c>
      <c r="AW89" s="2" t="e">
        <f>VLOOKUP(AV89,$U$5:$AJ$104,$AX$2,FALSE)</f>
        <v>#N/A</v>
      </c>
      <c r="AX89" s="6" t="e">
        <f>VLOOKUP(AV89,$U$5:$AJ$104,$AX$2+7,FALSE)</f>
        <v>#N/A</v>
      </c>
      <c r="AY89" s="2" t="e">
        <f>VLOOKUP(AW89,$U$5:$AJ$104,$AX$2+11,FALSE)</f>
        <v>#N/A</v>
      </c>
      <c r="BA89" s="4">
        <v>85</v>
      </c>
      <c r="BB89" s="2" t="e">
        <f>VLOOKUP(BA89,$W$5:$AJ$104,$BC$2,FALSE)</f>
        <v>#N/A</v>
      </c>
      <c r="BC89" s="6" t="e">
        <f>VLOOKUP(BA89,$W$5:$AJ$104,$BC$2+5,FALSE)</f>
        <v>#N/A</v>
      </c>
      <c r="BD89" s="2" t="e">
        <f>VLOOKUP(BB89,$W$5:$AJ$104,$BC$2+10,FALSE)</f>
        <v>#N/A</v>
      </c>
      <c r="BE89" s="9"/>
      <c r="BF89" s="4">
        <v>85</v>
      </c>
      <c r="BG89" s="2" t="e">
        <f>VLOOKUP(BF89,$Y$5:$AJ$104,$BH$2,FALSE)</f>
        <v>#N/A</v>
      </c>
      <c r="BH89" s="6" t="e">
        <f>VLOOKUP(BF89,$Y$5:$AJ$104,$BH$2+3,FALSE)</f>
        <v>#N/A</v>
      </c>
      <c r="BI89" s="58" t="e">
        <f>VLOOKUP(BG89,$Y$5:$AJ$104,$BH$2+9,FALSE)</f>
        <v>#N/A</v>
      </c>
      <c r="BK89" s="4">
        <v>85</v>
      </c>
      <c r="BL89" s="2" t="e">
        <f>VLOOKUP(BK89,$AA$5:$AJ$104,$BM$2,FALSE)</f>
        <v>#N/A</v>
      </c>
      <c r="BM89" s="6" t="e">
        <f>VLOOKUP(BK89,$AA$5:$AJ$104,$BM$2+1,FALSE)</f>
        <v>#N/A</v>
      </c>
      <c r="BN89" s="58" t="e">
        <f>VLOOKUP(BL89,$AA$5:$AJ$104,$BM$2+8,FALSE)</f>
        <v>#N/A</v>
      </c>
      <c r="BP89" s="2" t="e">
        <f>'Eclectic A'!CD89</f>
        <v>#N/A</v>
      </c>
      <c r="BQ89" s="6" t="e">
        <f>'Eclectic A'!CE89</f>
        <v>#N/A</v>
      </c>
      <c r="BR89" s="103" t="e">
        <f>'Eclectic A'!CF89</f>
        <v>#N/A</v>
      </c>
    </row>
    <row r="90" spans="1:70">
      <c r="A90" s="10" t="str">
        <f>IF(ISBLANK(Players!A88),"",Players!A88)</f>
        <v/>
      </c>
      <c r="B90" s="10" t="str">
        <f>IF(ISBLANK(Players!B88),"",Players!B88)</f>
        <v/>
      </c>
      <c r="C90" s="10" t="str">
        <f>IF(ISBLANK(Players!D88),"",Players!D88)</f>
        <v/>
      </c>
      <c r="D90" s="69" t="str">
        <f>IF(ISNUMBER(C90),MIN((C90*Rules!$N$14/113)+(Rules!$N$13-Rules!$N$12),Rules!$N$37),"-")</f>
        <v>-</v>
      </c>
      <c r="E90" s="69" t="str">
        <f>IF(ISNUMBER(C90),    ROUND( (D90*Rules!$N$11) / 100,0),"-")</f>
        <v>-</v>
      </c>
      <c r="F90" s="36" t="str">
        <f>IF(AND(ISNUMBER(C90),C90&gt;=Rules!$M$10,C90&lt;=Rules!$N$10),"Y","N")</f>
        <v>N</v>
      </c>
      <c r="G90" s="137" t="str">
        <f>'Eclectic A'!M90</f>
        <v>-</v>
      </c>
      <c r="H90" s="137" t="str">
        <f>'Eclectic A'!W90</f>
        <v>-</v>
      </c>
      <c r="I90" s="137" t="str">
        <f>'Eclectic A'!AJ90</f>
        <v>-</v>
      </c>
      <c r="J90" s="137" t="str">
        <f>'Eclectic A'!AT90</f>
        <v>-</v>
      </c>
      <c r="K90" s="108" t="str">
        <f t="shared" si="26"/>
        <v>-</v>
      </c>
      <c r="L90" s="108" t="str">
        <f t="shared" si="27"/>
        <v>-</v>
      </c>
      <c r="M90" s="108" t="str">
        <f t="shared" si="28"/>
        <v>-</v>
      </c>
      <c r="N90" s="108" t="str">
        <f t="shared" si="29"/>
        <v>-</v>
      </c>
      <c r="O90" s="108" t="str">
        <f t="shared" si="30"/>
        <v>-</v>
      </c>
      <c r="P90" s="108" t="str">
        <f t="shared" si="31"/>
        <v>-</v>
      </c>
      <c r="Q90" s="14" t="e">
        <f>RANK($K90,$K$5:$K$104,1)+COUNTIF(K$5:K90,K90)-1</f>
        <v>#VALUE!</v>
      </c>
      <c r="R90" s="14" t="e">
        <f t="shared" si="32"/>
        <v>#VALUE!</v>
      </c>
      <c r="S90" s="14" t="e">
        <f>RANK($L90,$L$5:$L$104,1)+COUNTIF(L$5:L90,L90)-1</f>
        <v>#VALUE!</v>
      </c>
      <c r="T90" s="14" t="e">
        <f t="shared" si="33"/>
        <v>#VALUE!</v>
      </c>
      <c r="U90" s="14" t="e">
        <f>RANK($M90,$M$5:$M$104,1)+COUNTIF(M$5:M90,M90)-1</f>
        <v>#VALUE!</v>
      </c>
      <c r="V90" s="14" t="e">
        <f t="shared" si="34"/>
        <v>#VALUE!</v>
      </c>
      <c r="W90" s="14" t="e">
        <f>RANK($N90,$N$5:$N$104,1)+COUNTIF(N$5:N90,N90)-1</f>
        <v>#VALUE!</v>
      </c>
      <c r="X90" s="14" t="e">
        <f t="shared" si="35"/>
        <v>#VALUE!</v>
      </c>
      <c r="Y90" s="14" t="e">
        <f>RANK($O90,$O$5:$O$104,1)+COUNTIF(O$5:O90,O90)-1</f>
        <v>#VALUE!</v>
      </c>
      <c r="Z90" s="14" t="e">
        <f t="shared" si="36"/>
        <v>#VALUE!</v>
      </c>
      <c r="AA90" s="14" t="e">
        <f>RANK($P90,$P$5:$P$104,1)+COUNTIF(P$5:P90,P90)-1</f>
        <v>#VALUE!</v>
      </c>
      <c r="AB90" s="14" t="e">
        <f t="shared" si="37"/>
        <v>#VALUE!</v>
      </c>
      <c r="AC90" s="1" t="str">
        <f t="shared" si="24"/>
        <v xml:space="preserve"> </v>
      </c>
      <c r="AD90" s="1" t="str">
        <f t="shared" si="25"/>
        <v>-</v>
      </c>
      <c r="AE90" s="35" t="str">
        <f t="shared" si="38"/>
        <v>-</v>
      </c>
      <c r="AF90" s="35" t="str">
        <f t="shared" si="39"/>
        <v>-</v>
      </c>
      <c r="AG90" s="35" t="str">
        <f t="shared" si="40"/>
        <v>-</v>
      </c>
      <c r="AH90" s="35" t="str">
        <f t="shared" si="41"/>
        <v>-</v>
      </c>
      <c r="AI90" s="35" t="str">
        <f t="shared" si="42"/>
        <v>-</v>
      </c>
      <c r="AJ90" s="35" t="str">
        <f t="shared" si="43"/>
        <v>-</v>
      </c>
      <c r="AL90" s="4">
        <v>86</v>
      </c>
      <c r="AM90" s="2" t="e">
        <f>VLOOKUP(AL90,Q$5:$AJ$104,$AN$2,FALSE)</f>
        <v>#N/A</v>
      </c>
      <c r="AN90" s="6" t="e">
        <f>VLOOKUP(AL90,Q$5:$AJ$104,$AN$2+11,FALSE)</f>
        <v>#N/A</v>
      </c>
      <c r="AO90" s="2" t="e">
        <f t="shared" si="44"/>
        <v>#N/A</v>
      </c>
      <c r="AQ90" s="4">
        <v>86</v>
      </c>
      <c r="AR90" s="2" t="e">
        <f>VLOOKUP(AQ90,$S$5:$AJ$104,$AS$2,FALSE)</f>
        <v>#N/A</v>
      </c>
      <c r="AS90" s="6" t="e">
        <f>VLOOKUP(AQ90,$S$5:$AJ$104,$AS$2+9,FALSE)</f>
        <v>#N/A</v>
      </c>
      <c r="AT90" s="2" t="e">
        <f>VLOOKUP(AR90,$S$5:$AJ$104,$AS$2+12,FALSE)</f>
        <v>#N/A</v>
      </c>
      <c r="AU90" s="9"/>
      <c r="AV90" s="4">
        <v>86</v>
      </c>
      <c r="AW90" s="2" t="e">
        <f>VLOOKUP(AV90,$U$5:$AJ$104,$AX$2,FALSE)</f>
        <v>#N/A</v>
      </c>
      <c r="AX90" s="6" t="e">
        <f>VLOOKUP(AV90,$U$5:$AJ$104,$AX$2+7,FALSE)</f>
        <v>#N/A</v>
      </c>
      <c r="AY90" s="2" t="e">
        <f>VLOOKUP(AW90,$U$5:$AJ$104,$AX$2+11,FALSE)</f>
        <v>#N/A</v>
      </c>
      <c r="BA90" s="4">
        <v>86</v>
      </c>
      <c r="BB90" s="2" t="e">
        <f>VLOOKUP(BA90,$W$5:$AJ$104,$BC$2,FALSE)</f>
        <v>#N/A</v>
      </c>
      <c r="BC90" s="6" t="e">
        <f>VLOOKUP(BA90,$W$5:$AJ$104,$BC$2+5,FALSE)</f>
        <v>#N/A</v>
      </c>
      <c r="BD90" s="2" t="e">
        <f>VLOOKUP(BB90,$W$5:$AJ$104,$BC$2+10,FALSE)</f>
        <v>#N/A</v>
      </c>
      <c r="BE90" s="9"/>
      <c r="BF90" s="4">
        <v>86</v>
      </c>
      <c r="BG90" s="2" t="e">
        <f>VLOOKUP(BF90,$Y$5:$AJ$104,$BH$2,FALSE)</f>
        <v>#N/A</v>
      </c>
      <c r="BH90" s="6" t="e">
        <f>VLOOKUP(BF90,$Y$5:$AJ$104,$BH$2+3,FALSE)</f>
        <v>#N/A</v>
      </c>
      <c r="BI90" s="58" t="e">
        <f>VLOOKUP(BG90,$Y$5:$AJ$104,$BH$2+9,FALSE)</f>
        <v>#N/A</v>
      </c>
      <c r="BK90" s="4">
        <v>86</v>
      </c>
      <c r="BL90" s="2" t="e">
        <f>VLOOKUP(BK90,$AA$5:$AJ$104,$BM$2,FALSE)</f>
        <v>#N/A</v>
      </c>
      <c r="BM90" s="6" t="e">
        <f>VLOOKUP(BK90,$AA$5:$AJ$104,$BM$2+1,FALSE)</f>
        <v>#N/A</v>
      </c>
      <c r="BN90" s="58" t="e">
        <f>VLOOKUP(BL90,$AA$5:$AJ$104,$BM$2+8,FALSE)</f>
        <v>#N/A</v>
      </c>
      <c r="BP90" s="2" t="e">
        <f>'Eclectic A'!CD90</f>
        <v>#N/A</v>
      </c>
      <c r="BQ90" s="6" t="e">
        <f>'Eclectic A'!CE90</f>
        <v>#N/A</v>
      </c>
      <c r="BR90" s="103" t="e">
        <f>'Eclectic A'!CF90</f>
        <v>#N/A</v>
      </c>
    </row>
    <row r="91" spans="1:70">
      <c r="A91" s="10" t="str">
        <f>IF(ISBLANK(Players!A89),"",Players!A89)</f>
        <v/>
      </c>
      <c r="B91" s="10" t="str">
        <f>IF(ISBLANK(Players!B89),"",Players!B89)</f>
        <v/>
      </c>
      <c r="C91" s="10" t="str">
        <f>IF(ISBLANK(Players!D89),"",Players!D89)</f>
        <v/>
      </c>
      <c r="D91" s="69" t="str">
        <f>IF(ISNUMBER(C91),MIN((C91*Rules!$N$14/113)+(Rules!$N$13-Rules!$N$12),Rules!$N$37),"-")</f>
        <v>-</v>
      </c>
      <c r="E91" s="69" t="str">
        <f>IF(ISNUMBER(C91),    ROUND( (D91*Rules!$N$11) / 100,0),"-")</f>
        <v>-</v>
      </c>
      <c r="F91" s="36" t="str">
        <f>IF(AND(ISNUMBER(C91),C91&gt;=Rules!$M$10,C91&lt;=Rules!$N$10),"Y","N")</f>
        <v>N</v>
      </c>
      <c r="G91" s="137" t="str">
        <f>'Eclectic A'!M91</f>
        <v>-</v>
      </c>
      <c r="H91" s="137" t="str">
        <f>'Eclectic A'!W91</f>
        <v>-</v>
      </c>
      <c r="I91" s="137" t="str">
        <f>'Eclectic A'!AJ91</f>
        <v>-</v>
      </c>
      <c r="J91" s="137" t="str">
        <f>'Eclectic A'!AT91</f>
        <v>-</v>
      </c>
      <c r="K91" s="108" t="str">
        <f t="shared" si="26"/>
        <v>-</v>
      </c>
      <c r="L91" s="108" t="str">
        <f t="shared" si="27"/>
        <v>-</v>
      </c>
      <c r="M91" s="108" t="str">
        <f t="shared" si="28"/>
        <v>-</v>
      </c>
      <c r="N91" s="108" t="str">
        <f t="shared" si="29"/>
        <v>-</v>
      </c>
      <c r="O91" s="108" t="str">
        <f t="shared" si="30"/>
        <v>-</v>
      </c>
      <c r="P91" s="108" t="str">
        <f t="shared" si="31"/>
        <v>-</v>
      </c>
      <c r="Q91" s="14" t="e">
        <f>RANK($K91,$K$5:$K$104,1)+COUNTIF(K$5:K91,K91)-1</f>
        <v>#VALUE!</v>
      </c>
      <c r="R91" s="14" t="e">
        <f t="shared" si="32"/>
        <v>#VALUE!</v>
      </c>
      <c r="S91" s="14" t="e">
        <f>RANK($L91,$L$5:$L$104,1)+COUNTIF(L$5:L91,L91)-1</f>
        <v>#VALUE!</v>
      </c>
      <c r="T91" s="14" t="e">
        <f t="shared" si="33"/>
        <v>#VALUE!</v>
      </c>
      <c r="U91" s="14" t="e">
        <f>RANK($M91,$M$5:$M$104,1)+COUNTIF(M$5:M91,M91)-1</f>
        <v>#VALUE!</v>
      </c>
      <c r="V91" s="14" t="e">
        <f t="shared" si="34"/>
        <v>#VALUE!</v>
      </c>
      <c r="W91" s="14" t="e">
        <f>RANK($N91,$N$5:$N$104,1)+COUNTIF(N$5:N91,N91)-1</f>
        <v>#VALUE!</v>
      </c>
      <c r="X91" s="14" t="e">
        <f t="shared" si="35"/>
        <v>#VALUE!</v>
      </c>
      <c r="Y91" s="14" t="e">
        <f>RANK($O91,$O$5:$O$104,1)+COUNTIF(O$5:O91,O91)-1</f>
        <v>#VALUE!</v>
      </c>
      <c r="Z91" s="14" t="e">
        <f t="shared" si="36"/>
        <v>#VALUE!</v>
      </c>
      <c r="AA91" s="14" t="e">
        <f>RANK($P91,$P$5:$P$104,1)+COUNTIF(P$5:P91,P91)-1</f>
        <v>#VALUE!</v>
      </c>
      <c r="AB91" s="14" t="e">
        <f t="shared" si="37"/>
        <v>#VALUE!</v>
      </c>
      <c r="AC91" s="1" t="str">
        <f t="shared" si="24"/>
        <v xml:space="preserve"> </v>
      </c>
      <c r="AD91" s="1" t="str">
        <f t="shared" si="25"/>
        <v>-</v>
      </c>
      <c r="AE91" s="35" t="str">
        <f t="shared" si="38"/>
        <v>-</v>
      </c>
      <c r="AF91" s="35" t="str">
        <f t="shared" si="39"/>
        <v>-</v>
      </c>
      <c r="AG91" s="35" t="str">
        <f t="shared" si="40"/>
        <v>-</v>
      </c>
      <c r="AH91" s="35" t="str">
        <f t="shared" si="41"/>
        <v>-</v>
      </c>
      <c r="AI91" s="35" t="str">
        <f t="shared" si="42"/>
        <v>-</v>
      </c>
      <c r="AJ91" s="35" t="str">
        <f t="shared" si="43"/>
        <v>-</v>
      </c>
      <c r="AL91" s="4">
        <v>87</v>
      </c>
      <c r="AM91" s="2" t="e">
        <f>VLOOKUP(AL91,Q$5:$AJ$104,$AN$2,FALSE)</f>
        <v>#N/A</v>
      </c>
      <c r="AN91" s="6" t="e">
        <f>VLOOKUP(AL91,Q$5:$AJ$104,$AN$2+11,FALSE)</f>
        <v>#N/A</v>
      </c>
      <c r="AO91" s="2" t="e">
        <f t="shared" si="44"/>
        <v>#N/A</v>
      </c>
      <c r="AQ91" s="4">
        <v>87</v>
      </c>
      <c r="AR91" s="2" t="e">
        <f>VLOOKUP(AQ91,$S$5:$AJ$104,$AS$2,FALSE)</f>
        <v>#N/A</v>
      </c>
      <c r="AS91" s="6" t="e">
        <f>VLOOKUP(AQ91,$S$5:$AJ$104,$AS$2+9,FALSE)</f>
        <v>#N/A</v>
      </c>
      <c r="AT91" s="2" t="e">
        <f>VLOOKUP(AR91,$S$5:$AJ$104,$AS$2+12,FALSE)</f>
        <v>#N/A</v>
      </c>
      <c r="AU91" s="9"/>
      <c r="AV91" s="4">
        <v>87</v>
      </c>
      <c r="AW91" s="2" t="e">
        <f>VLOOKUP(AV91,$U$5:$AJ$104,$AX$2,FALSE)</f>
        <v>#N/A</v>
      </c>
      <c r="AX91" s="6" t="e">
        <f>VLOOKUP(AV91,$U$5:$AJ$104,$AX$2+7,FALSE)</f>
        <v>#N/A</v>
      </c>
      <c r="AY91" s="2" t="e">
        <f>VLOOKUP(AW91,$U$5:$AJ$104,$AX$2+11,FALSE)</f>
        <v>#N/A</v>
      </c>
      <c r="BA91" s="4">
        <v>87</v>
      </c>
      <c r="BB91" s="2" t="e">
        <f>VLOOKUP(BA91,$W$5:$AJ$104,$BC$2,FALSE)</f>
        <v>#N/A</v>
      </c>
      <c r="BC91" s="6" t="e">
        <f>VLOOKUP(BA91,$W$5:$AJ$104,$BC$2+5,FALSE)</f>
        <v>#N/A</v>
      </c>
      <c r="BD91" s="2" t="e">
        <f>VLOOKUP(BB91,$W$5:$AJ$104,$BC$2+10,FALSE)</f>
        <v>#N/A</v>
      </c>
      <c r="BE91" s="9"/>
      <c r="BF91" s="4">
        <v>87</v>
      </c>
      <c r="BG91" s="2" t="e">
        <f>VLOOKUP(BF91,$Y$5:$AJ$104,$BH$2,FALSE)</f>
        <v>#N/A</v>
      </c>
      <c r="BH91" s="6" t="e">
        <f>VLOOKUP(BF91,$Y$5:$AJ$104,$BH$2+3,FALSE)</f>
        <v>#N/A</v>
      </c>
      <c r="BI91" s="58" t="e">
        <f>VLOOKUP(BG91,$Y$5:$AJ$104,$BH$2+9,FALSE)</f>
        <v>#N/A</v>
      </c>
      <c r="BK91" s="4">
        <v>87</v>
      </c>
      <c r="BL91" s="2" t="e">
        <f>VLOOKUP(BK91,$AA$5:$AJ$104,$BM$2,FALSE)</f>
        <v>#N/A</v>
      </c>
      <c r="BM91" s="6" t="e">
        <f>VLOOKUP(BK91,$AA$5:$AJ$104,$BM$2+1,FALSE)</f>
        <v>#N/A</v>
      </c>
      <c r="BN91" s="58" t="e">
        <f>VLOOKUP(BL91,$AA$5:$AJ$104,$BM$2+8,FALSE)</f>
        <v>#N/A</v>
      </c>
      <c r="BP91" s="2" t="e">
        <f>'Eclectic A'!CD91</f>
        <v>#N/A</v>
      </c>
      <c r="BQ91" s="6" t="e">
        <f>'Eclectic A'!CE91</f>
        <v>#N/A</v>
      </c>
      <c r="BR91" s="103" t="e">
        <f>'Eclectic A'!CF91</f>
        <v>#N/A</v>
      </c>
    </row>
    <row r="92" spans="1:70">
      <c r="A92" s="10" t="str">
        <f>IF(ISBLANK(Players!A90),"",Players!A90)</f>
        <v/>
      </c>
      <c r="B92" s="10" t="str">
        <f>IF(ISBLANK(Players!B90),"",Players!B90)</f>
        <v/>
      </c>
      <c r="C92" s="10" t="str">
        <f>IF(ISBLANK(Players!D90),"",Players!D90)</f>
        <v/>
      </c>
      <c r="D92" s="69" t="str">
        <f>IF(ISNUMBER(C92),MIN((C92*Rules!$N$14/113)+(Rules!$N$13-Rules!$N$12),Rules!$N$37),"-")</f>
        <v>-</v>
      </c>
      <c r="E92" s="69" t="str">
        <f>IF(ISNUMBER(C92),    ROUND( (D92*Rules!$N$11) / 100,0),"-")</f>
        <v>-</v>
      </c>
      <c r="F92" s="36" t="str">
        <f>IF(AND(ISNUMBER(C92),C92&gt;=Rules!$M$10,C92&lt;=Rules!$N$10),"Y","N")</f>
        <v>N</v>
      </c>
      <c r="G92" s="137" t="str">
        <f>'Eclectic A'!M92</f>
        <v>-</v>
      </c>
      <c r="H92" s="137" t="str">
        <f>'Eclectic A'!W92</f>
        <v>-</v>
      </c>
      <c r="I92" s="137" t="str">
        <f>'Eclectic A'!AJ92</f>
        <v>-</v>
      </c>
      <c r="J92" s="137" t="str">
        <f>'Eclectic A'!AT92</f>
        <v>-</v>
      </c>
      <c r="K92" s="108" t="str">
        <f t="shared" si="26"/>
        <v>-</v>
      </c>
      <c r="L92" s="108" t="str">
        <f t="shared" si="27"/>
        <v>-</v>
      </c>
      <c r="M92" s="108" t="str">
        <f t="shared" si="28"/>
        <v>-</v>
      </c>
      <c r="N92" s="108" t="str">
        <f t="shared" si="29"/>
        <v>-</v>
      </c>
      <c r="O92" s="108" t="str">
        <f t="shared" si="30"/>
        <v>-</v>
      </c>
      <c r="P92" s="108" t="str">
        <f t="shared" si="31"/>
        <v>-</v>
      </c>
      <c r="Q92" s="14" t="e">
        <f>RANK($K92,$K$5:$K$104,1)+COUNTIF(K$5:K92,K92)-1</f>
        <v>#VALUE!</v>
      </c>
      <c r="R92" s="14" t="e">
        <f t="shared" si="32"/>
        <v>#VALUE!</v>
      </c>
      <c r="S92" s="14" t="e">
        <f>RANK($L92,$L$5:$L$104,1)+COUNTIF(L$5:L92,L92)-1</f>
        <v>#VALUE!</v>
      </c>
      <c r="T92" s="14" t="e">
        <f t="shared" si="33"/>
        <v>#VALUE!</v>
      </c>
      <c r="U92" s="14" t="e">
        <f>RANK($M92,$M$5:$M$104,1)+COUNTIF(M$5:M92,M92)-1</f>
        <v>#VALUE!</v>
      </c>
      <c r="V92" s="14" t="e">
        <f t="shared" si="34"/>
        <v>#VALUE!</v>
      </c>
      <c r="W92" s="14" t="e">
        <f>RANK($N92,$N$5:$N$104,1)+COUNTIF(N$5:N92,N92)-1</f>
        <v>#VALUE!</v>
      </c>
      <c r="X92" s="14" t="e">
        <f t="shared" si="35"/>
        <v>#VALUE!</v>
      </c>
      <c r="Y92" s="14" t="e">
        <f>RANK($O92,$O$5:$O$104,1)+COUNTIF(O$5:O92,O92)-1</f>
        <v>#VALUE!</v>
      </c>
      <c r="Z92" s="14" t="e">
        <f t="shared" si="36"/>
        <v>#VALUE!</v>
      </c>
      <c r="AA92" s="14" t="e">
        <f>RANK($P92,$P$5:$P$104,1)+COUNTIF(P$5:P92,P92)-1</f>
        <v>#VALUE!</v>
      </c>
      <c r="AB92" s="14" t="e">
        <f t="shared" si="37"/>
        <v>#VALUE!</v>
      </c>
      <c r="AC92" s="1" t="str">
        <f t="shared" si="24"/>
        <v xml:space="preserve"> </v>
      </c>
      <c r="AD92" s="1" t="str">
        <f t="shared" si="25"/>
        <v>-</v>
      </c>
      <c r="AE92" s="35" t="str">
        <f t="shared" si="38"/>
        <v>-</v>
      </c>
      <c r="AF92" s="35" t="str">
        <f t="shared" si="39"/>
        <v>-</v>
      </c>
      <c r="AG92" s="35" t="str">
        <f t="shared" si="40"/>
        <v>-</v>
      </c>
      <c r="AH92" s="35" t="str">
        <f t="shared" si="41"/>
        <v>-</v>
      </c>
      <c r="AI92" s="35" t="str">
        <f t="shared" si="42"/>
        <v>-</v>
      </c>
      <c r="AJ92" s="35" t="str">
        <f t="shared" si="43"/>
        <v>-</v>
      </c>
      <c r="AL92" s="4">
        <v>88</v>
      </c>
      <c r="AM92" s="2" t="e">
        <f>VLOOKUP(AL92,Q$5:$AJ$104,$AN$2,FALSE)</f>
        <v>#N/A</v>
      </c>
      <c r="AN92" s="6" t="e">
        <f>VLOOKUP(AL92,Q$5:$AJ$104,$AN$2+11,FALSE)</f>
        <v>#N/A</v>
      </c>
      <c r="AO92" s="2" t="e">
        <f t="shared" si="44"/>
        <v>#N/A</v>
      </c>
      <c r="AQ92" s="4">
        <v>88</v>
      </c>
      <c r="AR92" s="2" t="e">
        <f>VLOOKUP(AQ92,$S$5:$AJ$104,$AS$2,FALSE)</f>
        <v>#N/A</v>
      </c>
      <c r="AS92" s="6" t="e">
        <f>VLOOKUP(AQ92,$S$5:$AJ$104,$AS$2+9,FALSE)</f>
        <v>#N/A</v>
      </c>
      <c r="AT92" s="2" t="e">
        <f>VLOOKUP(AR92,$S$5:$AJ$104,$AS$2+12,FALSE)</f>
        <v>#N/A</v>
      </c>
      <c r="AU92" s="9"/>
      <c r="AV92" s="4">
        <v>88</v>
      </c>
      <c r="AW92" s="2" t="e">
        <f>VLOOKUP(AV92,$U$5:$AJ$104,$AX$2,FALSE)</f>
        <v>#N/A</v>
      </c>
      <c r="AX92" s="6" t="e">
        <f>VLOOKUP(AV92,$U$5:$AJ$104,$AX$2+7,FALSE)</f>
        <v>#N/A</v>
      </c>
      <c r="AY92" s="2" t="e">
        <f>VLOOKUP(AW92,$U$5:$AJ$104,$AX$2+11,FALSE)</f>
        <v>#N/A</v>
      </c>
      <c r="BA92" s="4">
        <v>88</v>
      </c>
      <c r="BB92" s="2" t="e">
        <f>VLOOKUP(BA92,$W$5:$AJ$104,$BC$2,FALSE)</f>
        <v>#N/A</v>
      </c>
      <c r="BC92" s="6" t="e">
        <f>VLOOKUP(BA92,$W$5:$AJ$104,$BC$2+5,FALSE)</f>
        <v>#N/A</v>
      </c>
      <c r="BD92" s="2" t="e">
        <f>VLOOKUP(BB92,$W$5:$AJ$104,$BC$2+10,FALSE)</f>
        <v>#N/A</v>
      </c>
      <c r="BE92" s="9"/>
      <c r="BF92" s="4">
        <v>88</v>
      </c>
      <c r="BG92" s="2" t="e">
        <f>VLOOKUP(BF92,$Y$5:$AJ$104,$BH$2,FALSE)</f>
        <v>#N/A</v>
      </c>
      <c r="BH92" s="6" t="e">
        <f>VLOOKUP(BF92,$Y$5:$AJ$104,$BH$2+3,FALSE)</f>
        <v>#N/A</v>
      </c>
      <c r="BI92" s="58" t="e">
        <f>VLOOKUP(BG92,$Y$5:$AJ$104,$BH$2+9,FALSE)</f>
        <v>#N/A</v>
      </c>
      <c r="BK92" s="4">
        <v>88</v>
      </c>
      <c r="BL92" s="2" t="e">
        <f>VLOOKUP(BK92,$AA$5:$AJ$104,$BM$2,FALSE)</f>
        <v>#N/A</v>
      </c>
      <c r="BM92" s="6" t="e">
        <f>VLOOKUP(BK92,$AA$5:$AJ$104,$BM$2+1,FALSE)</f>
        <v>#N/A</v>
      </c>
      <c r="BN92" s="58" t="e">
        <f>VLOOKUP(BL92,$AA$5:$AJ$104,$BM$2+8,FALSE)</f>
        <v>#N/A</v>
      </c>
      <c r="BP92" s="2" t="e">
        <f>'Eclectic A'!CD92</f>
        <v>#N/A</v>
      </c>
      <c r="BQ92" s="6" t="e">
        <f>'Eclectic A'!CE92</f>
        <v>#N/A</v>
      </c>
      <c r="BR92" s="103" t="e">
        <f>'Eclectic A'!CF92</f>
        <v>#N/A</v>
      </c>
    </row>
    <row r="93" spans="1:70">
      <c r="A93" s="10" t="str">
        <f>IF(ISBLANK(Players!A91),"",Players!A91)</f>
        <v/>
      </c>
      <c r="B93" s="10" t="str">
        <f>IF(ISBLANK(Players!B91),"",Players!B91)</f>
        <v/>
      </c>
      <c r="C93" s="10" t="str">
        <f>IF(ISBLANK(Players!D91),"",Players!D91)</f>
        <v/>
      </c>
      <c r="D93" s="69" t="str">
        <f>IF(ISNUMBER(C93),MIN((C93*Rules!$N$14/113)+(Rules!$N$13-Rules!$N$12),Rules!$N$37),"-")</f>
        <v>-</v>
      </c>
      <c r="E93" s="69" t="str">
        <f>IF(ISNUMBER(C93),    ROUND( (D93*Rules!$N$11) / 100,0),"-")</f>
        <v>-</v>
      </c>
      <c r="F93" s="36" t="str">
        <f>IF(AND(ISNUMBER(C93),C93&gt;=Rules!$M$10,C93&lt;=Rules!$N$10),"Y","N")</f>
        <v>N</v>
      </c>
      <c r="G93" s="137" t="str">
        <f>'Eclectic A'!M93</f>
        <v>-</v>
      </c>
      <c r="H93" s="137" t="str">
        <f>'Eclectic A'!W93</f>
        <v>-</v>
      </c>
      <c r="I93" s="137" t="str">
        <f>'Eclectic A'!AJ93</f>
        <v>-</v>
      </c>
      <c r="J93" s="137" t="str">
        <f>'Eclectic A'!AT93</f>
        <v>-</v>
      </c>
      <c r="K93" s="108" t="str">
        <f t="shared" si="26"/>
        <v>-</v>
      </c>
      <c r="L93" s="108" t="str">
        <f t="shared" si="27"/>
        <v>-</v>
      </c>
      <c r="M93" s="108" t="str">
        <f t="shared" si="28"/>
        <v>-</v>
      </c>
      <c r="N93" s="108" t="str">
        <f t="shared" si="29"/>
        <v>-</v>
      </c>
      <c r="O93" s="108" t="str">
        <f t="shared" si="30"/>
        <v>-</v>
      </c>
      <c r="P93" s="108" t="str">
        <f t="shared" si="31"/>
        <v>-</v>
      </c>
      <c r="Q93" s="14" t="e">
        <f>RANK($K93,$K$5:$K$104,1)+COUNTIF(K$5:K93,K93)-1</f>
        <v>#VALUE!</v>
      </c>
      <c r="R93" s="14" t="e">
        <f t="shared" si="32"/>
        <v>#VALUE!</v>
      </c>
      <c r="S93" s="14" t="e">
        <f>RANK($L93,$L$5:$L$104,1)+COUNTIF(L$5:L93,L93)-1</f>
        <v>#VALUE!</v>
      </c>
      <c r="T93" s="14" t="e">
        <f t="shared" si="33"/>
        <v>#VALUE!</v>
      </c>
      <c r="U93" s="14" t="e">
        <f>RANK($M93,$M$5:$M$104,1)+COUNTIF(M$5:M93,M93)-1</f>
        <v>#VALUE!</v>
      </c>
      <c r="V93" s="14" t="e">
        <f t="shared" si="34"/>
        <v>#VALUE!</v>
      </c>
      <c r="W93" s="14" t="e">
        <f>RANK($N93,$N$5:$N$104,1)+COUNTIF(N$5:N93,N93)-1</f>
        <v>#VALUE!</v>
      </c>
      <c r="X93" s="14" t="e">
        <f t="shared" si="35"/>
        <v>#VALUE!</v>
      </c>
      <c r="Y93" s="14" t="e">
        <f>RANK($O93,$O$5:$O$104,1)+COUNTIF(O$5:O93,O93)-1</f>
        <v>#VALUE!</v>
      </c>
      <c r="Z93" s="14" t="e">
        <f t="shared" si="36"/>
        <v>#VALUE!</v>
      </c>
      <c r="AA93" s="14" t="e">
        <f>RANK($P93,$P$5:$P$104,1)+COUNTIF(P$5:P93,P93)-1</f>
        <v>#VALUE!</v>
      </c>
      <c r="AB93" s="14" t="e">
        <f t="shared" si="37"/>
        <v>#VALUE!</v>
      </c>
      <c r="AC93" s="1" t="str">
        <f t="shared" si="24"/>
        <v xml:space="preserve"> </v>
      </c>
      <c r="AD93" s="1" t="str">
        <f t="shared" si="25"/>
        <v>-</v>
      </c>
      <c r="AE93" s="35" t="str">
        <f t="shared" si="38"/>
        <v>-</v>
      </c>
      <c r="AF93" s="35" t="str">
        <f t="shared" si="39"/>
        <v>-</v>
      </c>
      <c r="AG93" s="35" t="str">
        <f t="shared" si="40"/>
        <v>-</v>
      </c>
      <c r="AH93" s="35" t="str">
        <f t="shared" si="41"/>
        <v>-</v>
      </c>
      <c r="AI93" s="35" t="str">
        <f t="shared" si="42"/>
        <v>-</v>
      </c>
      <c r="AJ93" s="35" t="str">
        <f t="shared" si="43"/>
        <v>-</v>
      </c>
      <c r="AL93" s="4">
        <v>89</v>
      </c>
      <c r="AM93" s="2" t="e">
        <f>VLOOKUP(AL93,Q$5:$AJ$104,$AN$2,FALSE)</f>
        <v>#N/A</v>
      </c>
      <c r="AN93" s="6" t="e">
        <f>VLOOKUP(AL93,Q$5:$AJ$104,$AN$2+11,FALSE)</f>
        <v>#N/A</v>
      </c>
      <c r="AO93" s="2" t="e">
        <f t="shared" si="44"/>
        <v>#N/A</v>
      </c>
      <c r="AQ93" s="4">
        <v>89</v>
      </c>
      <c r="AR93" s="2" t="e">
        <f>VLOOKUP(AQ93,$S$5:$AJ$104,$AS$2,FALSE)</f>
        <v>#N/A</v>
      </c>
      <c r="AS93" s="6" t="e">
        <f>VLOOKUP(AQ93,$S$5:$AJ$104,$AS$2+9,FALSE)</f>
        <v>#N/A</v>
      </c>
      <c r="AT93" s="2" t="e">
        <f>VLOOKUP(AR93,$S$5:$AJ$104,$AS$2+12,FALSE)</f>
        <v>#N/A</v>
      </c>
      <c r="AU93" s="9"/>
      <c r="AV93" s="4">
        <v>89</v>
      </c>
      <c r="AW93" s="2" t="e">
        <f>VLOOKUP(AV93,$U$5:$AJ$104,$AX$2,FALSE)</f>
        <v>#N/A</v>
      </c>
      <c r="AX93" s="6" t="e">
        <f>VLOOKUP(AV93,$U$5:$AJ$104,$AX$2+7,FALSE)</f>
        <v>#N/A</v>
      </c>
      <c r="AY93" s="2" t="e">
        <f>VLOOKUP(AW93,$U$5:$AJ$104,$AX$2+11,FALSE)</f>
        <v>#N/A</v>
      </c>
      <c r="BA93" s="4">
        <v>89</v>
      </c>
      <c r="BB93" s="2" t="e">
        <f>VLOOKUP(BA93,$W$5:$AJ$104,$BC$2,FALSE)</f>
        <v>#N/A</v>
      </c>
      <c r="BC93" s="6" t="e">
        <f>VLOOKUP(BA93,$W$5:$AJ$104,$BC$2+5,FALSE)</f>
        <v>#N/A</v>
      </c>
      <c r="BD93" s="2" t="e">
        <f>VLOOKUP(BB93,$W$5:$AJ$104,$BC$2+10,FALSE)</f>
        <v>#N/A</v>
      </c>
      <c r="BE93" s="9"/>
      <c r="BF93" s="4">
        <v>89</v>
      </c>
      <c r="BG93" s="2" t="e">
        <f>VLOOKUP(BF93,$Y$5:$AJ$104,$BH$2,FALSE)</f>
        <v>#N/A</v>
      </c>
      <c r="BH93" s="6" t="e">
        <f>VLOOKUP(BF93,$Y$5:$AJ$104,$BH$2+3,FALSE)</f>
        <v>#N/A</v>
      </c>
      <c r="BI93" s="58" t="e">
        <f>VLOOKUP(BG93,$Y$5:$AJ$104,$BH$2+9,FALSE)</f>
        <v>#N/A</v>
      </c>
      <c r="BK93" s="4">
        <v>89</v>
      </c>
      <c r="BL93" s="2" t="e">
        <f>VLOOKUP(BK93,$AA$5:$AJ$104,$BM$2,FALSE)</f>
        <v>#N/A</v>
      </c>
      <c r="BM93" s="6" t="e">
        <f>VLOOKUP(BK93,$AA$5:$AJ$104,$BM$2+1,FALSE)</f>
        <v>#N/A</v>
      </c>
      <c r="BN93" s="58" t="e">
        <f>VLOOKUP(BL93,$AA$5:$AJ$104,$BM$2+8,FALSE)</f>
        <v>#N/A</v>
      </c>
      <c r="BP93" s="2" t="e">
        <f>'Eclectic A'!CD93</f>
        <v>#N/A</v>
      </c>
      <c r="BQ93" s="6" t="e">
        <f>'Eclectic A'!CE93</f>
        <v>#N/A</v>
      </c>
      <c r="BR93" s="103" t="e">
        <f>'Eclectic A'!CF93</f>
        <v>#N/A</v>
      </c>
    </row>
    <row r="94" spans="1:70">
      <c r="A94" s="10" t="str">
        <f>IF(ISBLANK(Players!A92),"",Players!A92)</f>
        <v/>
      </c>
      <c r="B94" s="10" t="str">
        <f>IF(ISBLANK(Players!B92),"",Players!B92)</f>
        <v/>
      </c>
      <c r="C94" s="10" t="str">
        <f>IF(ISBLANK(Players!D92),"",Players!D92)</f>
        <v/>
      </c>
      <c r="D94" s="69" t="str">
        <f>IF(ISNUMBER(C94),MIN((C94*Rules!$N$14/113)+(Rules!$N$13-Rules!$N$12),Rules!$N$37),"-")</f>
        <v>-</v>
      </c>
      <c r="E94" s="69" t="str">
        <f>IF(ISNUMBER(C94),    ROUND( (D94*Rules!$N$11) / 100,0),"-")</f>
        <v>-</v>
      </c>
      <c r="F94" s="36" t="str">
        <f>IF(AND(ISNUMBER(C94),C94&gt;=Rules!$M$10,C94&lt;=Rules!$N$10),"Y","N")</f>
        <v>N</v>
      </c>
      <c r="G94" s="137" t="str">
        <f>'Eclectic A'!M94</f>
        <v>-</v>
      </c>
      <c r="H94" s="137" t="str">
        <f>'Eclectic A'!W94</f>
        <v>-</v>
      </c>
      <c r="I94" s="137" t="str">
        <f>'Eclectic A'!AJ94</f>
        <v>-</v>
      </c>
      <c r="J94" s="137" t="str">
        <f>'Eclectic A'!AT94</f>
        <v>-</v>
      </c>
      <c r="K94" s="108" t="str">
        <f t="shared" si="26"/>
        <v>-</v>
      </c>
      <c r="L94" s="108" t="str">
        <f t="shared" si="27"/>
        <v>-</v>
      </c>
      <c r="M94" s="108" t="str">
        <f t="shared" si="28"/>
        <v>-</v>
      </c>
      <c r="N94" s="108" t="str">
        <f t="shared" si="29"/>
        <v>-</v>
      </c>
      <c r="O94" s="108" t="str">
        <f t="shared" si="30"/>
        <v>-</v>
      </c>
      <c r="P94" s="108" t="str">
        <f t="shared" si="31"/>
        <v>-</v>
      </c>
      <c r="Q94" s="14" t="e">
        <f>RANK($K94,$K$5:$K$104,1)+COUNTIF(K$5:K94,K94)-1</f>
        <v>#VALUE!</v>
      </c>
      <c r="R94" s="14" t="e">
        <f t="shared" si="32"/>
        <v>#VALUE!</v>
      </c>
      <c r="S94" s="14" t="e">
        <f>RANK($L94,$L$5:$L$104,1)+COUNTIF(L$5:L94,L94)-1</f>
        <v>#VALUE!</v>
      </c>
      <c r="T94" s="14" t="e">
        <f t="shared" si="33"/>
        <v>#VALUE!</v>
      </c>
      <c r="U94" s="14" t="e">
        <f>RANK($M94,$M$5:$M$104,1)+COUNTIF(M$5:M94,M94)-1</f>
        <v>#VALUE!</v>
      </c>
      <c r="V94" s="14" t="e">
        <f t="shared" si="34"/>
        <v>#VALUE!</v>
      </c>
      <c r="W94" s="14" t="e">
        <f>RANK($N94,$N$5:$N$104,1)+COUNTIF(N$5:N94,N94)-1</f>
        <v>#VALUE!</v>
      </c>
      <c r="X94" s="14" t="e">
        <f t="shared" si="35"/>
        <v>#VALUE!</v>
      </c>
      <c r="Y94" s="14" t="e">
        <f>RANK($O94,$O$5:$O$104,1)+COUNTIF(O$5:O94,O94)-1</f>
        <v>#VALUE!</v>
      </c>
      <c r="Z94" s="14" t="e">
        <f t="shared" si="36"/>
        <v>#VALUE!</v>
      </c>
      <c r="AA94" s="14" t="e">
        <f>RANK($P94,$P$5:$P$104,1)+COUNTIF(P$5:P94,P94)-1</f>
        <v>#VALUE!</v>
      </c>
      <c r="AB94" s="14" t="e">
        <f t="shared" si="37"/>
        <v>#VALUE!</v>
      </c>
      <c r="AC94" s="1" t="str">
        <f t="shared" si="24"/>
        <v xml:space="preserve"> </v>
      </c>
      <c r="AD94" s="1" t="str">
        <f t="shared" si="25"/>
        <v>-</v>
      </c>
      <c r="AE94" s="35" t="str">
        <f t="shared" si="38"/>
        <v>-</v>
      </c>
      <c r="AF94" s="35" t="str">
        <f t="shared" si="39"/>
        <v>-</v>
      </c>
      <c r="AG94" s="35" t="str">
        <f t="shared" si="40"/>
        <v>-</v>
      </c>
      <c r="AH94" s="35" t="str">
        <f t="shared" si="41"/>
        <v>-</v>
      </c>
      <c r="AI94" s="35" t="str">
        <f t="shared" si="42"/>
        <v>-</v>
      </c>
      <c r="AJ94" s="35" t="str">
        <f t="shared" si="43"/>
        <v>-</v>
      </c>
      <c r="AL94" s="4">
        <v>90</v>
      </c>
      <c r="AM94" s="2" t="e">
        <f>VLOOKUP(AL94,Q$5:$AJ$104,$AN$2,FALSE)</f>
        <v>#N/A</v>
      </c>
      <c r="AN94" s="6" t="e">
        <f>VLOOKUP(AL94,Q$5:$AJ$104,$AN$2+11,FALSE)</f>
        <v>#N/A</v>
      </c>
      <c r="AO94" s="2" t="e">
        <f t="shared" si="44"/>
        <v>#N/A</v>
      </c>
      <c r="AQ94" s="4">
        <v>90</v>
      </c>
      <c r="AR94" s="2" t="e">
        <f>VLOOKUP(AQ94,$S$5:$AJ$104,$AS$2,FALSE)</f>
        <v>#N/A</v>
      </c>
      <c r="AS94" s="6" t="e">
        <f>VLOOKUP(AQ94,$S$5:$AJ$104,$AS$2+9,FALSE)</f>
        <v>#N/A</v>
      </c>
      <c r="AT94" s="2" t="e">
        <f>VLOOKUP(AR94,$S$5:$AJ$104,$AS$2+12,FALSE)</f>
        <v>#N/A</v>
      </c>
      <c r="AU94" s="9"/>
      <c r="AV94" s="4">
        <v>90</v>
      </c>
      <c r="AW94" s="2" t="e">
        <f>VLOOKUP(AV94,$U$5:$AJ$104,$AX$2,FALSE)</f>
        <v>#N/A</v>
      </c>
      <c r="AX94" s="6" t="e">
        <f>VLOOKUP(AV94,$U$5:$AJ$104,$AX$2+7,FALSE)</f>
        <v>#N/A</v>
      </c>
      <c r="AY94" s="2" t="e">
        <f>VLOOKUP(AW94,$U$5:$AJ$104,$AX$2+11,FALSE)</f>
        <v>#N/A</v>
      </c>
      <c r="BA94" s="4">
        <v>90</v>
      </c>
      <c r="BB94" s="2" t="e">
        <f>VLOOKUP(BA94,$W$5:$AJ$104,$BC$2,FALSE)</f>
        <v>#N/A</v>
      </c>
      <c r="BC94" s="6" t="e">
        <f>VLOOKUP(BA94,$W$5:$AJ$104,$BC$2+5,FALSE)</f>
        <v>#N/A</v>
      </c>
      <c r="BD94" s="2" t="e">
        <f>VLOOKUP(BB94,$W$5:$AJ$104,$BC$2+10,FALSE)</f>
        <v>#N/A</v>
      </c>
      <c r="BE94" s="9"/>
      <c r="BF94" s="4">
        <v>90</v>
      </c>
      <c r="BG94" s="2" t="e">
        <f>VLOOKUP(BF94,$Y$5:$AJ$104,$BH$2,FALSE)</f>
        <v>#N/A</v>
      </c>
      <c r="BH94" s="6" t="e">
        <f>VLOOKUP(BF94,$Y$5:$AJ$104,$BH$2+3,FALSE)</f>
        <v>#N/A</v>
      </c>
      <c r="BI94" s="58" t="e">
        <f>VLOOKUP(BG94,$Y$5:$AJ$104,$BH$2+9,FALSE)</f>
        <v>#N/A</v>
      </c>
      <c r="BK94" s="4">
        <v>90</v>
      </c>
      <c r="BL94" s="2" t="e">
        <f>VLOOKUP(BK94,$AA$5:$AJ$104,$BM$2,FALSE)</f>
        <v>#N/A</v>
      </c>
      <c r="BM94" s="6" t="e">
        <f>VLOOKUP(BK94,$AA$5:$AJ$104,$BM$2+1,FALSE)</f>
        <v>#N/A</v>
      </c>
      <c r="BN94" s="58" t="e">
        <f>VLOOKUP(BL94,$AA$5:$AJ$104,$BM$2+8,FALSE)</f>
        <v>#N/A</v>
      </c>
      <c r="BP94" s="2" t="e">
        <f>'Eclectic A'!CD94</f>
        <v>#N/A</v>
      </c>
      <c r="BQ94" s="6" t="e">
        <f>'Eclectic A'!CE94</f>
        <v>#N/A</v>
      </c>
      <c r="BR94" s="103" t="e">
        <f>'Eclectic A'!CF94</f>
        <v>#N/A</v>
      </c>
    </row>
    <row r="95" spans="1:70">
      <c r="A95" s="10" t="str">
        <f>IF(ISBLANK(Players!A93),"",Players!A93)</f>
        <v/>
      </c>
      <c r="B95" s="10" t="str">
        <f>IF(ISBLANK(Players!B93),"",Players!B93)</f>
        <v/>
      </c>
      <c r="C95" s="10" t="str">
        <f>IF(ISBLANK(Players!D93),"",Players!D93)</f>
        <v/>
      </c>
      <c r="D95" s="69" t="str">
        <f>IF(ISNUMBER(C95),MIN((C95*Rules!$N$14/113)+(Rules!$N$13-Rules!$N$12),Rules!$N$37),"-")</f>
        <v>-</v>
      </c>
      <c r="E95" s="69" t="str">
        <f>IF(ISNUMBER(C95),    ROUND( (D95*Rules!$N$11) / 100,0),"-")</f>
        <v>-</v>
      </c>
      <c r="F95" s="36" t="str">
        <f>IF(AND(ISNUMBER(C95),C95&gt;=Rules!$M$10,C95&lt;=Rules!$N$10),"Y","N")</f>
        <v>N</v>
      </c>
      <c r="G95" s="137" t="str">
        <f>'Eclectic A'!M95</f>
        <v>-</v>
      </c>
      <c r="H95" s="137" t="str">
        <f>'Eclectic A'!W95</f>
        <v>-</v>
      </c>
      <c r="I95" s="137" t="str">
        <f>'Eclectic A'!AJ95</f>
        <v>-</v>
      </c>
      <c r="J95" s="137" t="str">
        <f>'Eclectic A'!AT95</f>
        <v>-</v>
      </c>
      <c r="K95" s="108" t="str">
        <f t="shared" si="26"/>
        <v>-</v>
      </c>
      <c r="L95" s="108" t="str">
        <f t="shared" si="27"/>
        <v>-</v>
      </c>
      <c r="M95" s="108" t="str">
        <f t="shared" si="28"/>
        <v>-</v>
      </c>
      <c r="N95" s="108" t="str">
        <f t="shared" si="29"/>
        <v>-</v>
      </c>
      <c r="O95" s="108" t="str">
        <f t="shared" si="30"/>
        <v>-</v>
      </c>
      <c r="P95" s="108" t="str">
        <f t="shared" si="31"/>
        <v>-</v>
      </c>
      <c r="Q95" s="14" t="e">
        <f>RANK($K95,$K$5:$K$104,1)+COUNTIF(K$5:K95,K95)-1</f>
        <v>#VALUE!</v>
      </c>
      <c r="R95" s="14" t="e">
        <f t="shared" si="32"/>
        <v>#VALUE!</v>
      </c>
      <c r="S95" s="14" t="e">
        <f>RANK($L95,$L$5:$L$104,1)+COUNTIF(L$5:L95,L95)-1</f>
        <v>#VALUE!</v>
      </c>
      <c r="T95" s="14" t="e">
        <f t="shared" si="33"/>
        <v>#VALUE!</v>
      </c>
      <c r="U95" s="14" t="e">
        <f>RANK($M95,$M$5:$M$104,1)+COUNTIF(M$5:M95,M95)-1</f>
        <v>#VALUE!</v>
      </c>
      <c r="V95" s="14" t="e">
        <f t="shared" si="34"/>
        <v>#VALUE!</v>
      </c>
      <c r="W95" s="14" t="e">
        <f>RANK($N95,$N$5:$N$104,1)+COUNTIF(N$5:N95,N95)-1</f>
        <v>#VALUE!</v>
      </c>
      <c r="X95" s="14" t="e">
        <f t="shared" si="35"/>
        <v>#VALUE!</v>
      </c>
      <c r="Y95" s="14" t="e">
        <f>RANK($O95,$O$5:$O$104,1)+COUNTIF(O$5:O95,O95)-1</f>
        <v>#VALUE!</v>
      </c>
      <c r="Z95" s="14" t="e">
        <f t="shared" si="36"/>
        <v>#VALUE!</v>
      </c>
      <c r="AA95" s="14" t="e">
        <f>RANK($P95,$P$5:$P$104,1)+COUNTIF(P$5:P95,P95)-1</f>
        <v>#VALUE!</v>
      </c>
      <c r="AB95" s="14" t="e">
        <f t="shared" si="37"/>
        <v>#VALUE!</v>
      </c>
      <c r="AC95" s="1" t="str">
        <f t="shared" si="24"/>
        <v xml:space="preserve"> </v>
      </c>
      <c r="AD95" s="1" t="str">
        <f t="shared" si="25"/>
        <v>-</v>
      </c>
      <c r="AE95" s="35" t="str">
        <f t="shared" si="38"/>
        <v>-</v>
      </c>
      <c r="AF95" s="35" t="str">
        <f t="shared" si="39"/>
        <v>-</v>
      </c>
      <c r="AG95" s="35" t="str">
        <f t="shared" si="40"/>
        <v>-</v>
      </c>
      <c r="AH95" s="35" t="str">
        <f t="shared" si="41"/>
        <v>-</v>
      </c>
      <c r="AI95" s="35" t="str">
        <f t="shared" si="42"/>
        <v>-</v>
      </c>
      <c r="AJ95" s="35" t="str">
        <f t="shared" si="43"/>
        <v>-</v>
      </c>
      <c r="AL95" s="4">
        <v>91</v>
      </c>
      <c r="AM95" s="2" t="e">
        <f>VLOOKUP(AL95,Q$5:$AJ$104,$AN$2,FALSE)</f>
        <v>#N/A</v>
      </c>
      <c r="AN95" s="6" t="e">
        <f>VLOOKUP(AL95,Q$5:$AJ$104,$AN$2+11,FALSE)</f>
        <v>#N/A</v>
      </c>
      <c r="AO95" s="2" t="e">
        <f t="shared" si="44"/>
        <v>#N/A</v>
      </c>
      <c r="AQ95" s="4">
        <v>91</v>
      </c>
      <c r="AR95" s="2" t="e">
        <f>VLOOKUP(AQ95,$S$5:$AJ$104,$AS$2,FALSE)</f>
        <v>#N/A</v>
      </c>
      <c r="AS95" s="6" t="e">
        <f>VLOOKUP(AQ95,$S$5:$AJ$104,$AS$2+9,FALSE)</f>
        <v>#N/A</v>
      </c>
      <c r="AT95" s="2" t="e">
        <f>VLOOKUP(AR95,$S$5:$AJ$104,$AS$2+12,FALSE)</f>
        <v>#N/A</v>
      </c>
      <c r="AU95" s="9"/>
      <c r="AV95" s="4">
        <v>91</v>
      </c>
      <c r="AW95" s="2" t="e">
        <f>VLOOKUP(AV95,$U$5:$AJ$104,$AX$2,FALSE)</f>
        <v>#N/A</v>
      </c>
      <c r="AX95" s="6" t="e">
        <f>VLOOKUP(AV95,$U$5:$AJ$104,$AX$2+7,FALSE)</f>
        <v>#N/A</v>
      </c>
      <c r="AY95" s="2" t="e">
        <f>VLOOKUP(AW95,$U$5:$AJ$104,$AX$2+11,FALSE)</f>
        <v>#N/A</v>
      </c>
      <c r="BA95" s="4">
        <v>91</v>
      </c>
      <c r="BB95" s="2" t="e">
        <f>VLOOKUP(BA95,$W$5:$AJ$104,$BC$2,FALSE)</f>
        <v>#N/A</v>
      </c>
      <c r="BC95" s="6" t="e">
        <f>VLOOKUP(BA95,$W$5:$AJ$104,$BC$2+5,FALSE)</f>
        <v>#N/A</v>
      </c>
      <c r="BD95" s="2" t="e">
        <f>VLOOKUP(BB95,$W$5:$AJ$104,$BC$2+10,FALSE)</f>
        <v>#N/A</v>
      </c>
      <c r="BE95" s="9"/>
      <c r="BF95" s="4">
        <v>91</v>
      </c>
      <c r="BG95" s="2" t="e">
        <f>VLOOKUP(BF95,$Y$5:$AJ$104,$BH$2,FALSE)</f>
        <v>#N/A</v>
      </c>
      <c r="BH95" s="6" t="e">
        <f>VLOOKUP(BF95,$Y$5:$AJ$104,$BH$2+3,FALSE)</f>
        <v>#N/A</v>
      </c>
      <c r="BI95" s="58" t="e">
        <f>VLOOKUP(BG95,$Y$5:$AJ$104,$BH$2+9,FALSE)</f>
        <v>#N/A</v>
      </c>
      <c r="BK95" s="4">
        <v>91</v>
      </c>
      <c r="BL95" s="2" t="e">
        <f>VLOOKUP(BK95,$AA$5:$AJ$104,$BM$2,FALSE)</f>
        <v>#N/A</v>
      </c>
      <c r="BM95" s="6" t="e">
        <f>VLOOKUP(BK95,$AA$5:$AJ$104,$BM$2+1,FALSE)</f>
        <v>#N/A</v>
      </c>
      <c r="BN95" s="58" t="e">
        <f>VLOOKUP(BL95,$AA$5:$AJ$104,$BM$2+8,FALSE)</f>
        <v>#N/A</v>
      </c>
      <c r="BP95" s="2" t="e">
        <f>'Eclectic A'!CD95</f>
        <v>#N/A</v>
      </c>
      <c r="BQ95" s="6" t="e">
        <f>'Eclectic A'!CE95</f>
        <v>#N/A</v>
      </c>
      <c r="BR95" s="103" t="e">
        <f>'Eclectic A'!CF95</f>
        <v>#N/A</v>
      </c>
    </row>
    <row r="96" spans="1:70">
      <c r="A96" s="10" t="str">
        <f>IF(ISBLANK(Players!A94),"",Players!A94)</f>
        <v/>
      </c>
      <c r="B96" s="10" t="str">
        <f>IF(ISBLANK(Players!B94),"",Players!B94)</f>
        <v/>
      </c>
      <c r="C96" s="10" t="str">
        <f>IF(ISBLANK(Players!D94),"",Players!D94)</f>
        <v/>
      </c>
      <c r="D96" s="69" t="str">
        <f>IF(ISNUMBER(C96),MIN((C96*Rules!$N$14/113)+(Rules!$N$13-Rules!$N$12),Rules!$N$37),"-")</f>
        <v>-</v>
      </c>
      <c r="E96" s="69" t="str">
        <f>IF(ISNUMBER(C96),    ROUND( (D96*Rules!$N$11) / 100,0),"-")</f>
        <v>-</v>
      </c>
      <c r="F96" s="36" t="str">
        <f>IF(AND(ISNUMBER(C96),C96&gt;=Rules!$M$10,C96&lt;=Rules!$N$10),"Y","N")</f>
        <v>N</v>
      </c>
      <c r="G96" s="137" t="str">
        <f>'Eclectic A'!M96</f>
        <v>-</v>
      </c>
      <c r="H96" s="137" t="str">
        <f>'Eclectic A'!W96</f>
        <v>-</v>
      </c>
      <c r="I96" s="137" t="str">
        <f>'Eclectic A'!AJ96</f>
        <v>-</v>
      </c>
      <c r="J96" s="137" t="str">
        <f>'Eclectic A'!AT96</f>
        <v>-</v>
      </c>
      <c r="K96" s="108" t="str">
        <f t="shared" si="26"/>
        <v>-</v>
      </c>
      <c r="L96" s="108" t="str">
        <f t="shared" si="27"/>
        <v>-</v>
      </c>
      <c r="M96" s="108" t="str">
        <f t="shared" si="28"/>
        <v>-</v>
      </c>
      <c r="N96" s="108" t="str">
        <f t="shared" si="29"/>
        <v>-</v>
      </c>
      <c r="O96" s="108" t="str">
        <f t="shared" si="30"/>
        <v>-</v>
      </c>
      <c r="P96" s="108" t="str">
        <f t="shared" si="31"/>
        <v>-</v>
      </c>
      <c r="Q96" s="14" t="e">
        <f>RANK($K96,$K$5:$K$104,1)+COUNTIF(K$5:K96,K96)-1</f>
        <v>#VALUE!</v>
      </c>
      <c r="R96" s="14" t="e">
        <f t="shared" si="32"/>
        <v>#VALUE!</v>
      </c>
      <c r="S96" s="14" t="e">
        <f>RANK($L96,$L$5:$L$104,1)+COUNTIF(L$5:L96,L96)-1</f>
        <v>#VALUE!</v>
      </c>
      <c r="T96" s="14" t="e">
        <f t="shared" si="33"/>
        <v>#VALUE!</v>
      </c>
      <c r="U96" s="14" t="e">
        <f>RANK($M96,$M$5:$M$104,1)+COUNTIF(M$5:M96,M96)-1</f>
        <v>#VALUE!</v>
      </c>
      <c r="V96" s="14" t="e">
        <f t="shared" si="34"/>
        <v>#VALUE!</v>
      </c>
      <c r="W96" s="14" t="e">
        <f>RANK($N96,$N$5:$N$104,1)+COUNTIF(N$5:N96,N96)-1</f>
        <v>#VALUE!</v>
      </c>
      <c r="X96" s="14" t="e">
        <f t="shared" si="35"/>
        <v>#VALUE!</v>
      </c>
      <c r="Y96" s="14" t="e">
        <f>RANK($O96,$O$5:$O$104,1)+COUNTIF(O$5:O96,O96)-1</f>
        <v>#VALUE!</v>
      </c>
      <c r="Z96" s="14" t="e">
        <f t="shared" si="36"/>
        <v>#VALUE!</v>
      </c>
      <c r="AA96" s="14" t="e">
        <f>RANK($P96,$P$5:$P$104,1)+COUNTIF(P$5:P96,P96)-1</f>
        <v>#VALUE!</v>
      </c>
      <c r="AB96" s="14" t="e">
        <f t="shared" si="37"/>
        <v>#VALUE!</v>
      </c>
      <c r="AC96" s="1" t="str">
        <f t="shared" si="24"/>
        <v xml:space="preserve"> </v>
      </c>
      <c r="AD96" s="1" t="str">
        <f t="shared" si="25"/>
        <v>-</v>
      </c>
      <c r="AE96" s="35" t="str">
        <f t="shared" si="38"/>
        <v>-</v>
      </c>
      <c r="AF96" s="35" t="str">
        <f t="shared" si="39"/>
        <v>-</v>
      </c>
      <c r="AG96" s="35" t="str">
        <f t="shared" si="40"/>
        <v>-</v>
      </c>
      <c r="AH96" s="35" t="str">
        <f t="shared" si="41"/>
        <v>-</v>
      </c>
      <c r="AI96" s="35" t="str">
        <f t="shared" si="42"/>
        <v>-</v>
      </c>
      <c r="AJ96" s="35" t="str">
        <f t="shared" si="43"/>
        <v>-</v>
      </c>
      <c r="AL96" s="4">
        <v>92</v>
      </c>
      <c r="AM96" s="2" t="e">
        <f>VLOOKUP(AL96,Q$5:$AJ$104,$AN$2,FALSE)</f>
        <v>#N/A</v>
      </c>
      <c r="AN96" s="6" t="e">
        <f>VLOOKUP(AL96,Q$5:$AJ$104,$AN$2+11,FALSE)</f>
        <v>#N/A</v>
      </c>
      <c r="AO96" s="2" t="e">
        <f t="shared" si="44"/>
        <v>#N/A</v>
      </c>
      <c r="AQ96" s="4">
        <v>92</v>
      </c>
      <c r="AR96" s="2" t="e">
        <f>VLOOKUP(AQ96,$S$5:$AJ$104,$AS$2,FALSE)</f>
        <v>#N/A</v>
      </c>
      <c r="AS96" s="6" t="e">
        <f>VLOOKUP(AQ96,$S$5:$AJ$104,$AS$2+9,FALSE)</f>
        <v>#N/A</v>
      </c>
      <c r="AT96" s="2" t="e">
        <f>VLOOKUP(AR96,$S$5:$AJ$104,$AS$2+12,FALSE)</f>
        <v>#N/A</v>
      </c>
      <c r="AU96" s="9"/>
      <c r="AV96" s="4">
        <v>92</v>
      </c>
      <c r="AW96" s="2" t="e">
        <f>VLOOKUP(AV96,$U$5:$AJ$104,$AX$2,FALSE)</f>
        <v>#N/A</v>
      </c>
      <c r="AX96" s="6" t="e">
        <f>VLOOKUP(AV96,$U$5:$AJ$104,$AX$2+7,FALSE)</f>
        <v>#N/A</v>
      </c>
      <c r="AY96" s="2" t="e">
        <f>VLOOKUP(AW96,$U$5:$AJ$104,$AX$2+11,FALSE)</f>
        <v>#N/A</v>
      </c>
      <c r="BA96" s="4">
        <v>92</v>
      </c>
      <c r="BB96" s="2" t="e">
        <f>VLOOKUP(BA96,$W$5:$AJ$104,$BC$2,FALSE)</f>
        <v>#N/A</v>
      </c>
      <c r="BC96" s="6" t="e">
        <f>VLOOKUP(BA96,$W$5:$AJ$104,$BC$2+5,FALSE)</f>
        <v>#N/A</v>
      </c>
      <c r="BD96" s="2" t="e">
        <f>VLOOKUP(BB96,$W$5:$AJ$104,$BC$2+10,FALSE)</f>
        <v>#N/A</v>
      </c>
      <c r="BE96" s="9"/>
      <c r="BF96" s="4">
        <v>92</v>
      </c>
      <c r="BG96" s="2" t="e">
        <f>VLOOKUP(BF96,$Y$5:$AJ$104,$BH$2,FALSE)</f>
        <v>#N/A</v>
      </c>
      <c r="BH96" s="6" t="e">
        <f>VLOOKUP(BF96,$Y$5:$AJ$104,$BH$2+3,FALSE)</f>
        <v>#N/A</v>
      </c>
      <c r="BI96" s="58" t="e">
        <f>VLOOKUP(BG96,$Y$5:$AJ$104,$BH$2+9,FALSE)</f>
        <v>#N/A</v>
      </c>
      <c r="BK96" s="4">
        <v>92</v>
      </c>
      <c r="BL96" s="2" t="e">
        <f>VLOOKUP(BK96,$AA$5:$AJ$104,$BM$2,FALSE)</f>
        <v>#N/A</v>
      </c>
      <c r="BM96" s="6" t="e">
        <f>VLOOKUP(BK96,$AA$5:$AJ$104,$BM$2+1,FALSE)</f>
        <v>#N/A</v>
      </c>
      <c r="BN96" s="58" t="e">
        <f>VLOOKUP(BL96,$AA$5:$AJ$104,$BM$2+8,FALSE)</f>
        <v>#N/A</v>
      </c>
      <c r="BP96" s="2" t="e">
        <f>'Eclectic A'!CD96</f>
        <v>#N/A</v>
      </c>
      <c r="BQ96" s="6" t="e">
        <f>'Eclectic A'!CE96</f>
        <v>#N/A</v>
      </c>
      <c r="BR96" s="103" t="e">
        <f>'Eclectic A'!CF96</f>
        <v>#N/A</v>
      </c>
    </row>
    <row r="97" spans="1:70">
      <c r="A97" s="10" t="str">
        <f>IF(ISBLANK(Players!A95),"",Players!A95)</f>
        <v/>
      </c>
      <c r="B97" s="10" t="str">
        <f>IF(ISBLANK(Players!B95),"",Players!B95)</f>
        <v/>
      </c>
      <c r="C97" s="10" t="str">
        <f>IF(ISBLANK(Players!D95),"",Players!D95)</f>
        <v/>
      </c>
      <c r="D97" s="69" t="str">
        <f>IF(ISNUMBER(C97),MIN((C97*Rules!$N$14/113)+(Rules!$N$13-Rules!$N$12),Rules!$N$37),"-")</f>
        <v>-</v>
      </c>
      <c r="E97" s="69" t="str">
        <f>IF(ISNUMBER(C97),    ROUND( (D97*Rules!$N$11) / 100,0),"-")</f>
        <v>-</v>
      </c>
      <c r="F97" s="36" t="str">
        <f>IF(AND(ISNUMBER(C97),C97&gt;=Rules!$M$10,C97&lt;=Rules!$N$10),"Y","N")</f>
        <v>N</v>
      </c>
      <c r="G97" s="137" t="str">
        <f>'Eclectic A'!M97</f>
        <v>-</v>
      </c>
      <c r="H97" s="137" t="str">
        <f>'Eclectic A'!W97</f>
        <v>-</v>
      </c>
      <c r="I97" s="137" t="str">
        <f>'Eclectic A'!AJ97</f>
        <v>-</v>
      </c>
      <c r="J97" s="137" t="str">
        <f>'Eclectic A'!AT97</f>
        <v>-</v>
      </c>
      <c r="K97" s="108" t="str">
        <f t="shared" si="26"/>
        <v>-</v>
      </c>
      <c r="L97" s="108" t="str">
        <f t="shared" si="27"/>
        <v>-</v>
      </c>
      <c r="M97" s="108" t="str">
        <f t="shared" si="28"/>
        <v>-</v>
      </c>
      <c r="N97" s="108" t="str">
        <f t="shared" si="29"/>
        <v>-</v>
      </c>
      <c r="O97" s="108" t="str">
        <f t="shared" si="30"/>
        <v>-</v>
      </c>
      <c r="P97" s="108" t="str">
        <f t="shared" si="31"/>
        <v>-</v>
      </c>
      <c r="Q97" s="14" t="e">
        <f>RANK($K97,$K$5:$K$104,1)+COUNTIF(K$5:K97,K97)-1</f>
        <v>#VALUE!</v>
      </c>
      <c r="R97" s="14" t="e">
        <f t="shared" si="32"/>
        <v>#VALUE!</v>
      </c>
      <c r="S97" s="14" t="e">
        <f>RANK($L97,$L$5:$L$104,1)+COUNTIF(L$5:L97,L97)-1</f>
        <v>#VALUE!</v>
      </c>
      <c r="T97" s="14" t="e">
        <f t="shared" si="33"/>
        <v>#VALUE!</v>
      </c>
      <c r="U97" s="14" t="e">
        <f>RANK($M97,$M$5:$M$104,1)+COUNTIF(M$5:M97,M97)-1</f>
        <v>#VALUE!</v>
      </c>
      <c r="V97" s="14" t="e">
        <f t="shared" si="34"/>
        <v>#VALUE!</v>
      </c>
      <c r="W97" s="14" t="e">
        <f>RANK($N97,$N$5:$N$104,1)+COUNTIF(N$5:N97,N97)-1</f>
        <v>#VALUE!</v>
      </c>
      <c r="X97" s="14" t="e">
        <f t="shared" si="35"/>
        <v>#VALUE!</v>
      </c>
      <c r="Y97" s="14" t="e">
        <f>RANK($O97,$O$5:$O$104,1)+COUNTIF(O$5:O97,O97)-1</f>
        <v>#VALUE!</v>
      </c>
      <c r="Z97" s="14" t="e">
        <f t="shared" si="36"/>
        <v>#VALUE!</v>
      </c>
      <c r="AA97" s="14" t="e">
        <f>RANK($P97,$P$5:$P$104,1)+COUNTIF(P$5:P97,P97)-1</f>
        <v>#VALUE!</v>
      </c>
      <c r="AB97" s="14" t="e">
        <f t="shared" si="37"/>
        <v>#VALUE!</v>
      </c>
      <c r="AC97" s="1" t="str">
        <f t="shared" si="24"/>
        <v xml:space="preserve"> </v>
      </c>
      <c r="AD97" s="1" t="str">
        <f t="shared" si="25"/>
        <v>-</v>
      </c>
      <c r="AE97" s="35" t="str">
        <f t="shared" si="38"/>
        <v>-</v>
      </c>
      <c r="AF97" s="35" t="str">
        <f t="shared" si="39"/>
        <v>-</v>
      </c>
      <c r="AG97" s="35" t="str">
        <f t="shared" si="40"/>
        <v>-</v>
      </c>
      <c r="AH97" s="35" t="str">
        <f t="shared" si="41"/>
        <v>-</v>
      </c>
      <c r="AI97" s="35" t="str">
        <f t="shared" si="42"/>
        <v>-</v>
      </c>
      <c r="AJ97" s="35" t="str">
        <f t="shared" si="43"/>
        <v>-</v>
      </c>
      <c r="AL97" s="4">
        <v>93</v>
      </c>
      <c r="AM97" s="2" t="e">
        <f>VLOOKUP(AL97,Q$5:$AJ$104,$AN$2,FALSE)</f>
        <v>#N/A</v>
      </c>
      <c r="AN97" s="6" t="e">
        <f>VLOOKUP(AL97,Q$5:$AJ$104,$AN$2+11,FALSE)</f>
        <v>#N/A</v>
      </c>
      <c r="AO97" s="2" t="e">
        <f t="shared" si="44"/>
        <v>#N/A</v>
      </c>
      <c r="AQ97" s="4">
        <v>93</v>
      </c>
      <c r="AR97" s="2" t="e">
        <f>VLOOKUP(AQ97,$S$5:$AJ$104,$AS$2,FALSE)</f>
        <v>#N/A</v>
      </c>
      <c r="AS97" s="6" t="e">
        <f>VLOOKUP(AQ97,$S$5:$AJ$104,$AS$2+9,FALSE)</f>
        <v>#N/A</v>
      </c>
      <c r="AT97" s="2" t="e">
        <f>VLOOKUP(AR97,$S$5:$AJ$104,$AS$2+12,FALSE)</f>
        <v>#N/A</v>
      </c>
      <c r="AU97" s="9"/>
      <c r="AV97" s="4">
        <v>93</v>
      </c>
      <c r="AW97" s="2" t="e">
        <f>VLOOKUP(AV97,$U$5:$AJ$104,$AX$2,FALSE)</f>
        <v>#N/A</v>
      </c>
      <c r="AX97" s="6" t="e">
        <f>VLOOKUP(AV97,$U$5:$AJ$104,$AX$2+7,FALSE)</f>
        <v>#N/A</v>
      </c>
      <c r="AY97" s="2" t="e">
        <f>VLOOKUP(AW97,$U$5:$AJ$104,$AX$2+11,FALSE)</f>
        <v>#N/A</v>
      </c>
      <c r="BA97" s="4">
        <v>93</v>
      </c>
      <c r="BB97" s="2" t="e">
        <f>VLOOKUP(BA97,$W$5:$AJ$104,$BC$2,FALSE)</f>
        <v>#N/A</v>
      </c>
      <c r="BC97" s="6" t="e">
        <f>VLOOKUP(BA97,$W$5:$AJ$104,$BC$2+5,FALSE)</f>
        <v>#N/A</v>
      </c>
      <c r="BD97" s="2" t="e">
        <f>VLOOKUP(BB97,$W$5:$AJ$104,$BC$2+10,FALSE)</f>
        <v>#N/A</v>
      </c>
      <c r="BE97" s="9"/>
      <c r="BF97" s="4">
        <v>93</v>
      </c>
      <c r="BG97" s="2" t="e">
        <f>VLOOKUP(BF97,$Y$5:$AJ$104,$BH$2,FALSE)</f>
        <v>#N/A</v>
      </c>
      <c r="BH97" s="6" t="e">
        <f>VLOOKUP(BF97,$Y$5:$AJ$104,$BH$2+3,FALSE)</f>
        <v>#N/A</v>
      </c>
      <c r="BI97" s="58" t="e">
        <f>VLOOKUP(BG97,$Y$5:$AJ$104,$BH$2+9,FALSE)</f>
        <v>#N/A</v>
      </c>
      <c r="BK97" s="4">
        <v>93</v>
      </c>
      <c r="BL97" s="2" t="e">
        <f>VLOOKUP(BK97,$AA$5:$AJ$104,$BM$2,FALSE)</f>
        <v>#N/A</v>
      </c>
      <c r="BM97" s="6" t="e">
        <f>VLOOKUP(BK97,$AA$5:$AJ$104,$BM$2+1,FALSE)</f>
        <v>#N/A</v>
      </c>
      <c r="BN97" s="58" t="e">
        <f>VLOOKUP(BL97,$AA$5:$AJ$104,$BM$2+8,FALSE)</f>
        <v>#N/A</v>
      </c>
      <c r="BP97" s="2" t="e">
        <f>'Eclectic A'!CD97</f>
        <v>#N/A</v>
      </c>
      <c r="BQ97" s="6" t="e">
        <f>'Eclectic A'!CE97</f>
        <v>#N/A</v>
      </c>
      <c r="BR97" s="103" t="e">
        <f>'Eclectic A'!CF97</f>
        <v>#N/A</v>
      </c>
    </row>
    <row r="98" spans="1:70">
      <c r="A98" s="10" t="str">
        <f>IF(ISBLANK(Players!A96),"",Players!A96)</f>
        <v/>
      </c>
      <c r="B98" s="10" t="str">
        <f>IF(ISBLANK(Players!B96),"",Players!B96)</f>
        <v/>
      </c>
      <c r="C98" s="10" t="str">
        <f>IF(ISBLANK(Players!D96),"",Players!D96)</f>
        <v/>
      </c>
      <c r="D98" s="69" t="str">
        <f>IF(ISNUMBER(C98),MIN((C98*Rules!$N$14/113)+(Rules!$N$13-Rules!$N$12),Rules!$N$37),"-")</f>
        <v>-</v>
      </c>
      <c r="E98" s="69" t="str">
        <f>IF(ISNUMBER(C98),    ROUND( (D98*Rules!$N$11) / 100,0),"-")</f>
        <v>-</v>
      </c>
      <c r="F98" s="36" t="str">
        <f>IF(AND(ISNUMBER(C98),C98&gt;=Rules!$M$10,C98&lt;=Rules!$N$10),"Y","N")</f>
        <v>N</v>
      </c>
      <c r="G98" s="137" t="str">
        <f>'Eclectic A'!M98</f>
        <v>-</v>
      </c>
      <c r="H98" s="137" t="str">
        <f>'Eclectic A'!W98</f>
        <v>-</v>
      </c>
      <c r="I98" s="137" t="str">
        <f>'Eclectic A'!AJ98</f>
        <v>-</v>
      </c>
      <c r="J98" s="137" t="str">
        <f>'Eclectic A'!AT98</f>
        <v>-</v>
      </c>
      <c r="K98" s="108" t="str">
        <f t="shared" si="26"/>
        <v>-</v>
      </c>
      <c r="L98" s="108" t="str">
        <f t="shared" si="27"/>
        <v>-</v>
      </c>
      <c r="M98" s="108" t="str">
        <f t="shared" si="28"/>
        <v>-</v>
      </c>
      <c r="N98" s="108" t="str">
        <f t="shared" si="29"/>
        <v>-</v>
      </c>
      <c r="O98" s="108" t="str">
        <f t="shared" si="30"/>
        <v>-</v>
      </c>
      <c r="P98" s="108" t="str">
        <f t="shared" si="31"/>
        <v>-</v>
      </c>
      <c r="Q98" s="14" t="e">
        <f>RANK($K98,$K$5:$K$104,1)+COUNTIF(K$5:K98,K98)-1</f>
        <v>#VALUE!</v>
      </c>
      <c r="R98" s="14" t="e">
        <f t="shared" si="32"/>
        <v>#VALUE!</v>
      </c>
      <c r="S98" s="14" t="e">
        <f>RANK($L98,$L$5:$L$104,1)+COUNTIF(L$5:L98,L98)-1</f>
        <v>#VALUE!</v>
      </c>
      <c r="T98" s="14" t="e">
        <f t="shared" si="33"/>
        <v>#VALUE!</v>
      </c>
      <c r="U98" s="14" t="e">
        <f>RANK($M98,$M$5:$M$104,1)+COUNTIF(M$5:M98,M98)-1</f>
        <v>#VALUE!</v>
      </c>
      <c r="V98" s="14" t="e">
        <f t="shared" si="34"/>
        <v>#VALUE!</v>
      </c>
      <c r="W98" s="14" t="e">
        <f>RANK($N98,$N$5:$N$104,1)+COUNTIF(N$5:N98,N98)-1</f>
        <v>#VALUE!</v>
      </c>
      <c r="X98" s="14" t="e">
        <f t="shared" si="35"/>
        <v>#VALUE!</v>
      </c>
      <c r="Y98" s="14" t="e">
        <f>RANK($O98,$O$5:$O$104,1)+COUNTIF(O$5:O98,O98)-1</f>
        <v>#VALUE!</v>
      </c>
      <c r="Z98" s="14" t="e">
        <f t="shared" si="36"/>
        <v>#VALUE!</v>
      </c>
      <c r="AA98" s="14" t="e">
        <f>RANK($P98,$P$5:$P$104,1)+COUNTIF(P$5:P98,P98)-1</f>
        <v>#VALUE!</v>
      </c>
      <c r="AB98" s="14" t="e">
        <f t="shared" si="37"/>
        <v>#VALUE!</v>
      </c>
      <c r="AC98" s="1" t="str">
        <f t="shared" si="24"/>
        <v xml:space="preserve"> </v>
      </c>
      <c r="AD98" s="1" t="str">
        <f t="shared" si="25"/>
        <v>-</v>
      </c>
      <c r="AE98" s="35" t="str">
        <f t="shared" si="38"/>
        <v>-</v>
      </c>
      <c r="AF98" s="35" t="str">
        <f t="shared" si="39"/>
        <v>-</v>
      </c>
      <c r="AG98" s="35" t="str">
        <f t="shared" si="40"/>
        <v>-</v>
      </c>
      <c r="AH98" s="35" t="str">
        <f t="shared" si="41"/>
        <v>-</v>
      </c>
      <c r="AI98" s="35" t="str">
        <f t="shared" si="42"/>
        <v>-</v>
      </c>
      <c r="AJ98" s="35" t="str">
        <f t="shared" si="43"/>
        <v>-</v>
      </c>
      <c r="AL98" s="4">
        <v>94</v>
      </c>
      <c r="AM98" s="2" t="e">
        <f>VLOOKUP(AL98,Q$5:$AJ$104,$AN$2,FALSE)</f>
        <v>#N/A</v>
      </c>
      <c r="AN98" s="6" t="e">
        <f>VLOOKUP(AL98,Q$5:$AJ$104,$AN$2+11,FALSE)</f>
        <v>#N/A</v>
      </c>
      <c r="AO98" s="2" t="e">
        <f t="shared" si="44"/>
        <v>#N/A</v>
      </c>
      <c r="AQ98" s="4">
        <v>94</v>
      </c>
      <c r="AR98" s="2" t="e">
        <f>VLOOKUP(AQ98,$S$5:$AJ$104,$AS$2,FALSE)</f>
        <v>#N/A</v>
      </c>
      <c r="AS98" s="6" t="e">
        <f>VLOOKUP(AQ98,$S$5:$AJ$104,$AS$2+9,FALSE)</f>
        <v>#N/A</v>
      </c>
      <c r="AT98" s="2" t="e">
        <f>VLOOKUP(AR98,$S$5:$AJ$104,$AS$2+12,FALSE)</f>
        <v>#N/A</v>
      </c>
      <c r="AU98" s="9"/>
      <c r="AV98" s="4">
        <v>94</v>
      </c>
      <c r="AW98" s="2" t="e">
        <f>VLOOKUP(AV98,$U$5:$AJ$104,$AX$2,FALSE)</f>
        <v>#N/A</v>
      </c>
      <c r="AX98" s="6" t="e">
        <f>VLOOKUP(AV98,$U$5:$AJ$104,$AX$2+7,FALSE)</f>
        <v>#N/A</v>
      </c>
      <c r="AY98" s="2" t="e">
        <f>VLOOKUP(AW98,$U$5:$AJ$104,$AX$2+11,FALSE)</f>
        <v>#N/A</v>
      </c>
      <c r="BA98" s="4">
        <v>94</v>
      </c>
      <c r="BB98" s="2" t="e">
        <f>VLOOKUP(BA98,$W$5:$AJ$104,$BC$2,FALSE)</f>
        <v>#N/A</v>
      </c>
      <c r="BC98" s="6" t="e">
        <f>VLOOKUP(BA98,$W$5:$AJ$104,$BC$2+5,FALSE)</f>
        <v>#N/A</v>
      </c>
      <c r="BD98" s="2" t="e">
        <f>VLOOKUP(BB98,$W$5:$AJ$104,$BC$2+10,FALSE)</f>
        <v>#N/A</v>
      </c>
      <c r="BE98" s="9"/>
      <c r="BF98" s="4">
        <v>94</v>
      </c>
      <c r="BG98" s="2" t="e">
        <f>VLOOKUP(BF98,$Y$5:$AJ$104,$BH$2,FALSE)</f>
        <v>#N/A</v>
      </c>
      <c r="BH98" s="6" t="e">
        <f>VLOOKUP(BF98,$Y$5:$AJ$104,$BH$2+3,FALSE)</f>
        <v>#N/A</v>
      </c>
      <c r="BI98" s="58" t="e">
        <f>VLOOKUP(BG98,$Y$5:$AJ$104,$BH$2+9,FALSE)</f>
        <v>#N/A</v>
      </c>
      <c r="BK98" s="4">
        <v>94</v>
      </c>
      <c r="BL98" s="2" t="e">
        <f>VLOOKUP(BK98,$AA$5:$AJ$104,$BM$2,FALSE)</f>
        <v>#N/A</v>
      </c>
      <c r="BM98" s="6" t="e">
        <f>VLOOKUP(BK98,$AA$5:$AJ$104,$BM$2+1,FALSE)</f>
        <v>#N/A</v>
      </c>
      <c r="BN98" s="58" t="e">
        <f>VLOOKUP(BL98,$AA$5:$AJ$104,$BM$2+8,FALSE)</f>
        <v>#N/A</v>
      </c>
      <c r="BP98" s="2" t="e">
        <f>'Eclectic A'!CD98</f>
        <v>#N/A</v>
      </c>
      <c r="BQ98" s="6" t="e">
        <f>'Eclectic A'!CE98</f>
        <v>#N/A</v>
      </c>
      <c r="BR98" s="103" t="e">
        <f>'Eclectic A'!CF98</f>
        <v>#N/A</v>
      </c>
    </row>
    <row r="99" spans="1:70">
      <c r="A99" s="10" t="str">
        <f>IF(ISBLANK(Players!A97),"",Players!A97)</f>
        <v/>
      </c>
      <c r="B99" s="10" t="str">
        <f>IF(ISBLANK(Players!B97),"",Players!B97)</f>
        <v/>
      </c>
      <c r="C99" s="10" t="str">
        <f>IF(ISBLANK(Players!D97),"",Players!D97)</f>
        <v/>
      </c>
      <c r="D99" s="69" t="str">
        <f>IF(ISNUMBER(C99),MIN((C99*Rules!$N$14/113)+(Rules!$N$13-Rules!$N$12),Rules!$N$37),"-")</f>
        <v>-</v>
      </c>
      <c r="E99" s="69" t="str">
        <f>IF(ISNUMBER(C99),    ROUND( (D99*Rules!$N$11) / 100,0),"-")</f>
        <v>-</v>
      </c>
      <c r="F99" s="36" t="str">
        <f>IF(AND(ISNUMBER(C99),C99&gt;=Rules!$M$10,C99&lt;=Rules!$N$10),"Y","N")</f>
        <v>N</v>
      </c>
      <c r="G99" s="137" t="str">
        <f>'Eclectic A'!M99</f>
        <v>-</v>
      </c>
      <c r="H99" s="137" t="str">
        <f>'Eclectic A'!W99</f>
        <v>-</v>
      </c>
      <c r="I99" s="137" t="str">
        <f>'Eclectic A'!AJ99</f>
        <v>-</v>
      </c>
      <c r="J99" s="137" t="str">
        <f>'Eclectic A'!AT99</f>
        <v>-</v>
      </c>
      <c r="K99" s="108" t="str">
        <f t="shared" si="26"/>
        <v>-</v>
      </c>
      <c r="L99" s="108" t="str">
        <f t="shared" si="27"/>
        <v>-</v>
      </c>
      <c r="M99" s="108" t="str">
        <f t="shared" si="28"/>
        <v>-</v>
      </c>
      <c r="N99" s="108" t="str">
        <f t="shared" si="29"/>
        <v>-</v>
      </c>
      <c r="O99" s="108" t="str">
        <f t="shared" si="30"/>
        <v>-</v>
      </c>
      <c r="P99" s="108" t="str">
        <f t="shared" si="31"/>
        <v>-</v>
      </c>
      <c r="Q99" s="14" t="e">
        <f>RANK($K99,$K$5:$K$104,1)+COUNTIF(K$5:K99,K99)-1</f>
        <v>#VALUE!</v>
      </c>
      <c r="R99" s="14" t="e">
        <f t="shared" si="32"/>
        <v>#VALUE!</v>
      </c>
      <c r="S99" s="14" t="e">
        <f>RANK($L99,$L$5:$L$104,1)+COUNTIF(L$5:L99,L99)-1</f>
        <v>#VALUE!</v>
      </c>
      <c r="T99" s="14" t="e">
        <f t="shared" si="33"/>
        <v>#VALUE!</v>
      </c>
      <c r="U99" s="14" t="e">
        <f>RANK($M99,$M$5:$M$104,1)+COUNTIF(M$5:M99,M99)-1</f>
        <v>#VALUE!</v>
      </c>
      <c r="V99" s="14" t="e">
        <f t="shared" si="34"/>
        <v>#VALUE!</v>
      </c>
      <c r="W99" s="14" t="e">
        <f>RANK($N99,$N$5:$N$104,1)+COUNTIF(N$5:N99,N99)-1</f>
        <v>#VALUE!</v>
      </c>
      <c r="X99" s="14" t="e">
        <f t="shared" si="35"/>
        <v>#VALUE!</v>
      </c>
      <c r="Y99" s="14" t="e">
        <f>RANK($O99,$O$5:$O$104,1)+COUNTIF(O$5:O99,O99)-1</f>
        <v>#VALUE!</v>
      </c>
      <c r="Z99" s="14" t="e">
        <f t="shared" si="36"/>
        <v>#VALUE!</v>
      </c>
      <c r="AA99" s="14" t="e">
        <f>RANK($P99,$P$5:$P$104,1)+COUNTIF(P$5:P99,P99)-1</f>
        <v>#VALUE!</v>
      </c>
      <c r="AB99" s="14" t="e">
        <f t="shared" si="37"/>
        <v>#VALUE!</v>
      </c>
      <c r="AC99" s="1" t="str">
        <f t="shared" si="24"/>
        <v xml:space="preserve"> </v>
      </c>
      <c r="AD99" s="1" t="str">
        <f t="shared" si="25"/>
        <v>-</v>
      </c>
      <c r="AE99" s="35" t="str">
        <f t="shared" si="38"/>
        <v>-</v>
      </c>
      <c r="AF99" s="35" t="str">
        <f t="shared" si="39"/>
        <v>-</v>
      </c>
      <c r="AG99" s="35" t="str">
        <f t="shared" si="40"/>
        <v>-</v>
      </c>
      <c r="AH99" s="35" t="str">
        <f t="shared" si="41"/>
        <v>-</v>
      </c>
      <c r="AI99" s="35" t="str">
        <f t="shared" si="42"/>
        <v>-</v>
      </c>
      <c r="AJ99" s="35" t="str">
        <f t="shared" si="43"/>
        <v>-</v>
      </c>
      <c r="AL99" s="4">
        <v>95</v>
      </c>
      <c r="AM99" s="2" t="e">
        <f>VLOOKUP(AL99,Q$5:$AJ$104,$AN$2,FALSE)</f>
        <v>#N/A</v>
      </c>
      <c r="AN99" s="6" t="e">
        <f>VLOOKUP(AL99,Q$5:$AJ$104,$AN$2+11,FALSE)</f>
        <v>#N/A</v>
      </c>
      <c r="AO99" s="2" t="e">
        <f t="shared" si="44"/>
        <v>#N/A</v>
      </c>
      <c r="AQ99" s="4">
        <v>95</v>
      </c>
      <c r="AR99" s="2" t="e">
        <f>VLOOKUP(AQ99,$S$5:$AJ$104,$AS$2,FALSE)</f>
        <v>#N/A</v>
      </c>
      <c r="AS99" s="6" t="e">
        <f>VLOOKUP(AQ99,$S$5:$AJ$104,$AS$2+9,FALSE)</f>
        <v>#N/A</v>
      </c>
      <c r="AT99" s="2" t="e">
        <f>VLOOKUP(AR99,$S$5:$AJ$104,$AS$2+12,FALSE)</f>
        <v>#N/A</v>
      </c>
      <c r="AV99" s="4">
        <v>95</v>
      </c>
      <c r="AW99" s="2" t="e">
        <f>VLOOKUP(AV99,$U$5:$AJ$104,$AX$2,FALSE)</f>
        <v>#N/A</v>
      </c>
      <c r="AX99" s="6" t="e">
        <f>VLOOKUP(AV99,$U$5:$AJ$104,$AX$2+7,FALSE)</f>
        <v>#N/A</v>
      </c>
      <c r="AY99" s="2" t="e">
        <f>VLOOKUP(AW99,$U$5:$AJ$104,$AX$2+11,FALSE)</f>
        <v>#N/A</v>
      </c>
      <c r="BA99" s="4">
        <v>95</v>
      </c>
      <c r="BB99" s="2" t="e">
        <f>VLOOKUP(BA99,$W$5:$AJ$104,$BC$2,FALSE)</f>
        <v>#N/A</v>
      </c>
      <c r="BC99" s="6" t="e">
        <f>VLOOKUP(BA99,$W$5:$AJ$104,$BC$2+5,FALSE)</f>
        <v>#N/A</v>
      </c>
      <c r="BD99" s="2" t="e">
        <f>VLOOKUP(BB99,$W$5:$AJ$104,$BC$2+10,FALSE)</f>
        <v>#N/A</v>
      </c>
      <c r="BF99" s="4">
        <v>95</v>
      </c>
      <c r="BG99" s="2" t="e">
        <f>VLOOKUP(BF99,$Y$5:$AJ$104,$BH$2,FALSE)</f>
        <v>#N/A</v>
      </c>
      <c r="BH99" s="6" t="e">
        <f>VLOOKUP(BF99,$Y$5:$AJ$104,$BH$2+3,FALSE)</f>
        <v>#N/A</v>
      </c>
      <c r="BI99" s="58" t="e">
        <f>VLOOKUP(BG99,$Y$5:$AJ$104,$BH$2+9,FALSE)</f>
        <v>#N/A</v>
      </c>
      <c r="BK99" s="4">
        <v>95</v>
      </c>
      <c r="BL99" s="2" t="e">
        <f>VLOOKUP(BK99,$AA$5:$AJ$104,$BM$2,FALSE)</f>
        <v>#N/A</v>
      </c>
      <c r="BM99" s="6" t="e">
        <f>VLOOKUP(BK99,$AA$5:$AJ$104,$BM$2+1,FALSE)</f>
        <v>#N/A</v>
      </c>
      <c r="BN99" s="58" t="e">
        <f>VLOOKUP(BL99,$AA$5:$AJ$104,$BM$2+8,FALSE)</f>
        <v>#N/A</v>
      </c>
      <c r="BP99" s="2" t="e">
        <f>'Eclectic A'!CD99</f>
        <v>#N/A</v>
      </c>
      <c r="BQ99" s="6" t="e">
        <f>'Eclectic A'!CE99</f>
        <v>#N/A</v>
      </c>
      <c r="BR99" s="103" t="e">
        <f>'Eclectic A'!CF99</f>
        <v>#N/A</v>
      </c>
    </row>
    <row r="100" spans="1:70">
      <c r="A100" s="10" t="str">
        <f>IF(ISBLANK(Players!A98),"",Players!A98)</f>
        <v/>
      </c>
      <c r="B100" s="10" t="str">
        <f>IF(ISBLANK(Players!B98),"",Players!B98)</f>
        <v/>
      </c>
      <c r="C100" s="10" t="str">
        <f>IF(ISBLANK(Players!D98),"",Players!D98)</f>
        <v/>
      </c>
      <c r="D100" s="69" t="str">
        <f>IF(ISNUMBER(C100),MIN((C100*Rules!$N$14/113)+(Rules!$N$13-Rules!$N$12),Rules!$N$37),"-")</f>
        <v>-</v>
      </c>
      <c r="E100" s="69" t="str">
        <f>IF(ISNUMBER(C100),    ROUND( (D100*Rules!$N$11) / 100,0),"-")</f>
        <v>-</v>
      </c>
      <c r="F100" s="36" t="str">
        <f>IF(AND(ISNUMBER(C100),C100&gt;=Rules!$M$10,C100&lt;=Rules!$N$10),"Y","N")</f>
        <v>N</v>
      </c>
      <c r="G100" s="137" t="str">
        <f>'Eclectic A'!M100</f>
        <v>-</v>
      </c>
      <c r="H100" s="137" t="str">
        <f>'Eclectic A'!W100</f>
        <v>-</v>
      </c>
      <c r="I100" s="137" t="str">
        <f>'Eclectic A'!AJ100</f>
        <v>-</v>
      </c>
      <c r="J100" s="137" t="str">
        <f>'Eclectic A'!AT100</f>
        <v>-</v>
      </c>
      <c r="K100" s="108" t="str">
        <f t="shared" si="26"/>
        <v>-</v>
      </c>
      <c r="L100" s="108" t="str">
        <f t="shared" si="27"/>
        <v>-</v>
      </c>
      <c r="M100" s="108" t="str">
        <f t="shared" si="28"/>
        <v>-</v>
      </c>
      <c r="N100" s="108" t="str">
        <f t="shared" si="29"/>
        <v>-</v>
      </c>
      <c r="O100" s="108" t="str">
        <f t="shared" si="30"/>
        <v>-</v>
      </c>
      <c r="P100" s="108" t="str">
        <f t="shared" si="31"/>
        <v>-</v>
      </c>
      <c r="Q100" s="14" t="e">
        <f>RANK($K100,$K$5:$K$104,1)+COUNTIF(K$5:K100,K100)-1</f>
        <v>#VALUE!</v>
      </c>
      <c r="R100" s="14" t="e">
        <f t="shared" si="32"/>
        <v>#VALUE!</v>
      </c>
      <c r="S100" s="14" t="e">
        <f>RANK($L100,$L$5:$L$104,1)+COUNTIF(L$5:L100,L100)-1</f>
        <v>#VALUE!</v>
      </c>
      <c r="T100" s="14" t="e">
        <f t="shared" si="33"/>
        <v>#VALUE!</v>
      </c>
      <c r="U100" s="14" t="e">
        <f>RANK($M100,$M$5:$M$104,1)+COUNTIF(M$5:M100,M100)-1</f>
        <v>#VALUE!</v>
      </c>
      <c r="V100" s="14" t="e">
        <f t="shared" si="34"/>
        <v>#VALUE!</v>
      </c>
      <c r="W100" s="14" t="e">
        <f>RANK($N100,$N$5:$N$104,1)+COUNTIF(N$5:N100,N100)-1</f>
        <v>#VALUE!</v>
      </c>
      <c r="X100" s="14" t="e">
        <f t="shared" si="35"/>
        <v>#VALUE!</v>
      </c>
      <c r="Y100" s="14" t="e">
        <f>RANK($O100,$O$5:$O$104,1)+COUNTIF(O$5:O100,O100)-1</f>
        <v>#VALUE!</v>
      </c>
      <c r="Z100" s="14" t="e">
        <f t="shared" si="36"/>
        <v>#VALUE!</v>
      </c>
      <c r="AA100" s="14" t="e">
        <f>RANK($P100,$P$5:$P$104,1)+COUNTIF(P$5:P100,P100)-1</f>
        <v>#VALUE!</v>
      </c>
      <c r="AB100" s="14" t="e">
        <f t="shared" si="37"/>
        <v>#VALUE!</v>
      </c>
      <c r="AC100" s="1" t="str">
        <f t="shared" si="24"/>
        <v xml:space="preserve"> </v>
      </c>
      <c r="AD100" s="1" t="str">
        <f t="shared" si="25"/>
        <v>-</v>
      </c>
      <c r="AE100" s="35" t="str">
        <f t="shared" si="38"/>
        <v>-</v>
      </c>
      <c r="AF100" s="35" t="str">
        <f t="shared" si="39"/>
        <v>-</v>
      </c>
      <c r="AG100" s="35" t="str">
        <f t="shared" si="40"/>
        <v>-</v>
      </c>
      <c r="AH100" s="35" t="str">
        <f t="shared" si="41"/>
        <v>-</v>
      </c>
      <c r="AI100" s="35" t="str">
        <f t="shared" si="42"/>
        <v>-</v>
      </c>
      <c r="AJ100" s="35" t="str">
        <f t="shared" si="43"/>
        <v>-</v>
      </c>
      <c r="AL100" s="4">
        <v>96</v>
      </c>
      <c r="AM100" s="2" t="e">
        <f>VLOOKUP(AL100,Q$5:$AJ$104,$AN$2,FALSE)</f>
        <v>#N/A</v>
      </c>
      <c r="AN100" s="6" t="e">
        <f>VLOOKUP(AL100,Q$5:$AJ$104,$AN$2+11,FALSE)</f>
        <v>#N/A</v>
      </c>
      <c r="AO100" s="2" t="e">
        <f t="shared" si="44"/>
        <v>#N/A</v>
      </c>
      <c r="AQ100" s="4">
        <v>96</v>
      </c>
      <c r="AR100" s="2" t="e">
        <f>VLOOKUP(AQ100,$S$5:$AJ$104,$AS$2,FALSE)</f>
        <v>#N/A</v>
      </c>
      <c r="AS100" s="6" t="e">
        <f>VLOOKUP(AQ100,$S$5:$AJ$104,$AS$2+9,FALSE)</f>
        <v>#N/A</v>
      </c>
      <c r="AT100" s="2" t="e">
        <f>VLOOKUP(AR100,$S$5:$AJ$104,$AS$2+12,FALSE)</f>
        <v>#N/A</v>
      </c>
      <c r="AV100" s="4">
        <v>96</v>
      </c>
      <c r="AW100" s="2" t="e">
        <f>VLOOKUP(AV100,$U$5:$AJ$104,$AX$2,FALSE)</f>
        <v>#N/A</v>
      </c>
      <c r="AX100" s="6" t="e">
        <f>VLOOKUP(AV100,$U$5:$AJ$104,$AX$2+7,FALSE)</f>
        <v>#N/A</v>
      </c>
      <c r="AY100" s="2" t="e">
        <f>VLOOKUP(AW100,$U$5:$AJ$104,$AX$2+11,FALSE)</f>
        <v>#N/A</v>
      </c>
      <c r="BA100" s="4">
        <v>96</v>
      </c>
      <c r="BB100" s="2" t="e">
        <f>VLOOKUP(BA100,$W$5:$AJ$104,$BC$2,FALSE)</f>
        <v>#N/A</v>
      </c>
      <c r="BC100" s="6" t="e">
        <f>VLOOKUP(BA100,$W$5:$AJ$104,$BC$2+5,FALSE)</f>
        <v>#N/A</v>
      </c>
      <c r="BD100" s="2" t="e">
        <f>VLOOKUP(BB100,$W$5:$AJ$104,$BC$2+10,FALSE)</f>
        <v>#N/A</v>
      </c>
      <c r="BF100" s="4">
        <v>96</v>
      </c>
      <c r="BG100" s="2" t="e">
        <f>VLOOKUP(BF100,$Y$5:$AJ$104,$BH$2,FALSE)</f>
        <v>#N/A</v>
      </c>
      <c r="BH100" s="6" t="e">
        <f>VLOOKUP(BF100,$Y$5:$AJ$104,$BH$2+3,FALSE)</f>
        <v>#N/A</v>
      </c>
      <c r="BI100" s="58" t="e">
        <f>VLOOKUP(BG100,$Y$5:$AJ$104,$BH$2+9,FALSE)</f>
        <v>#N/A</v>
      </c>
      <c r="BK100" s="4">
        <v>96</v>
      </c>
      <c r="BL100" s="2" t="e">
        <f>VLOOKUP(BK100,$AA$5:$AJ$104,$BM$2,FALSE)</f>
        <v>#N/A</v>
      </c>
      <c r="BM100" s="6" t="e">
        <f>VLOOKUP(BK100,$AA$5:$AJ$104,$BM$2+1,FALSE)</f>
        <v>#N/A</v>
      </c>
      <c r="BN100" s="58" t="e">
        <f>VLOOKUP(BL100,$AA$5:$AJ$104,$BM$2+8,FALSE)</f>
        <v>#N/A</v>
      </c>
      <c r="BP100" s="2" t="e">
        <f>'Eclectic A'!CD100</f>
        <v>#N/A</v>
      </c>
      <c r="BQ100" s="6" t="e">
        <f>'Eclectic A'!CE100</f>
        <v>#N/A</v>
      </c>
      <c r="BR100" s="103" t="e">
        <f>'Eclectic A'!CF100</f>
        <v>#N/A</v>
      </c>
    </row>
    <row r="101" spans="1:70">
      <c r="A101" s="10" t="str">
        <f>IF(ISBLANK(Players!A99),"",Players!A99)</f>
        <v/>
      </c>
      <c r="B101" s="10" t="str">
        <f>IF(ISBLANK(Players!B99),"",Players!B99)</f>
        <v/>
      </c>
      <c r="C101" s="10" t="str">
        <f>IF(ISBLANK(Players!D99),"",Players!D99)</f>
        <v/>
      </c>
      <c r="D101" s="69" t="str">
        <f>IF(ISNUMBER(C101),MIN((C101*Rules!$N$14/113)+(Rules!$N$13-Rules!$N$12),Rules!$N$37),"-")</f>
        <v>-</v>
      </c>
      <c r="E101" s="69" t="str">
        <f>IF(ISNUMBER(C101),    ROUND( (D101*Rules!$N$11) / 100,0),"-")</f>
        <v>-</v>
      </c>
      <c r="F101" s="36" t="str">
        <f>IF(AND(ISNUMBER(C101),C101&gt;=Rules!$M$10,C101&lt;=Rules!$N$10),"Y","N")</f>
        <v>N</v>
      </c>
      <c r="G101" s="137" t="str">
        <f>'Eclectic A'!M101</f>
        <v>-</v>
      </c>
      <c r="H101" s="137" t="str">
        <f>'Eclectic A'!W101</f>
        <v>-</v>
      </c>
      <c r="I101" s="137" t="str">
        <f>'Eclectic A'!AJ101</f>
        <v>-</v>
      </c>
      <c r="J101" s="137" t="str">
        <f>'Eclectic A'!AT101</f>
        <v>-</v>
      </c>
      <c r="K101" s="108" t="str">
        <f t="shared" si="26"/>
        <v>-</v>
      </c>
      <c r="L101" s="108" t="str">
        <f t="shared" si="27"/>
        <v>-</v>
      </c>
      <c r="M101" s="108" t="str">
        <f t="shared" si="28"/>
        <v>-</v>
      </c>
      <c r="N101" s="108" t="str">
        <f t="shared" si="29"/>
        <v>-</v>
      </c>
      <c r="O101" s="108" t="str">
        <f t="shared" si="30"/>
        <v>-</v>
      </c>
      <c r="P101" s="108" t="str">
        <f t="shared" si="31"/>
        <v>-</v>
      </c>
      <c r="Q101" s="14" t="e">
        <f>RANK($K101,$K$5:$K$104,1)+COUNTIF(K$5:K101,K101)-1</f>
        <v>#VALUE!</v>
      </c>
      <c r="R101" s="14" t="e">
        <f t="shared" si="32"/>
        <v>#VALUE!</v>
      </c>
      <c r="S101" s="14" t="e">
        <f>RANK($L101,$L$5:$L$104,1)+COUNTIF(L$5:L101,L101)-1</f>
        <v>#VALUE!</v>
      </c>
      <c r="T101" s="14" t="e">
        <f t="shared" si="33"/>
        <v>#VALUE!</v>
      </c>
      <c r="U101" s="14" t="e">
        <f>RANK($M101,$M$5:$M$104,1)+COUNTIF(M$5:M101,M101)-1</f>
        <v>#VALUE!</v>
      </c>
      <c r="V101" s="14" t="e">
        <f t="shared" si="34"/>
        <v>#VALUE!</v>
      </c>
      <c r="W101" s="14" t="e">
        <f>RANK($N101,$N$5:$N$104,1)+COUNTIF(N$5:N101,N101)-1</f>
        <v>#VALUE!</v>
      </c>
      <c r="X101" s="14" t="e">
        <f t="shared" si="35"/>
        <v>#VALUE!</v>
      </c>
      <c r="Y101" s="14" t="e">
        <f>RANK($O101,$O$5:$O$104,1)+COUNTIF(O$5:O101,O101)-1</f>
        <v>#VALUE!</v>
      </c>
      <c r="Z101" s="14" t="e">
        <f t="shared" si="36"/>
        <v>#VALUE!</v>
      </c>
      <c r="AA101" s="14" t="e">
        <f>RANK($P101,$P$5:$P$104,1)+COUNTIF(P$5:P101,P101)-1</f>
        <v>#VALUE!</v>
      </c>
      <c r="AB101" s="14" t="e">
        <f t="shared" si="37"/>
        <v>#VALUE!</v>
      </c>
      <c r="AC101" s="1" t="str">
        <f t="shared" si="24"/>
        <v xml:space="preserve"> </v>
      </c>
      <c r="AD101" s="1" t="str">
        <f t="shared" si="25"/>
        <v>-</v>
      </c>
      <c r="AE101" s="35" t="str">
        <f t="shared" si="38"/>
        <v>-</v>
      </c>
      <c r="AF101" s="35" t="str">
        <f t="shared" si="39"/>
        <v>-</v>
      </c>
      <c r="AG101" s="35" t="str">
        <f t="shared" si="40"/>
        <v>-</v>
      </c>
      <c r="AH101" s="35" t="str">
        <f t="shared" si="41"/>
        <v>-</v>
      </c>
      <c r="AI101" s="35" t="str">
        <f t="shared" si="42"/>
        <v>-</v>
      </c>
      <c r="AJ101" s="35" t="str">
        <f t="shared" si="43"/>
        <v>-</v>
      </c>
      <c r="AL101" s="4">
        <v>97</v>
      </c>
      <c r="AM101" s="2" t="e">
        <f>VLOOKUP(AL101,Q$5:$AJ$104,$AN$2,FALSE)</f>
        <v>#N/A</v>
      </c>
      <c r="AN101" s="6" t="e">
        <f>VLOOKUP(AL101,Q$5:$AJ$104,$AN$2+11,FALSE)</f>
        <v>#N/A</v>
      </c>
      <c r="AO101" s="2" t="e">
        <f t="shared" si="44"/>
        <v>#N/A</v>
      </c>
      <c r="AQ101" s="4">
        <v>97</v>
      </c>
      <c r="AR101" s="2" t="e">
        <f>VLOOKUP(AQ101,$S$5:$AJ$104,$AS$2,FALSE)</f>
        <v>#N/A</v>
      </c>
      <c r="AS101" s="6" t="e">
        <f>VLOOKUP(AQ101,$S$5:$AJ$104,$AS$2+9,FALSE)</f>
        <v>#N/A</v>
      </c>
      <c r="AT101" s="2" t="e">
        <f>VLOOKUP(AR101,$S$5:$AJ$104,$AS$2+12,FALSE)</f>
        <v>#N/A</v>
      </c>
      <c r="AV101" s="4">
        <v>97</v>
      </c>
      <c r="AW101" s="2" t="e">
        <f>VLOOKUP(AV101,$U$5:$AJ$104,$AX$2,FALSE)</f>
        <v>#N/A</v>
      </c>
      <c r="AX101" s="6" t="e">
        <f>VLOOKUP(AV101,$U$5:$AJ$104,$AX$2+7,FALSE)</f>
        <v>#N/A</v>
      </c>
      <c r="AY101" s="2" t="e">
        <f>VLOOKUP(AW101,$U$5:$AJ$104,$AX$2+11,FALSE)</f>
        <v>#N/A</v>
      </c>
      <c r="BA101" s="4">
        <v>97</v>
      </c>
      <c r="BB101" s="2" t="e">
        <f>VLOOKUP(BA101,$W$5:$AJ$104,$BC$2,FALSE)</f>
        <v>#N/A</v>
      </c>
      <c r="BC101" s="6" t="e">
        <f>VLOOKUP(BA101,$W$5:$AJ$104,$BC$2+5,FALSE)</f>
        <v>#N/A</v>
      </c>
      <c r="BD101" s="2" t="e">
        <f>VLOOKUP(BB101,$W$5:$AJ$104,$BC$2+10,FALSE)</f>
        <v>#N/A</v>
      </c>
      <c r="BF101" s="4">
        <v>97</v>
      </c>
      <c r="BG101" s="2" t="e">
        <f>VLOOKUP(BF101,$Y$5:$AJ$104,$BH$2,FALSE)</f>
        <v>#N/A</v>
      </c>
      <c r="BH101" s="6" t="e">
        <f>VLOOKUP(BF101,$Y$5:$AJ$104,$BH$2+3,FALSE)</f>
        <v>#N/A</v>
      </c>
      <c r="BI101" s="58" t="e">
        <f>VLOOKUP(BG101,$Y$5:$AJ$104,$BH$2+9,FALSE)</f>
        <v>#N/A</v>
      </c>
      <c r="BK101" s="4">
        <v>97</v>
      </c>
      <c r="BL101" s="2" t="e">
        <f>VLOOKUP(BK101,$AA$5:$AJ$104,$BM$2,FALSE)</f>
        <v>#N/A</v>
      </c>
      <c r="BM101" s="6" t="e">
        <f>VLOOKUP(BK101,$AA$5:$AJ$104,$BM$2+1,FALSE)</f>
        <v>#N/A</v>
      </c>
      <c r="BN101" s="58" t="e">
        <f>VLOOKUP(BL101,$AA$5:$AJ$104,$BM$2+8,FALSE)</f>
        <v>#N/A</v>
      </c>
      <c r="BP101" s="2" t="e">
        <f>'Eclectic A'!CD101</f>
        <v>#N/A</v>
      </c>
      <c r="BQ101" s="6" t="e">
        <f>'Eclectic A'!CE101</f>
        <v>#N/A</v>
      </c>
      <c r="BR101" s="103" t="e">
        <f>'Eclectic A'!CF101</f>
        <v>#N/A</v>
      </c>
    </row>
    <row r="102" spans="1:70">
      <c r="A102" s="10" t="str">
        <f>IF(ISBLANK(Players!A100),"",Players!A100)</f>
        <v/>
      </c>
      <c r="B102" s="10" t="str">
        <f>IF(ISBLANK(Players!B100),"",Players!B100)</f>
        <v/>
      </c>
      <c r="C102" s="10" t="str">
        <f>IF(ISBLANK(Players!D100),"",Players!D100)</f>
        <v/>
      </c>
      <c r="D102" s="69" t="str">
        <f>IF(ISNUMBER(C102),MIN((C102*Rules!$N$14/113)+(Rules!$N$13-Rules!$N$12),Rules!$N$37),"-")</f>
        <v>-</v>
      </c>
      <c r="E102" s="69" t="str">
        <f>IF(ISNUMBER(C102),    ROUND( (D102*Rules!$N$11) / 100,0),"-")</f>
        <v>-</v>
      </c>
      <c r="F102" s="36" t="str">
        <f>IF(AND(ISNUMBER(C102),C102&gt;=Rules!$M$10,C102&lt;=Rules!$N$10),"Y","N")</f>
        <v>N</v>
      </c>
      <c r="G102" s="137" t="str">
        <f>'Eclectic A'!M102</f>
        <v>-</v>
      </c>
      <c r="H102" s="137" t="str">
        <f>'Eclectic A'!W102</f>
        <v>-</v>
      </c>
      <c r="I102" s="137" t="str">
        <f>'Eclectic A'!AJ102</f>
        <v>-</v>
      </c>
      <c r="J102" s="137" t="str">
        <f>'Eclectic A'!AT102</f>
        <v>-</v>
      </c>
      <c r="K102" s="108" t="str">
        <f t="shared" si="26"/>
        <v>-</v>
      </c>
      <c r="L102" s="108" t="str">
        <f t="shared" si="27"/>
        <v>-</v>
      </c>
      <c r="M102" s="108" t="str">
        <f t="shared" si="28"/>
        <v>-</v>
      </c>
      <c r="N102" s="108" t="str">
        <f t="shared" si="29"/>
        <v>-</v>
      </c>
      <c r="O102" s="108" t="str">
        <f t="shared" si="30"/>
        <v>-</v>
      </c>
      <c r="P102" s="108" t="str">
        <f t="shared" si="31"/>
        <v>-</v>
      </c>
      <c r="Q102" s="14" t="e">
        <f>RANK($K102,$K$5:$K$104,1)+COUNTIF(K$5:K102,K102)-1</f>
        <v>#VALUE!</v>
      </c>
      <c r="R102" s="14" t="e">
        <f t="shared" si="32"/>
        <v>#VALUE!</v>
      </c>
      <c r="S102" s="14" t="e">
        <f>RANK($L102,$L$5:$L$104,1)+COUNTIF(L$5:L102,L102)-1</f>
        <v>#VALUE!</v>
      </c>
      <c r="T102" s="14" t="e">
        <f t="shared" si="33"/>
        <v>#VALUE!</v>
      </c>
      <c r="U102" s="14" t="e">
        <f>RANK($M102,$M$5:$M$104,1)+COUNTIF(M$5:M102,M102)-1</f>
        <v>#VALUE!</v>
      </c>
      <c r="V102" s="14" t="e">
        <f t="shared" si="34"/>
        <v>#VALUE!</v>
      </c>
      <c r="W102" s="14" t="e">
        <f>RANK($N102,$N$5:$N$104,1)+COUNTIF(N$5:N102,N102)-1</f>
        <v>#VALUE!</v>
      </c>
      <c r="X102" s="14" t="e">
        <f t="shared" si="35"/>
        <v>#VALUE!</v>
      </c>
      <c r="Y102" s="14" t="e">
        <f>RANK($O102,$O$5:$O$104,1)+COUNTIF(O$5:O102,O102)-1</f>
        <v>#VALUE!</v>
      </c>
      <c r="Z102" s="14" t="e">
        <f t="shared" si="36"/>
        <v>#VALUE!</v>
      </c>
      <c r="AA102" s="14" t="e">
        <f>RANK($P102,$P$5:$P$104,1)+COUNTIF(P$5:P102,P102)-1</f>
        <v>#VALUE!</v>
      </c>
      <c r="AB102" s="14" t="e">
        <f t="shared" si="37"/>
        <v>#VALUE!</v>
      </c>
      <c r="AC102" s="1" t="str">
        <f t="shared" si="24"/>
        <v xml:space="preserve"> </v>
      </c>
      <c r="AD102" s="1" t="str">
        <f t="shared" si="25"/>
        <v>-</v>
      </c>
      <c r="AE102" s="35" t="str">
        <f t="shared" si="38"/>
        <v>-</v>
      </c>
      <c r="AF102" s="35" t="str">
        <f t="shared" si="39"/>
        <v>-</v>
      </c>
      <c r="AG102" s="35" t="str">
        <f t="shared" si="40"/>
        <v>-</v>
      </c>
      <c r="AH102" s="35" t="str">
        <f t="shared" si="41"/>
        <v>-</v>
      </c>
      <c r="AI102" s="35" t="str">
        <f t="shared" si="42"/>
        <v>-</v>
      </c>
      <c r="AJ102" s="35" t="str">
        <f t="shared" si="43"/>
        <v>-</v>
      </c>
      <c r="AL102" s="4">
        <v>98</v>
      </c>
      <c r="AM102" s="2" t="e">
        <f>VLOOKUP(AL102,Q$5:$AJ$104,$AN$2,FALSE)</f>
        <v>#N/A</v>
      </c>
      <c r="AN102" s="6" t="e">
        <f>VLOOKUP(AL102,Q$5:$AJ$104,$AN$2+11,FALSE)</f>
        <v>#N/A</v>
      </c>
      <c r="AO102" s="2" t="e">
        <f t="shared" si="44"/>
        <v>#N/A</v>
      </c>
      <c r="AQ102" s="4">
        <v>98</v>
      </c>
      <c r="AR102" s="2" t="e">
        <f>VLOOKUP(AQ102,$S$5:$AJ$104,$AS$2,FALSE)</f>
        <v>#N/A</v>
      </c>
      <c r="AS102" s="6" t="e">
        <f>VLOOKUP(AQ102,$S$5:$AJ$104,$AS$2+9,FALSE)</f>
        <v>#N/A</v>
      </c>
      <c r="AT102" s="2" t="e">
        <f>VLOOKUP(AR102,$S$5:$AJ$104,$AS$2+12,FALSE)</f>
        <v>#N/A</v>
      </c>
      <c r="AV102" s="4">
        <v>98</v>
      </c>
      <c r="AW102" s="2" t="e">
        <f>VLOOKUP(AV102,$U$5:$AJ$104,$AX$2,FALSE)</f>
        <v>#N/A</v>
      </c>
      <c r="AX102" s="6" t="e">
        <f>VLOOKUP(AV102,$U$5:$AJ$104,$AX$2+7,FALSE)</f>
        <v>#N/A</v>
      </c>
      <c r="AY102" s="2" t="e">
        <f>VLOOKUP(AW102,$U$5:$AJ$104,$AX$2+11,FALSE)</f>
        <v>#N/A</v>
      </c>
      <c r="BA102" s="4">
        <v>98</v>
      </c>
      <c r="BB102" s="2" t="e">
        <f>VLOOKUP(BA102,$W$5:$AJ$104,$BC$2,FALSE)</f>
        <v>#N/A</v>
      </c>
      <c r="BC102" s="6" t="e">
        <f>VLOOKUP(BA102,$W$5:$AJ$104,$BC$2+5,FALSE)</f>
        <v>#N/A</v>
      </c>
      <c r="BD102" s="2" t="e">
        <f>VLOOKUP(BB102,$W$5:$AJ$104,$BC$2+10,FALSE)</f>
        <v>#N/A</v>
      </c>
      <c r="BF102" s="4">
        <v>98</v>
      </c>
      <c r="BG102" s="2" t="e">
        <f>VLOOKUP(BF102,$Y$5:$AJ$104,$BH$2,FALSE)</f>
        <v>#N/A</v>
      </c>
      <c r="BH102" s="6" t="e">
        <f>VLOOKUP(BF102,$Y$5:$AJ$104,$BH$2+3,FALSE)</f>
        <v>#N/A</v>
      </c>
      <c r="BI102" s="58" t="e">
        <f>VLOOKUP(BG102,$Y$5:$AJ$104,$BH$2+9,FALSE)</f>
        <v>#N/A</v>
      </c>
      <c r="BK102" s="4">
        <v>98</v>
      </c>
      <c r="BL102" s="2" t="e">
        <f>VLOOKUP(BK102,$AA$5:$AJ$104,$BM$2,FALSE)</f>
        <v>#N/A</v>
      </c>
      <c r="BM102" s="6" t="e">
        <f>VLOOKUP(BK102,$AA$5:$AJ$104,$BM$2+1,FALSE)</f>
        <v>#N/A</v>
      </c>
      <c r="BN102" s="58" t="e">
        <f>VLOOKUP(BL102,$AA$5:$AJ$104,$BM$2+8,FALSE)</f>
        <v>#N/A</v>
      </c>
      <c r="BP102" s="2" t="e">
        <f>'Eclectic A'!CD102</f>
        <v>#N/A</v>
      </c>
      <c r="BQ102" s="6" t="e">
        <f>'Eclectic A'!CE102</f>
        <v>#N/A</v>
      </c>
      <c r="BR102" s="103" t="e">
        <f>'Eclectic A'!CF102</f>
        <v>#N/A</v>
      </c>
    </row>
    <row r="103" spans="1:70">
      <c r="A103" s="10" t="str">
        <f>IF(ISBLANK(Players!A101),"",Players!A101)</f>
        <v/>
      </c>
      <c r="B103" s="10" t="str">
        <f>IF(ISBLANK(Players!B101),"",Players!B101)</f>
        <v/>
      </c>
      <c r="C103" s="10" t="str">
        <f>IF(ISBLANK(Players!D101),"",Players!D101)</f>
        <v/>
      </c>
      <c r="D103" s="69" t="str">
        <f>IF(ISNUMBER(C103),MIN((C103*Rules!$N$14/113)+(Rules!$N$13-Rules!$N$12),Rules!$N$37),"-")</f>
        <v>-</v>
      </c>
      <c r="E103" s="69" t="str">
        <f>IF(ISNUMBER(C103),    ROUND( (D103*Rules!$N$11) / 100,0),"-")</f>
        <v>-</v>
      </c>
      <c r="F103" s="36" t="str">
        <f>IF(AND(ISNUMBER(C103),C103&gt;=Rules!$M$10,C103&lt;=Rules!$N$10),"Y","N")</f>
        <v>N</v>
      </c>
      <c r="G103" s="137" t="str">
        <f>'Eclectic A'!M103</f>
        <v>-</v>
      </c>
      <c r="H103" s="137" t="str">
        <f>'Eclectic A'!W103</f>
        <v>-</v>
      </c>
      <c r="I103" s="137" t="str">
        <f>'Eclectic A'!AJ103</f>
        <v>-</v>
      </c>
      <c r="J103" s="137" t="str">
        <f>'Eclectic A'!AT103</f>
        <v>-</v>
      </c>
      <c r="K103" s="108" t="str">
        <f t="shared" si="26"/>
        <v>-</v>
      </c>
      <c r="L103" s="108" t="str">
        <f t="shared" si="27"/>
        <v>-</v>
      </c>
      <c r="M103" s="108" t="str">
        <f t="shared" si="28"/>
        <v>-</v>
      </c>
      <c r="N103" s="108" t="str">
        <f t="shared" si="29"/>
        <v>-</v>
      </c>
      <c r="O103" s="108" t="str">
        <f t="shared" si="30"/>
        <v>-</v>
      </c>
      <c r="P103" s="108" t="str">
        <f t="shared" si="31"/>
        <v>-</v>
      </c>
      <c r="Q103" s="14" t="e">
        <f>RANK($K103,$K$5:$K$104,1)+COUNTIF(K$5:K103,K103)-1</f>
        <v>#VALUE!</v>
      </c>
      <c r="R103" s="14" t="e">
        <f t="shared" si="32"/>
        <v>#VALUE!</v>
      </c>
      <c r="S103" s="14" t="e">
        <f>RANK($L103,$L$5:$L$104,1)+COUNTIF(L$5:L103,L103)-1</f>
        <v>#VALUE!</v>
      </c>
      <c r="T103" s="14" t="e">
        <f t="shared" si="33"/>
        <v>#VALUE!</v>
      </c>
      <c r="U103" s="14" t="e">
        <f>RANK($M103,$M$5:$M$104,1)+COUNTIF(M$5:M103,M103)-1</f>
        <v>#VALUE!</v>
      </c>
      <c r="V103" s="14" t="e">
        <f t="shared" si="34"/>
        <v>#VALUE!</v>
      </c>
      <c r="W103" s="14" t="e">
        <f>RANK($N103,$N$5:$N$104,1)+COUNTIF(N$5:N103,N103)-1</f>
        <v>#VALUE!</v>
      </c>
      <c r="X103" s="14" t="e">
        <f t="shared" si="35"/>
        <v>#VALUE!</v>
      </c>
      <c r="Y103" s="14" t="e">
        <f>RANK($O103,$O$5:$O$104,1)+COUNTIF(O$5:O103,O103)-1</f>
        <v>#VALUE!</v>
      </c>
      <c r="Z103" s="14" t="e">
        <f t="shared" si="36"/>
        <v>#VALUE!</v>
      </c>
      <c r="AA103" s="14" t="e">
        <f>RANK($P103,$P$5:$P$104,1)+COUNTIF(P$5:P103,P103)-1</f>
        <v>#VALUE!</v>
      </c>
      <c r="AB103" s="14" t="e">
        <f t="shared" si="37"/>
        <v>#VALUE!</v>
      </c>
      <c r="AC103" s="1" t="str">
        <f t="shared" si="24"/>
        <v xml:space="preserve"> </v>
      </c>
      <c r="AD103" s="1" t="str">
        <f t="shared" si="25"/>
        <v>-</v>
      </c>
      <c r="AE103" s="35" t="str">
        <f t="shared" si="38"/>
        <v>-</v>
      </c>
      <c r="AF103" s="35" t="str">
        <f t="shared" si="39"/>
        <v>-</v>
      </c>
      <c r="AG103" s="35" t="str">
        <f t="shared" si="40"/>
        <v>-</v>
      </c>
      <c r="AH103" s="35" t="str">
        <f t="shared" si="41"/>
        <v>-</v>
      </c>
      <c r="AI103" s="35" t="str">
        <f t="shared" si="42"/>
        <v>-</v>
      </c>
      <c r="AJ103" s="35" t="str">
        <f t="shared" si="43"/>
        <v>-</v>
      </c>
      <c r="AL103" s="4">
        <v>99</v>
      </c>
      <c r="AM103" s="2" t="e">
        <f>VLOOKUP(AL103,Q$5:$AJ$104,$AN$2,FALSE)</f>
        <v>#N/A</v>
      </c>
      <c r="AN103" s="6" t="e">
        <f>VLOOKUP(AL103,Q$5:$AJ$104,$AN$2+11,FALSE)</f>
        <v>#N/A</v>
      </c>
      <c r="AO103" s="2" t="e">
        <f t="shared" si="44"/>
        <v>#N/A</v>
      </c>
      <c r="AQ103" s="4">
        <v>99</v>
      </c>
      <c r="AR103" s="2" t="e">
        <f>VLOOKUP(AQ103,$S$5:$AJ$104,$AS$2,FALSE)</f>
        <v>#N/A</v>
      </c>
      <c r="AS103" s="6" t="e">
        <f>VLOOKUP(AQ103,$S$5:$AJ$104,$AS$2+9,FALSE)</f>
        <v>#N/A</v>
      </c>
      <c r="AT103" s="2" t="e">
        <f>VLOOKUP(AR103,$S$5:$AJ$104,$AS$2+12,FALSE)</f>
        <v>#N/A</v>
      </c>
      <c r="AV103" s="4">
        <v>99</v>
      </c>
      <c r="AW103" s="2" t="e">
        <f>VLOOKUP(AV103,$U$5:$AJ$104,$AX$2,FALSE)</f>
        <v>#N/A</v>
      </c>
      <c r="AX103" s="6" t="e">
        <f>VLOOKUP(AV103,$U$5:$AJ$104,$AX$2+7,FALSE)</f>
        <v>#N/A</v>
      </c>
      <c r="AY103" s="2" t="e">
        <f>VLOOKUP(AW103,$U$5:$AJ$104,$AX$2+11,FALSE)</f>
        <v>#N/A</v>
      </c>
      <c r="BA103" s="4">
        <v>99</v>
      </c>
      <c r="BB103" s="2" t="e">
        <f>VLOOKUP(BA103,$W$5:$AJ$104,$BC$2,FALSE)</f>
        <v>#N/A</v>
      </c>
      <c r="BC103" s="6" t="e">
        <f>VLOOKUP(BA103,$W$5:$AJ$104,$BC$2+5,FALSE)</f>
        <v>#N/A</v>
      </c>
      <c r="BD103" s="2" t="e">
        <f>VLOOKUP(BB103,$W$5:$AJ$104,$BC$2+10,FALSE)</f>
        <v>#N/A</v>
      </c>
      <c r="BF103" s="4">
        <v>99</v>
      </c>
      <c r="BG103" s="2" t="e">
        <f>VLOOKUP(BF103,$Y$5:$AJ$104,$BH$2,FALSE)</f>
        <v>#N/A</v>
      </c>
      <c r="BH103" s="6"/>
      <c r="BI103" s="58"/>
      <c r="BK103" s="4">
        <v>99</v>
      </c>
      <c r="BL103" s="2" t="e">
        <f>VLOOKUP(BK103,$AA$5:$AJ$104,$BM$2,FALSE)</f>
        <v>#N/A</v>
      </c>
      <c r="BM103" s="6" t="e">
        <f>VLOOKUP(BK103,$AA$5:$AJ$104,$BM$2+1,FALSE)</f>
        <v>#N/A</v>
      </c>
      <c r="BN103" s="58" t="e">
        <f>VLOOKUP(BL103,$AA$5:$AJ$104,$BM$2+8,FALSE)</f>
        <v>#N/A</v>
      </c>
      <c r="BP103" s="2" t="e">
        <f>'Eclectic A'!CD103</f>
        <v>#N/A</v>
      </c>
      <c r="BQ103" s="6" t="e">
        <f>'Eclectic A'!CE103</f>
        <v>#N/A</v>
      </c>
      <c r="BR103" s="103" t="e">
        <f>'Eclectic A'!CF103</f>
        <v>#N/A</v>
      </c>
    </row>
    <row r="104" spans="1:70">
      <c r="A104" s="10" t="str">
        <f>IF(ISBLANK(Players!A102),"",Players!A102)</f>
        <v/>
      </c>
      <c r="B104" s="10" t="str">
        <f>IF(ISBLANK(Players!B102),"",Players!B102)</f>
        <v/>
      </c>
      <c r="C104" s="10" t="str">
        <f>IF(ISBLANK(Players!D102),"",Players!D102)</f>
        <v/>
      </c>
      <c r="D104" s="69" t="str">
        <f>IF(ISNUMBER(C104),MIN((C104*Rules!$N$14/113)+(Rules!$N$13-Rules!$N$12),Rules!$N$37),"-")</f>
        <v>-</v>
      </c>
      <c r="E104" s="69" t="str">
        <f>IF(ISNUMBER(C104),    ROUND( (D104*Rules!$N$11) / 100,0),"-")</f>
        <v>-</v>
      </c>
      <c r="F104" s="36" t="str">
        <f>IF(AND(ISNUMBER(C104),C104&gt;=Rules!$M$10,C104&lt;=Rules!$N$10),"Y","N")</f>
        <v>N</v>
      </c>
      <c r="G104" s="137" t="str">
        <f>'Eclectic A'!M104</f>
        <v>-</v>
      </c>
      <c r="H104" s="137" t="str">
        <f>'Eclectic A'!W104</f>
        <v>-</v>
      </c>
      <c r="I104" s="137" t="str">
        <f>'Eclectic A'!AJ104</f>
        <v>-</v>
      </c>
      <c r="J104" s="137" t="str">
        <f>'Eclectic A'!AT104</f>
        <v>-</v>
      </c>
      <c r="K104" s="108" t="str">
        <f t="shared" si="26"/>
        <v>-</v>
      </c>
      <c r="L104" s="108" t="str">
        <f t="shared" si="27"/>
        <v>-</v>
      </c>
      <c r="M104" s="108" t="str">
        <f t="shared" si="28"/>
        <v>-</v>
      </c>
      <c r="N104" s="108" t="str">
        <f t="shared" si="29"/>
        <v>-</v>
      </c>
      <c r="O104" s="108" t="str">
        <f t="shared" si="30"/>
        <v>-</v>
      </c>
      <c r="P104" s="108" t="str">
        <f t="shared" si="31"/>
        <v>-</v>
      </c>
      <c r="Q104" s="14" t="e">
        <f>RANK($K104,$K$5:$K$104,1)+COUNTIF(K$5:K104,K104)-1</f>
        <v>#VALUE!</v>
      </c>
      <c r="R104" s="14" t="e">
        <f t="shared" si="32"/>
        <v>#VALUE!</v>
      </c>
      <c r="S104" s="14" t="e">
        <f>RANK($L104,$L$5:$L$104,1)+COUNTIF(L$5:L104,L104)-1</f>
        <v>#VALUE!</v>
      </c>
      <c r="T104" s="14" t="e">
        <f t="shared" si="33"/>
        <v>#VALUE!</v>
      </c>
      <c r="U104" s="14" t="e">
        <f>RANK($M104,$M$5:$M$104,1)+COUNTIF(M$5:M104,M104)-1</f>
        <v>#VALUE!</v>
      </c>
      <c r="V104" s="14" t="e">
        <f t="shared" si="34"/>
        <v>#VALUE!</v>
      </c>
      <c r="W104" s="14" t="e">
        <f>RANK($N104,$N$5:$N$104,1)+COUNTIF(N$5:N104,N104)-1</f>
        <v>#VALUE!</v>
      </c>
      <c r="X104" s="14" t="e">
        <f t="shared" si="35"/>
        <v>#VALUE!</v>
      </c>
      <c r="Y104" s="14" t="e">
        <f>RANK($O104,$O$5:$O$104,1)+COUNTIF(O$5:O104,O104)-1</f>
        <v>#VALUE!</v>
      </c>
      <c r="Z104" s="14" t="e">
        <f t="shared" si="36"/>
        <v>#VALUE!</v>
      </c>
      <c r="AA104" s="14" t="e">
        <f>RANK($P104,$P$5:$P$104,1)+COUNTIF(P$5:P104,P104)-1</f>
        <v>#VALUE!</v>
      </c>
      <c r="AB104" s="14" t="e">
        <f t="shared" si="37"/>
        <v>#VALUE!</v>
      </c>
      <c r="AC104" s="1" t="str">
        <f t="shared" si="24"/>
        <v xml:space="preserve"> </v>
      </c>
      <c r="AD104" s="1" t="str">
        <f t="shared" si="25"/>
        <v>-</v>
      </c>
      <c r="AE104" s="35" t="str">
        <f t="shared" si="38"/>
        <v>-</v>
      </c>
      <c r="AF104" s="35" t="str">
        <f t="shared" si="39"/>
        <v>-</v>
      </c>
      <c r="AG104" s="35" t="str">
        <f t="shared" si="40"/>
        <v>-</v>
      </c>
      <c r="AH104" s="35" t="str">
        <f t="shared" si="41"/>
        <v>-</v>
      </c>
      <c r="AI104" s="35" t="str">
        <f t="shared" si="42"/>
        <v>-</v>
      </c>
      <c r="AJ104" s="35" t="str">
        <f t="shared" si="43"/>
        <v>-</v>
      </c>
      <c r="AL104" s="4">
        <v>100</v>
      </c>
      <c r="AM104" s="2" t="e">
        <f>VLOOKUP(AL104,Q$5:$AJ$104,$AN$2,FALSE)</f>
        <v>#N/A</v>
      </c>
      <c r="AN104" s="6" t="e">
        <f>VLOOKUP(AL104,Q$5:$AJ$104,$AN$2+11,FALSE)</f>
        <v>#N/A</v>
      </c>
      <c r="AO104" s="2" t="e">
        <f t="shared" si="44"/>
        <v>#N/A</v>
      </c>
      <c r="AQ104" s="4">
        <v>100</v>
      </c>
      <c r="AR104" s="2" t="e">
        <f>VLOOKUP(AQ104,$S$5:$AJ$104,$AS$2,FALSE)</f>
        <v>#N/A</v>
      </c>
      <c r="AS104" s="6" t="e">
        <f>VLOOKUP(AQ104,$S$5:$AJ$104,$AS$2+9,FALSE)</f>
        <v>#N/A</v>
      </c>
      <c r="AT104" s="2" t="e">
        <f>VLOOKUP(AR104,$S$5:$AJ$104,$AS$2+12,FALSE)</f>
        <v>#N/A</v>
      </c>
      <c r="AV104" s="4">
        <v>100</v>
      </c>
      <c r="AW104" s="2" t="e">
        <f>VLOOKUP(AV104,$U$5:$AJ$104,$AX$2,FALSE)</f>
        <v>#N/A</v>
      </c>
      <c r="AX104" s="6" t="e">
        <f>VLOOKUP(AV104,$U$5:$AJ$104,$AX$2+7,FALSE)</f>
        <v>#N/A</v>
      </c>
      <c r="AY104" s="2" t="e">
        <f>VLOOKUP(AW104,$U$5:$AJ$104,$AX$2+11,FALSE)</f>
        <v>#N/A</v>
      </c>
      <c r="BA104" s="4">
        <v>100</v>
      </c>
      <c r="BB104" s="2" t="e">
        <f>VLOOKUP(BA104,$W$5:$AJ$104,$BC$2,FALSE)</f>
        <v>#N/A</v>
      </c>
      <c r="BC104" s="6" t="e">
        <f>VLOOKUP(BA104,$W$5:$AJ$104,$BC$2+5,FALSE)</f>
        <v>#N/A</v>
      </c>
      <c r="BD104" s="2" t="e">
        <f>VLOOKUP(BB104,$W$5:$AJ$104,$BC$2+10,FALSE)</f>
        <v>#N/A</v>
      </c>
      <c r="BF104" s="8">
        <v>100</v>
      </c>
      <c r="BG104" s="2" t="e">
        <f>VLOOKUP(BF104,$Y$5:$AJ$104,$BH$2,FALSE)</f>
        <v>#N/A</v>
      </c>
      <c r="BH104" s="6"/>
      <c r="BI104" s="122"/>
      <c r="BK104" s="4">
        <v>100</v>
      </c>
      <c r="BL104" s="2" t="e">
        <f>VLOOKUP(BK104,$AA$5:$AJ$104,$BM$2,FALSE)</f>
        <v>#N/A</v>
      </c>
      <c r="BM104" s="6" t="e">
        <f>VLOOKUP(BK104,$AA$5:$AJ$104,$BM$2+1,FALSE)</f>
        <v>#N/A</v>
      </c>
      <c r="BN104" s="58" t="e">
        <f>VLOOKUP(BL104,$AA$5:$AJ$104,$BM$2+8,FALSE)</f>
        <v>#N/A</v>
      </c>
      <c r="BP104" s="2" t="e">
        <f>'Eclectic A'!CD104</f>
        <v>#N/A</v>
      </c>
      <c r="BQ104" s="6" t="e">
        <f>'Eclectic A'!CE104</f>
        <v>#N/A</v>
      </c>
      <c r="BR104" s="103" t="e">
        <f>'Eclectic A'!CF104</f>
        <v>#N/A</v>
      </c>
    </row>
    <row r="105" spans="1:70" ht="15" customHeight="1">
      <c r="BP105" s="79"/>
      <c r="BQ105" s="80"/>
      <c r="BR105" s="104"/>
    </row>
    <row r="106" spans="1:70" ht="15" customHeight="1">
      <c r="BP106" s="79"/>
      <c r="BQ106" s="80"/>
      <c r="BR106" s="104"/>
    </row>
    <row r="107" spans="1:70" ht="15" customHeight="1">
      <c r="BP107" s="79"/>
      <c r="BQ107" s="80"/>
      <c r="BR107" s="104"/>
    </row>
    <row r="108" spans="1:70" ht="15" customHeight="1">
      <c r="BP108" s="79"/>
      <c r="BQ108" s="80"/>
      <c r="BR108" s="104"/>
    </row>
    <row r="109" spans="1:70" ht="15" customHeight="1">
      <c r="BP109" s="79"/>
      <c r="BQ109" s="80"/>
      <c r="BR109" s="104"/>
    </row>
    <row r="110" spans="1:70" ht="15" customHeight="1">
      <c r="BP110" s="79"/>
      <c r="BQ110" s="80"/>
      <c r="BR110" s="104"/>
    </row>
    <row r="111" spans="1:70" ht="15" customHeight="1">
      <c r="BP111" s="79"/>
      <c r="BQ111" s="80"/>
      <c r="BR111" s="104"/>
    </row>
    <row r="112" spans="1:70" ht="15" customHeight="1">
      <c r="BP112" s="79"/>
      <c r="BQ112" s="80"/>
      <c r="BR112" s="104"/>
    </row>
    <row r="113" spans="68:70" ht="15" customHeight="1">
      <c r="BP113" s="79"/>
      <c r="BQ113" s="80"/>
      <c r="BR113" s="104"/>
    </row>
    <row r="114" spans="68:70" ht="15" customHeight="1">
      <c r="BP114" s="79"/>
      <c r="BQ114" s="80"/>
      <c r="BR114" s="104"/>
    </row>
    <row r="115" spans="68:70" ht="15" customHeight="1">
      <c r="BP115" s="79"/>
      <c r="BQ115" s="80"/>
      <c r="BR115" s="104"/>
    </row>
    <row r="116" spans="68:70" ht="15" customHeight="1">
      <c r="BP116" s="79"/>
      <c r="BQ116" s="80"/>
      <c r="BR116" s="104"/>
    </row>
    <row r="117" spans="68:70" ht="15" customHeight="1">
      <c r="BP117" s="79"/>
      <c r="BQ117" s="80"/>
      <c r="BR117" s="104"/>
    </row>
    <row r="118" spans="68:70" ht="15" customHeight="1">
      <c r="BP118" s="79"/>
      <c r="BQ118" s="80"/>
      <c r="BR118" s="104"/>
    </row>
    <row r="119" spans="68:70" ht="15" customHeight="1">
      <c r="BP119" s="79"/>
      <c r="BQ119" s="80"/>
      <c r="BR119" s="104"/>
    </row>
    <row r="120" spans="68:70" ht="15" customHeight="1">
      <c r="BP120" s="79"/>
      <c r="BQ120" s="80"/>
      <c r="BR120" s="104"/>
    </row>
    <row r="121" spans="68:70" ht="15" customHeight="1">
      <c r="BP121" s="79"/>
      <c r="BQ121" s="80"/>
      <c r="BR121" s="104"/>
    </row>
    <row r="122" spans="68:70" ht="15" customHeight="1">
      <c r="BP122" s="79"/>
      <c r="BQ122" s="80"/>
      <c r="BR122" s="104"/>
    </row>
    <row r="123" spans="68:70" ht="15" customHeight="1">
      <c r="BP123" s="79"/>
      <c r="BQ123" s="80"/>
      <c r="BR123" s="104"/>
    </row>
    <row r="124" spans="68:70" ht="15" customHeight="1">
      <c r="BP124" s="79"/>
      <c r="BQ124" s="80"/>
      <c r="BR124" s="104"/>
    </row>
    <row r="125" spans="68:70" ht="15" customHeight="1">
      <c r="BP125" s="79"/>
      <c r="BQ125" s="80"/>
      <c r="BR125" s="104"/>
    </row>
    <row r="126" spans="68:70" ht="15" customHeight="1">
      <c r="BP126" s="79"/>
      <c r="BQ126" s="80"/>
      <c r="BR126" s="104"/>
    </row>
    <row r="127" spans="68:70" ht="15" customHeight="1">
      <c r="BP127" s="79"/>
      <c r="BQ127" s="80"/>
      <c r="BR127" s="104"/>
    </row>
    <row r="128" spans="68:70" ht="15" customHeight="1">
      <c r="BP128" s="79"/>
      <c r="BQ128" s="80"/>
      <c r="BR128" s="104"/>
    </row>
    <row r="129" spans="68:70" ht="15" customHeight="1">
      <c r="BP129" s="79"/>
      <c r="BQ129" s="80"/>
      <c r="BR129" s="104"/>
    </row>
    <row r="130" spans="68:70" ht="15" customHeight="1">
      <c r="BP130" s="79"/>
      <c r="BQ130" s="80"/>
      <c r="BR130" s="104"/>
    </row>
    <row r="131" spans="68:70" ht="15" customHeight="1">
      <c r="BP131" s="79"/>
      <c r="BQ131" s="80"/>
      <c r="BR131" s="104"/>
    </row>
    <row r="132" spans="68:70" ht="15" customHeight="1">
      <c r="BP132" s="79"/>
      <c r="BQ132" s="80"/>
      <c r="BR132" s="104"/>
    </row>
    <row r="133" spans="68:70" ht="15" customHeight="1">
      <c r="BP133" s="79"/>
      <c r="BQ133" s="80"/>
      <c r="BR133" s="104"/>
    </row>
    <row r="134" spans="68:70" ht="15" customHeight="1">
      <c r="BP134" s="79"/>
      <c r="BQ134" s="80"/>
      <c r="BR134" s="104"/>
    </row>
    <row r="135" spans="68:70" ht="15" customHeight="1">
      <c r="BP135" s="79"/>
      <c r="BQ135" s="80"/>
      <c r="BR135" s="104"/>
    </row>
    <row r="136" spans="68:70" ht="15" customHeight="1">
      <c r="BP136" s="79"/>
      <c r="BQ136" s="80"/>
      <c r="BR136" s="104"/>
    </row>
    <row r="137" spans="68:70" ht="15" customHeight="1">
      <c r="BP137" s="79"/>
      <c r="BQ137" s="80"/>
      <c r="BR137" s="104"/>
    </row>
    <row r="138" spans="68:70" ht="15" customHeight="1">
      <c r="BP138" s="79"/>
      <c r="BQ138" s="80"/>
      <c r="BR138" s="104"/>
    </row>
    <row r="139" spans="68:70" ht="15" customHeight="1">
      <c r="BP139" s="79"/>
      <c r="BQ139" s="80"/>
      <c r="BR139" s="104"/>
    </row>
    <row r="140" spans="68:70" ht="15" customHeight="1">
      <c r="BP140" s="79"/>
      <c r="BQ140" s="80"/>
      <c r="BR140" s="104"/>
    </row>
    <row r="141" spans="68:70" ht="15" customHeight="1">
      <c r="BP141" s="79"/>
      <c r="BQ141" s="80"/>
      <c r="BR141" s="104"/>
    </row>
    <row r="142" spans="68:70" ht="15" customHeight="1">
      <c r="BP142" s="79"/>
      <c r="BQ142" s="80"/>
      <c r="BR142" s="104"/>
    </row>
    <row r="143" spans="68:70" ht="15" customHeight="1">
      <c r="BP143" s="79"/>
      <c r="BQ143" s="80"/>
      <c r="BR143" s="104"/>
    </row>
    <row r="144" spans="68:70" ht="15" customHeight="1">
      <c r="BP144" s="79"/>
      <c r="BQ144" s="80"/>
      <c r="BR144" s="104"/>
    </row>
    <row r="145" spans="68:70" ht="15" customHeight="1">
      <c r="BP145" s="79"/>
      <c r="BQ145" s="80"/>
      <c r="BR145" s="104"/>
    </row>
    <row r="146" spans="68:70" ht="15" customHeight="1">
      <c r="BP146" s="79"/>
      <c r="BQ146" s="80"/>
      <c r="BR146" s="104"/>
    </row>
    <row r="147" spans="68:70" ht="15" customHeight="1">
      <c r="BP147" s="79"/>
      <c r="BQ147" s="80"/>
      <c r="BR147" s="104"/>
    </row>
    <row r="148" spans="68:70" ht="15" customHeight="1">
      <c r="BP148" s="79"/>
      <c r="BQ148" s="80"/>
      <c r="BR148" s="104"/>
    </row>
    <row r="149" spans="68:70" ht="15" customHeight="1">
      <c r="BP149" s="79"/>
      <c r="BQ149" s="80"/>
      <c r="BR149" s="104"/>
    </row>
    <row r="150" spans="68:70" ht="15" customHeight="1">
      <c r="BP150" s="79"/>
      <c r="BQ150" s="80"/>
      <c r="BR150" s="104"/>
    </row>
    <row r="151" spans="68:70" ht="15" customHeight="1">
      <c r="BP151" s="79"/>
      <c r="BQ151" s="80"/>
      <c r="BR151" s="104"/>
    </row>
    <row r="152" spans="68:70" ht="15" customHeight="1">
      <c r="BP152" s="79"/>
      <c r="BQ152" s="80"/>
      <c r="BR152" s="104"/>
    </row>
    <row r="153" spans="68:70" ht="15" customHeight="1">
      <c r="BP153" s="79"/>
      <c r="BQ153" s="80"/>
      <c r="BR153" s="104"/>
    </row>
    <row r="154" spans="68:70" ht="15" customHeight="1">
      <c r="BP154" s="79"/>
      <c r="BQ154" s="80"/>
      <c r="BR154" s="104"/>
    </row>
    <row r="155" spans="68:70" ht="15" customHeight="1">
      <c r="BP155" s="79"/>
      <c r="BQ155" s="80"/>
      <c r="BR155" s="104"/>
    </row>
    <row r="156" spans="68:70" ht="15" customHeight="1">
      <c r="BP156" s="79"/>
      <c r="BQ156" s="80"/>
      <c r="BR156" s="104"/>
    </row>
    <row r="157" spans="68:70" ht="15" customHeight="1">
      <c r="BP157" s="79"/>
      <c r="BQ157" s="80"/>
      <c r="BR157" s="104"/>
    </row>
    <row r="158" spans="68:70" ht="15" customHeight="1">
      <c r="BP158" s="79"/>
      <c r="BQ158" s="80"/>
      <c r="BR158" s="104"/>
    </row>
    <row r="159" spans="68:70" ht="15" customHeight="1">
      <c r="BP159" s="79"/>
      <c r="BQ159" s="80"/>
      <c r="BR159" s="104"/>
    </row>
    <row r="160" spans="68:70" ht="15" customHeight="1">
      <c r="BP160" s="79"/>
      <c r="BQ160" s="80"/>
      <c r="BR160" s="104"/>
    </row>
    <row r="161" spans="68:70" ht="15" customHeight="1">
      <c r="BP161" s="79"/>
      <c r="BQ161" s="80"/>
      <c r="BR161" s="104"/>
    </row>
    <row r="162" spans="68:70" ht="15" customHeight="1">
      <c r="BP162" s="79"/>
      <c r="BQ162" s="80"/>
      <c r="BR162" s="104"/>
    </row>
    <row r="163" spans="68:70" ht="15" customHeight="1">
      <c r="BP163" s="79"/>
      <c r="BQ163" s="80"/>
      <c r="BR163" s="104"/>
    </row>
    <row r="164" spans="68:70" ht="15" customHeight="1">
      <c r="BP164" s="79"/>
      <c r="BQ164" s="80"/>
      <c r="BR164" s="104"/>
    </row>
    <row r="165" spans="68:70" ht="15" customHeight="1">
      <c r="BP165" s="79"/>
      <c r="BQ165" s="80"/>
      <c r="BR165" s="104"/>
    </row>
    <row r="166" spans="68:70" ht="15" customHeight="1">
      <c r="BP166" s="79"/>
      <c r="BQ166" s="80"/>
      <c r="BR166" s="104"/>
    </row>
    <row r="167" spans="68:70" ht="15" customHeight="1">
      <c r="BP167" s="79"/>
      <c r="BQ167" s="80"/>
      <c r="BR167" s="104"/>
    </row>
    <row r="168" spans="68:70" ht="15" customHeight="1">
      <c r="BP168" s="79"/>
      <c r="BQ168" s="80"/>
      <c r="BR168" s="104"/>
    </row>
    <row r="169" spans="68:70" ht="15" customHeight="1">
      <c r="BP169" s="79"/>
      <c r="BQ169" s="80"/>
      <c r="BR169" s="104"/>
    </row>
    <row r="170" spans="68:70" ht="15" customHeight="1">
      <c r="BP170" s="79"/>
      <c r="BQ170" s="80"/>
      <c r="BR170" s="104"/>
    </row>
    <row r="171" spans="68:70" ht="15" customHeight="1">
      <c r="BP171" s="79"/>
      <c r="BQ171" s="80"/>
      <c r="BR171" s="104"/>
    </row>
    <row r="172" spans="68:70" ht="15" customHeight="1">
      <c r="BP172" s="79"/>
      <c r="BQ172" s="80"/>
      <c r="BR172" s="104"/>
    </row>
    <row r="173" spans="68:70" ht="15" customHeight="1">
      <c r="BP173" s="79"/>
      <c r="BQ173" s="80"/>
      <c r="BR173" s="104"/>
    </row>
    <row r="174" spans="68:70" ht="15" customHeight="1">
      <c r="BP174" s="79"/>
      <c r="BQ174" s="80"/>
      <c r="BR174" s="104"/>
    </row>
    <row r="175" spans="68:70" ht="15" customHeight="1">
      <c r="BP175" s="79"/>
      <c r="BQ175" s="80"/>
      <c r="BR175" s="104"/>
    </row>
    <row r="176" spans="68:70" ht="15" customHeight="1">
      <c r="BP176" s="79"/>
      <c r="BQ176" s="80"/>
      <c r="BR176" s="104"/>
    </row>
    <row r="177" spans="68:70" ht="15" customHeight="1">
      <c r="BP177" s="79"/>
      <c r="BQ177" s="80"/>
      <c r="BR177" s="104"/>
    </row>
    <row r="178" spans="68:70" ht="15" customHeight="1">
      <c r="BP178" s="79"/>
      <c r="BQ178" s="80"/>
      <c r="BR178" s="104"/>
    </row>
    <row r="179" spans="68:70" ht="15" customHeight="1">
      <c r="BP179" s="79"/>
      <c r="BQ179" s="80"/>
      <c r="BR179" s="104"/>
    </row>
    <row r="180" spans="68:70" ht="15" customHeight="1">
      <c r="BP180" s="79"/>
      <c r="BQ180" s="80"/>
      <c r="BR180" s="104"/>
    </row>
    <row r="181" spans="68:70" ht="15" customHeight="1">
      <c r="BP181" s="79"/>
      <c r="BQ181" s="80"/>
      <c r="BR181" s="104"/>
    </row>
    <row r="182" spans="68:70" ht="15" customHeight="1">
      <c r="BP182" s="79"/>
      <c r="BQ182" s="80"/>
      <c r="BR182" s="104"/>
    </row>
    <row r="183" spans="68:70" ht="15" customHeight="1">
      <c r="BP183" s="79"/>
      <c r="BQ183" s="80"/>
      <c r="BR183" s="104"/>
    </row>
    <row r="184" spans="68:70" ht="15" customHeight="1">
      <c r="BP184" s="79"/>
      <c r="BQ184" s="80"/>
      <c r="BR184" s="104"/>
    </row>
    <row r="185" spans="68:70" ht="15" customHeight="1">
      <c r="BP185" s="79"/>
      <c r="BQ185" s="80"/>
      <c r="BR185" s="104"/>
    </row>
    <row r="186" spans="68:70" ht="15" customHeight="1">
      <c r="BP186" s="79"/>
      <c r="BQ186" s="80"/>
      <c r="BR186" s="104"/>
    </row>
    <row r="187" spans="68:70" ht="15" customHeight="1">
      <c r="BP187" s="79"/>
      <c r="BQ187" s="80"/>
      <c r="BR187" s="104"/>
    </row>
    <row r="188" spans="68:70" ht="15" customHeight="1">
      <c r="BP188" s="79"/>
      <c r="BQ188" s="80"/>
      <c r="BR188" s="104"/>
    </row>
    <row r="189" spans="68:70" ht="15" customHeight="1">
      <c r="BP189" s="79"/>
      <c r="BQ189" s="80"/>
      <c r="BR189" s="104"/>
    </row>
    <row r="190" spans="68:70" ht="15" customHeight="1">
      <c r="BP190" s="79"/>
      <c r="BQ190" s="80"/>
      <c r="BR190" s="104"/>
    </row>
    <row r="191" spans="68:70" ht="15" customHeight="1">
      <c r="BP191" s="79"/>
      <c r="BQ191" s="80"/>
      <c r="BR191" s="104"/>
    </row>
    <row r="192" spans="68:70" ht="15" customHeight="1">
      <c r="BP192" s="79"/>
      <c r="BQ192" s="80"/>
      <c r="BR192" s="104"/>
    </row>
    <row r="193" spans="68:70" ht="15" customHeight="1">
      <c r="BP193" s="79"/>
      <c r="BQ193" s="80"/>
      <c r="BR193" s="104"/>
    </row>
    <row r="194" spans="68:70" ht="15" customHeight="1">
      <c r="BP194" s="79"/>
      <c r="BQ194" s="80"/>
      <c r="BR194" s="104"/>
    </row>
    <row r="195" spans="68:70" ht="15" customHeight="1">
      <c r="BP195" s="79"/>
      <c r="BQ195" s="80"/>
      <c r="BR195" s="104"/>
    </row>
    <row r="196" spans="68:70" ht="15" customHeight="1">
      <c r="BP196" s="79"/>
      <c r="BQ196" s="80"/>
      <c r="BR196" s="104"/>
    </row>
    <row r="197" spans="68:70" ht="15" customHeight="1">
      <c r="BP197" s="79"/>
      <c r="BQ197" s="80"/>
      <c r="BR197" s="104"/>
    </row>
    <row r="198" spans="68:70" ht="15" customHeight="1">
      <c r="BP198" s="79"/>
      <c r="BQ198" s="80"/>
      <c r="BR198" s="104"/>
    </row>
    <row r="199" spans="68:70" ht="15" customHeight="1">
      <c r="BP199" s="79"/>
      <c r="BQ199" s="80"/>
      <c r="BR199" s="104"/>
    </row>
    <row r="200" spans="68:70" ht="15" customHeight="1">
      <c r="BP200" s="79"/>
      <c r="BQ200" s="80"/>
      <c r="BR200" s="104"/>
    </row>
    <row r="201" spans="68:70" ht="15" customHeight="1">
      <c r="BP201" s="79"/>
      <c r="BQ201" s="80"/>
      <c r="BR201" s="104"/>
    </row>
    <row r="202" spans="68:70" ht="15" customHeight="1">
      <c r="BP202" s="79"/>
      <c r="BQ202" s="80"/>
      <c r="BR202" s="104"/>
    </row>
    <row r="203" spans="68:70" ht="15" customHeight="1">
      <c r="BP203" s="79"/>
      <c r="BQ203" s="80"/>
      <c r="BR203" s="104"/>
    </row>
    <row r="204" spans="68:70" ht="15" customHeight="1">
      <c r="BP204" s="79"/>
      <c r="BQ204" s="80"/>
      <c r="BR204" s="104"/>
    </row>
    <row r="205" spans="68:70" ht="15" customHeight="1">
      <c r="BP205" s="79"/>
      <c r="BQ205" s="80"/>
      <c r="BR205" s="104"/>
    </row>
    <row r="206" spans="68:70" ht="15" customHeight="1">
      <c r="BP206" s="79"/>
      <c r="BQ206" s="80"/>
      <c r="BR206" s="104"/>
    </row>
    <row r="207" spans="68:70" ht="15" customHeight="1">
      <c r="BP207" s="79"/>
      <c r="BQ207" s="80"/>
      <c r="BR207" s="104"/>
    </row>
    <row r="208" spans="68:70" ht="15" customHeight="1">
      <c r="BP208" s="79"/>
      <c r="BQ208" s="80"/>
      <c r="BR208" s="104"/>
    </row>
    <row r="209" spans="68:70" ht="15" customHeight="1">
      <c r="BP209" s="79"/>
      <c r="BQ209" s="80"/>
      <c r="BR209" s="104"/>
    </row>
    <row r="210" spans="68:70" ht="15" customHeight="1">
      <c r="BP210" s="79"/>
      <c r="BQ210" s="80"/>
      <c r="BR210" s="104"/>
    </row>
    <row r="211" spans="68:70" ht="15" customHeight="1">
      <c r="BP211" s="79"/>
      <c r="BQ211" s="80"/>
      <c r="BR211" s="104"/>
    </row>
    <row r="212" spans="68:70" ht="15" customHeight="1">
      <c r="BP212" s="79"/>
      <c r="BQ212" s="80"/>
      <c r="BR212" s="104"/>
    </row>
    <row r="213" spans="68:70" ht="15" customHeight="1">
      <c r="BP213" s="79"/>
      <c r="BQ213" s="80"/>
      <c r="BR213" s="104"/>
    </row>
    <row r="214" spans="68:70" ht="15" customHeight="1">
      <c r="BP214" s="79"/>
      <c r="BQ214" s="80"/>
      <c r="BR214" s="104"/>
    </row>
    <row r="215" spans="68:70" ht="15" customHeight="1">
      <c r="BP215" s="79"/>
      <c r="BQ215" s="80"/>
      <c r="BR215" s="104"/>
    </row>
  </sheetData>
  <sheetProtection sheet="1" objects="1" scenarios="1" sort="0" autoFilter="0"/>
  <protectedRanges>
    <protectedRange sqref="G5:J104" name="Range1"/>
    <protectedRange sqref="A5:C104" name="Range2"/>
  </protectedRanges>
  <mergeCells count="9">
    <mergeCell ref="BP1:BR1"/>
    <mergeCell ref="BP3:BR3"/>
    <mergeCell ref="BP2:BR2"/>
    <mergeCell ref="AM3:AO3"/>
    <mergeCell ref="AR3:AT3"/>
    <mergeCell ref="BG3:BI3"/>
    <mergeCell ref="BL3:BN3"/>
    <mergeCell ref="AW3:AY3"/>
    <mergeCell ref="BB3:BD3"/>
  </mergeCells>
  <conditionalFormatting sqref="F1:F1048576">
    <cfRule type="cellIs" dxfId="34" priority="4" operator="equal">
      <formula>"N"</formula>
    </cfRule>
  </conditionalFormatting>
  <conditionalFormatting sqref="AL3 AP3:AQ3 BN4:BN104 BH5:BM104 AX4:BD104 AL4:AT104 BF4:BM4">
    <cfRule type="expression" dxfId="33" priority="38" stopIfTrue="1">
      <formula>ISNA(AL3)</formula>
    </cfRule>
  </conditionalFormatting>
  <conditionalFormatting sqref="AU3:AV104">
    <cfRule type="expression" dxfId="32" priority="7" stopIfTrue="1">
      <formula>ISNA(AU3)</formula>
    </cfRule>
  </conditionalFormatting>
  <conditionalFormatting sqref="AW4:AW104">
    <cfRule type="expression" dxfId="31" priority="28" stopIfTrue="1">
      <formula>ISNA(AW4)</formula>
    </cfRule>
  </conditionalFormatting>
  <conditionalFormatting sqref="AZ3:BA3">
    <cfRule type="expression" dxfId="30" priority="6" stopIfTrue="1">
      <formula>ISNA(AZ3)</formula>
    </cfRule>
  </conditionalFormatting>
  <conditionalFormatting sqref="BF3 BJ3:BK3 BE3:BE104">
    <cfRule type="expression" dxfId="29" priority="35" stopIfTrue="1">
      <formula>ISNA(BE3)</formula>
    </cfRule>
  </conditionalFormatting>
  <conditionalFormatting sqref="BF5:BG104">
    <cfRule type="expression" dxfId="28" priority="17" stopIfTrue="1">
      <formula>ISNA(BF5)</formula>
    </cfRule>
  </conditionalFormatting>
  <conditionalFormatting sqref="BH5:BH102">
    <cfRule type="expression" dxfId="27" priority="19">
      <formula>#REF!="Can't Enter"</formula>
    </cfRule>
  </conditionalFormatting>
  <conditionalFormatting sqref="BM5:BM104">
    <cfRule type="expression" dxfId="26" priority="13">
      <formula>#REF!="Can't Enter"</formula>
    </cfRule>
  </conditionalFormatting>
  <conditionalFormatting sqref="BP4:BR104">
    <cfRule type="expression" dxfId="25" priority="2" stopIfTrue="1">
      <formula>ISNA(BP4)</formula>
    </cfRule>
  </conditionalFormatting>
  <conditionalFormatting sqref="BP5:BP104">
    <cfRule type="expression" dxfId="24" priority="1">
      <formula>BP4=BP5</formula>
    </cfRule>
  </conditionalFormatting>
  <pageMargins left="0.25" right="0.25" top="0.75" bottom="0.75" header="0.3" footer="0.3"/>
  <pageSetup paperSize="8" scale="20" orientation="landscape" r:id="rId1"/>
  <ignoredErrors>
    <ignoredError sqref="AM44:BF104" evalError="1"/>
    <ignoredError xmlns:x16r3="http://schemas.microsoft.com/office/spreadsheetml/2018/08/main" xmlns:x16r5="http://schemas.microsoft.com/office/spreadsheetml/2020/10/main" sqref="D21:BD43 BP44:BR104 BG21:BR43 BG44:BO104 D5:BD5 D6:BD20" evalError="1" twoDigitTextYear="1" numberStoredAsText="1" formula="1" formulaRange="1" unlockedFormula="1" emptyCellReference="1" listDataValidation="1" calculatedColumn="1" x16r3:misleadingFormat="1" x16r5:outdatedDataTypes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34998626667073579"/>
  </sheetPr>
  <dimension ref="A1:CG215"/>
  <sheetViews>
    <sheetView zoomScale="115" zoomScaleNormal="115" workbookViewId="0">
      <pane xSplit="10" ySplit="4" topLeftCell="K5" activePane="bottomRight" state="frozen"/>
      <selection pane="bottomRight" activeCell="BS16" sqref="BS16"/>
      <selection pane="bottomLeft" activeCell="A8" sqref="A8"/>
      <selection pane="topRight" activeCell="Q1" sqref="Q1"/>
    </sheetView>
  </sheetViews>
  <sheetFormatPr defaultRowHeight="15" customHeight="1"/>
  <cols>
    <col min="1" max="1" width="8.140625" style="44" bestFit="1" customWidth="1"/>
    <col min="2" max="2" width="14.85546875" style="44" bestFit="1" customWidth="1"/>
    <col min="3" max="3" width="5.7109375" style="45" bestFit="1" customWidth="1"/>
    <col min="4" max="5" width="4.140625" style="54" bestFit="1" customWidth="1"/>
    <col min="6" max="6" width="4.42578125" style="3" customWidth="1"/>
    <col min="7" max="10" width="4.7109375" style="47" customWidth="1"/>
    <col min="11" max="14" width="6.7109375" style="13" customWidth="1"/>
    <col min="15" max="15" width="7.42578125" style="13" customWidth="1"/>
    <col min="16" max="16" width="7.5703125" style="13" customWidth="1"/>
    <col min="17" max="18" width="8.7109375" style="13" hidden="1" customWidth="1"/>
    <col min="19" max="28" width="6.7109375" style="13" hidden="1" customWidth="1"/>
    <col min="29" max="29" width="18.140625" hidden="1" customWidth="1"/>
    <col min="30" max="30" width="4" hidden="1" customWidth="1"/>
    <col min="31" max="34" width="5.7109375" hidden="1" customWidth="1"/>
    <col min="35" max="36" width="7" hidden="1" customWidth="1"/>
    <col min="37" max="37" width="2.5703125" style="5" customWidth="1"/>
    <col min="38" max="38" width="4.140625" style="5" hidden="1" customWidth="1"/>
    <col min="39" max="39" width="4.7109375" style="5" customWidth="1"/>
    <col min="40" max="40" width="20.7109375" style="24" bestFit="1" customWidth="1"/>
    <col min="41" max="41" width="6.28515625" style="9" customWidth="1"/>
    <col min="42" max="42" width="2.28515625" style="5" customWidth="1"/>
    <col min="43" max="43" width="4.140625" style="5" hidden="1" customWidth="1"/>
    <col min="44" max="44" width="4.7109375" style="5" customWidth="1"/>
    <col min="45" max="45" width="20.7109375" style="5" bestFit="1" customWidth="1"/>
    <col min="46" max="46" width="4.7109375" style="5" customWidth="1"/>
    <col min="47" max="47" width="2.28515625" style="5" customWidth="1"/>
    <col min="48" max="48" width="4.140625" style="5" hidden="1" customWidth="1"/>
    <col min="49" max="49" width="4.7109375" style="5" customWidth="1"/>
    <col min="50" max="50" width="22.140625" style="5" bestFit="1" customWidth="1"/>
    <col min="51" max="51" width="6.28515625" style="5" customWidth="1"/>
    <col min="52" max="52" width="2.42578125" style="5" customWidth="1"/>
    <col min="53" max="53" width="8.85546875" style="5" hidden="1" customWidth="1"/>
    <col min="54" max="54" width="4.7109375" style="5" customWidth="1"/>
    <col min="55" max="55" width="22.140625" style="5" bestFit="1" customWidth="1"/>
    <col min="56" max="56" width="4.7109375" style="76" customWidth="1"/>
    <col min="57" max="57" width="3.140625" style="5" customWidth="1"/>
    <col min="58" max="58" width="8.85546875" style="5" hidden="1" customWidth="1"/>
    <col min="59" max="59" width="5.7109375" style="5" bestFit="1" customWidth="1"/>
    <col min="60" max="60" width="22.140625" style="5" bestFit="1" customWidth="1"/>
    <col min="61" max="61" width="4.7109375" style="5" customWidth="1"/>
    <col min="62" max="62" width="6.28515625" style="5" bestFit="1" customWidth="1"/>
    <col min="63" max="63" width="2.7109375" style="5" customWidth="1"/>
    <col min="64" max="64" width="8.85546875" hidden="1" customWidth="1"/>
    <col min="65" max="65" width="4.7109375" customWidth="1"/>
    <col min="66" max="66" width="22.140625" bestFit="1" customWidth="1"/>
    <col min="67" max="67" width="4.7109375" customWidth="1"/>
    <col min="68" max="68" width="3.28515625" style="5" customWidth="1"/>
    <col min="69" max="69" width="8.85546875" style="5"/>
    <col min="70" max="70" width="20.85546875" style="5" bestFit="1" customWidth="1"/>
    <col min="71" max="85" width="8.85546875" style="5"/>
  </cols>
  <sheetData>
    <row r="1" spans="1:85" s="12" customFormat="1" ht="30.75" customHeight="1">
      <c r="A1" s="37"/>
      <c r="B1" s="38"/>
      <c r="C1" s="39"/>
      <c r="D1" s="51"/>
      <c r="E1" s="51"/>
      <c r="F1" s="28"/>
      <c r="G1" s="46"/>
      <c r="H1" s="37"/>
      <c r="I1" s="37"/>
      <c r="J1" s="37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L1" s="32"/>
      <c r="AM1" s="32"/>
      <c r="AN1" s="33" t="s">
        <v>23</v>
      </c>
      <c r="AO1" s="34"/>
      <c r="AP1" s="32"/>
      <c r="AQ1" s="32"/>
      <c r="AR1" s="32"/>
      <c r="AS1" s="32"/>
      <c r="AT1" s="32"/>
      <c r="AU1" s="32"/>
      <c r="AV1" s="32"/>
      <c r="AW1" s="32"/>
      <c r="AX1" s="33" t="s">
        <v>113</v>
      </c>
      <c r="AY1" s="32"/>
      <c r="AZ1" s="32"/>
      <c r="BA1" s="32"/>
      <c r="BB1" s="32"/>
      <c r="BC1" s="32"/>
      <c r="BD1" s="90"/>
      <c r="BE1" s="32"/>
      <c r="BF1" s="32"/>
      <c r="BG1" s="32"/>
      <c r="BH1" s="33" t="s">
        <v>113</v>
      </c>
      <c r="BI1" s="32"/>
      <c r="BJ1" s="32"/>
      <c r="BK1" s="32"/>
      <c r="BL1" s="32"/>
      <c r="BM1" s="32"/>
      <c r="BN1" s="32"/>
      <c r="BO1" s="32"/>
      <c r="BQ1" s="190" t="s">
        <v>60</v>
      </c>
      <c r="BR1" s="190"/>
      <c r="BS1" s="190"/>
    </row>
    <row r="2" spans="1:85" s="12" customFormat="1" ht="15" hidden="1" customHeight="1">
      <c r="A2" s="37"/>
      <c r="B2" s="38"/>
      <c r="C2" s="39"/>
      <c r="D2" s="52"/>
      <c r="E2" s="52"/>
      <c r="F2" s="29"/>
      <c r="G2" s="37"/>
      <c r="H2" s="37"/>
      <c r="I2" s="37"/>
      <c r="J2" s="37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N2" s="31">
        <v>2</v>
      </c>
      <c r="AO2" s="28"/>
      <c r="AS2" s="12">
        <v>2</v>
      </c>
      <c r="AX2" s="12">
        <v>2</v>
      </c>
      <c r="BC2" s="12">
        <v>2</v>
      </c>
      <c r="BD2" s="77"/>
      <c r="BH2" s="12">
        <v>2</v>
      </c>
      <c r="BN2" s="12">
        <v>2</v>
      </c>
      <c r="BQ2" s="169"/>
      <c r="BR2" s="170"/>
      <c r="BS2" s="170"/>
    </row>
    <row r="3" spans="1:85" s="12" customFormat="1" ht="15" customHeight="1">
      <c r="A3" s="40"/>
      <c r="B3" s="40"/>
      <c r="C3" s="41"/>
      <c r="D3" s="51"/>
      <c r="E3" s="51"/>
      <c r="F3" s="28"/>
      <c r="G3" s="37"/>
      <c r="H3" s="37"/>
      <c r="I3" s="37"/>
      <c r="J3" s="37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L3" s="32"/>
      <c r="AM3" s="171" t="s">
        <v>80</v>
      </c>
      <c r="AN3" s="167"/>
      <c r="AO3" s="168"/>
      <c r="AP3" s="32"/>
      <c r="AQ3" s="32"/>
      <c r="AR3" s="171" t="s">
        <v>81</v>
      </c>
      <c r="AS3" s="167"/>
      <c r="AT3" s="168"/>
      <c r="AU3" s="32"/>
      <c r="AV3" s="32"/>
      <c r="AW3" s="171" t="s">
        <v>82</v>
      </c>
      <c r="AX3" s="167"/>
      <c r="AY3" s="168"/>
      <c r="AZ3" s="32"/>
      <c r="BA3" s="32"/>
      <c r="BB3" s="171" t="s">
        <v>83</v>
      </c>
      <c r="BC3" s="167"/>
      <c r="BD3" s="168"/>
      <c r="BE3" s="32"/>
      <c r="BF3" s="32"/>
      <c r="BG3" s="171" t="s">
        <v>84</v>
      </c>
      <c r="BH3" s="167"/>
      <c r="BI3" s="167"/>
      <c r="BJ3" s="168"/>
      <c r="BK3" s="32"/>
      <c r="BL3" s="32"/>
      <c r="BM3" s="173" t="s">
        <v>85</v>
      </c>
      <c r="BN3" s="173"/>
      <c r="BO3" s="173"/>
      <c r="BQ3" s="171" t="s">
        <v>78</v>
      </c>
      <c r="BR3" s="167"/>
      <c r="BS3" s="168"/>
    </row>
    <row r="4" spans="1:85" s="23" customFormat="1" ht="31.15" customHeight="1">
      <c r="A4" s="42" t="s">
        <v>66</v>
      </c>
      <c r="B4" s="42" t="s">
        <v>86</v>
      </c>
      <c r="C4" s="43" t="s">
        <v>28</v>
      </c>
      <c r="D4" s="53" t="s">
        <v>67</v>
      </c>
      <c r="E4" s="53" t="s">
        <v>88</v>
      </c>
      <c r="F4" s="17" t="s">
        <v>89</v>
      </c>
      <c r="G4" s="42" t="s">
        <v>90</v>
      </c>
      <c r="H4" s="42" t="s">
        <v>91</v>
      </c>
      <c r="I4" s="42" t="s">
        <v>92</v>
      </c>
      <c r="J4" s="42" t="s">
        <v>93</v>
      </c>
      <c r="K4" s="18" t="s">
        <v>94</v>
      </c>
      <c r="L4" s="18" t="s">
        <v>95</v>
      </c>
      <c r="M4" s="18" t="s">
        <v>96</v>
      </c>
      <c r="N4" s="18" t="s">
        <v>97</v>
      </c>
      <c r="O4" s="18" t="s">
        <v>84</v>
      </c>
      <c r="P4" s="18" t="s">
        <v>85</v>
      </c>
      <c r="Q4" s="25" t="s">
        <v>98</v>
      </c>
      <c r="R4" s="25" t="s">
        <v>99</v>
      </c>
      <c r="S4" s="25" t="s">
        <v>100</v>
      </c>
      <c r="T4" s="25" t="s">
        <v>101</v>
      </c>
      <c r="U4" s="25" t="s">
        <v>102</v>
      </c>
      <c r="V4" s="25" t="s">
        <v>103</v>
      </c>
      <c r="W4" s="25" t="s">
        <v>104</v>
      </c>
      <c r="X4" s="25" t="s">
        <v>105</v>
      </c>
      <c r="Y4" s="25" t="s">
        <v>106</v>
      </c>
      <c r="Z4" s="25" t="s">
        <v>107</v>
      </c>
      <c r="AA4" s="25" t="s">
        <v>108</v>
      </c>
      <c r="AB4" s="25" t="s">
        <v>109</v>
      </c>
      <c r="AC4" s="18" t="s">
        <v>76</v>
      </c>
      <c r="AD4" s="18" t="s">
        <v>67</v>
      </c>
      <c r="AE4" s="17" t="s">
        <v>94</v>
      </c>
      <c r="AF4" s="17" t="s">
        <v>110</v>
      </c>
      <c r="AG4" s="17" t="s">
        <v>96</v>
      </c>
      <c r="AH4" s="17" t="s">
        <v>97</v>
      </c>
      <c r="AI4" s="17" t="s">
        <v>84</v>
      </c>
      <c r="AJ4" s="17" t="s">
        <v>85</v>
      </c>
      <c r="AK4" s="19"/>
      <c r="AL4" s="20"/>
      <c r="AM4" s="16" t="s">
        <v>77</v>
      </c>
      <c r="AN4" s="16" t="s">
        <v>66</v>
      </c>
      <c r="AO4" s="15" t="s">
        <v>111</v>
      </c>
      <c r="AP4" s="21"/>
      <c r="AQ4" s="20"/>
      <c r="AR4" s="16" t="s">
        <v>77</v>
      </c>
      <c r="AS4" s="16" t="s">
        <v>66</v>
      </c>
      <c r="AT4" s="16" t="s">
        <v>112</v>
      </c>
      <c r="AU4" s="22"/>
      <c r="AV4" s="26"/>
      <c r="AW4" s="27" t="s">
        <v>77</v>
      </c>
      <c r="AX4" s="27" t="s">
        <v>66</v>
      </c>
      <c r="AY4" s="27" t="s">
        <v>111</v>
      </c>
      <c r="AZ4" s="21"/>
      <c r="BA4" s="26"/>
      <c r="BB4" s="27" t="s">
        <v>77</v>
      </c>
      <c r="BC4" s="27" t="s">
        <v>66</v>
      </c>
      <c r="BD4" s="91" t="s">
        <v>112</v>
      </c>
      <c r="BE4" s="22"/>
      <c r="BF4" s="26"/>
      <c r="BG4" s="27" t="s">
        <v>77</v>
      </c>
      <c r="BH4" s="27" t="s">
        <v>66</v>
      </c>
      <c r="BI4" s="27" t="s">
        <v>114</v>
      </c>
      <c r="BJ4" s="27" t="s">
        <v>111</v>
      </c>
      <c r="BK4" s="21"/>
      <c r="BL4" s="26"/>
      <c r="BM4" s="16" t="s">
        <v>77</v>
      </c>
      <c r="BN4" s="16" t="s">
        <v>66</v>
      </c>
      <c r="BO4" s="16" t="s">
        <v>112</v>
      </c>
      <c r="BP4" s="19"/>
      <c r="BQ4" s="16" t="s">
        <v>77</v>
      </c>
      <c r="BR4" s="16" t="s">
        <v>66</v>
      </c>
      <c r="BS4" s="102" t="s">
        <v>73</v>
      </c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</row>
    <row r="5" spans="1:85">
      <c r="A5" s="10" t="str">
        <f>IF(ISBLANK(Players!F3),"",Players!F3)</f>
        <v>KAY</v>
      </c>
      <c r="B5" s="10" t="str">
        <f>IF(ISBLANK(Players!G3),"",Players!G3)</f>
        <v>DUNKLEY</v>
      </c>
      <c r="C5" s="10">
        <f>IF(ISBLANK(Players!I3),"",Players!I3)</f>
        <v>14.2</v>
      </c>
      <c r="D5" s="69">
        <f>IF(ISNUMBER(C5),MIN((C5*Rules!$N$14/113)+(Rules!$N$13-Rules!$N$12),Rules!$N$37),"-")</f>
        <v>16.156637168141593</v>
      </c>
      <c r="E5" s="69">
        <f>IF(ISNUMBER(C5),    ROUND( (D5*Rules!$N$11) / 100,0),"-")</f>
        <v>16</v>
      </c>
      <c r="F5" s="36" t="str">
        <f>IF(AND(ISNUMBER(C5),C5&gt;=Rules!$M$17,C5&lt;=Rules!$N$17),"Y","N")</f>
        <v>Y</v>
      </c>
      <c r="G5" s="137">
        <f>'Eclectic B'!M5</f>
        <v>47</v>
      </c>
      <c r="H5" s="137">
        <f>'Eclectic B'!W5</f>
        <v>44</v>
      </c>
      <c r="I5" s="137">
        <f>'Eclectic B'!AJ5</f>
        <v>45</v>
      </c>
      <c r="J5" s="137">
        <f>'Eclectic B'!AT5</f>
        <v>50</v>
      </c>
      <c r="K5" s="14">
        <f>IF(AND(ISNUMBER(G5), ISNUMBER(H5)),G5+H5,"-")</f>
        <v>91</v>
      </c>
      <c r="L5" s="14">
        <f>IF(AND(ISNUMBER(G5), ISNUMBER(H5)),K5-E5,"-")</f>
        <v>75</v>
      </c>
      <c r="M5" s="14">
        <f>IF(AND(ISNUMBER(I5), ISNUMBER(J5)),I5+J5,"-")</f>
        <v>95</v>
      </c>
      <c r="N5" s="14">
        <f>IF(AND(ISNUMBER(I5), ISNUMBER(J5)),M5-E5,"-")</f>
        <v>79</v>
      </c>
      <c r="O5" s="14">
        <f>IF(AND(ISNUMBER(K5), ISNUMBER(M5)),K5+M5,"-")</f>
        <v>186</v>
      </c>
      <c r="P5" s="14">
        <f>IF(AND(ISNUMBER(L5), ISNUMBER(N5)),L5+N5,"-")</f>
        <v>154</v>
      </c>
      <c r="Q5" s="14">
        <f>RANK($K5,$K$5:$K$104,1)+COUNTIF(K$5:K5,K5)-1</f>
        <v>2</v>
      </c>
      <c r="R5" s="14">
        <f>RANK($K5,$K$5:$K$105,1)</f>
        <v>2</v>
      </c>
      <c r="S5" s="14">
        <f>RANK($L5,$L$5:$L$104,1)+COUNTIF(L$5:L5,L5)-1</f>
        <v>2</v>
      </c>
      <c r="T5" s="14">
        <f>RANK($L5,$L$5:$L$105,1)</f>
        <v>2</v>
      </c>
      <c r="U5" s="14">
        <f>RANK($M5,$M$5:$M$104,1)+COUNTIF(M$5:M5,M5)-1</f>
        <v>5</v>
      </c>
      <c r="V5" s="14">
        <f>RANK($M5,$M$5:$M$105,1)</f>
        <v>5</v>
      </c>
      <c r="W5" s="14">
        <f>RANK($N5,$N$5:$N$104,1)+COUNTIF(N$5:N5,N5)-1</f>
        <v>3</v>
      </c>
      <c r="X5" s="14">
        <f>RANK($N5,$N$5:$N$105,1)</f>
        <v>3</v>
      </c>
      <c r="Y5" s="14">
        <f>RANK($O5,$O$5:$O$104,1)+COUNTIF(O$5:O5,O5)-1</f>
        <v>3</v>
      </c>
      <c r="Z5" s="14">
        <f>RANK($O5,$O$5:$O$105,1)</f>
        <v>3</v>
      </c>
      <c r="AA5" s="14">
        <f>RANK($P5,$P$5:$P$104,1)+COUNTIF(P$5:P5,P5)-1</f>
        <v>3</v>
      </c>
      <c r="AB5" s="14">
        <f>RANK($P5,$P$5:$P$105,1)</f>
        <v>3</v>
      </c>
      <c r="AC5" s="1" t="str">
        <f>A5 &amp; " " &amp; B5</f>
        <v>KAY DUNKLEY</v>
      </c>
      <c r="AD5" s="1">
        <f>D5</f>
        <v>16.156637168141593</v>
      </c>
      <c r="AE5" s="35">
        <f t="shared" ref="AE5:AJ5" si="0">K5</f>
        <v>91</v>
      </c>
      <c r="AF5" s="35">
        <f t="shared" si="0"/>
        <v>75</v>
      </c>
      <c r="AG5" s="35">
        <f t="shared" si="0"/>
        <v>95</v>
      </c>
      <c r="AH5" s="35">
        <f t="shared" si="0"/>
        <v>79</v>
      </c>
      <c r="AI5" s="35">
        <f t="shared" si="0"/>
        <v>186</v>
      </c>
      <c r="AJ5" s="35">
        <f t="shared" si="0"/>
        <v>154</v>
      </c>
      <c r="AL5" s="4">
        <v>1</v>
      </c>
      <c r="AM5" s="2">
        <f>VLOOKUP(AL5,Q$5:$AJ$104,$AN$2,FALSE)</f>
        <v>1</v>
      </c>
      <c r="AN5" s="6" t="str">
        <f>VLOOKUP(AL5,Q$5:$AJ$104,$AN$2+11,FALSE)</f>
        <v>TARA SMITH</v>
      </c>
      <c r="AO5" s="2">
        <f>VLOOKUP(AM5,$Q$5:$AJ$104,$AN$2+13,FALSE)</f>
        <v>72</v>
      </c>
      <c r="AQ5" s="4">
        <v>1</v>
      </c>
      <c r="AR5" s="2">
        <f>VLOOKUP(AQ5,$S$5:$AJ$104,$AS$2,FALSE)</f>
        <v>1</v>
      </c>
      <c r="AS5" s="6" t="str">
        <f>VLOOKUP(AQ5,$S$5:$AJ$104,$AS$2+9,FALSE)</f>
        <v>TARA SMITH</v>
      </c>
      <c r="AT5" s="2">
        <f>VLOOKUP(AR5,$S$5:$AJ$104,$AS$2+12,FALSE)</f>
        <v>70</v>
      </c>
      <c r="AV5" s="4">
        <v>1</v>
      </c>
      <c r="AW5" s="2">
        <f>VLOOKUP(AV5,$U$5:$AJ$104,$AX$2,FALSE)</f>
        <v>1</v>
      </c>
      <c r="AX5" s="6" t="str">
        <f>VLOOKUP(AV5,$U$5:$AJ$104,$AX$2+7,FALSE)</f>
        <v>TARA SMITH</v>
      </c>
      <c r="AY5" s="2">
        <f>VLOOKUP(AW5,$U$5:$AJ$104,$AX$2+11,FALSE)</f>
        <v>82</v>
      </c>
      <c r="BA5" s="4">
        <v>1</v>
      </c>
      <c r="BB5" s="2">
        <f>VLOOKUP(BA5,$W$5:$AJ$104,$BC$2,FALSE)</f>
        <v>1</v>
      </c>
      <c r="BC5" s="6" t="str">
        <f>VLOOKUP(BA5,$W$5:$AJ$104,$BC$2+5,FALSE)</f>
        <v>ANITA VAN DER LINDE</v>
      </c>
      <c r="BD5" s="58">
        <f>VLOOKUP(BB5,$W$5:$AJ$104,$BC$2+10,FALSE)</f>
        <v>72</v>
      </c>
      <c r="BF5" s="4">
        <v>1</v>
      </c>
      <c r="BG5" s="2">
        <f>VLOOKUP(BF5,$Y$5:$AJ$104,$BH$2,FALSE)</f>
        <v>1</v>
      </c>
      <c r="BH5" s="6" t="str">
        <f>VLOOKUP(BF5,$Y$5:$AJ$104,$BH$2+3,FALSE)</f>
        <v>TARA SMITH</v>
      </c>
      <c r="BI5" s="2">
        <f>VLOOKUP(BF5,$Y$5:$AJ$104,$BH$2+4,FALSE)</f>
        <v>1.7884955752212417</v>
      </c>
      <c r="BJ5" s="2">
        <f>VLOOKUP(BG5,$Y$5:$AJ$104,$BH$2+9,FALSE)</f>
        <v>154</v>
      </c>
      <c r="BL5" s="4">
        <v>1</v>
      </c>
      <c r="BM5" s="2">
        <f>VLOOKUP(BL5,$AA$5:$AJ$104,$BN$2,FALSE)</f>
        <v>1</v>
      </c>
      <c r="BN5" s="6" t="str">
        <f>VLOOKUP(BL5,$AA$5:$AJ$104,$BN$2+1,FALSE)</f>
        <v>ANITA VAN DER LINDE</v>
      </c>
      <c r="BO5" s="2">
        <f>VLOOKUP(BM5,$AA$5:$AJ$104,$BN$2+8,FALSE)</f>
        <v>149</v>
      </c>
      <c r="BQ5" s="2">
        <f>'Eclectic B'!CD5</f>
        <v>1</v>
      </c>
      <c r="BR5" s="6" t="str">
        <f>'Eclectic B'!CE5</f>
        <v>TARA SMITH</v>
      </c>
      <c r="BS5" s="103">
        <f>'Eclectic B'!CF5</f>
        <v>70.5</v>
      </c>
    </row>
    <row r="6" spans="1:85">
      <c r="A6" s="10" t="str">
        <f>IF(ISBLANK(Players!F4),"",Players!F4)</f>
        <v>ALIDA</v>
      </c>
      <c r="B6" s="10" t="str">
        <f>IF(ISBLANK(Players!G4),"",Players!G4)</f>
        <v>HOOPER</v>
      </c>
      <c r="C6" s="10">
        <f>IF(ISBLANK(Players!I4),"",Players!I4)</f>
        <v>13.4</v>
      </c>
      <c r="D6" s="69">
        <f>IF(ISNUMBER(C6),MIN((C6*Rules!$N$14/113)+(Rules!$N$13-Rules!$N$12),Rules!$N$37),"-")</f>
        <v>15.285840707964605</v>
      </c>
      <c r="E6" s="69">
        <f>IF(ISNUMBER(C6),    ROUND( (D6*Rules!$N$11) / 100,0),"-")</f>
        <v>15</v>
      </c>
      <c r="F6" s="36" t="str">
        <f>IF(AND(ISNUMBER(C6),C6&gt;=Rules!$M$17,C6&lt;=Rules!$N$17),"Y","N")</f>
        <v>Y</v>
      </c>
      <c r="G6" s="137">
        <f>'Eclectic B'!M6</f>
        <v>42</v>
      </c>
      <c r="H6" s="137">
        <f>'Eclectic B'!W6</f>
        <v>55</v>
      </c>
      <c r="I6" s="137">
        <f>'Eclectic B'!AJ6</f>
        <v>44</v>
      </c>
      <c r="J6" s="137">
        <f>'Eclectic B'!AT6</f>
        <v>47</v>
      </c>
      <c r="K6" s="14">
        <f t="shared" ref="K6:K69" si="1">IF(AND(ISNUMBER(G6), ISNUMBER(H6)),G6+H6,"-")</f>
        <v>97</v>
      </c>
      <c r="L6" s="14">
        <f t="shared" ref="L6:L69" si="2">IF(AND(ISNUMBER(G6), ISNUMBER(H6)),K6-E6,"-")</f>
        <v>82</v>
      </c>
      <c r="M6" s="14">
        <f t="shared" ref="M6:M69" si="3">IF(AND(ISNUMBER(I6), ISNUMBER(J6)),I6+J6,"-")</f>
        <v>91</v>
      </c>
      <c r="N6" s="14">
        <f t="shared" ref="N6:N69" si="4">IF(AND(ISNUMBER(I6), ISNUMBER(J6)),M6-E6,"-")</f>
        <v>76</v>
      </c>
      <c r="O6" s="14">
        <f t="shared" ref="O6:O69" si="5">IF(AND(ISNUMBER(K6), ISNUMBER(M6)),K6+M6,"-")</f>
        <v>188</v>
      </c>
      <c r="P6" s="14">
        <f t="shared" ref="P6:P69" si="6">IF(AND(ISNUMBER(L6), ISNUMBER(N6)),L6+N6,"-")</f>
        <v>158</v>
      </c>
      <c r="Q6" s="14">
        <f>RANK($K6,$K$5:$K$104,1)+COUNTIF(K$5:K6,K6)-1</f>
        <v>5</v>
      </c>
      <c r="R6" s="14">
        <f t="shared" ref="R6:R69" si="7">RANK($K6,$K$5:$K$105,1)</f>
        <v>5</v>
      </c>
      <c r="S6" s="14">
        <f>RANK($L6,$L$5:$L$104,1)+COUNTIF(L$5:L6,L6)-1</f>
        <v>5</v>
      </c>
      <c r="T6" s="14">
        <f t="shared" ref="T6:T69" si="8">RANK($L6,$L$5:$L$105,1)</f>
        <v>5</v>
      </c>
      <c r="U6" s="14">
        <f>RANK($M6,$M$5:$M$104,1)+COUNTIF(M$5:M6,M6)-1</f>
        <v>3</v>
      </c>
      <c r="V6" s="14">
        <f t="shared" ref="V6:V69" si="9">RANK($M6,$M$5:$M$105,1)</f>
        <v>3</v>
      </c>
      <c r="W6" s="14">
        <f>RANK($N6,$N$5:$N$104,1)+COUNTIF(N$5:N6,N6)-1</f>
        <v>2</v>
      </c>
      <c r="X6" s="14">
        <f t="shared" ref="X6:X69" si="10">RANK($N6,$N$5:$N$105,1)</f>
        <v>2</v>
      </c>
      <c r="Y6" s="14">
        <f>RANK($O6,$O$5:$O$104,1)+COUNTIF(O$5:O6,O6)-1</f>
        <v>5</v>
      </c>
      <c r="Z6" s="14">
        <f t="shared" ref="Z6:Z69" si="11">RANK($O6,$O$5:$O$105,1)</f>
        <v>5</v>
      </c>
      <c r="AA6" s="14">
        <f>RANK($P6,$P$5:$P$104,1)+COUNTIF(P$5:P6,P6)-1</f>
        <v>4</v>
      </c>
      <c r="AB6" s="14">
        <f t="shared" ref="AB6:AB69" si="12">RANK($P6,$P$5:$P$105,1)</f>
        <v>4</v>
      </c>
      <c r="AC6" s="1" t="str">
        <f t="shared" ref="AC6:AC69" si="13">A6 &amp; " " &amp; B6</f>
        <v>ALIDA HOOPER</v>
      </c>
      <c r="AD6" s="1">
        <f t="shared" ref="AD6:AD69" si="14">D6</f>
        <v>15.285840707964605</v>
      </c>
      <c r="AE6" s="35">
        <f t="shared" ref="AE6:AJ48" si="15">K6</f>
        <v>97</v>
      </c>
      <c r="AF6" s="35">
        <f t="shared" si="15"/>
        <v>82</v>
      </c>
      <c r="AG6" s="35">
        <f t="shared" si="15"/>
        <v>91</v>
      </c>
      <c r="AH6" s="35">
        <f t="shared" si="15"/>
        <v>76</v>
      </c>
      <c r="AI6" s="35">
        <f t="shared" si="15"/>
        <v>188</v>
      </c>
      <c r="AJ6" s="35">
        <f t="shared" si="15"/>
        <v>158</v>
      </c>
      <c r="AL6" s="4">
        <v>2</v>
      </c>
      <c r="AM6" s="2">
        <f>VLOOKUP(AL6,Q$5:$AJ$104,$AN$2,FALSE)</f>
        <v>2</v>
      </c>
      <c r="AN6" s="6" t="str">
        <f>VLOOKUP(AL6,Q$5:$AJ$104,$AN$2+11,FALSE)</f>
        <v>KAY DUNKLEY</v>
      </c>
      <c r="AO6" s="2">
        <f t="shared" ref="AO6:AO69" si="16">VLOOKUP(AM6,$Q$5:$AJ$104,$AN$2+13,FALSE)</f>
        <v>91</v>
      </c>
      <c r="AQ6" s="4">
        <v>2</v>
      </c>
      <c r="AR6" s="2">
        <f>VLOOKUP(AQ6,$S$5:$AJ$104,$AS$2,FALSE)</f>
        <v>2</v>
      </c>
      <c r="AS6" s="6" t="str">
        <f>VLOOKUP(AQ6,$S$5:$AJ$104,$AS$2+9,FALSE)</f>
        <v>KAY DUNKLEY</v>
      </c>
      <c r="AT6" s="2">
        <f>VLOOKUP(AR6,$S$5:$AJ$104,$AS$2+12,FALSE)</f>
        <v>75</v>
      </c>
      <c r="AV6" s="4">
        <v>2</v>
      </c>
      <c r="AW6" s="2">
        <f>VLOOKUP(AV6,$U$5:$AJ$104,$AX$2,FALSE)</f>
        <v>2</v>
      </c>
      <c r="AX6" s="6" t="str">
        <f>VLOOKUP(AV6,$U$5:$AJ$104,$AX$2+7,FALSE)</f>
        <v>ANITA VAN DER LINDE</v>
      </c>
      <c r="AY6" s="2">
        <f>VLOOKUP(AW6,$U$5:$AJ$104,$AX$2+11,FALSE)</f>
        <v>88</v>
      </c>
      <c r="BA6" s="4">
        <v>2</v>
      </c>
      <c r="BB6" s="2">
        <f>VLOOKUP(BA6,$W$5:$AJ$104,$BC$2,FALSE)</f>
        <v>2</v>
      </c>
      <c r="BC6" s="6" t="str">
        <f>VLOOKUP(BA6,$W$5:$AJ$104,$BC$2+5,FALSE)</f>
        <v>ALIDA HOOPER</v>
      </c>
      <c r="BD6" s="58">
        <f>VLOOKUP(BB6,$W$5:$AJ$104,$BC$2+10,FALSE)</f>
        <v>76</v>
      </c>
      <c r="BF6" s="4">
        <v>2</v>
      </c>
      <c r="BG6" s="2">
        <f>VLOOKUP(BF6,$Y$5:$AJ$104,$BH$2,FALSE)</f>
        <v>2</v>
      </c>
      <c r="BH6" s="6" t="str">
        <f>VLOOKUP(BF6,$Y$5:$AJ$104,$BH$2+3,FALSE)</f>
        <v>ANITA VAN DER LINDE</v>
      </c>
      <c r="BI6" s="2">
        <f>VLOOKUP(BF6,$Y$5:$AJ$104,$BH$2+4,FALSE)</f>
        <v>15.830088495575225</v>
      </c>
      <c r="BJ6" s="2">
        <f>VLOOKUP(BG6,$Y$5:$AJ$104,$BH$2+9,FALSE)</f>
        <v>181</v>
      </c>
      <c r="BL6" s="4">
        <v>2</v>
      </c>
      <c r="BM6" s="2">
        <f>VLOOKUP(BL6,$AA$5:$AJ$104,$BN$2,FALSE)</f>
        <v>2</v>
      </c>
      <c r="BN6" s="6" t="str">
        <f>VLOOKUP(BL6,$AA$5:$AJ$104,$BN$2+1,FALSE)</f>
        <v>TARA SMITH</v>
      </c>
      <c r="BO6" s="2">
        <f>VLOOKUP(BM6,$AA$5:$AJ$104,$BN$2+8,FALSE)</f>
        <v>150</v>
      </c>
      <c r="BQ6" s="2">
        <f>'Eclectic B'!CD6</f>
        <v>2</v>
      </c>
      <c r="BR6" s="6" t="str">
        <f>'Eclectic B'!CE6</f>
        <v>ANITA VAN DER LINDE</v>
      </c>
      <c r="BS6" s="103">
        <f>'Eclectic B'!CF6</f>
        <v>79</v>
      </c>
    </row>
    <row r="7" spans="1:85">
      <c r="A7" s="10" t="str">
        <f>IF(ISBLANK(Players!F5),"",Players!F5)</f>
        <v>SONJA</v>
      </c>
      <c r="B7" s="10" t="str">
        <f>IF(ISBLANK(Players!G5),"",Players!G5)</f>
        <v>HOPCROFT</v>
      </c>
      <c r="C7" s="10">
        <f>IF(ISBLANK(Players!I5),"",Players!I5)</f>
        <v>11.4</v>
      </c>
      <c r="D7" s="69">
        <f>IF(ISNUMBER(C7),MIN((C7*Rules!$N$14/113)+(Rules!$N$13-Rules!$N$12),Rules!$N$37),"-")</f>
        <v>13.108849557522127</v>
      </c>
      <c r="E7" s="69">
        <f>IF(ISNUMBER(C7),    ROUND( (D7*Rules!$N$11) / 100,0),"-")</f>
        <v>13</v>
      </c>
      <c r="F7" s="36" t="str">
        <f>IF(AND(ISNUMBER(C7),C7&gt;=Rules!$M$17,C7&lt;=Rules!$N$17),"Y","N")</f>
        <v>Y</v>
      </c>
      <c r="G7" s="137">
        <f>'Eclectic B'!M7</f>
        <v>45</v>
      </c>
      <c r="H7" s="137">
        <f>'Eclectic B'!W7</f>
        <v>48</v>
      </c>
      <c r="I7" s="137">
        <f>'Eclectic B'!AJ7</f>
        <v>48</v>
      </c>
      <c r="J7" s="137">
        <f>'Eclectic B'!AT7</f>
        <v>45</v>
      </c>
      <c r="K7" s="14">
        <f t="shared" si="1"/>
        <v>93</v>
      </c>
      <c r="L7" s="14">
        <f t="shared" si="2"/>
        <v>80</v>
      </c>
      <c r="M7" s="14">
        <f t="shared" si="3"/>
        <v>93</v>
      </c>
      <c r="N7" s="14">
        <f t="shared" si="4"/>
        <v>80</v>
      </c>
      <c r="O7" s="14">
        <f t="shared" si="5"/>
        <v>186</v>
      </c>
      <c r="P7" s="14">
        <f t="shared" si="6"/>
        <v>160</v>
      </c>
      <c r="Q7" s="14">
        <f>RANK($K7,$K$5:$K$104,1)+COUNTIF(K$5:K7,K7)-1</f>
        <v>3</v>
      </c>
      <c r="R7" s="14">
        <f t="shared" si="7"/>
        <v>3</v>
      </c>
      <c r="S7" s="14">
        <f>RANK($L7,$L$5:$L$104,1)+COUNTIF(L$5:L7,L7)-1</f>
        <v>4</v>
      </c>
      <c r="T7" s="14">
        <f t="shared" si="8"/>
        <v>4</v>
      </c>
      <c r="U7" s="14">
        <f>RANK($M7,$M$5:$M$104,1)+COUNTIF(M$5:M7,M7)-1</f>
        <v>4</v>
      </c>
      <c r="V7" s="14">
        <f t="shared" si="9"/>
        <v>4</v>
      </c>
      <c r="W7" s="14">
        <f>RANK($N7,$N$5:$N$104,1)+COUNTIF(N$5:N7,N7)-1</f>
        <v>4</v>
      </c>
      <c r="X7" s="14">
        <f t="shared" si="10"/>
        <v>4</v>
      </c>
      <c r="Y7" s="14">
        <f>RANK($O7,$O$5:$O$104,1)+COUNTIF(O$5:O7,O7)-1</f>
        <v>4</v>
      </c>
      <c r="Z7" s="14">
        <f t="shared" si="11"/>
        <v>3</v>
      </c>
      <c r="AA7" s="14">
        <f>RANK($P7,$P$5:$P$104,1)+COUNTIF(P$5:P7,P7)-1</f>
        <v>5</v>
      </c>
      <c r="AB7" s="14">
        <f t="shared" si="12"/>
        <v>5</v>
      </c>
      <c r="AC7" s="1" t="str">
        <f t="shared" si="13"/>
        <v>SONJA HOPCROFT</v>
      </c>
      <c r="AD7" s="1">
        <f t="shared" si="14"/>
        <v>13.108849557522127</v>
      </c>
      <c r="AE7" s="35">
        <f t="shared" si="15"/>
        <v>93</v>
      </c>
      <c r="AF7" s="35">
        <f t="shared" si="15"/>
        <v>80</v>
      </c>
      <c r="AG7" s="35">
        <f t="shared" si="15"/>
        <v>93</v>
      </c>
      <c r="AH7" s="35">
        <f t="shared" si="15"/>
        <v>80</v>
      </c>
      <c r="AI7" s="35">
        <f t="shared" si="15"/>
        <v>186</v>
      </c>
      <c r="AJ7" s="35">
        <f t="shared" si="15"/>
        <v>160</v>
      </c>
      <c r="AL7" s="4">
        <v>3</v>
      </c>
      <c r="AM7" s="2">
        <f>VLOOKUP(AL7,Q$5:$AJ$104,$AN$2,FALSE)</f>
        <v>3</v>
      </c>
      <c r="AN7" s="6" t="str">
        <f>VLOOKUP(AL7,Q$5:$AJ$104,$AN$2+11,FALSE)</f>
        <v>SONJA HOPCROFT</v>
      </c>
      <c r="AO7" s="2">
        <f t="shared" si="16"/>
        <v>93</v>
      </c>
      <c r="AQ7" s="4">
        <v>3</v>
      </c>
      <c r="AR7" s="2">
        <f>VLOOKUP(AQ7,$S$5:$AJ$104,$AS$2,FALSE)</f>
        <v>3</v>
      </c>
      <c r="AS7" s="6" t="str">
        <f>VLOOKUP(AQ7,$S$5:$AJ$104,$AS$2+9,FALSE)</f>
        <v>ANITA VAN DER LINDE</v>
      </c>
      <c r="AT7" s="2">
        <f>VLOOKUP(AR7,$S$5:$AJ$104,$AS$2+12,FALSE)</f>
        <v>77</v>
      </c>
      <c r="AV7" s="4">
        <v>3</v>
      </c>
      <c r="AW7" s="2">
        <f>VLOOKUP(AV7,$U$5:$AJ$104,$AX$2,FALSE)</f>
        <v>3</v>
      </c>
      <c r="AX7" s="6" t="str">
        <f>VLOOKUP(AV7,$U$5:$AJ$104,$AX$2+7,FALSE)</f>
        <v>ALIDA HOOPER</v>
      </c>
      <c r="AY7" s="2">
        <f>VLOOKUP(AW7,$U$5:$AJ$104,$AX$2+11,FALSE)</f>
        <v>91</v>
      </c>
      <c r="BA7" s="4">
        <v>3</v>
      </c>
      <c r="BB7" s="2">
        <f>VLOOKUP(BA7,$W$5:$AJ$104,$BC$2,FALSE)</f>
        <v>3</v>
      </c>
      <c r="BC7" s="6" t="str">
        <f>VLOOKUP(BA7,$W$5:$AJ$104,$BC$2+5,FALSE)</f>
        <v>KAY DUNKLEY</v>
      </c>
      <c r="BD7" s="58">
        <f>VLOOKUP(BB7,$W$5:$AJ$104,$BC$2+10,FALSE)</f>
        <v>79</v>
      </c>
      <c r="BF7" s="4">
        <v>3</v>
      </c>
      <c r="BG7" s="2">
        <f>VLOOKUP(BF7,$Y$5:$AJ$104,$BH$2,FALSE)</f>
        <v>3</v>
      </c>
      <c r="BH7" s="6" t="str">
        <f>VLOOKUP(BF7,$Y$5:$AJ$104,$BH$2+3,FALSE)</f>
        <v>KAY DUNKLEY</v>
      </c>
      <c r="BI7" s="2">
        <f>VLOOKUP(BF7,$Y$5:$AJ$104,$BH$2+4,FALSE)</f>
        <v>16.156637168141593</v>
      </c>
      <c r="BJ7" s="2">
        <f>VLOOKUP(BG7,$Y$5:$AJ$104,$BH$2+9,FALSE)</f>
        <v>186</v>
      </c>
      <c r="BL7" s="4">
        <v>3</v>
      </c>
      <c r="BM7" s="2">
        <f>VLOOKUP(BL7,$AA$5:$AJ$104,$BN$2,FALSE)</f>
        <v>3</v>
      </c>
      <c r="BN7" s="6" t="str">
        <f>VLOOKUP(BL7,$AA$5:$AJ$104,$BN$2+1,FALSE)</f>
        <v>KAY DUNKLEY</v>
      </c>
      <c r="BO7" s="2">
        <f>VLOOKUP(BM7,$AA$5:$AJ$104,$BN$2+8,FALSE)</f>
        <v>154</v>
      </c>
      <c r="BQ7" s="2">
        <f>'Eclectic B'!CD7</f>
        <v>3</v>
      </c>
      <c r="BR7" s="6" t="str">
        <f>'Eclectic B'!CE7</f>
        <v>KAY DUNKLEY</v>
      </c>
      <c r="BS7" s="103">
        <f>'Eclectic B'!CF7</f>
        <v>80</v>
      </c>
    </row>
    <row r="8" spans="1:85">
      <c r="A8" s="10" t="str">
        <f>IF(ISBLANK(Players!F6),"",Players!F6)</f>
        <v>TARA</v>
      </c>
      <c r="B8" s="10" t="str">
        <f>IF(ISBLANK(Players!G6),"",Players!G6)</f>
        <v>SMITH</v>
      </c>
      <c r="C8" s="10">
        <f>IF(ISBLANK(Players!I6),"",Players!I6)</f>
        <v>1</v>
      </c>
      <c r="D8" s="69">
        <f>IF(ISNUMBER(C8),MIN((C8*Rules!$N$14/113)+(Rules!$N$13-Rules!$N$12),Rules!$N$37),"-")</f>
        <v>1.7884955752212417</v>
      </c>
      <c r="E8" s="69">
        <f>IF(ISNUMBER(C8),    ROUND( (D8*Rules!$N$11) / 100,0),"-")</f>
        <v>2</v>
      </c>
      <c r="F8" s="36" t="str">
        <f>IF(AND(ISNUMBER(C8),C8&gt;=Rules!$M$17,C8&lt;=Rules!$N$17),"Y","N")</f>
        <v>N</v>
      </c>
      <c r="G8" s="137">
        <f>'Eclectic B'!M8</f>
        <v>34</v>
      </c>
      <c r="H8" s="137">
        <f>'Eclectic B'!W8</f>
        <v>38</v>
      </c>
      <c r="I8" s="137">
        <f>'Eclectic B'!AJ8</f>
        <v>40</v>
      </c>
      <c r="J8" s="137">
        <f>'Eclectic B'!AT8</f>
        <v>42</v>
      </c>
      <c r="K8" s="14">
        <f t="shared" si="1"/>
        <v>72</v>
      </c>
      <c r="L8" s="14">
        <f t="shared" si="2"/>
        <v>70</v>
      </c>
      <c r="M8" s="14">
        <f t="shared" si="3"/>
        <v>82</v>
      </c>
      <c r="N8" s="14">
        <f t="shared" si="4"/>
        <v>80</v>
      </c>
      <c r="O8" s="14">
        <f t="shared" si="5"/>
        <v>154</v>
      </c>
      <c r="P8" s="14">
        <f t="shared" si="6"/>
        <v>150</v>
      </c>
      <c r="Q8" s="14">
        <f>RANK($K8,$K$5:$K$104,1)+COUNTIF(K$5:K8,K8)-1</f>
        <v>1</v>
      </c>
      <c r="R8" s="14">
        <f t="shared" si="7"/>
        <v>1</v>
      </c>
      <c r="S8" s="14">
        <f>RANK($L8,$L$5:$L$104,1)+COUNTIF(L$5:L8,L8)-1</f>
        <v>1</v>
      </c>
      <c r="T8" s="14">
        <f t="shared" si="8"/>
        <v>1</v>
      </c>
      <c r="U8" s="14">
        <f>RANK($M8,$M$5:$M$104,1)+COUNTIF(M$5:M8,M8)-1</f>
        <v>1</v>
      </c>
      <c r="V8" s="14">
        <f t="shared" si="9"/>
        <v>1</v>
      </c>
      <c r="W8" s="14">
        <f>RANK($N8,$N$5:$N$104,1)+COUNTIF(N$5:N8,N8)-1</f>
        <v>5</v>
      </c>
      <c r="X8" s="14">
        <f t="shared" si="10"/>
        <v>4</v>
      </c>
      <c r="Y8" s="14">
        <f>RANK($O8,$O$5:$O$104,1)+COUNTIF(O$5:O8,O8)-1</f>
        <v>1</v>
      </c>
      <c r="Z8" s="14">
        <f t="shared" si="11"/>
        <v>1</v>
      </c>
      <c r="AA8" s="14">
        <f>RANK($P8,$P$5:$P$104,1)+COUNTIF(P$5:P8,P8)-1</f>
        <v>2</v>
      </c>
      <c r="AB8" s="14">
        <f t="shared" si="12"/>
        <v>2</v>
      </c>
      <c r="AC8" s="1" t="str">
        <f>A8 &amp; " " &amp; B8</f>
        <v>TARA SMITH</v>
      </c>
      <c r="AD8" s="1">
        <f t="shared" si="14"/>
        <v>1.7884955752212417</v>
      </c>
      <c r="AE8" s="35">
        <f t="shared" si="15"/>
        <v>72</v>
      </c>
      <c r="AF8" s="35">
        <f t="shared" si="15"/>
        <v>70</v>
      </c>
      <c r="AG8" s="35">
        <f t="shared" si="15"/>
        <v>82</v>
      </c>
      <c r="AH8" s="35">
        <f t="shared" si="15"/>
        <v>80</v>
      </c>
      <c r="AI8" s="35">
        <f t="shared" si="15"/>
        <v>154</v>
      </c>
      <c r="AJ8" s="35">
        <f t="shared" si="15"/>
        <v>150</v>
      </c>
      <c r="AL8" s="4">
        <v>4</v>
      </c>
      <c r="AM8" s="2">
        <f>VLOOKUP(AL8,Q$5:$AJ$104,$AN$2,FALSE)</f>
        <v>3</v>
      </c>
      <c r="AN8" s="6" t="str">
        <f>VLOOKUP(AL8,Q$5:$AJ$104,$AN$2+11,FALSE)</f>
        <v>ANITA VAN DER LINDE</v>
      </c>
      <c r="AO8" s="2">
        <f t="shared" si="16"/>
        <v>93</v>
      </c>
      <c r="AQ8" s="4">
        <v>4</v>
      </c>
      <c r="AR8" s="2">
        <f>VLOOKUP(AQ8,$S$5:$AJ$104,$AS$2,FALSE)</f>
        <v>4</v>
      </c>
      <c r="AS8" s="6" t="str">
        <f>VLOOKUP(AQ8,$S$5:$AJ$104,$AS$2+9,FALSE)</f>
        <v>SONJA HOPCROFT</v>
      </c>
      <c r="AT8" s="2">
        <f>VLOOKUP(AR8,$S$5:$AJ$104,$AS$2+12,FALSE)</f>
        <v>80</v>
      </c>
      <c r="AV8" s="4">
        <v>4</v>
      </c>
      <c r="AW8" s="2">
        <f>VLOOKUP(AV8,$U$5:$AJ$104,$AX$2,FALSE)</f>
        <v>4</v>
      </c>
      <c r="AX8" s="6" t="str">
        <f>VLOOKUP(AV8,$U$5:$AJ$104,$AX$2+7,FALSE)</f>
        <v>SONJA HOPCROFT</v>
      </c>
      <c r="AY8" s="2">
        <f>VLOOKUP(AW8,$U$5:$AJ$104,$AX$2+11,FALSE)</f>
        <v>93</v>
      </c>
      <c r="BA8" s="4">
        <v>4</v>
      </c>
      <c r="BB8" s="2">
        <f>VLOOKUP(BA8,$W$5:$AJ$104,$BC$2,FALSE)</f>
        <v>4</v>
      </c>
      <c r="BC8" s="6" t="str">
        <f>VLOOKUP(BA8,$W$5:$AJ$104,$BC$2+5,FALSE)</f>
        <v>SONJA HOPCROFT</v>
      </c>
      <c r="BD8" s="58">
        <f>VLOOKUP(BB8,$W$5:$AJ$104,$BC$2+10,FALSE)</f>
        <v>80</v>
      </c>
      <c r="BF8" s="4">
        <v>4</v>
      </c>
      <c r="BG8" s="2">
        <f>VLOOKUP(BF8,$Y$5:$AJ$104,$BH$2,FALSE)</f>
        <v>3</v>
      </c>
      <c r="BH8" s="6" t="str">
        <f>VLOOKUP(BF8,$Y$5:$AJ$104,$BH$2+3,FALSE)</f>
        <v>SONJA HOPCROFT</v>
      </c>
      <c r="BI8" s="2">
        <f>VLOOKUP(BF8,$Y$5:$AJ$104,$BH$2+4,FALSE)</f>
        <v>13.108849557522127</v>
      </c>
      <c r="BJ8" s="2">
        <f>VLOOKUP(BG8,$Y$5:$AJ$104,$BH$2+9,FALSE)</f>
        <v>186</v>
      </c>
      <c r="BL8" s="4">
        <v>4</v>
      </c>
      <c r="BM8" s="2">
        <f>VLOOKUP(BL8,$AA$5:$AJ$104,$BN$2,FALSE)</f>
        <v>4</v>
      </c>
      <c r="BN8" s="6" t="str">
        <f>VLOOKUP(BL8,$AA$5:$AJ$104,$BN$2+1,FALSE)</f>
        <v>ALIDA HOOPER</v>
      </c>
      <c r="BO8" s="2">
        <f>VLOOKUP(BM8,$AA$5:$AJ$104,$BN$2+8,FALSE)</f>
        <v>158</v>
      </c>
      <c r="BQ8" s="2">
        <f>'Eclectic B'!CD8</f>
        <v>4</v>
      </c>
      <c r="BR8" s="6" t="str">
        <f>'Eclectic B'!CE8</f>
        <v>SONJA HOPCROFT</v>
      </c>
      <c r="BS8" s="103">
        <f>'Eclectic B'!CF8</f>
        <v>80.75</v>
      </c>
    </row>
    <row r="9" spans="1:85">
      <c r="A9" s="10" t="str">
        <f>IF(ISBLANK(Players!F7),"",Players!F7)</f>
        <v>ANITA</v>
      </c>
      <c r="B9" s="10" t="str">
        <f>IF(ISBLANK(Players!G7),"",Players!G7)</f>
        <v>VAN DER LINDE</v>
      </c>
      <c r="C9" s="10">
        <f>IF(ISBLANK(Players!I7),"",Players!I7)</f>
        <v>13.9</v>
      </c>
      <c r="D9" s="69">
        <f>IF(ISNUMBER(C9),MIN((C9*Rules!$N$14/113)+(Rules!$N$13-Rules!$N$12),Rules!$N$37),"-")</f>
        <v>15.830088495575225</v>
      </c>
      <c r="E9" s="69">
        <f>IF(ISNUMBER(C9),    ROUND( (D9*Rules!$N$11) / 100,0),"-")</f>
        <v>16</v>
      </c>
      <c r="F9" s="36" t="str">
        <f>IF(AND(ISNUMBER(C9),C9&gt;=Rules!$M$17,C9&lt;=Rules!$N$17),"Y","N")</f>
        <v>Y</v>
      </c>
      <c r="G9" s="137">
        <f>'Eclectic B'!M9</f>
        <v>45</v>
      </c>
      <c r="H9" s="137">
        <f>'Eclectic B'!W9</f>
        <v>48</v>
      </c>
      <c r="I9" s="137">
        <f>'Eclectic B'!AJ9</f>
        <v>43</v>
      </c>
      <c r="J9" s="137">
        <f>'Eclectic B'!AT9</f>
        <v>45</v>
      </c>
      <c r="K9" s="14">
        <f t="shared" si="1"/>
        <v>93</v>
      </c>
      <c r="L9" s="14">
        <f t="shared" si="2"/>
        <v>77</v>
      </c>
      <c r="M9" s="14">
        <f t="shared" si="3"/>
        <v>88</v>
      </c>
      <c r="N9" s="14">
        <f t="shared" si="4"/>
        <v>72</v>
      </c>
      <c r="O9" s="14">
        <f t="shared" si="5"/>
        <v>181</v>
      </c>
      <c r="P9" s="14">
        <f t="shared" si="6"/>
        <v>149</v>
      </c>
      <c r="Q9" s="14">
        <f>RANK($K9,$K$5:$K$104,1)+COUNTIF(K$5:K9,K9)-1</f>
        <v>4</v>
      </c>
      <c r="R9" s="14">
        <f t="shared" si="7"/>
        <v>3</v>
      </c>
      <c r="S9" s="14">
        <f>RANK($L9,$L$5:$L$104,1)+COUNTIF(L$5:L9,L9)-1</f>
        <v>3</v>
      </c>
      <c r="T9" s="14">
        <f t="shared" si="8"/>
        <v>3</v>
      </c>
      <c r="U9" s="14">
        <f>RANK($M9,$M$5:$M$104,1)+COUNTIF(M$5:M9,M9)-1</f>
        <v>2</v>
      </c>
      <c r="V9" s="14">
        <f t="shared" si="9"/>
        <v>2</v>
      </c>
      <c r="W9" s="14">
        <f>RANK($N9,$N$5:$N$104,1)+COUNTIF(N$5:N9,N9)-1</f>
        <v>1</v>
      </c>
      <c r="X9" s="14">
        <f t="shared" si="10"/>
        <v>1</v>
      </c>
      <c r="Y9" s="14">
        <f>RANK($O9,$O$5:$O$104,1)+COUNTIF(O$5:O9,O9)-1</f>
        <v>2</v>
      </c>
      <c r="Z9" s="14">
        <f t="shared" si="11"/>
        <v>2</v>
      </c>
      <c r="AA9" s="14">
        <f>RANK($P9,$P$5:$P$104,1)+COUNTIF(P$5:P9,P9)-1</f>
        <v>1</v>
      </c>
      <c r="AB9" s="14">
        <f t="shared" si="12"/>
        <v>1</v>
      </c>
      <c r="AC9" s="1" t="str">
        <f>A9 &amp; " " &amp; B9</f>
        <v>ANITA VAN DER LINDE</v>
      </c>
      <c r="AD9" s="1">
        <f t="shared" si="14"/>
        <v>15.830088495575225</v>
      </c>
      <c r="AE9" s="35">
        <f t="shared" si="15"/>
        <v>93</v>
      </c>
      <c r="AF9" s="35">
        <f t="shared" si="15"/>
        <v>77</v>
      </c>
      <c r="AG9" s="35">
        <f t="shared" si="15"/>
        <v>88</v>
      </c>
      <c r="AH9" s="35">
        <f t="shared" si="15"/>
        <v>72</v>
      </c>
      <c r="AI9" s="35">
        <f t="shared" si="15"/>
        <v>181</v>
      </c>
      <c r="AJ9" s="35">
        <f t="shared" si="15"/>
        <v>149</v>
      </c>
      <c r="AL9" s="4">
        <v>5</v>
      </c>
      <c r="AM9" s="2">
        <f>VLOOKUP(AL9,Q$5:$AJ$104,$AN$2,FALSE)</f>
        <v>5</v>
      </c>
      <c r="AN9" s="6" t="str">
        <f>VLOOKUP(AL9,Q$5:$AJ$104,$AN$2+11,FALSE)</f>
        <v>ALIDA HOOPER</v>
      </c>
      <c r="AO9" s="2">
        <f t="shared" si="16"/>
        <v>97</v>
      </c>
      <c r="AQ9" s="4">
        <v>5</v>
      </c>
      <c r="AR9" s="2">
        <f>VLOOKUP(AQ9,$S$5:$AJ$104,$AS$2,FALSE)</f>
        <v>5</v>
      </c>
      <c r="AS9" s="6" t="str">
        <f>VLOOKUP(AQ9,$S$5:$AJ$104,$AS$2+9,FALSE)</f>
        <v>ALIDA HOOPER</v>
      </c>
      <c r="AT9" s="2">
        <f>VLOOKUP(AR9,$S$5:$AJ$104,$AS$2+12,FALSE)</f>
        <v>82</v>
      </c>
      <c r="AV9" s="4">
        <v>5</v>
      </c>
      <c r="AW9" s="2">
        <f>VLOOKUP(AV9,$U$5:$AJ$104,$AX$2,FALSE)</f>
        <v>5</v>
      </c>
      <c r="AX9" s="6" t="str">
        <f>VLOOKUP(AV9,$U$5:$AJ$104,$AX$2+7,FALSE)</f>
        <v>KAY DUNKLEY</v>
      </c>
      <c r="AY9" s="2">
        <f>VLOOKUP(AW9,$U$5:$AJ$104,$AX$2+11,FALSE)</f>
        <v>95</v>
      </c>
      <c r="BA9" s="4">
        <v>5</v>
      </c>
      <c r="BB9" s="2">
        <f>VLOOKUP(BA9,$W$5:$AJ$104,$BC$2,FALSE)</f>
        <v>4</v>
      </c>
      <c r="BC9" s="6" t="str">
        <f>VLOOKUP(BA9,$W$5:$AJ$104,$BC$2+5,FALSE)</f>
        <v>TARA SMITH</v>
      </c>
      <c r="BD9" s="58">
        <f>VLOOKUP(BB9,$W$5:$AJ$104,$BC$2+10,FALSE)</f>
        <v>80</v>
      </c>
      <c r="BF9" s="4">
        <v>5</v>
      </c>
      <c r="BG9" s="2">
        <f>VLOOKUP(BF9,$Y$5:$AJ$104,$BH$2,FALSE)</f>
        <v>5</v>
      </c>
      <c r="BH9" s="6" t="str">
        <f>VLOOKUP(BF9,$Y$5:$AJ$104,$BH$2+3,FALSE)</f>
        <v>ALIDA HOOPER</v>
      </c>
      <c r="BI9" s="2">
        <f>VLOOKUP(BF9,$Y$5:$AJ$104,$BH$2+4,FALSE)</f>
        <v>15.285840707964605</v>
      </c>
      <c r="BJ9" s="2">
        <f>VLOOKUP(BG9,$Y$5:$AJ$104,$BH$2+9,FALSE)</f>
        <v>188</v>
      </c>
      <c r="BL9" s="4">
        <v>5</v>
      </c>
      <c r="BM9" s="2">
        <f>VLOOKUP(BL9,$AA$5:$AJ$104,$BN$2,FALSE)</f>
        <v>5</v>
      </c>
      <c r="BN9" s="6" t="str">
        <f>VLOOKUP(BL9,$AA$5:$AJ$104,$BN$2+1,FALSE)</f>
        <v>SONJA HOPCROFT</v>
      </c>
      <c r="BO9" s="2">
        <f>VLOOKUP(BM9,$AA$5:$AJ$104,$BN$2+8,FALSE)</f>
        <v>160</v>
      </c>
      <c r="BQ9" s="2">
        <f>'Eclectic B'!CD9</f>
        <v>5</v>
      </c>
      <c r="BR9" s="6" t="str">
        <f>'Eclectic B'!CE9</f>
        <v>ALIDA HOOPER</v>
      </c>
      <c r="BS9" s="103">
        <f>'Eclectic B'!CF9</f>
        <v>81.25</v>
      </c>
    </row>
    <row r="10" spans="1:85">
      <c r="A10" s="10" t="str">
        <f>IF(ISBLANK(Players!F8),"",Players!F8)</f>
        <v/>
      </c>
      <c r="B10" s="10" t="str">
        <f>IF(ISBLANK(Players!G8),"",Players!G8)</f>
        <v/>
      </c>
      <c r="C10" s="10" t="str">
        <f>IF(ISBLANK(Players!I8),"",Players!I8)</f>
        <v/>
      </c>
      <c r="D10" s="69" t="str">
        <f>IF(ISNUMBER(C10),MIN((C10*Rules!$N$14/113)+(Rules!$N$13-Rules!$N$12),Rules!$N$37),"-")</f>
        <v>-</v>
      </c>
      <c r="E10" s="69" t="str">
        <f>IF(ISNUMBER(C10),    ROUND( (D10*Rules!$N$11) / 100,0),"-")</f>
        <v>-</v>
      </c>
      <c r="F10" s="36" t="str">
        <f>IF(AND(ISNUMBER(C10),C10&gt;=Rules!$M$17,C10&lt;=Rules!$N$17),"Y","N")</f>
        <v>N</v>
      </c>
      <c r="G10" s="137" t="str">
        <f>'Eclectic B'!M10</f>
        <v>-</v>
      </c>
      <c r="H10" s="137" t="str">
        <f>'Eclectic B'!W10</f>
        <v>-</v>
      </c>
      <c r="I10" s="137" t="str">
        <f>'Eclectic B'!AJ10</f>
        <v>-</v>
      </c>
      <c r="J10" s="137" t="str">
        <f>'Eclectic B'!AT10</f>
        <v>-</v>
      </c>
      <c r="K10" s="14" t="str">
        <f t="shared" si="1"/>
        <v>-</v>
      </c>
      <c r="L10" s="14" t="str">
        <f t="shared" si="2"/>
        <v>-</v>
      </c>
      <c r="M10" s="14" t="str">
        <f t="shared" si="3"/>
        <v>-</v>
      </c>
      <c r="N10" s="14" t="str">
        <f t="shared" si="4"/>
        <v>-</v>
      </c>
      <c r="O10" s="14" t="str">
        <f t="shared" si="5"/>
        <v>-</v>
      </c>
      <c r="P10" s="14" t="str">
        <f t="shared" si="6"/>
        <v>-</v>
      </c>
      <c r="Q10" s="14" t="e">
        <f>RANK($K10,$K$5:$K$104,1)+COUNTIF(K$5:K10,K10)-1</f>
        <v>#VALUE!</v>
      </c>
      <c r="R10" s="14" t="e">
        <f t="shared" si="7"/>
        <v>#VALUE!</v>
      </c>
      <c r="S10" s="14" t="e">
        <f>RANK($L10,$L$5:$L$104,1)+COUNTIF(L$5:L10,L10)-1</f>
        <v>#VALUE!</v>
      </c>
      <c r="T10" s="14" t="e">
        <f t="shared" si="8"/>
        <v>#VALUE!</v>
      </c>
      <c r="U10" s="14" t="e">
        <f>RANK($M10,$M$5:$M$104,1)+COUNTIF(M$5:M10,M10)-1</f>
        <v>#VALUE!</v>
      </c>
      <c r="V10" s="14" t="e">
        <f t="shared" si="9"/>
        <v>#VALUE!</v>
      </c>
      <c r="W10" s="14" t="e">
        <f>RANK($N10,$N$5:$N$104,1)+COUNTIF(N$5:N10,N10)-1</f>
        <v>#VALUE!</v>
      </c>
      <c r="X10" s="14" t="e">
        <f t="shared" si="10"/>
        <v>#VALUE!</v>
      </c>
      <c r="Y10" s="14" t="e">
        <f>RANK($O10,$O$5:$O$104,1)+COUNTIF(O$5:O10,O10)-1</f>
        <v>#VALUE!</v>
      </c>
      <c r="Z10" s="14" t="e">
        <f t="shared" si="11"/>
        <v>#VALUE!</v>
      </c>
      <c r="AA10" s="14" t="e">
        <f>RANK($P10,$P$5:$P$104,1)+COUNTIF(P$5:P10,P10)-1</f>
        <v>#VALUE!</v>
      </c>
      <c r="AB10" s="14" t="e">
        <f t="shared" si="12"/>
        <v>#VALUE!</v>
      </c>
      <c r="AC10" s="1" t="str">
        <f>A10 &amp; " " &amp; B10</f>
        <v xml:space="preserve"> </v>
      </c>
      <c r="AD10" s="1" t="str">
        <f t="shared" si="14"/>
        <v>-</v>
      </c>
      <c r="AE10" s="35" t="str">
        <f t="shared" si="15"/>
        <v>-</v>
      </c>
      <c r="AF10" s="35" t="str">
        <f t="shared" si="15"/>
        <v>-</v>
      </c>
      <c r="AG10" s="35" t="str">
        <f t="shared" si="15"/>
        <v>-</v>
      </c>
      <c r="AH10" s="35" t="str">
        <f t="shared" si="15"/>
        <v>-</v>
      </c>
      <c r="AI10" s="35" t="str">
        <f t="shared" si="15"/>
        <v>-</v>
      </c>
      <c r="AJ10" s="35" t="str">
        <f t="shared" si="15"/>
        <v>-</v>
      </c>
      <c r="AL10" s="4">
        <v>6</v>
      </c>
      <c r="AM10" s="2" t="e">
        <f>VLOOKUP(AL10,Q$5:$AJ$104,$AN$2,FALSE)</f>
        <v>#N/A</v>
      </c>
      <c r="AN10" s="6" t="e">
        <f>VLOOKUP(AL10,Q$5:$AJ$104,$AN$2+11,FALSE)</f>
        <v>#N/A</v>
      </c>
      <c r="AO10" s="2" t="e">
        <f t="shared" si="16"/>
        <v>#N/A</v>
      </c>
      <c r="AQ10" s="4">
        <v>6</v>
      </c>
      <c r="AR10" s="2" t="e">
        <f>VLOOKUP(AQ10,$S$5:$AJ$104,$AS$2,FALSE)</f>
        <v>#N/A</v>
      </c>
      <c r="AS10" s="6" t="e">
        <f>VLOOKUP(AQ10,$S$5:$AJ$104,$AS$2+9,FALSE)</f>
        <v>#N/A</v>
      </c>
      <c r="AT10" s="2" t="e">
        <f>VLOOKUP(AR10,$S$5:$AJ$104,$AS$2+12,FALSE)</f>
        <v>#N/A</v>
      </c>
      <c r="AV10" s="4">
        <v>6</v>
      </c>
      <c r="AW10" s="2" t="e">
        <f>VLOOKUP(AV10,$U$5:$AJ$104,$AX$2,FALSE)</f>
        <v>#N/A</v>
      </c>
      <c r="AX10" s="6" t="e">
        <f>VLOOKUP(AV10,$U$5:$AJ$104,$AX$2+7,FALSE)</f>
        <v>#N/A</v>
      </c>
      <c r="AY10" s="2" t="e">
        <f>VLOOKUP(AW10,$U$5:$AJ$104,$AX$2+11,FALSE)</f>
        <v>#N/A</v>
      </c>
      <c r="BA10" s="4">
        <v>6</v>
      </c>
      <c r="BB10" s="2" t="e">
        <f>VLOOKUP(BA10,$W$5:$AJ$104,$BC$2,FALSE)</f>
        <v>#N/A</v>
      </c>
      <c r="BC10" s="6" t="e">
        <f>VLOOKUP(BA10,$W$5:$AJ$104,$BC$2+5,FALSE)</f>
        <v>#N/A</v>
      </c>
      <c r="BD10" s="58" t="e">
        <f>VLOOKUP(BB10,$W$5:$AJ$104,$BC$2+10,FALSE)</f>
        <v>#N/A</v>
      </c>
      <c r="BF10" s="4">
        <v>6</v>
      </c>
      <c r="BG10" s="2" t="e">
        <f>VLOOKUP(BF10,$Y$5:$AJ$104,$BH$2,FALSE)</f>
        <v>#N/A</v>
      </c>
      <c r="BH10" s="6" t="e">
        <f>VLOOKUP(BF10,$Y$5:$AJ$104,$BH$2+3,FALSE)</f>
        <v>#N/A</v>
      </c>
      <c r="BI10" s="2" t="e">
        <f>VLOOKUP(BF10,$Y$5:$AJ$104,$BH$2+4,FALSE)</f>
        <v>#N/A</v>
      </c>
      <c r="BJ10" s="2" t="e">
        <f>VLOOKUP(BG10,$Y$5:$AJ$104,$BH$2+9,FALSE)</f>
        <v>#N/A</v>
      </c>
      <c r="BL10" s="4">
        <v>6</v>
      </c>
      <c r="BM10" s="2" t="e">
        <f>VLOOKUP(BL10,$AA$5:$AJ$104,$BN$2,FALSE)</f>
        <v>#N/A</v>
      </c>
      <c r="BN10" s="6" t="e">
        <f>VLOOKUP(BL10,$AA$5:$AJ$104,$BN$2+1,FALSE)</f>
        <v>#N/A</v>
      </c>
      <c r="BO10" s="2" t="e">
        <f>VLOOKUP(BM10,$AA$5:$AJ$104,$BN$2+8,FALSE)</f>
        <v>#N/A</v>
      </c>
      <c r="BQ10" s="2" t="e">
        <f>'Eclectic B'!CD10</f>
        <v>#N/A</v>
      </c>
      <c r="BR10" s="6" t="e">
        <f>'Eclectic B'!CE10</f>
        <v>#N/A</v>
      </c>
      <c r="BS10" s="103" t="e">
        <f>'Eclectic B'!CF10</f>
        <v>#N/A</v>
      </c>
    </row>
    <row r="11" spans="1:85">
      <c r="A11" s="10" t="str">
        <f>IF(ISBLANK(Players!F9),"",Players!F9)</f>
        <v/>
      </c>
      <c r="B11" s="10" t="str">
        <f>IF(ISBLANK(Players!G9),"",Players!G9)</f>
        <v/>
      </c>
      <c r="C11" s="10" t="str">
        <f>IF(ISBLANK(Players!I9),"",Players!I9)</f>
        <v/>
      </c>
      <c r="D11" s="69" t="str">
        <f>IF(ISNUMBER(C11),MIN((C11*Rules!$N$14/113)+(Rules!$N$13-Rules!$N$12),Rules!$N$37),"-")</f>
        <v>-</v>
      </c>
      <c r="E11" s="69" t="str">
        <f>IF(ISNUMBER(C11),    ROUND( (D11*Rules!$N$11) / 100,0),"-")</f>
        <v>-</v>
      </c>
      <c r="F11" s="36" t="str">
        <f>IF(AND(ISNUMBER(C11),C11&gt;=Rules!$M$17,C11&lt;=Rules!$N$17),"Y","N")</f>
        <v>N</v>
      </c>
      <c r="G11" s="137" t="str">
        <f>'Eclectic B'!M11</f>
        <v>-</v>
      </c>
      <c r="H11" s="137" t="str">
        <f>'Eclectic B'!W11</f>
        <v>-</v>
      </c>
      <c r="I11" s="137" t="str">
        <f>'Eclectic B'!AJ11</f>
        <v>-</v>
      </c>
      <c r="J11" s="137" t="str">
        <f>'Eclectic B'!AT11</f>
        <v>-</v>
      </c>
      <c r="K11" s="14" t="str">
        <f t="shared" si="1"/>
        <v>-</v>
      </c>
      <c r="L11" s="14" t="str">
        <f t="shared" si="2"/>
        <v>-</v>
      </c>
      <c r="M11" s="14" t="str">
        <f t="shared" si="3"/>
        <v>-</v>
      </c>
      <c r="N11" s="14" t="str">
        <f t="shared" si="4"/>
        <v>-</v>
      </c>
      <c r="O11" s="14" t="str">
        <f t="shared" si="5"/>
        <v>-</v>
      </c>
      <c r="P11" s="14" t="str">
        <f t="shared" si="6"/>
        <v>-</v>
      </c>
      <c r="Q11" s="14" t="e">
        <f>RANK($K11,$K$5:$K$104,1)+COUNTIF(K$5:K11,K11)-1</f>
        <v>#VALUE!</v>
      </c>
      <c r="R11" s="14" t="e">
        <f t="shared" si="7"/>
        <v>#VALUE!</v>
      </c>
      <c r="S11" s="14" t="e">
        <f>RANK($L11,$L$5:$L$104,1)+COUNTIF(L$5:L11,L11)-1</f>
        <v>#VALUE!</v>
      </c>
      <c r="T11" s="14" t="e">
        <f t="shared" si="8"/>
        <v>#VALUE!</v>
      </c>
      <c r="U11" s="14" t="e">
        <f>RANK($M11,$M$5:$M$104,1)+COUNTIF(M$5:M11,M11)-1</f>
        <v>#VALUE!</v>
      </c>
      <c r="V11" s="14" t="e">
        <f t="shared" si="9"/>
        <v>#VALUE!</v>
      </c>
      <c r="W11" s="14" t="e">
        <f>RANK($N11,$N$5:$N$104,1)+COUNTIF(N$5:N11,N11)-1</f>
        <v>#VALUE!</v>
      </c>
      <c r="X11" s="14" t="e">
        <f t="shared" si="10"/>
        <v>#VALUE!</v>
      </c>
      <c r="Y11" s="14" t="e">
        <f>RANK($O11,$O$5:$O$104,1)+COUNTIF(O$5:O11,O11)-1</f>
        <v>#VALUE!</v>
      </c>
      <c r="Z11" s="14" t="e">
        <f t="shared" si="11"/>
        <v>#VALUE!</v>
      </c>
      <c r="AA11" s="14" t="e">
        <f>RANK($P11,$P$5:$P$104,1)+COUNTIF(P$5:P11,P11)-1</f>
        <v>#VALUE!</v>
      </c>
      <c r="AB11" s="14" t="e">
        <f t="shared" si="12"/>
        <v>#VALUE!</v>
      </c>
      <c r="AC11" s="1" t="str">
        <f t="shared" si="13"/>
        <v xml:space="preserve"> </v>
      </c>
      <c r="AD11" s="1" t="str">
        <f t="shared" si="14"/>
        <v>-</v>
      </c>
      <c r="AE11" s="35" t="str">
        <f t="shared" si="15"/>
        <v>-</v>
      </c>
      <c r="AF11" s="35" t="str">
        <f t="shared" si="15"/>
        <v>-</v>
      </c>
      <c r="AG11" s="35" t="str">
        <f t="shared" si="15"/>
        <v>-</v>
      </c>
      <c r="AH11" s="35" t="str">
        <f t="shared" si="15"/>
        <v>-</v>
      </c>
      <c r="AI11" s="35" t="str">
        <f t="shared" si="15"/>
        <v>-</v>
      </c>
      <c r="AJ11" s="35" t="str">
        <f t="shared" si="15"/>
        <v>-</v>
      </c>
      <c r="AL11" s="4">
        <v>7</v>
      </c>
      <c r="AM11" s="2" t="e">
        <f>VLOOKUP(AL11,Q$5:$AJ$104,$AN$2,FALSE)</f>
        <v>#N/A</v>
      </c>
      <c r="AN11" s="6" t="e">
        <f>VLOOKUP(AL11,Q$5:$AJ$104,$AN$2+11,FALSE)</f>
        <v>#N/A</v>
      </c>
      <c r="AO11" s="2" t="e">
        <f t="shared" si="16"/>
        <v>#N/A</v>
      </c>
      <c r="AQ11" s="4">
        <v>7</v>
      </c>
      <c r="AR11" s="2" t="e">
        <f>VLOOKUP(AQ11,$S$5:$AJ$104,$AS$2,FALSE)</f>
        <v>#N/A</v>
      </c>
      <c r="AS11" s="6" t="e">
        <f>VLOOKUP(AQ11,$S$5:$AJ$104,$AS$2+9,FALSE)</f>
        <v>#N/A</v>
      </c>
      <c r="AT11" s="2" t="e">
        <f>VLOOKUP(AR11,$S$5:$AJ$104,$AS$2+12,FALSE)</f>
        <v>#N/A</v>
      </c>
      <c r="AV11" s="4">
        <v>7</v>
      </c>
      <c r="AW11" s="2" t="e">
        <f>VLOOKUP(AV11,$U$5:$AJ$104,$AX$2,FALSE)</f>
        <v>#N/A</v>
      </c>
      <c r="AX11" s="6" t="e">
        <f>VLOOKUP(AV11,$U$5:$AJ$104,$AX$2+7,FALSE)</f>
        <v>#N/A</v>
      </c>
      <c r="AY11" s="2" t="e">
        <f>VLOOKUP(AW11,$U$5:$AJ$104,$AX$2+11,FALSE)</f>
        <v>#N/A</v>
      </c>
      <c r="BA11" s="4">
        <v>7</v>
      </c>
      <c r="BB11" s="2" t="e">
        <f>VLOOKUP(BA11,$W$5:$AJ$104,$BC$2,FALSE)</f>
        <v>#N/A</v>
      </c>
      <c r="BC11" s="6" t="e">
        <f>VLOOKUP(BA11,$W$5:$AJ$104,$BC$2+5,FALSE)</f>
        <v>#N/A</v>
      </c>
      <c r="BD11" s="58" t="e">
        <f>VLOOKUP(BB11,$W$5:$AJ$104,$BC$2+10,FALSE)</f>
        <v>#N/A</v>
      </c>
      <c r="BF11" s="4">
        <v>7</v>
      </c>
      <c r="BG11" s="2" t="e">
        <f>VLOOKUP(BF11,$Y$5:$AJ$104,$BH$2,FALSE)</f>
        <v>#N/A</v>
      </c>
      <c r="BH11" s="6" t="e">
        <f>VLOOKUP(BF11,$Y$5:$AJ$104,$BH$2+3,FALSE)</f>
        <v>#N/A</v>
      </c>
      <c r="BI11" s="2" t="e">
        <f>VLOOKUP(BF11,$Y$5:$AJ$104,$BH$2+4,FALSE)</f>
        <v>#N/A</v>
      </c>
      <c r="BJ11" s="2" t="e">
        <f>VLOOKUP(BG11,$Y$5:$AJ$104,$BH$2+9,FALSE)</f>
        <v>#N/A</v>
      </c>
      <c r="BL11" s="4">
        <v>7</v>
      </c>
      <c r="BM11" s="2" t="e">
        <f>VLOOKUP(BL11,$AA$5:$AJ$104,$BN$2,FALSE)</f>
        <v>#N/A</v>
      </c>
      <c r="BN11" s="6" t="e">
        <f>VLOOKUP(BL11,$AA$5:$AJ$104,$BN$2+1,FALSE)</f>
        <v>#N/A</v>
      </c>
      <c r="BO11" s="2" t="e">
        <f>VLOOKUP(BM11,$AA$5:$AJ$104,$BN$2+8,FALSE)</f>
        <v>#N/A</v>
      </c>
      <c r="BQ11" s="2" t="e">
        <f>'Eclectic B'!CD11</f>
        <v>#N/A</v>
      </c>
      <c r="BR11" s="6" t="e">
        <f>'Eclectic B'!CE11</f>
        <v>#N/A</v>
      </c>
      <c r="BS11" s="103" t="e">
        <f>'Eclectic B'!CF11</f>
        <v>#N/A</v>
      </c>
    </row>
    <row r="12" spans="1:85">
      <c r="A12" s="10" t="str">
        <f>IF(ISBLANK(Players!F10),"",Players!F10)</f>
        <v/>
      </c>
      <c r="B12" s="10" t="str">
        <f>IF(ISBLANK(Players!G10),"",Players!G10)</f>
        <v/>
      </c>
      <c r="C12" s="10" t="str">
        <f>IF(ISBLANK(Players!I10),"",Players!I10)</f>
        <v/>
      </c>
      <c r="D12" s="69" t="str">
        <f>IF(ISNUMBER(C12),MIN((C12*Rules!$N$14/113)+(Rules!$N$13-Rules!$N$12),Rules!$N$37),"-")</f>
        <v>-</v>
      </c>
      <c r="E12" s="69" t="str">
        <f>IF(ISNUMBER(C12),    ROUND( (D12*Rules!$N$11) / 100,0),"-")</f>
        <v>-</v>
      </c>
      <c r="F12" s="36" t="str">
        <f>IF(AND(ISNUMBER(C12),C12&gt;=Rules!$M$17,C12&lt;=Rules!$N$17),"Y","N")</f>
        <v>N</v>
      </c>
      <c r="G12" s="137" t="str">
        <f>'Eclectic B'!M12</f>
        <v>-</v>
      </c>
      <c r="H12" s="137" t="str">
        <f>'Eclectic B'!W12</f>
        <v>-</v>
      </c>
      <c r="I12" s="137" t="str">
        <f>'Eclectic B'!AJ12</f>
        <v>-</v>
      </c>
      <c r="J12" s="137" t="str">
        <f>'Eclectic B'!AT12</f>
        <v>-</v>
      </c>
      <c r="K12" s="14" t="str">
        <f t="shared" si="1"/>
        <v>-</v>
      </c>
      <c r="L12" s="14" t="str">
        <f t="shared" si="2"/>
        <v>-</v>
      </c>
      <c r="M12" s="14" t="str">
        <f t="shared" si="3"/>
        <v>-</v>
      </c>
      <c r="N12" s="14" t="str">
        <f t="shared" si="4"/>
        <v>-</v>
      </c>
      <c r="O12" s="14" t="str">
        <f t="shared" si="5"/>
        <v>-</v>
      </c>
      <c r="P12" s="14" t="str">
        <f t="shared" si="6"/>
        <v>-</v>
      </c>
      <c r="Q12" s="14" t="e">
        <f>RANK($K12,$K$5:$K$104,1)+COUNTIF(K$5:K12,K12)-1</f>
        <v>#VALUE!</v>
      </c>
      <c r="R12" s="14" t="e">
        <f t="shared" si="7"/>
        <v>#VALUE!</v>
      </c>
      <c r="S12" s="14" t="e">
        <f>RANK($L12,$L$5:$L$104,1)+COUNTIF(L$5:L12,L12)-1</f>
        <v>#VALUE!</v>
      </c>
      <c r="T12" s="14" t="e">
        <f t="shared" si="8"/>
        <v>#VALUE!</v>
      </c>
      <c r="U12" s="14" t="e">
        <f>RANK($M12,$M$5:$M$104,1)+COUNTIF(M$5:M12,M12)-1</f>
        <v>#VALUE!</v>
      </c>
      <c r="V12" s="14" t="e">
        <f t="shared" si="9"/>
        <v>#VALUE!</v>
      </c>
      <c r="W12" s="14" t="e">
        <f>RANK($N12,$N$5:$N$104,1)+COUNTIF(N$5:N12,N12)-1</f>
        <v>#VALUE!</v>
      </c>
      <c r="X12" s="14" t="e">
        <f t="shared" si="10"/>
        <v>#VALUE!</v>
      </c>
      <c r="Y12" s="14" t="e">
        <f>RANK($O12,$O$5:$O$104,1)+COUNTIF(O$5:O12,O12)-1</f>
        <v>#VALUE!</v>
      </c>
      <c r="Z12" s="14" t="e">
        <f t="shared" si="11"/>
        <v>#VALUE!</v>
      </c>
      <c r="AA12" s="14" t="e">
        <f>RANK($P12,$P$5:$P$104,1)+COUNTIF(P$5:P12,P12)-1</f>
        <v>#VALUE!</v>
      </c>
      <c r="AB12" s="14" t="e">
        <f t="shared" si="12"/>
        <v>#VALUE!</v>
      </c>
      <c r="AC12" s="1" t="str">
        <f t="shared" si="13"/>
        <v xml:space="preserve"> </v>
      </c>
      <c r="AD12" s="1" t="str">
        <f t="shared" si="14"/>
        <v>-</v>
      </c>
      <c r="AE12" s="35" t="str">
        <f t="shared" si="15"/>
        <v>-</v>
      </c>
      <c r="AF12" s="35" t="str">
        <f t="shared" si="15"/>
        <v>-</v>
      </c>
      <c r="AG12" s="35" t="str">
        <f t="shared" si="15"/>
        <v>-</v>
      </c>
      <c r="AH12" s="35" t="str">
        <f t="shared" si="15"/>
        <v>-</v>
      </c>
      <c r="AI12" s="35" t="str">
        <f t="shared" si="15"/>
        <v>-</v>
      </c>
      <c r="AJ12" s="35" t="str">
        <f t="shared" si="15"/>
        <v>-</v>
      </c>
      <c r="AL12" s="4">
        <v>8</v>
      </c>
      <c r="AM12" s="2" t="e">
        <f>VLOOKUP(AL12,Q$5:$AJ$104,$AN$2,FALSE)</f>
        <v>#N/A</v>
      </c>
      <c r="AN12" s="6" t="e">
        <f>VLOOKUP(AL12,Q$5:$AJ$104,$AN$2+11,FALSE)</f>
        <v>#N/A</v>
      </c>
      <c r="AO12" s="2" t="e">
        <f t="shared" si="16"/>
        <v>#N/A</v>
      </c>
      <c r="AQ12" s="4">
        <v>8</v>
      </c>
      <c r="AR12" s="2" t="e">
        <f>VLOOKUP(AQ12,$S$5:$AJ$104,$AS$2,FALSE)</f>
        <v>#N/A</v>
      </c>
      <c r="AS12" s="6" t="e">
        <f>VLOOKUP(AQ12,$S$5:$AJ$104,$AS$2+9,FALSE)</f>
        <v>#N/A</v>
      </c>
      <c r="AT12" s="2" t="e">
        <f>VLOOKUP(AR12,$S$5:$AJ$104,$AS$2+12,FALSE)</f>
        <v>#N/A</v>
      </c>
      <c r="AV12" s="4">
        <v>8</v>
      </c>
      <c r="AW12" s="2" t="e">
        <f>VLOOKUP(AV12,$U$5:$AJ$104,$AX$2,FALSE)</f>
        <v>#N/A</v>
      </c>
      <c r="AX12" s="6" t="e">
        <f>VLOOKUP(AV12,$U$5:$AJ$104,$AX$2+7,FALSE)</f>
        <v>#N/A</v>
      </c>
      <c r="AY12" s="2" t="e">
        <f>VLOOKUP(AW12,$U$5:$AJ$104,$AX$2+11,FALSE)</f>
        <v>#N/A</v>
      </c>
      <c r="BA12" s="4">
        <v>8</v>
      </c>
      <c r="BB12" s="2" t="e">
        <f>VLOOKUP(BA12,$W$5:$AJ$104,$BC$2,FALSE)</f>
        <v>#N/A</v>
      </c>
      <c r="BC12" s="6" t="e">
        <f>VLOOKUP(BA12,$W$5:$AJ$104,$BC$2+5,FALSE)</f>
        <v>#N/A</v>
      </c>
      <c r="BD12" s="58" t="e">
        <f>VLOOKUP(BB12,$W$5:$AJ$104,$BC$2+10,FALSE)</f>
        <v>#N/A</v>
      </c>
      <c r="BF12" s="4">
        <v>8</v>
      </c>
      <c r="BG12" s="2" t="e">
        <f>VLOOKUP(BF12,$Y$5:$AJ$104,$BH$2,FALSE)</f>
        <v>#N/A</v>
      </c>
      <c r="BH12" s="6" t="e">
        <f>VLOOKUP(BF12,$Y$5:$AJ$104,$BH$2+3,FALSE)</f>
        <v>#N/A</v>
      </c>
      <c r="BI12" s="2" t="e">
        <f>VLOOKUP(BF12,$Y$5:$AJ$104,$BH$2+4,FALSE)</f>
        <v>#N/A</v>
      </c>
      <c r="BJ12" s="2" t="e">
        <f>VLOOKUP(BG12,$Y$5:$AJ$104,$BH$2+9,FALSE)</f>
        <v>#N/A</v>
      </c>
      <c r="BL12" s="4">
        <v>8</v>
      </c>
      <c r="BM12" s="2" t="e">
        <f>VLOOKUP(BL12,$AA$5:$AJ$104,$BN$2,FALSE)</f>
        <v>#N/A</v>
      </c>
      <c r="BN12" s="6" t="e">
        <f>VLOOKUP(BL12,$AA$5:$AJ$104,$BN$2+1,FALSE)</f>
        <v>#N/A</v>
      </c>
      <c r="BO12" s="2" t="e">
        <f>VLOOKUP(BM12,$AA$5:$AJ$104,$BN$2+8,FALSE)</f>
        <v>#N/A</v>
      </c>
      <c r="BQ12" s="2" t="e">
        <f>'Eclectic B'!CD12</f>
        <v>#N/A</v>
      </c>
      <c r="BR12" s="6" t="e">
        <f>'Eclectic B'!CE12</f>
        <v>#N/A</v>
      </c>
      <c r="BS12" s="103" t="e">
        <f>'Eclectic B'!CF12</f>
        <v>#N/A</v>
      </c>
    </row>
    <row r="13" spans="1:85">
      <c r="A13" s="10" t="str">
        <f>IF(ISBLANK(Players!F11),"",Players!F11)</f>
        <v/>
      </c>
      <c r="B13" s="10" t="str">
        <f>IF(ISBLANK(Players!G11),"",Players!G11)</f>
        <v/>
      </c>
      <c r="C13" s="10" t="str">
        <f>IF(ISBLANK(Players!I11),"",Players!I11)</f>
        <v/>
      </c>
      <c r="D13" s="69" t="str">
        <f>IF(ISNUMBER(C13),MIN((C13*Rules!$N$14/113)+(Rules!$N$13-Rules!$N$12),Rules!$N$37),"-")</f>
        <v>-</v>
      </c>
      <c r="E13" s="69" t="str">
        <f>IF(ISNUMBER(C13),    ROUND( (D13*Rules!$N$11) / 100,0),"-")</f>
        <v>-</v>
      </c>
      <c r="F13" s="36" t="str">
        <f>IF(AND(ISNUMBER(C13),C13&gt;=Rules!$M$17,C13&lt;=Rules!$N$17),"Y","N")</f>
        <v>N</v>
      </c>
      <c r="G13" s="137" t="str">
        <f>'Eclectic B'!M13</f>
        <v>-</v>
      </c>
      <c r="H13" s="137" t="str">
        <f>'Eclectic B'!W13</f>
        <v>-</v>
      </c>
      <c r="I13" s="137" t="str">
        <f>'Eclectic B'!AJ13</f>
        <v>-</v>
      </c>
      <c r="J13" s="137" t="str">
        <f>'Eclectic B'!AT13</f>
        <v>-</v>
      </c>
      <c r="K13" s="14" t="str">
        <f t="shared" si="1"/>
        <v>-</v>
      </c>
      <c r="L13" s="14" t="str">
        <f t="shared" si="2"/>
        <v>-</v>
      </c>
      <c r="M13" s="14" t="str">
        <f t="shared" si="3"/>
        <v>-</v>
      </c>
      <c r="N13" s="14" t="str">
        <f t="shared" si="4"/>
        <v>-</v>
      </c>
      <c r="O13" s="14" t="str">
        <f t="shared" si="5"/>
        <v>-</v>
      </c>
      <c r="P13" s="14" t="str">
        <f t="shared" si="6"/>
        <v>-</v>
      </c>
      <c r="Q13" s="14" t="e">
        <f>RANK($K13,$K$5:$K$104,1)+COUNTIF(K$5:K13,K13)-1</f>
        <v>#VALUE!</v>
      </c>
      <c r="R13" s="14" t="e">
        <f t="shared" si="7"/>
        <v>#VALUE!</v>
      </c>
      <c r="S13" s="14" t="e">
        <f>RANK($L13,$L$5:$L$104,1)+COUNTIF(L$5:L13,L13)-1</f>
        <v>#VALUE!</v>
      </c>
      <c r="T13" s="14" t="e">
        <f t="shared" si="8"/>
        <v>#VALUE!</v>
      </c>
      <c r="U13" s="14" t="e">
        <f>RANK($M13,$M$5:$M$104,1)+COUNTIF(M$5:M13,M13)-1</f>
        <v>#VALUE!</v>
      </c>
      <c r="V13" s="14" t="e">
        <f t="shared" si="9"/>
        <v>#VALUE!</v>
      </c>
      <c r="W13" s="14" t="e">
        <f>RANK($N13,$N$5:$N$104,1)+COUNTIF(N$5:N13,N13)-1</f>
        <v>#VALUE!</v>
      </c>
      <c r="X13" s="14" t="e">
        <f t="shared" si="10"/>
        <v>#VALUE!</v>
      </c>
      <c r="Y13" s="14" t="e">
        <f>RANK($O13,$O$5:$O$104,1)+COUNTIF(O$5:O13,O13)-1</f>
        <v>#VALUE!</v>
      </c>
      <c r="Z13" s="14" t="e">
        <f t="shared" si="11"/>
        <v>#VALUE!</v>
      </c>
      <c r="AA13" s="14" t="e">
        <f>RANK($P13,$P$5:$P$104,1)+COUNTIF(P$5:P13,P13)-1</f>
        <v>#VALUE!</v>
      </c>
      <c r="AB13" s="14" t="e">
        <f t="shared" si="12"/>
        <v>#VALUE!</v>
      </c>
      <c r="AC13" s="1" t="str">
        <f t="shared" si="13"/>
        <v xml:space="preserve"> </v>
      </c>
      <c r="AD13" s="1" t="str">
        <f t="shared" si="14"/>
        <v>-</v>
      </c>
      <c r="AE13" s="35" t="str">
        <f t="shared" si="15"/>
        <v>-</v>
      </c>
      <c r="AF13" s="35" t="str">
        <f t="shared" si="15"/>
        <v>-</v>
      </c>
      <c r="AG13" s="35" t="str">
        <f t="shared" si="15"/>
        <v>-</v>
      </c>
      <c r="AH13" s="35" t="str">
        <f t="shared" si="15"/>
        <v>-</v>
      </c>
      <c r="AI13" s="35" t="str">
        <f t="shared" si="15"/>
        <v>-</v>
      </c>
      <c r="AJ13" s="35" t="str">
        <f t="shared" si="15"/>
        <v>-</v>
      </c>
      <c r="AL13" s="4">
        <v>9</v>
      </c>
      <c r="AM13" s="2" t="e">
        <f>VLOOKUP(AL13,Q$5:$AJ$104,$AN$2,FALSE)</f>
        <v>#N/A</v>
      </c>
      <c r="AN13" s="6" t="e">
        <f>VLOOKUP(AL13,Q$5:$AJ$104,$AN$2+11,FALSE)</f>
        <v>#N/A</v>
      </c>
      <c r="AO13" s="2" t="e">
        <f t="shared" si="16"/>
        <v>#N/A</v>
      </c>
      <c r="AQ13" s="4">
        <v>9</v>
      </c>
      <c r="AR13" s="2" t="e">
        <f>VLOOKUP(AQ13,$S$5:$AJ$104,$AS$2,FALSE)</f>
        <v>#N/A</v>
      </c>
      <c r="AS13" s="6" t="e">
        <f>VLOOKUP(AQ13,$S$5:$AJ$104,$AS$2+9,FALSE)</f>
        <v>#N/A</v>
      </c>
      <c r="AT13" s="2" t="e">
        <f>VLOOKUP(AR13,$S$5:$AJ$104,$AS$2+12,FALSE)</f>
        <v>#N/A</v>
      </c>
      <c r="AV13" s="4">
        <v>9</v>
      </c>
      <c r="AW13" s="2" t="e">
        <f>VLOOKUP(AV13,$U$5:$AJ$104,$AX$2,FALSE)</f>
        <v>#N/A</v>
      </c>
      <c r="AX13" s="6" t="e">
        <f>VLOOKUP(AV13,$U$5:$AJ$104,$AX$2+7,FALSE)</f>
        <v>#N/A</v>
      </c>
      <c r="AY13" s="2" t="e">
        <f>VLOOKUP(AW13,$U$5:$AJ$104,$AX$2+11,FALSE)</f>
        <v>#N/A</v>
      </c>
      <c r="BA13" s="4">
        <v>9</v>
      </c>
      <c r="BB13" s="2" t="e">
        <f>VLOOKUP(BA13,$W$5:$AJ$104,$BC$2,FALSE)</f>
        <v>#N/A</v>
      </c>
      <c r="BC13" s="6" t="e">
        <f>VLOOKUP(BA13,$W$5:$AJ$104,$BC$2+5,FALSE)</f>
        <v>#N/A</v>
      </c>
      <c r="BD13" s="58" t="e">
        <f>VLOOKUP(BB13,$W$5:$AJ$104,$BC$2+10,FALSE)</f>
        <v>#N/A</v>
      </c>
      <c r="BF13" s="4">
        <v>9</v>
      </c>
      <c r="BG13" s="2" t="e">
        <f>VLOOKUP(BF13,$Y$5:$AJ$104,$BH$2,FALSE)</f>
        <v>#N/A</v>
      </c>
      <c r="BH13" s="6" t="e">
        <f>VLOOKUP(BF13,$Y$5:$AJ$104,$BH$2+3,FALSE)</f>
        <v>#N/A</v>
      </c>
      <c r="BI13" s="2" t="e">
        <f>VLOOKUP(BF13,$Y$5:$AJ$104,$BH$2+4,FALSE)</f>
        <v>#N/A</v>
      </c>
      <c r="BJ13" s="2" t="e">
        <f>VLOOKUP(BG13,$Y$5:$AJ$104,$BH$2+9,FALSE)</f>
        <v>#N/A</v>
      </c>
      <c r="BL13" s="4">
        <v>9</v>
      </c>
      <c r="BM13" s="2" t="e">
        <f>VLOOKUP(BL13,$AA$5:$AJ$104,$BN$2,FALSE)</f>
        <v>#N/A</v>
      </c>
      <c r="BN13" s="6" t="e">
        <f>VLOOKUP(BL13,$AA$5:$AJ$104,$BN$2+1,FALSE)</f>
        <v>#N/A</v>
      </c>
      <c r="BO13" s="2" t="e">
        <f>VLOOKUP(BM13,$AA$5:$AJ$104,$BN$2+8,FALSE)</f>
        <v>#N/A</v>
      </c>
      <c r="BQ13" s="2" t="e">
        <f>'Eclectic B'!CD13</f>
        <v>#N/A</v>
      </c>
      <c r="BR13" s="6" t="e">
        <f>'Eclectic B'!CE13</f>
        <v>#N/A</v>
      </c>
      <c r="BS13" s="103" t="e">
        <f>'Eclectic B'!CF13</f>
        <v>#N/A</v>
      </c>
    </row>
    <row r="14" spans="1:85">
      <c r="A14" s="10" t="str">
        <f>IF(ISBLANK(Players!F12),"",Players!F12)</f>
        <v/>
      </c>
      <c r="B14" s="10" t="str">
        <f>IF(ISBLANK(Players!G12),"",Players!G12)</f>
        <v/>
      </c>
      <c r="C14" s="10" t="str">
        <f>IF(ISBLANK(Players!I12),"",Players!I12)</f>
        <v/>
      </c>
      <c r="D14" s="69" t="str">
        <f>IF(ISNUMBER(C14),MIN((C14*Rules!$N$14/113)+(Rules!$N$13-Rules!$N$12),Rules!$N$37),"-")</f>
        <v>-</v>
      </c>
      <c r="E14" s="69" t="str">
        <f>IF(ISNUMBER(C14),    ROUND( (D14*Rules!$N$11) / 100,0),"-")</f>
        <v>-</v>
      </c>
      <c r="F14" s="36" t="str">
        <f>IF(AND(ISNUMBER(C14),C14&gt;=Rules!$M$17,C14&lt;=Rules!$N$17),"Y","N")</f>
        <v>N</v>
      </c>
      <c r="G14" s="137" t="str">
        <f>'Eclectic B'!M14</f>
        <v>-</v>
      </c>
      <c r="H14" s="137" t="str">
        <f>'Eclectic B'!W14</f>
        <v>-</v>
      </c>
      <c r="I14" s="137" t="str">
        <f>'Eclectic B'!AJ14</f>
        <v>-</v>
      </c>
      <c r="J14" s="137" t="str">
        <f>'Eclectic B'!AT14</f>
        <v>-</v>
      </c>
      <c r="K14" s="14" t="str">
        <f t="shared" si="1"/>
        <v>-</v>
      </c>
      <c r="L14" s="14" t="str">
        <f t="shared" si="2"/>
        <v>-</v>
      </c>
      <c r="M14" s="14" t="str">
        <f t="shared" si="3"/>
        <v>-</v>
      </c>
      <c r="N14" s="14" t="str">
        <f t="shared" si="4"/>
        <v>-</v>
      </c>
      <c r="O14" s="14" t="str">
        <f t="shared" si="5"/>
        <v>-</v>
      </c>
      <c r="P14" s="14" t="str">
        <f t="shared" si="6"/>
        <v>-</v>
      </c>
      <c r="Q14" s="14" t="e">
        <f>RANK($K14,$K$5:$K$104,1)+COUNTIF(K$5:K14,K14)-1</f>
        <v>#VALUE!</v>
      </c>
      <c r="R14" s="14" t="e">
        <f t="shared" si="7"/>
        <v>#VALUE!</v>
      </c>
      <c r="S14" s="14" t="e">
        <f>RANK($L14,$L$5:$L$104,1)+COUNTIF(L$5:L14,L14)-1</f>
        <v>#VALUE!</v>
      </c>
      <c r="T14" s="14" t="e">
        <f t="shared" si="8"/>
        <v>#VALUE!</v>
      </c>
      <c r="U14" s="14" t="e">
        <f>RANK($M14,$M$5:$M$104,1)+COUNTIF(M$5:M14,M14)-1</f>
        <v>#VALUE!</v>
      </c>
      <c r="V14" s="14" t="e">
        <f t="shared" si="9"/>
        <v>#VALUE!</v>
      </c>
      <c r="W14" s="14" t="e">
        <f>RANK($N14,$N$5:$N$104,1)+COUNTIF(N$5:N14,N14)-1</f>
        <v>#VALUE!</v>
      </c>
      <c r="X14" s="14" t="e">
        <f t="shared" si="10"/>
        <v>#VALUE!</v>
      </c>
      <c r="Y14" s="14" t="e">
        <f>RANK($O14,$O$5:$O$104,1)+COUNTIF(O$5:O14,O14)-1</f>
        <v>#VALUE!</v>
      </c>
      <c r="Z14" s="14" t="e">
        <f t="shared" si="11"/>
        <v>#VALUE!</v>
      </c>
      <c r="AA14" s="14" t="e">
        <f>RANK($P14,$P$5:$P$104,1)+COUNTIF(P$5:P14,P14)-1</f>
        <v>#VALUE!</v>
      </c>
      <c r="AB14" s="14" t="e">
        <f t="shared" si="12"/>
        <v>#VALUE!</v>
      </c>
      <c r="AC14" s="1" t="str">
        <f t="shared" si="13"/>
        <v xml:space="preserve"> </v>
      </c>
      <c r="AD14" s="1" t="str">
        <f t="shared" si="14"/>
        <v>-</v>
      </c>
      <c r="AE14" s="35" t="str">
        <f t="shared" si="15"/>
        <v>-</v>
      </c>
      <c r="AF14" s="35" t="str">
        <f t="shared" si="15"/>
        <v>-</v>
      </c>
      <c r="AG14" s="35" t="str">
        <f t="shared" si="15"/>
        <v>-</v>
      </c>
      <c r="AH14" s="35" t="str">
        <f t="shared" si="15"/>
        <v>-</v>
      </c>
      <c r="AI14" s="35" t="str">
        <f t="shared" si="15"/>
        <v>-</v>
      </c>
      <c r="AJ14" s="35" t="str">
        <f t="shared" si="15"/>
        <v>-</v>
      </c>
      <c r="AL14" s="4">
        <v>10</v>
      </c>
      <c r="AM14" s="2" t="e">
        <f>VLOOKUP(AL14,Q$5:$AJ$104,$AN$2,FALSE)</f>
        <v>#N/A</v>
      </c>
      <c r="AN14" s="6" t="e">
        <f>VLOOKUP(AL14,Q$5:$AJ$104,$AN$2+11,FALSE)</f>
        <v>#N/A</v>
      </c>
      <c r="AO14" s="2" t="e">
        <f t="shared" si="16"/>
        <v>#N/A</v>
      </c>
      <c r="AQ14" s="4">
        <v>10</v>
      </c>
      <c r="AR14" s="2" t="e">
        <f>VLOOKUP(AQ14,$S$5:$AJ$104,$AS$2,FALSE)</f>
        <v>#N/A</v>
      </c>
      <c r="AS14" s="6" t="e">
        <f>VLOOKUP(AQ14,$S$5:$AJ$104,$AS$2+9,FALSE)</f>
        <v>#N/A</v>
      </c>
      <c r="AT14" s="2" t="e">
        <f>VLOOKUP(AR14,$S$5:$AJ$104,$AS$2+12,FALSE)</f>
        <v>#N/A</v>
      </c>
      <c r="AV14" s="4">
        <v>10</v>
      </c>
      <c r="AW14" s="2" t="e">
        <f>VLOOKUP(AV14,$U$5:$AJ$104,$AX$2,FALSE)</f>
        <v>#N/A</v>
      </c>
      <c r="AX14" s="6" t="e">
        <f>VLOOKUP(AV14,$U$5:$AJ$104,$AX$2+7,FALSE)</f>
        <v>#N/A</v>
      </c>
      <c r="AY14" s="2" t="e">
        <f>VLOOKUP(AW14,$U$5:$AJ$104,$AX$2+11,FALSE)</f>
        <v>#N/A</v>
      </c>
      <c r="BA14" s="4">
        <v>10</v>
      </c>
      <c r="BB14" s="2" t="e">
        <f>VLOOKUP(BA14,$W$5:$AJ$104,$BC$2,FALSE)</f>
        <v>#N/A</v>
      </c>
      <c r="BC14" s="6" t="e">
        <f>VLOOKUP(BA14,$W$5:$AJ$104,$BC$2+5,FALSE)</f>
        <v>#N/A</v>
      </c>
      <c r="BD14" s="58" t="e">
        <f>VLOOKUP(BB14,$W$5:$AJ$104,$BC$2+10,FALSE)</f>
        <v>#N/A</v>
      </c>
      <c r="BF14" s="4">
        <v>10</v>
      </c>
      <c r="BG14" s="2" t="e">
        <f>VLOOKUP(BF14,$Y$5:$AJ$104,$BH$2,FALSE)</f>
        <v>#N/A</v>
      </c>
      <c r="BH14" s="6" t="e">
        <f>VLOOKUP(BF14,$Y$5:$AJ$104,$BH$2+3,FALSE)</f>
        <v>#N/A</v>
      </c>
      <c r="BI14" s="2" t="e">
        <f>VLOOKUP(BF14,$Y$5:$AJ$104,$BH$2+4,FALSE)</f>
        <v>#N/A</v>
      </c>
      <c r="BJ14" s="2" t="e">
        <f>VLOOKUP(BG14,$Y$5:$AJ$104,$BH$2+9,FALSE)</f>
        <v>#N/A</v>
      </c>
      <c r="BL14" s="4">
        <v>10</v>
      </c>
      <c r="BM14" s="2" t="e">
        <f>VLOOKUP(BL14,$AA$5:$AJ$104,$BN$2,FALSE)</f>
        <v>#N/A</v>
      </c>
      <c r="BN14" s="6" t="e">
        <f>VLOOKUP(BL14,$AA$5:$AJ$104,$BN$2+1,FALSE)</f>
        <v>#N/A</v>
      </c>
      <c r="BO14" s="2" t="e">
        <f>VLOOKUP(BM14,$AA$5:$AJ$104,$BN$2+8,FALSE)</f>
        <v>#N/A</v>
      </c>
      <c r="BQ14" s="2" t="e">
        <f>'Eclectic B'!CD14</f>
        <v>#N/A</v>
      </c>
      <c r="BR14" s="6" t="e">
        <f>'Eclectic B'!CE14</f>
        <v>#N/A</v>
      </c>
      <c r="BS14" s="103" t="e">
        <f>'Eclectic B'!CF14</f>
        <v>#N/A</v>
      </c>
    </row>
    <row r="15" spans="1:85">
      <c r="A15" s="10" t="str">
        <f>IF(ISBLANK(Players!F13),"",Players!F13)</f>
        <v/>
      </c>
      <c r="B15" s="10" t="str">
        <f>IF(ISBLANK(Players!G13),"",Players!G13)</f>
        <v/>
      </c>
      <c r="C15" s="10" t="str">
        <f>IF(ISBLANK(Players!I13),"",Players!I13)</f>
        <v/>
      </c>
      <c r="D15" s="69" t="str">
        <f>IF(ISNUMBER(C15),MIN((C15*Rules!$N$14/113)+(Rules!$N$13-Rules!$N$12),Rules!$N$37),"-")</f>
        <v>-</v>
      </c>
      <c r="E15" s="69" t="str">
        <f>IF(ISNUMBER(C15),    ROUND( (D15*Rules!$N$11) / 100,0),"-")</f>
        <v>-</v>
      </c>
      <c r="F15" s="36" t="str">
        <f>IF(AND(ISNUMBER(C15),C15&gt;=Rules!$M$17,C15&lt;=Rules!$N$17),"Y","N")</f>
        <v>N</v>
      </c>
      <c r="G15" s="137" t="str">
        <f>'Eclectic B'!M15</f>
        <v>-</v>
      </c>
      <c r="H15" s="137" t="str">
        <f>'Eclectic B'!W15</f>
        <v>-</v>
      </c>
      <c r="I15" s="137" t="str">
        <f>'Eclectic B'!AJ15</f>
        <v>-</v>
      </c>
      <c r="J15" s="137" t="str">
        <f>'Eclectic B'!AT15</f>
        <v>-</v>
      </c>
      <c r="K15" s="14" t="str">
        <f t="shared" si="1"/>
        <v>-</v>
      </c>
      <c r="L15" s="14" t="str">
        <f t="shared" si="2"/>
        <v>-</v>
      </c>
      <c r="M15" s="14" t="str">
        <f t="shared" si="3"/>
        <v>-</v>
      </c>
      <c r="N15" s="14" t="str">
        <f t="shared" si="4"/>
        <v>-</v>
      </c>
      <c r="O15" s="14" t="str">
        <f t="shared" si="5"/>
        <v>-</v>
      </c>
      <c r="P15" s="14" t="str">
        <f t="shared" si="6"/>
        <v>-</v>
      </c>
      <c r="Q15" s="14" t="e">
        <f>RANK($K15,$K$5:$K$104,1)+COUNTIF(K$5:K15,K15)-1</f>
        <v>#VALUE!</v>
      </c>
      <c r="R15" s="14" t="e">
        <f t="shared" si="7"/>
        <v>#VALUE!</v>
      </c>
      <c r="S15" s="14" t="e">
        <f>RANK($L15,$L$5:$L$104,1)+COUNTIF(L$5:L15,L15)-1</f>
        <v>#VALUE!</v>
      </c>
      <c r="T15" s="14" t="e">
        <f t="shared" si="8"/>
        <v>#VALUE!</v>
      </c>
      <c r="U15" s="14" t="e">
        <f>RANK($M15,$M$5:$M$104,1)+COUNTIF(M$5:M15,M15)-1</f>
        <v>#VALUE!</v>
      </c>
      <c r="V15" s="14" t="e">
        <f t="shared" si="9"/>
        <v>#VALUE!</v>
      </c>
      <c r="W15" s="14" t="e">
        <f>RANK($N15,$N$5:$N$104,1)+COUNTIF(N$5:N15,N15)-1</f>
        <v>#VALUE!</v>
      </c>
      <c r="X15" s="14" t="e">
        <f t="shared" si="10"/>
        <v>#VALUE!</v>
      </c>
      <c r="Y15" s="14" t="e">
        <f>RANK($O15,$O$5:$O$104,1)+COUNTIF(O$5:O15,O15)-1</f>
        <v>#VALUE!</v>
      </c>
      <c r="Z15" s="14" t="e">
        <f t="shared" si="11"/>
        <v>#VALUE!</v>
      </c>
      <c r="AA15" s="14" t="e">
        <f>RANK($P15,$P$5:$P$104,1)+COUNTIF(P$5:P15,P15)-1</f>
        <v>#VALUE!</v>
      </c>
      <c r="AB15" s="14" t="e">
        <f t="shared" si="12"/>
        <v>#VALUE!</v>
      </c>
      <c r="AC15" s="1" t="str">
        <f t="shared" si="13"/>
        <v xml:space="preserve"> </v>
      </c>
      <c r="AD15" s="1" t="str">
        <f t="shared" si="14"/>
        <v>-</v>
      </c>
      <c r="AE15" s="35" t="str">
        <f t="shared" si="15"/>
        <v>-</v>
      </c>
      <c r="AF15" s="35" t="str">
        <f t="shared" si="15"/>
        <v>-</v>
      </c>
      <c r="AG15" s="35" t="str">
        <f t="shared" si="15"/>
        <v>-</v>
      </c>
      <c r="AH15" s="35" t="str">
        <f t="shared" si="15"/>
        <v>-</v>
      </c>
      <c r="AI15" s="35" t="str">
        <f t="shared" si="15"/>
        <v>-</v>
      </c>
      <c r="AJ15" s="35" t="str">
        <f t="shared" si="15"/>
        <v>-</v>
      </c>
      <c r="AL15" s="4">
        <v>11</v>
      </c>
      <c r="AM15" s="2" t="e">
        <f>VLOOKUP(AL15,Q$5:$AJ$104,$AN$2,FALSE)</f>
        <v>#N/A</v>
      </c>
      <c r="AN15" s="6" t="e">
        <f>VLOOKUP(AL15,Q$5:$AJ$104,$AN$2+11,FALSE)</f>
        <v>#N/A</v>
      </c>
      <c r="AO15" s="2" t="e">
        <f t="shared" si="16"/>
        <v>#N/A</v>
      </c>
      <c r="AQ15" s="4">
        <v>11</v>
      </c>
      <c r="AR15" s="2" t="e">
        <f>VLOOKUP(AQ15,$S$5:$AJ$104,$AS$2,FALSE)</f>
        <v>#N/A</v>
      </c>
      <c r="AS15" s="6" t="e">
        <f>VLOOKUP(AQ15,$S$5:$AJ$104,$AS$2+9,FALSE)</f>
        <v>#N/A</v>
      </c>
      <c r="AT15" s="2" t="e">
        <f>VLOOKUP(AR15,$S$5:$AJ$104,$AS$2+12,FALSE)</f>
        <v>#N/A</v>
      </c>
      <c r="AV15" s="4">
        <v>11</v>
      </c>
      <c r="AW15" s="2" t="e">
        <f>VLOOKUP(AV15,$U$5:$AJ$104,$AX$2,FALSE)</f>
        <v>#N/A</v>
      </c>
      <c r="AX15" s="6" t="e">
        <f>VLOOKUP(AV15,$U$5:$AJ$104,$AX$2+7,FALSE)</f>
        <v>#N/A</v>
      </c>
      <c r="AY15" s="2" t="e">
        <f>VLOOKUP(AW15,$U$5:$AJ$104,$AX$2+11,FALSE)</f>
        <v>#N/A</v>
      </c>
      <c r="BA15" s="4">
        <v>11</v>
      </c>
      <c r="BB15" s="2" t="e">
        <f>VLOOKUP(BA15,$W$5:$AJ$104,$BC$2,FALSE)</f>
        <v>#N/A</v>
      </c>
      <c r="BC15" s="6" t="e">
        <f>VLOOKUP(BA15,$W$5:$AJ$104,$BC$2+5,FALSE)</f>
        <v>#N/A</v>
      </c>
      <c r="BD15" s="58" t="e">
        <f>VLOOKUP(BB15,$W$5:$AJ$104,$BC$2+10,FALSE)</f>
        <v>#N/A</v>
      </c>
      <c r="BF15" s="4">
        <v>11</v>
      </c>
      <c r="BG15" s="2" t="e">
        <f>VLOOKUP(BF15,$Y$5:$AJ$104,$BH$2,FALSE)</f>
        <v>#N/A</v>
      </c>
      <c r="BH15" s="6" t="e">
        <f>VLOOKUP(BF15,$Y$5:$AJ$104,$BH$2+3,FALSE)</f>
        <v>#N/A</v>
      </c>
      <c r="BI15" s="2" t="e">
        <f>VLOOKUP(BF15,$Y$5:$AJ$104,$BH$2+4,FALSE)</f>
        <v>#N/A</v>
      </c>
      <c r="BJ15" s="2" t="e">
        <f>VLOOKUP(BG15,$Y$5:$AJ$104,$BH$2+9,FALSE)</f>
        <v>#N/A</v>
      </c>
      <c r="BL15" s="4">
        <v>11</v>
      </c>
      <c r="BM15" s="2" t="e">
        <f>VLOOKUP(BL15,$AA$5:$AJ$104,$BN$2,FALSE)</f>
        <v>#N/A</v>
      </c>
      <c r="BN15" s="6" t="e">
        <f>VLOOKUP(BL15,$AA$5:$AJ$104,$BN$2+1,FALSE)</f>
        <v>#N/A</v>
      </c>
      <c r="BO15" s="2" t="e">
        <f>VLOOKUP(BM15,$AA$5:$AJ$104,$BN$2+8,FALSE)</f>
        <v>#N/A</v>
      </c>
      <c r="BQ15" s="2" t="e">
        <f>'Eclectic B'!CD15</f>
        <v>#N/A</v>
      </c>
      <c r="BR15" s="6" t="e">
        <f>'Eclectic B'!CE15</f>
        <v>#N/A</v>
      </c>
      <c r="BS15" s="103" t="e">
        <f>'Eclectic B'!CF15</f>
        <v>#N/A</v>
      </c>
    </row>
    <row r="16" spans="1:85">
      <c r="A16" s="10" t="str">
        <f>IF(ISBLANK(Players!F14),"",Players!F14)</f>
        <v/>
      </c>
      <c r="B16" s="10" t="str">
        <f>IF(ISBLANK(Players!G14),"",Players!G14)</f>
        <v/>
      </c>
      <c r="C16" s="10" t="str">
        <f>IF(ISBLANK(Players!I14),"",Players!I14)</f>
        <v/>
      </c>
      <c r="D16" s="69" t="str">
        <f>IF(ISNUMBER(C16),MIN((C16*Rules!$N$14/113)+(Rules!$N$13-Rules!$N$12),Rules!$N$37),"-")</f>
        <v>-</v>
      </c>
      <c r="E16" s="69" t="str">
        <f>IF(ISNUMBER(C16),    ROUND( (D16*Rules!$N$11) / 100,0),"-")</f>
        <v>-</v>
      </c>
      <c r="F16" s="36" t="str">
        <f>IF(AND(ISNUMBER(C16),C16&gt;=Rules!$M$17,C16&lt;=Rules!$N$17),"Y","N")</f>
        <v>N</v>
      </c>
      <c r="G16" s="137" t="str">
        <f>'Eclectic B'!M16</f>
        <v>-</v>
      </c>
      <c r="H16" s="137" t="str">
        <f>'Eclectic B'!W16</f>
        <v>-</v>
      </c>
      <c r="I16" s="137" t="str">
        <f>'Eclectic B'!AJ16</f>
        <v>-</v>
      </c>
      <c r="J16" s="137" t="str">
        <f>'Eclectic B'!AT16</f>
        <v>-</v>
      </c>
      <c r="K16" s="14" t="str">
        <f t="shared" si="1"/>
        <v>-</v>
      </c>
      <c r="L16" s="14" t="str">
        <f t="shared" si="2"/>
        <v>-</v>
      </c>
      <c r="M16" s="14" t="str">
        <f t="shared" si="3"/>
        <v>-</v>
      </c>
      <c r="N16" s="14" t="str">
        <f t="shared" si="4"/>
        <v>-</v>
      </c>
      <c r="O16" s="14" t="str">
        <f t="shared" si="5"/>
        <v>-</v>
      </c>
      <c r="P16" s="14" t="str">
        <f t="shared" si="6"/>
        <v>-</v>
      </c>
      <c r="Q16" s="14" t="e">
        <f>RANK($K16,$K$5:$K$104,1)+COUNTIF(K$5:K16,K16)-1</f>
        <v>#VALUE!</v>
      </c>
      <c r="R16" s="14" t="e">
        <f t="shared" si="7"/>
        <v>#VALUE!</v>
      </c>
      <c r="S16" s="14" t="e">
        <f>RANK($L16,$L$5:$L$104,1)+COUNTIF(L$5:L16,L16)-1</f>
        <v>#VALUE!</v>
      </c>
      <c r="T16" s="14" t="e">
        <f t="shared" si="8"/>
        <v>#VALUE!</v>
      </c>
      <c r="U16" s="14" t="e">
        <f>RANK($M16,$M$5:$M$104,1)+COUNTIF(M$5:M16,M16)-1</f>
        <v>#VALUE!</v>
      </c>
      <c r="V16" s="14" t="e">
        <f t="shared" si="9"/>
        <v>#VALUE!</v>
      </c>
      <c r="W16" s="14" t="e">
        <f>RANK($N16,$N$5:$N$104,1)+COUNTIF(N$5:N16,N16)-1</f>
        <v>#VALUE!</v>
      </c>
      <c r="X16" s="14" t="e">
        <f t="shared" si="10"/>
        <v>#VALUE!</v>
      </c>
      <c r="Y16" s="14" t="e">
        <f>RANK($O16,$O$5:$O$104,1)+COUNTIF(O$5:O16,O16)-1</f>
        <v>#VALUE!</v>
      </c>
      <c r="Z16" s="14" t="e">
        <f t="shared" si="11"/>
        <v>#VALUE!</v>
      </c>
      <c r="AA16" s="14" t="e">
        <f>RANK($P16,$P$5:$P$104,1)+COUNTIF(P$5:P16,P16)-1</f>
        <v>#VALUE!</v>
      </c>
      <c r="AB16" s="14" t="e">
        <f t="shared" si="12"/>
        <v>#VALUE!</v>
      </c>
      <c r="AC16" s="1" t="str">
        <f t="shared" si="13"/>
        <v xml:space="preserve"> </v>
      </c>
      <c r="AD16" s="1" t="str">
        <f t="shared" si="14"/>
        <v>-</v>
      </c>
      <c r="AE16" s="35" t="str">
        <f t="shared" si="15"/>
        <v>-</v>
      </c>
      <c r="AF16" s="35" t="str">
        <f t="shared" si="15"/>
        <v>-</v>
      </c>
      <c r="AG16" s="35" t="str">
        <f t="shared" si="15"/>
        <v>-</v>
      </c>
      <c r="AH16" s="35" t="str">
        <f t="shared" si="15"/>
        <v>-</v>
      </c>
      <c r="AI16" s="35" t="str">
        <f t="shared" si="15"/>
        <v>-</v>
      </c>
      <c r="AJ16" s="35" t="str">
        <f t="shared" si="15"/>
        <v>-</v>
      </c>
      <c r="AL16" s="4">
        <v>12</v>
      </c>
      <c r="AM16" s="2" t="e">
        <f>VLOOKUP(AL16,Q$5:$AJ$104,$AN$2,FALSE)</f>
        <v>#N/A</v>
      </c>
      <c r="AN16" s="6" t="e">
        <f>VLOOKUP(AL16,Q$5:$AJ$104,$AN$2+11,FALSE)</f>
        <v>#N/A</v>
      </c>
      <c r="AO16" s="2" t="e">
        <f t="shared" si="16"/>
        <v>#N/A</v>
      </c>
      <c r="AQ16" s="4">
        <v>12</v>
      </c>
      <c r="AR16" s="2" t="e">
        <f>VLOOKUP(AQ16,$S$5:$AJ$104,$AS$2,FALSE)</f>
        <v>#N/A</v>
      </c>
      <c r="AS16" s="6" t="e">
        <f>VLOOKUP(AQ16,$S$5:$AJ$104,$AS$2+9,FALSE)</f>
        <v>#N/A</v>
      </c>
      <c r="AT16" s="2" t="e">
        <f>VLOOKUP(AR16,$S$5:$AJ$104,$AS$2+12,FALSE)</f>
        <v>#N/A</v>
      </c>
      <c r="AV16" s="4">
        <v>12</v>
      </c>
      <c r="AW16" s="2" t="e">
        <f>VLOOKUP(AV16,$U$5:$AJ$104,$AX$2,FALSE)</f>
        <v>#N/A</v>
      </c>
      <c r="AX16" s="6" t="e">
        <f>VLOOKUP(AV16,$U$5:$AJ$104,$AX$2+7,FALSE)</f>
        <v>#N/A</v>
      </c>
      <c r="AY16" s="2" t="e">
        <f>VLOOKUP(AW16,$U$5:$AJ$104,$AX$2+11,FALSE)</f>
        <v>#N/A</v>
      </c>
      <c r="BA16" s="4">
        <v>12</v>
      </c>
      <c r="BB16" s="2" t="e">
        <f>VLOOKUP(BA16,$W$5:$AJ$104,$BC$2,FALSE)</f>
        <v>#N/A</v>
      </c>
      <c r="BC16" s="6" t="e">
        <f>VLOOKUP(BA16,$W$5:$AJ$104,$BC$2+5,FALSE)</f>
        <v>#N/A</v>
      </c>
      <c r="BD16" s="58" t="e">
        <f>VLOOKUP(BB16,$W$5:$AJ$104,$BC$2+10,FALSE)</f>
        <v>#N/A</v>
      </c>
      <c r="BF16" s="4">
        <v>12</v>
      </c>
      <c r="BG16" s="2" t="e">
        <f>VLOOKUP(BF16,$Y$5:$AJ$104,$BH$2,FALSE)</f>
        <v>#N/A</v>
      </c>
      <c r="BH16" s="6" t="e">
        <f>VLOOKUP(BF16,$Y$5:$AJ$104,$BH$2+3,FALSE)</f>
        <v>#N/A</v>
      </c>
      <c r="BI16" s="2" t="e">
        <f>VLOOKUP(BF16,$Y$5:$AJ$104,$BH$2+4,FALSE)</f>
        <v>#N/A</v>
      </c>
      <c r="BJ16" s="2" t="e">
        <f>VLOOKUP(BG16,$Y$5:$AJ$104,$BH$2+9,FALSE)</f>
        <v>#N/A</v>
      </c>
      <c r="BL16" s="4">
        <v>12</v>
      </c>
      <c r="BM16" s="2" t="e">
        <f>VLOOKUP(BL16,$AA$5:$AJ$104,$BN$2,FALSE)</f>
        <v>#N/A</v>
      </c>
      <c r="BN16" s="6" t="e">
        <f>VLOOKUP(BL16,$AA$5:$AJ$104,$BN$2+1,FALSE)</f>
        <v>#N/A</v>
      </c>
      <c r="BO16" s="2" t="e">
        <f>VLOOKUP(BM16,$AA$5:$AJ$104,$BN$2+8,FALSE)</f>
        <v>#N/A</v>
      </c>
      <c r="BQ16" s="2" t="e">
        <f>'Eclectic B'!CD16</f>
        <v>#N/A</v>
      </c>
      <c r="BR16" s="6" t="e">
        <f>'Eclectic B'!CE16</f>
        <v>#N/A</v>
      </c>
      <c r="BS16" s="103" t="e">
        <f>'Eclectic B'!CF16</f>
        <v>#N/A</v>
      </c>
    </row>
    <row r="17" spans="1:71">
      <c r="A17" s="10" t="str">
        <f>IF(ISBLANK(Players!F15),"",Players!F15)</f>
        <v/>
      </c>
      <c r="B17" s="10" t="str">
        <f>IF(ISBLANK(Players!G15),"",Players!G15)</f>
        <v/>
      </c>
      <c r="C17" s="10" t="str">
        <f>IF(ISBLANK(Players!I15),"",Players!I15)</f>
        <v/>
      </c>
      <c r="D17" s="69" t="str">
        <f>IF(ISNUMBER(C17),MIN((C17*Rules!$N$14/113)+(Rules!$N$13-Rules!$N$12),Rules!$N$37),"-")</f>
        <v>-</v>
      </c>
      <c r="E17" s="69" t="str">
        <f>IF(ISNUMBER(C17),    ROUND( (D17*Rules!$N$11) / 100,0),"-")</f>
        <v>-</v>
      </c>
      <c r="F17" s="36" t="str">
        <f>IF(AND(ISNUMBER(C17),C17&gt;=Rules!$M$17,C17&lt;=Rules!$N$17),"Y","N")</f>
        <v>N</v>
      </c>
      <c r="G17" s="137" t="str">
        <f>'Eclectic B'!M17</f>
        <v>-</v>
      </c>
      <c r="H17" s="137" t="str">
        <f>'Eclectic B'!W17</f>
        <v>-</v>
      </c>
      <c r="I17" s="137" t="str">
        <f>'Eclectic B'!AJ17</f>
        <v>-</v>
      </c>
      <c r="J17" s="137" t="str">
        <f>'Eclectic B'!AT17</f>
        <v>-</v>
      </c>
      <c r="K17" s="14" t="str">
        <f t="shared" si="1"/>
        <v>-</v>
      </c>
      <c r="L17" s="14" t="str">
        <f t="shared" si="2"/>
        <v>-</v>
      </c>
      <c r="M17" s="14" t="str">
        <f t="shared" si="3"/>
        <v>-</v>
      </c>
      <c r="N17" s="14" t="str">
        <f t="shared" si="4"/>
        <v>-</v>
      </c>
      <c r="O17" s="14" t="str">
        <f t="shared" si="5"/>
        <v>-</v>
      </c>
      <c r="P17" s="14" t="str">
        <f t="shared" si="6"/>
        <v>-</v>
      </c>
      <c r="Q17" s="14" t="e">
        <f>RANK($K17,$K$5:$K$104,1)+COUNTIF(K$5:K17,K17)-1</f>
        <v>#VALUE!</v>
      </c>
      <c r="R17" s="14" t="e">
        <f t="shared" si="7"/>
        <v>#VALUE!</v>
      </c>
      <c r="S17" s="14" t="e">
        <f>RANK($L17,$L$5:$L$104,1)+COUNTIF(L$5:L17,L17)-1</f>
        <v>#VALUE!</v>
      </c>
      <c r="T17" s="14" t="e">
        <f t="shared" si="8"/>
        <v>#VALUE!</v>
      </c>
      <c r="U17" s="14" t="e">
        <f>RANK($M17,$M$5:$M$104,1)+COUNTIF(M$5:M17,M17)-1</f>
        <v>#VALUE!</v>
      </c>
      <c r="V17" s="14" t="e">
        <f t="shared" si="9"/>
        <v>#VALUE!</v>
      </c>
      <c r="W17" s="14" t="e">
        <f>RANK($N17,$N$5:$N$104,1)+COUNTIF(N$5:N17,N17)-1</f>
        <v>#VALUE!</v>
      </c>
      <c r="X17" s="14" t="e">
        <f t="shared" si="10"/>
        <v>#VALUE!</v>
      </c>
      <c r="Y17" s="14" t="e">
        <f>RANK($O17,$O$5:$O$104,1)+COUNTIF(O$5:O17,O17)-1</f>
        <v>#VALUE!</v>
      </c>
      <c r="Z17" s="14" t="e">
        <f t="shared" si="11"/>
        <v>#VALUE!</v>
      </c>
      <c r="AA17" s="14" t="e">
        <f>RANK($P17,$P$5:$P$104,1)+COUNTIF(P$5:P17,P17)-1</f>
        <v>#VALUE!</v>
      </c>
      <c r="AB17" s="14" t="e">
        <f t="shared" si="12"/>
        <v>#VALUE!</v>
      </c>
      <c r="AC17" s="1" t="str">
        <f t="shared" si="13"/>
        <v xml:space="preserve"> </v>
      </c>
      <c r="AD17" s="1" t="str">
        <f t="shared" si="14"/>
        <v>-</v>
      </c>
      <c r="AE17" s="35" t="str">
        <f t="shared" si="15"/>
        <v>-</v>
      </c>
      <c r="AF17" s="35" t="str">
        <f t="shared" si="15"/>
        <v>-</v>
      </c>
      <c r="AG17" s="35" t="str">
        <f t="shared" si="15"/>
        <v>-</v>
      </c>
      <c r="AH17" s="35" t="str">
        <f t="shared" si="15"/>
        <v>-</v>
      </c>
      <c r="AI17" s="35" t="str">
        <f t="shared" si="15"/>
        <v>-</v>
      </c>
      <c r="AJ17" s="35" t="str">
        <f t="shared" si="15"/>
        <v>-</v>
      </c>
      <c r="AL17" s="4">
        <v>13</v>
      </c>
      <c r="AM17" s="2" t="e">
        <f>VLOOKUP(AL17,Q$5:$AJ$104,$AN$2,FALSE)</f>
        <v>#N/A</v>
      </c>
      <c r="AN17" s="6" t="e">
        <f>VLOOKUP(AL17,Q$5:$AJ$104,$AN$2+11,FALSE)</f>
        <v>#N/A</v>
      </c>
      <c r="AO17" s="2" t="e">
        <f t="shared" si="16"/>
        <v>#N/A</v>
      </c>
      <c r="AQ17" s="4">
        <v>13</v>
      </c>
      <c r="AR17" s="2" t="e">
        <f>VLOOKUP(AQ17,$S$5:$AJ$104,$AS$2,FALSE)</f>
        <v>#N/A</v>
      </c>
      <c r="AS17" s="6" t="e">
        <f>VLOOKUP(AQ17,$S$5:$AJ$104,$AS$2+9,FALSE)</f>
        <v>#N/A</v>
      </c>
      <c r="AT17" s="2" t="e">
        <f>VLOOKUP(AR17,$S$5:$AJ$104,$AS$2+12,FALSE)</f>
        <v>#N/A</v>
      </c>
      <c r="AV17" s="4">
        <v>13</v>
      </c>
      <c r="AW17" s="2" t="e">
        <f>VLOOKUP(AV17,$U$5:$AJ$104,$AX$2,FALSE)</f>
        <v>#N/A</v>
      </c>
      <c r="AX17" s="6" t="e">
        <f>VLOOKUP(AV17,$U$5:$AJ$104,$AX$2+7,FALSE)</f>
        <v>#N/A</v>
      </c>
      <c r="AY17" s="2" t="e">
        <f>VLOOKUP(AW17,$U$5:$AJ$104,$AX$2+11,FALSE)</f>
        <v>#N/A</v>
      </c>
      <c r="BA17" s="4">
        <v>13</v>
      </c>
      <c r="BB17" s="2" t="e">
        <f>VLOOKUP(BA17,$W$5:$AJ$104,$BC$2,FALSE)</f>
        <v>#N/A</v>
      </c>
      <c r="BC17" s="6" t="e">
        <f>VLOOKUP(BA17,$W$5:$AJ$104,$BC$2+5,FALSE)</f>
        <v>#N/A</v>
      </c>
      <c r="BD17" s="58" t="e">
        <f>VLOOKUP(BB17,$W$5:$AJ$104,$BC$2+10,FALSE)</f>
        <v>#N/A</v>
      </c>
      <c r="BF17" s="4">
        <v>13</v>
      </c>
      <c r="BG17" s="2" t="e">
        <f>VLOOKUP(BF17,$Y$5:$AJ$104,$BH$2,FALSE)</f>
        <v>#N/A</v>
      </c>
      <c r="BH17" s="6" t="e">
        <f>VLOOKUP(BF17,$Y$5:$AJ$104,$BH$2+3,FALSE)</f>
        <v>#N/A</v>
      </c>
      <c r="BI17" s="2" t="e">
        <f>VLOOKUP(BF17,$Y$5:$AJ$104,$BH$2+4,FALSE)</f>
        <v>#N/A</v>
      </c>
      <c r="BJ17" s="2" t="e">
        <f>VLOOKUP(BG17,$Y$5:$AJ$104,$BH$2+9,FALSE)</f>
        <v>#N/A</v>
      </c>
      <c r="BL17" s="4">
        <v>13</v>
      </c>
      <c r="BM17" s="2" t="e">
        <f>VLOOKUP(BL17,$AA$5:$AJ$104,$BN$2,FALSE)</f>
        <v>#N/A</v>
      </c>
      <c r="BN17" s="6" t="e">
        <f>VLOOKUP(BL17,$AA$5:$AJ$104,$BN$2+1,FALSE)</f>
        <v>#N/A</v>
      </c>
      <c r="BO17" s="2" t="e">
        <f>VLOOKUP(BM17,$AA$5:$AJ$104,$BN$2+8,FALSE)</f>
        <v>#N/A</v>
      </c>
      <c r="BQ17" s="2" t="e">
        <f>'Eclectic B'!CD17</f>
        <v>#N/A</v>
      </c>
      <c r="BR17" s="6" t="e">
        <f>'Eclectic B'!CE17</f>
        <v>#N/A</v>
      </c>
      <c r="BS17" s="103" t="e">
        <f>'Eclectic B'!CF17</f>
        <v>#N/A</v>
      </c>
    </row>
    <row r="18" spans="1:71">
      <c r="A18" s="10" t="str">
        <f>IF(ISBLANK(Players!F16),"",Players!F16)</f>
        <v/>
      </c>
      <c r="B18" s="10" t="str">
        <f>IF(ISBLANK(Players!G16),"",Players!G16)</f>
        <v/>
      </c>
      <c r="C18" s="10" t="str">
        <f>IF(ISBLANK(Players!I16),"",Players!I16)</f>
        <v/>
      </c>
      <c r="D18" s="69" t="str">
        <f>IF(ISNUMBER(C18),MIN((C18*Rules!$N$14/113)+(Rules!$N$13-Rules!$N$12),Rules!$N$37),"-")</f>
        <v>-</v>
      </c>
      <c r="E18" s="69" t="str">
        <f>IF(ISNUMBER(C18),    ROUND( (D18*Rules!$N$11) / 100,0),"-")</f>
        <v>-</v>
      </c>
      <c r="F18" s="36" t="str">
        <f>IF(AND(ISNUMBER(C18),C18&gt;=Rules!$M$17,C18&lt;=Rules!$N$17),"Y","N")</f>
        <v>N</v>
      </c>
      <c r="G18" s="137" t="str">
        <f>'Eclectic B'!M18</f>
        <v>-</v>
      </c>
      <c r="H18" s="137" t="str">
        <f>'Eclectic B'!W18</f>
        <v>-</v>
      </c>
      <c r="I18" s="137" t="str">
        <f>'Eclectic B'!AJ18</f>
        <v>-</v>
      </c>
      <c r="J18" s="137" t="str">
        <f>'Eclectic B'!AT18</f>
        <v>-</v>
      </c>
      <c r="K18" s="14" t="str">
        <f t="shared" si="1"/>
        <v>-</v>
      </c>
      <c r="L18" s="14" t="str">
        <f t="shared" si="2"/>
        <v>-</v>
      </c>
      <c r="M18" s="14" t="str">
        <f t="shared" si="3"/>
        <v>-</v>
      </c>
      <c r="N18" s="14" t="str">
        <f t="shared" si="4"/>
        <v>-</v>
      </c>
      <c r="O18" s="14" t="str">
        <f t="shared" si="5"/>
        <v>-</v>
      </c>
      <c r="P18" s="14" t="str">
        <f t="shared" si="6"/>
        <v>-</v>
      </c>
      <c r="Q18" s="14" t="e">
        <f>RANK($K18,$K$5:$K$104,1)+COUNTIF(K$5:K18,K18)-1</f>
        <v>#VALUE!</v>
      </c>
      <c r="R18" s="14" t="e">
        <f t="shared" si="7"/>
        <v>#VALUE!</v>
      </c>
      <c r="S18" s="14" t="e">
        <f>RANK($L18,$L$5:$L$104,1)+COUNTIF(L$5:L18,L18)-1</f>
        <v>#VALUE!</v>
      </c>
      <c r="T18" s="14" t="e">
        <f t="shared" si="8"/>
        <v>#VALUE!</v>
      </c>
      <c r="U18" s="14" t="e">
        <f>RANK($M18,$M$5:$M$104,1)+COUNTIF(M$5:M18,M18)-1</f>
        <v>#VALUE!</v>
      </c>
      <c r="V18" s="14" t="e">
        <f t="shared" si="9"/>
        <v>#VALUE!</v>
      </c>
      <c r="W18" s="14" t="e">
        <f>RANK($N18,$N$5:$N$104,1)+COUNTIF(N$5:N18,N18)-1</f>
        <v>#VALUE!</v>
      </c>
      <c r="X18" s="14" t="e">
        <f t="shared" si="10"/>
        <v>#VALUE!</v>
      </c>
      <c r="Y18" s="14" t="e">
        <f>RANK($O18,$O$5:$O$104,1)+COUNTIF(O$5:O18,O18)-1</f>
        <v>#VALUE!</v>
      </c>
      <c r="Z18" s="14" t="e">
        <f t="shared" si="11"/>
        <v>#VALUE!</v>
      </c>
      <c r="AA18" s="14" t="e">
        <f>RANK($P18,$P$5:$P$104,1)+COUNTIF(P$5:P18,P18)-1</f>
        <v>#VALUE!</v>
      </c>
      <c r="AB18" s="14" t="e">
        <f t="shared" si="12"/>
        <v>#VALUE!</v>
      </c>
      <c r="AC18" s="1" t="str">
        <f t="shared" si="13"/>
        <v xml:space="preserve"> </v>
      </c>
      <c r="AD18" s="1" t="str">
        <f t="shared" si="14"/>
        <v>-</v>
      </c>
      <c r="AE18" s="35" t="str">
        <f t="shared" si="15"/>
        <v>-</v>
      </c>
      <c r="AF18" s="35" t="str">
        <f t="shared" si="15"/>
        <v>-</v>
      </c>
      <c r="AG18" s="35" t="str">
        <f t="shared" si="15"/>
        <v>-</v>
      </c>
      <c r="AH18" s="35" t="str">
        <f t="shared" si="15"/>
        <v>-</v>
      </c>
      <c r="AI18" s="35" t="str">
        <f t="shared" si="15"/>
        <v>-</v>
      </c>
      <c r="AJ18" s="35" t="str">
        <f t="shared" si="15"/>
        <v>-</v>
      </c>
      <c r="AL18" s="4">
        <v>14</v>
      </c>
      <c r="AM18" s="2" t="e">
        <f>VLOOKUP(AL18,Q$5:$AJ$104,$AN$2,FALSE)</f>
        <v>#N/A</v>
      </c>
      <c r="AN18" s="6" t="e">
        <f>VLOOKUP(AL18,Q$5:$AJ$104,$AN$2+11,FALSE)</f>
        <v>#N/A</v>
      </c>
      <c r="AO18" s="2" t="e">
        <f t="shared" si="16"/>
        <v>#N/A</v>
      </c>
      <c r="AQ18" s="4">
        <v>14</v>
      </c>
      <c r="AR18" s="2" t="e">
        <f>VLOOKUP(AQ18,$S$5:$AJ$104,$AS$2,FALSE)</f>
        <v>#N/A</v>
      </c>
      <c r="AS18" s="6" t="e">
        <f>VLOOKUP(AQ18,$S$5:$AJ$104,$AS$2+9,FALSE)</f>
        <v>#N/A</v>
      </c>
      <c r="AT18" s="2" t="e">
        <f>VLOOKUP(AR18,$S$5:$AJ$104,$AS$2+12,FALSE)</f>
        <v>#N/A</v>
      </c>
      <c r="AV18" s="4">
        <v>14</v>
      </c>
      <c r="AW18" s="2" t="e">
        <f>VLOOKUP(AV18,$U$5:$AJ$104,$AX$2,FALSE)</f>
        <v>#N/A</v>
      </c>
      <c r="AX18" s="6" t="e">
        <f>VLOOKUP(AV18,$U$5:$AJ$104,$AX$2+7,FALSE)</f>
        <v>#N/A</v>
      </c>
      <c r="AY18" s="2" t="e">
        <f>VLOOKUP(AW18,$U$5:$AJ$104,$AX$2+11,FALSE)</f>
        <v>#N/A</v>
      </c>
      <c r="BA18" s="4">
        <v>14</v>
      </c>
      <c r="BB18" s="2" t="e">
        <f>VLOOKUP(BA18,$W$5:$AJ$104,$BC$2,FALSE)</f>
        <v>#N/A</v>
      </c>
      <c r="BC18" s="6" t="e">
        <f>VLOOKUP(BA18,$W$5:$AJ$104,$BC$2+5,FALSE)</f>
        <v>#N/A</v>
      </c>
      <c r="BD18" s="58" t="e">
        <f>VLOOKUP(BB18,$W$5:$AJ$104,$BC$2+10,FALSE)</f>
        <v>#N/A</v>
      </c>
      <c r="BF18" s="4">
        <v>14</v>
      </c>
      <c r="BG18" s="2" t="e">
        <f>VLOOKUP(BF18,$Y$5:$AJ$104,$BH$2,FALSE)</f>
        <v>#N/A</v>
      </c>
      <c r="BH18" s="6" t="e">
        <f>VLOOKUP(BF18,$Y$5:$AJ$104,$BH$2+3,FALSE)</f>
        <v>#N/A</v>
      </c>
      <c r="BI18" s="2" t="e">
        <f>VLOOKUP(BF18,$Y$5:$AJ$104,$BH$2+4,FALSE)</f>
        <v>#N/A</v>
      </c>
      <c r="BJ18" s="2" t="e">
        <f>VLOOKUP(BG18,$Y$5:$AJ$104,$BH$2+9,FALSE)</f>
        <v>#N/A</v>
      </c>
      <c r="BL18" s="4">
        <v>14</v>
      </c>
      <c r="BM18" s="2" t="e">
        <f>VLOOKUP(BL18,$AA$5:$AJ$104,$BN$2,FALSE)</f>
        <v>#N/A</v>
      </c>
      <c r="BN18" s="6" t="e">
        <f>VLOOKUP(BL18,$AA$5:$AJ$104,$BN$2+1,FALSE)</f>
        <v>#N/A</v>
      </c>
      <c r="BO18" s="2" t="e">
        <f>VLOOKUP(BM18,$AA$5:$AJ$104,$BN$2+8,FALSE)</f>
        <v>#N/A</v>
      </c>
      <c r="BQ18" s="2" t="e">
        <f>'Eclectic B'!CD18</f>
        <v>#N/A</v>
      </c>
      <c r="BR18" s="6" t="e">
        <f>'Eclectic B'!CE18</f>
        <v>#N/A</v>
      </c>
      <c r="BS18" s="103" t="e">
        <f>'Eclectic B'!CF18</f>
        <v>#N/A</v>
      </c>
    </row>
    <row r="19" spans="1:71">
      <c r="A19" s="10" t="str">
        <f>IF(ISBLANK(Players!F17),"",Players!F17)</f>
        <v/>
      </c>
      <c r="B19" s="10" t="str">
        <f>IF(ISBLANK(Players!G17),"",Players!G17)</f>
        <v/>
      </c>
      <c r="C19" s="10" t="str">
        <f>IF(ISBLANK(Players!I17),"",Players!I17)</f>
        <v/>
      </c>
      <c r="D19" s="69" t="str">
        <f>IF(ISNUMBER(C19),MIN((C19*Rules!$N$14/113)+(Rules!$N$13-Rules!$N$12),Rules!$N$37),"-")</f>
        <v>-</v>
      </c>
      <c r="E19" s="69" t="str">
        <f>IF(ISNUMBER(C19),    ROUND( (D19*Rules!$N$11) / 100,0),"-")</f>
        <v>-</v>
      </c>
      <c r="F19" s="36" t="str">
        <f>IF(AND(ISNUMBER(C19),C19&gt;=Rules!$M$17,C19&lt;=Rules!$N$17),"Y","N")</f>
        <v>N</v>
      </c>
      <c r="G19" s="137" t="str">
        <f>'Eclectic B'!M19</f>
        <v>-</v>
      </c>
      <c r="H19" s="137" t="str">
        <f>'Eclectic B'!W19</f>
        <v>-</v>
      </c>
      <c r="I19" s="137" t="str">
        <f>'Eclectic B'!AJ19</f>
        <v>-</v>
      </c>
      <c r="J19" s="137" t="str">
        <f>'Eclectic B'!AT19</f>
        <v>-</v>
      </c>
      <c r="K19" s="14" t="str">
        <f t="shared" si="1"/>
        <v>-</v>
      </c>
      <c r="L19" s="14" t="str">
        <f t="shared" si="2"/>
        <v>-</v>
      </c>
      <c r="M19" s="14" t="str">
        <f t="shared" si="3"/>
        <v>-</v>
      </c>
      <c r="N19" s="14" t="str">
        <f t="shared" si="4"/>
        <v>-</v>
      </c>
      <c r="O19" s="14" t="str">
        <f t="shared" si="5"/>
        <v>-</v>
      </c>
      <c r="P19" s="14" t="str">
        <f t="shared" si="6"/>
        <v>-</v>
      </c>
      <c r="Q19" s="14" t="e">
        <f>RANK($K19,$K$5:$K$104,1)+COUNTIF(K$5:K19,K19)-1</f>
        <v>#VALUE!</v>
      </c>
      <c r="R19" s="14" t="e">
        <f t="shared" si="7"/>
        <v>#VALUE!</v>
      </c>
      <c r="S19" s="14" t="e">
        <f>RANK($L19,$L$5:$L$104,1)+COUNTIF(L$5:L19,L19)-1</f>
        <v>#VALUE!</v>
      </c>
      <c r="T19" s="14" t="e">
        <f t="shared" si="8"/>
        <v>#VALUE!</v>
      </c>
      <c r="U19" s="14" t="e">
        <f>RANK($M19,$M$5:$M$104,1)+COUNTIF(M$5:M19,M19)-1</f>
        <v>#VALUE!</v>
      </c>
      <c r="V19" s="14" t="e">
        <f t="shared" si="9"/>
        <v>#VALUE!</v>
      </c>
      <c r="W19" s="14" t="e">
        <f>RANK($N19,$N$5:$N$104,1)+COUNTIF(N$5:N19,N19)-1</f>
        <v>#VALUE!</v>
      </c>
      <c r="X19" s="14" t="e">
        <f t="shared" si="10"/>
        <v>#VALUE!</v>
      </c>
      <c r="Y19" s="14" t="e">
        <f>RANK($O19,$O$5:$O$104,1)+COUNTIF(O$5:O19,O19)-1</f>
        <v>#VALUE!</v>
      </c>
      <c r="Z19" s="14" t="e">
        <f t="shared" si="11"/>
        <v>#VALUE!</v>
      </c>
      <c r="AA19" s="14" t="e">
        <f>RANK($P19,$P$5:$P$104,1)+COUNTIF(P$5:P19,P19)-1</f>
        <v>#VALUE!</v>
      </c>
      <c r="AB19" s="14" t="e">
        <f t="shared" si="12"/>
        <v>#VALUE!</v>
      </c>
      <c r="AC19" s="1" t="str">
        <f t="shared" si="13"/>
        <v xml:space="preserve"> </v>
      </c>
      <c r="AD19" s="1" t="str">
        <f t="shared" si="14"/>
        <v>-</v>
      </c>
      <c r="AE19" s="35" t="str">
        <f t="shared" si="15"/>
        <v>-</v>
      </c>
      <c r="AF19" s="35" t="str">
        <f t="shared" si="15"/>
        <v>-</v>
      </c>
      <c r="AG19" s="35" t="str">
        <f t="shared" si="15"/>
        <v>-</v>
      </c>
      <c r="AH19" s="35" t="str">
        <f t="shared" si="15"/>
        <v>-</v>
      </c>
      <c r="AI19" s="35" t="str">
        <f t="shared" si="15"/>
        <v>-</v>
      </c>
      <c r="AJ19" s="35" t="str">
        <f t="shared" si="15"/>
        <v>-</v>
      </c>
      <c r="AL19" s="4">
        <v>15</v>
      </c>
      <c r="AM19" s="2" t="e">
        <f>VLOOKUP(AL19,Q$5:$AJ$104,$AN$2,FALSE)</f>
        <v>#N/A</v>
      </c>
      <c r="AN19" s="6" t="e">
        <f>VLOOKUP(AL19,Q$5:$AJ$104,$AN$2+11,FALSE)</f>
        <v>#N/A</v>
      </c>
      <c r="AO19" s="2" t="e">
        <f t="shared" si="16"/>
        <v>#N/A</v>
      </c>
      <c r="AQ19" s="4">
        <v>15</v>
      </c>
      <c r="AR19" s="2" t="e">
        <f>VLOOKUP(AQ19,$S$5:$AJ$104,$AS$2,FALSE)</f>
        <v>#N/A</v>
      </c>
      <c r="AS19" s="6" t="e">
        <f>VLOOKUP(AQ19,$S$5:$AJ$104,$AS$2+9,FALSE)</f>
        <v>#N/A</v>
      </c>
      <c r="AT19" s="2" t="e">
        <f>VLOOKUP(AR19,$S$5:$AJ$104,$AS$2+12,FALSE)</f>
        <v>#N/A</v>
      </c>
      <c r="AU19" s="9"/>
      <c r="AV19" s="4">
        <v>15</v>
      </c>
      <c r="AW19" s="2" t="e">
        <f>VLOOKUP(AV19,$U$5:$AJ$104,$AX$2,FALSE)</f>
        <v>#N/A</v>
      </c>
      <c r="AX19" s="6" t="e">
        <f>VLOOKUP(AV19,$U$5:$AJ$104,$AX$2+7,FALSE)</f>
        <v>#N/A</v>
      </c>
      <c r="AY19" s="2" t="e">
        <f>VLOOKUP(AW19,$U$5:$AJ$104,$AX$2+11,FALSE)</f>
        <v>#N/A</v>
      </c>
      <c r="BA19" s="4">
        <v>15</v>
      </c>
      <c r="BB19" s="2" t="e">
        <f>VLOOKUP(BA19,$W$5:$AJ$104,$BC$2,FALSE)</f>
        <v>#N/A</v>
      </c>
      <c r="BC19" s="6" t="e">
        <f>VLOOKUP(BA19,$W$5:$AJ$104,$BC$2+5,FALSE)</f>
        <v>#N/A</v>
      </c>
      <c r="BD19" s="58" t="e">
        <f>VLOOKUP(BB19,$W$5:$AJ$104,$BC$2+10,FALSE)</f>
        <v>#N/A</v>
      </c>
      <c r="BE19" s="9"/>
      <c r="BF19" s="4">
        <v>15</v>
      </c>
      <c r="BG19" s="2" t="e">
        <f>VLOOKUP(BF19,$Y$5:$AJ$104,$BH$2,FALSE)</f>
        <v>#N/A</v>
      </c>
      <c r="BH19" s="6" t="e">
        <f>VLOOKUP(BF19,$Y$5:$AJ$104,$BH$2+3,FALSE)</f>
        <v>#N/A</v>
      </c>
      <c r="BI19" s="2" t="e">
        <f>VLOOKUP(BF19,$Y$5:$AJ$104,$BH$2+4,FALSE)</f>
        <v>#N/A</v>
      </c>
      <c r="BJ19" s="2" t="e">
        <f>VLOOKUP(BG19,$Y$5:$AJ$104,$BH$2+9,FALSE)</f>
        <v>#N/A</v>
      </c>
      <c r="BL19" s="4">
        <v>15</v>
      </c>
      <c r="BM19" s="2" t="e">
        <f>VLOOKUP(BL19,$AA$5:$AJ$104,$BN$2,FALSE)</f>
        <v>#N/A</v>
      </c>
      <c r="BN19" s="6" t="e">
        <f>VLOOKUP(BL19,$AA$5:$AJ$104,$BN$2+1,FALSE)</f>
        <v>#N/A</v>
      </c>
      <c r="BO19" s="2" t="e">
        <f>VLOOKUP(BM19,$AA$5:$AJ$104,$BN$2+8,FALSE)</f>
        <v>#N/A</v>
      </c>
      <c r="BQ19" s="2" t="e">
        <f>'Eclectic B'!CD19</f>
        <v>#N/A</v>
      </c>
      <c r="BR19" s="6" t="e">
        <f>'Eclectic B'!CE19</f>
        <v>#N/A</v>
      </c>
      <c r="BS19" s="103" t="e">
        <f>'Eclectic B'!CF19</f>
        <v>#N/A</v>
      </c>
    </row>
    <row r="20" spans="1:71">
      <c r="A20" s="10" t="str">
        <f>IF(ISBLANK(Players!F18),"",Players!F18)</f>
        <v/>
      </c>
      <c r="B20" s="10" t="str">
        <f>IF(ISBLANK(Players!G18),"",Players!G18)</f>
        <v/>
      </c>
      <c r="C20" s="10" t="str">
        <f>IF(ISBLANK(Players!I18),"",Players!I18)</f>
        <v/>
      </c>
      <c r="D20" s="69" t="str">
        <f>IF(ISNUMBER(C20),MIN((C20*Rules!$N$14/113)+(Rules!$N$13-Rules!$N$12),Rules!$N$37),"-")</f>
        <v>-</v>
      </c>
      <c r="E20" s="69" t="str">
        <f>IF(ISNUMBER(C20),    ROUND( (D20*Rules!$N$11) / 100,0),"-")</f>
        <v>-</v>
      </c>
      <c r="F20" s="36" t="str">
        <f>IF(AND(ISNUMBER(C20),C20&gt;=Rules!$M$17,C20&lt;=Rules!$N$17),"Y","N")</f>
        <v>N</v>
      </c>
      <c r="G20" s="137" t="str">
        <f>'Eclectic B'!M20</f>
        <v>-</v>
      </c>
      <c r="H20" s="137" t="str">
        <f>'Eclectic B'!W20</f>
        <v>-</v>
      </c>
      <c r="I20" s="137" t="str">
        <f>'Eclectic B'!AJ20</f>
        <v>-</v>
      </c>
      <c r="J20" s="137" t="str">
        <f>'Eclectic B'!AT20</f>
        <v>-</v>
      </c>
      <c r="K20" s="14" t="str">
        <f t="shared" si="1"/>
        <v>-</v>
      </c>
      <c r="L20" s="14" t="str">
        <f t="shared" si="2"/>
        <v>-</v>
      </c>
      <c r="M20" s="14" t="str">
        <f t="shared" si="3"/>
        <v>-</v>
      </c>
      <c r="N20" s="14" t="str">
        <f t="shared" si="4"/>
        <v>-</v>
      </c>
      <c r="O20" s="14" t="str">
        <f t="shared" si="5"/>
        <v>-</v>
      </c>
      <c r="P20" s="14" t="str">
        <f t="shared" si="6"/>
        <v>-</v>
      </c>
      <c r="Q20" s="14" t="e">
        <f>RANK($K20,$K$5:$K$104,1)+COUNTIF(K$5:K20,K20)-1</f>
        <v>#VALUE!</v>
      </c>
      <c r="R20" s="14" t="e">
        <f t="shared" si="7"/>
        <v>#VALUE!</v>
      </c>
      <c r="S20" s="14" t="e">
        <f>RANK($L20,$L$5:$L$104,1)+COUNTIF(L$5:L20,L20)-1</f>
        <v>#VALUE!</v>
      </c>
      <c r="T20" s="14" t="e">
        <f t="shared" si="8"/>
        <v>#VALUE!</v>
      </c>
      <c r="U20" s="14" t="e">
        <f>RANK($M20,$M$5:$M$104,1)+COUNTIF(M$5:M20,M20)-1</f>
        <v>#VALUE!</v>
      </c>
      <c r="V20" s="14" t="e">
        <f t="shared" si="9"/>
        <v>#VALUE!</v>
      </c>
      <c r="W20" s="14" t="e">
        <f>RANK($N20,$N$5:$N$104,1)+COUNTIF(N$5:N20,N20)-1</f>
        <v>#VALUE!</v>
      </c>
      <c r="X20" s="14" t="e">
        <f t="shared" si="10"/>
        <v>#VALUE!</v>
      </c>
      <c r="Y20" s="14" t="e">
        <f>RANK($O20,$O$5:$O$104,1)+COUNTIF(O$5:O20,O20)-1</f>
        <v>#VALUE!</v>
      </c>
      <c r="Z20" s="14" t="e">
        <f t="shared" si="11"/>
        <v>#VALUE!</v>
      </c>
      <c r="AA20" s="14" t="e">
        <f>RANK($P20,$P$5:$P$104,1)+COUNTIF(P$5:P20,P20)-1</f>
        <v>#VALUE!</v>
      </c>
      <c r="AB20" s="14" t="e">
        <f t="shared" si="12"/>
        <v>#VALUE!</v>
      </c>
      <c r="AC20" s="1" t="str">
        <f t="shared" si="13"/>
        <v xml:space="preserve"> </v>
      </c>
      <c r="AD20" s="1" t="str">
        <f t="shared" si="14"/>
        <v>-</v>
      </c>
      <c r="AE20" s="35" t="str">
        <f t="shared" si="15"/>
        <v>-</v>
      </c>
      <c r="AF20" s="35" t="str">
        <f t="shared" si="15"/>
        <v>-</v>
      </c>
      <c r="AG20" s="35" t="str">
        <f t="shared" si="15"/>
        <v>-</v>
      </c>
      <c r="AH20" s="35" t="str">
        <f t="shared" si="15"/>
        <v>-</v>
      </c>
      <c r="AI20" s="35" t="str">
        <f t="shared" si="15"/>
        <v>-</v>
      </c>
      <c r="AJ20" s="35" t="str">
        <f t="shared" si="15"/>
        <v>-</v>
      </c>
      <c r="AL20" s="4">
        <v>16</v>
      </c>
      <c r="AM20" s="2" t="e">
        <f>VLOOKUP(AL20,Q$5:$AJ$104,$AN$2,FALSE)</f>
        <v>#N/A</v>
      </c>
      <c r="AN20" s="6" t="e">
        <f>VLOOKUP(AL20,Q$5:$AJ$104,$AN$2+11,FALSE)</f>
        <v>#N/A</v>
      </c>
      <c r="AO20" s="2" t="e">
        <f t="shared" si="16"/>
        <v>#N/A</v>
      </c>
      <c r="AQ20" s="4">
        <v>16</v>
      </c>
      <c r="AR20" s="2" t="e">
        <f>VLOOKUP(AQ20,$S$5:$AJ$104,$AS$2,FALSE)</f>
        <v>#N/A</v>
      </c>
      <c r="AS20" s="6" t="e">
        <f>VLOOKUP(AQ20,$S$5:$AJ$104,$AS$2+9,FALSE)</f>
        <v>#N/A</v>
      </c>
      <c r="AT20" s="2" t="e">
        <f>VLOOKUP(AR20,$S$5:$AJ$104,$AS$2+12,FALSE)</f>
        <v>#N/A</v>
      </c>
      <c r="AU20" s="9"/>
      <c r="AV20" s="4">
        <v>16</v>
      </c>
      <c r="AW20" s="2" t="e">
        <f>VLOOKUP(AV20,$U$5:$AJ$104,$AX$2,FALSE)</f>
        <v>#N/A</v>
      </c>
      <c r="AX20" s="6" t="e">
        <f>VLOOKUP(AV20,$U$5:$AJ$104,$AX$2+7,FALSE)</f>
        <v>#N/A</v>
      </c>
      <c r="AY20" s="2" t="e">
        <f>VLOOKUP(AW20,$U$5:$AJ$104,$AX$2+11,FALSE)</f>
        <v>#N/A</v>
      </c>
      <c r="BA20" s="4">
        <v>16</v>
      </c>
      <c r="BB20" s="2" t="e">
        <f>VLOOKUP(BA20,$W$5:$AJ$104,$BC$2,FALSE)</f>
        <v>#N/A</v>
      </c>
      <c r="BC20" s="6" t="e">
        <f>VLOOKUP(BA20,$W$5:$AJ$104,$BC$2+5,FALSE)</f>
        <v>#N/A</v>
      </c>
      <c r="BD20" s="58" t="e">
        <f>VLOOKUP(BB20,$W$5:$AJ$104,$BC$2+10,FALSE)</f>
        <v>#N/A</v>
      </c>
      <c r="BE20" s="9"/>
      <c r="BF20" s="4">
        <v>16</v>
      </c>
      <c r="BG20" s="2" t="e">
        <f>VLOOKUP(BF20,$Y$5:$AJ$104,$BH$2,FALSE)</f>
        <v>#N/A</v>
      </c>
      <c r="BH20" s="6" t="e">
        <f>VLOOKUP(BF20,$Y$5:$AJ$104,$BH$2+3,FALSE)</f>
        <v>#N/A</v>
      </c>
      <c r="BI20" s="2" t="e">
        <f>VLOOKUP(BF20,$Y$5:$AJ$104,$BH$2+4,FALSE)</f>
        <v>#N/A</v>
      </c>
      <c r="BJ20" s="2" t="e">
        <f>VLOOKUP(BG20,$Y$5:$AJ$104,$BH$2+9,FALSE)</f>
        <v>#N/A</v>
      </c>
      <c r="BL20" s="4">
        <v>16</v>
      </c>
      <c r="BM20" s="2" t="e">
        <f>VLOOKUP(BL20,$AA$5:$AJ$104,$BN$2,FALSE)</f>
        <v>#N/A</v>
      </c>
      <c r="BN20" s="6" t="e">
        <f>VLOOKUP(BL20,$AA$5:$AJ$104,$BN$2+1,FALSE)</f>
        <v>#N/A</v>
      </c>
      <c r="BO20" s="2" t="e">
        <f>VLOOKUP(BM20,$AA$5:$AJ$104,$BN$2+8,FALSE)</f>
        <v>#N/A</v>
      </c>
      <c r="BQ20" s="2" t="e">
        <f>'Eclectic B'!CD20</f>
        <v>#N/A</v>
      </c>
      <c r="BR20" s="6" t="e">
        <f>'Eclectic B'!CE20</f>
        <v>#N/A</v>
      </c>
      <c r="BS20" s="103" t="e">
        <f>'Eclectic B'!CF20</f>
        <v>#N/A</v>
      </c>
    </row>
    <row r="21" spans="1:71">
      <c r="A21" s="10" t="str">
        <f>IF(ISBLANK(Players!F19),"",Players!F19)</f>
        <v/>
      </c>
      <c r="B21" s="10" t="str">
        <f>IF(ISBLANK(Players!G19),"",Players!G19)</f>
        <v/>
      </c>
      <c r="C21" s="10" t="str">
        <f>IF(ISBLANK(Players!I19),"",Players!I19)</f>
        <v/>
      </c>
      <c r="D21" s="69" t="str">
        <f>IF(ISNUMBER(C21),MIN((C21*Rules!$N$14/113)+(Rules!$N$13-Rules!$N$12),Rules!$N$37),"-")</f>
        <v>-</v>
      </c>
      <c r="E21" s="69" t="str">
        <f>IF(ISNUMBER(C21),    ROUND( (D21*Rules!$N$11) / 100,0),"-")</f>
        <v>-</v>
      </c>
      <c r="F21" s="36" t="str">
        <f>IF(AND(ISNUMBER(C21),C21&gt;=Rules!$M$17,C21&lt;=Rules!$N$17),"Y","N")</f>
        <v>N</v>
      </c>
      <c r="G21" s="137" t="str">
        <f>'Eclectic B'!M21</f>
        <v>-</v>
      </c>
      <c r="H21" s="137" t="str">
        <f>'Eclectic B'!W21</f>
        <v>-</v>
      </c>
      <c r="I21" s="137" t="str">
        <f>'Eclectic B'!AJ21</f>
        <v>-</v>
      </c>
      <c r="J21" s="137" t="str">
        <f>'Eclectic B'!AT21</f>
        <v>-</v>
      </c>
      <c r="K21" s="14" t="str">
        <f t="shared" si="1"/>
        <v>-</v>
      </c>
      <c r="L21" s="14" t="str">
        <f t="shared" si="2"/>
        <v>-</v>
      </c>
      <c r="M21" s="14" t="str">
        <f t="shared" si="3"/>
        <v>-</v>
      </c>
      <c r="N21" s="14" t="str">
        <f t="shared" si="4"/>
        <v>-</v>
      </c>
      <c r="O21" s="14" t="str">
        <f t="shared" si="5"/>
        <v>-</v>
      </c>
      <c r="P21" s="14" t="str">
        <f t="shared" si="6"/>
        <v>-</v>
      </c>
      <c r="Q21" s="14" t="e">
        <f>RANK($K21,$K$5:$K$104,1)+COUNTIF(K$5:K21,K21)-1</f>
        <v>#VALUE!</v>
      </c>
      <c r="R21" s="14" t="e">
        <f t="shared" si="7"/>
        <v>#VALUE!</v>
      </c>
      <c r="S21" s="14" t="e">
        <f>RANK($L21,$L$5:$L$104,1)+COUNTIF(L$5:L21,L21)-1</f>
        <v>#VALUE!</v>
      </c>
      <c r="T21" s="14" t="e">
        <f t="shared" si="8"/>
        <v>#VALUE!</v>
      </c>
      <c r="U21" s="14" t="e">
        <f>RANK($M21,$M$5:$M$104,1)+COUNTIF(M$5:M21,M21)-1</f>
        <v>#VALUE!</v>
      </c>
      <c r="V21" s="14" t="e">
        <f t="shared" si="9"/>
        <v>#VALUE!</v>
      </c>
      <c r="W21" s="14" t="e">
        <f>RANK($N21,$N$5:$N$104,1)+COUNTIF(N$5:N21,N21)-1</f>
        <v>#VALUE!</v>
      </c>
      <c r="X21" s="14" t="e">
        <f t="shared" si="10"/>
        <v>#VALUE!</v>
      </c>
      <c r="Y21" s="14" t="e">
        <f>RANK($O21,$O$5:$O$104,1)+COUNTIF(O$5:O21,O21)-1</f>
        <v>#VALUE!</v>
      </c>
      <c r="Z21" s="14" t="e">
        <f t="shared" si="11"/>
        <v>#VALUE!</v>
      </c>
      <c r="AA21" s="14" t="e">
        <f>RANK($P21,$P$5:$P$104,1)+COUNTIF(P$5:P21,P21)-1</f>
        <v>#VALUE!</v>
      </c>
      <c r="AB21" s="14" t="e">
        <f t="shared" si="12"/>
        <v>#VALUE!</v>
      </c>
      <c r="AC21" s="1" t="str">
        <f t="shared" si="13"/>
        <v xml:space="preserve"> </v>
      </c>
      <c r="AD21" s="1" t="str">
        <f t="shared" si="14"/>
        <v>-</v>
      </c>
      <c r="AE21" s="35" t="str">
        <f t="shared" si="15"/>
        <v>-</v>
      </c>
      <c r="AF21" s="35" t="str">
        <f t="shared" si="15"/>
        <v>-</v>
      </c>
      <c r="AG21" s="35" t="str">
        <f t="shared" si="15"/>
        <v>-</v>
      </c>
      <c r="AH21" s="35" t="str">
        <f t="shared" si="15"/>
        <v>-</v>
      </c>
      <c r="AI21" s="35" t="str">
        <f t="shared" si="15"/>
        <v>-</v>
      </c>
      <c r="AJ21" s="35" t="str">
        <f t="shared" si="15"/>
        <v>-</v>
      </c>
      <c r="AL21" s="4">
        <v>17</v>
      </c>
      <c r="AM21" s="2" t="e">
        <f>VLOOKUP(AL21,Q$5:$AJ$104,$AN$2,FALSE)</f>
        <v>#N/A</v>
      </c>
      <c r="AN21" s="6" t="e">
        <f>VLOOKUP(AL21,Q$5:$AJ$104,$AN$2+11,FALSE)</f>
        <v>#N/A</v>
      </c>
      <c r="AO21" s="2" t="e">
        <f t="shared" si="16"/>
        <v>#N/A</v>
      </c>
      <c r="AQ21" s="4">
        <v>17</v>
      </c>
      <c r="AR21" s="2" t="e">
        <f>VLOOKUP(AQ21,$S$5:$AJ$104,$AS$2,FALSE)</f>
        <v>#N/A</v>
      </c>
      <c r="AS21" s="6" t="e">
        <f>VLOOKUP(AQ21,$S$5:$AJ$104,$AS$2+9,FALSE)</f>
        <v>#N/A</v>
      </c>
      <c r="AT21" s="2" t="e">
        <f>VLOOKUP(AR21,$S$5:$AJ$104,$AS$2+12,FALSE)</f>
        <v>#N/A</v>
      </c>
      <c r="AU21" s="9"/>
      <c r="AV21" s="4">
        <v>17</v>
      </c>
      <c r="AW21" s="2" t="e">
        <f>VLOOKUP(AV21,$U$5:$AJ$104,$AX$2,FALSE)</f>
        <v>#N/A</v>
      </c>
      <c r="AX21" s="6" t="e">
        <f>VLOOKUP(AV21,$U$5:$AJ$104,$AX$2+7,FALSE)</f>
        <v>#N/A</v>
      </c>
      <c r="AY21" s="2" t="e">
        <f>VLOOKUP(AW21,$U$5:$AJ$104,$AX$2+11,FALSE)</f>
        <v>#N/A</v>
      </c>
      <c r="BA21" s="4">
        <v>17</v>
      </c>
      <c r="BB21" s="2" t="e">
        <f>VLOOKUP(BA21,$W$5:$AJ$104,$BC$2,FALSE)</f>
        <v>#N/A</v>
      </c>
      <c r="BC21" s="6" t="e">
        <f>VLOOKUP(BA21,$W$5:$AJ$104,$BC$2+5,FALSE)</f>
        <v>#N/A</v>
      </c>
      <c r="BD21" s="58" t="e">
        <f>VLOOKUP(BB21,$W$5:$AJ$104,$BC$2+10,FALSE)</f>
        <v>#N/A</v>
      </c>
      <c r="BE21" s="9"/>
      <c r="BF21" s="4">
        <v>17</v>
      </c>
      <c r="BG21" s="2" t="e">
        <f>VLOOKUP(BF21,$Y$5:$AJ$104,$BH$2,FALSE)</f>
        <v>#N/A</v>
      </c>
      <c r="BH21" s="6" t="e">
        <f>VLOOKUP(BF21,$Y$5:$AJ$104,$BH$2+3,FALSE)</f>
        <v>#N/A</v>
      </c>
      <c r="BI21" s="2" t="e">
        <f>VLOOKUP(BF21,$Y$5:$AJ$104,$BH$2+4,FALSE)</f>
        <v>#N/A</v>
      </c>
      <c r="BJ21" s="2" t="e">
        <f>VLOOKUP(BG21,$Y$5:$AJ$104,$BH$2+9,FALSE)</f>
        <v>#N/A</v>
      </c>
      <c r="BL21" s="4">
        <v>17</v>
      </c>
      <c r="BM21" s="2" t="e">
        <f>VLOOKUP(BL21,$AA$5:$AJ$104,$BN$2,FALSE)</f>
        <v>#N/A</v>
      </c>
      <c r="BN21" s="6" t="e">
        <f>VLOOKUP(BL21,$AA$5:$AJ$104,$BN$2+1,FALSE)</f>
        <v>#N/A</v>
      </c>
      <c r="BO21" s="2" t="e">
        <f>VLOOKUP(BM21,$AA$5:$AJ$104,$BN$2+8,FALSE)</f>
        <v>#N/A</v>
      </c>
      <c r="BQ21" s="2" t="e">
        <f>'Eclectic B'!CD21</f>
        <v>#N/A</v>
      </c>
      <c r="BR21" s="6" t="e">
        <f>'Eclectic B'!CE21</f>
        <v>#N/A</v>
      </c>
      <c r="BS21" s="103" t="e">
        <f>'Eclectic B'!CF21</f>
        <v>#N/A</v>
      </c>
    </row>
    <row r="22" spans="1:71">
      <c r="A22" s="10" t="str">
        <f>IF(ISBLANK(Players!F20),"",Players!F20)</f>
        <v/>
      </c>
      <c r="B22" s="10" t="str">
        <f>IF(ISBLANK(Players!G20),"",Players!G20)</f>
        <v/>
      </c>
      <c r="C22" s="10" t="str">
        <f>IF(ISBLANK(Players!I20),"",Players!I20)</f>
        <v/>
      </c>
      <c r="D22" s="69" t="str">
        <f>IF(ISNUMBER(C22),MIN((C22*Rules!$N$14/113)+(Rules!$N$13-Rules!$N$12),Rules!$N$37),"-")</f>
        <v>-</v>
      </c>
      <c r="E22" s="69" t="str">
        <f>IF(ISNUMBER(C22),    ROUND( (D22*Rules!$N$11) / 100,0),"-")</f>
        <v>-</v>
      </c>
      <c r="F22" s="36" t="str">
        <f>IF(AND(ISNUMBER(C22),C22&gt;=Rules!$M$17,C22&lt;=Rules!$N$17),"Y","N")</f>
        <v>N</v>
      </c>
      <c r="G22" s="137" t="str">
        <f>'Eclectic B'!M22</f>
        <v>-</v>
      </c>
      <c r="H22" s="137" t="str">
        <f>'Eclectic B'!W22</f>
        <v>-</v>
      </c>
      <c r="I22" s="137" t="str">
        <f>'Eclectic B'!AJ22</f>
        <v>-</v>
      </c>
      <c r="J22" s="137" t="str">
        <f>'Eclectic B'!AT22</f>
        <v>-</v>
      </c>
      <c r="K22" s="14" t="str">
        <f t="shared" si="1"/>
        <v>-</v>
      </c>
      <c r="L22" s="14" t="str">
        <f t="shared" si="2"/>
        <v>-</v>
      </c>
      <c r="M22" s="14" t="str">
        <f t="shared" si="3"/>
        <v>-</v>
      </c>
      <c r="N22" s="14" t="str">
        <f t="shared" si="4"/>
        <v>-</v>
      </c>
      <c r="O22" s="14" t="str">
        <f t="shared" si="5"/>
        <v>-</v>
      </c>
      <c r="P22" s="14" t="str">
        <f t="shared" si="6"/>
        <v>-</v>
      </c>
      <c r="Q22" s="14" t="e">
        <f>RANK($K22,$K$5:$K$104,1)+COUNTIF(K$5:K22,K22)-1</f>
        <v>#VALUE!</v>
      </c>
      <c r="R22" s="14" t="e">
        <f t="shared" si="7"/>
        <v>#VALUE!</v>
      </c>
      <c r="S22" s="14" t="e">
        <f>RANK($L22,$L$5:$L$104,1)+COUNTIF(L$5:L22,L22)-1</f>
        <v>#VALUE!</v>
      </c>
      <c r="T22" s="14" t="e">
        <f t="shared" si="8"/>
        <v>#VALUE!</v>
      </c>
      <c r="U22" s="14" t="e">
        <f>RANK($M22,$M$5:$M$104,1)+COUNTIF(M$5:M22,M22)-1</f>
        <v>#VALUE!</v>
      </c>
      <c r="V22" s="14" t="e">
        <f t="shared" si="9"/>
        <v>#VALUE!</v>
      </c>
      <c r="W22" s="14" t="e">
        <f>RANK($N22,$N$5:$N$104,1)+COUNTIF(N$5:N22,N22)-1</f>
        <v>#VALUE!</v>
      </c>
      <c r="X22" s="14" t="e">
        <f t="shared" si="10"/>
        <v>#VALUE!</v>
      </c>
      <c r="Y22" s="14" t="e">
        <f>RANK($O22,$O$5:$O$104,1)+COUNTIF(O$5:O22,O22)-1</f>
        <v>#VALUE!</v>
      </c>
      <c r="Z22" s="14" t="e">
        <f t="shared" si="11"/>
        <v>#VALUE!</v>
      </c>
      <c r="AA22" s="14" t="e">
        <f>RANK($P22,$P$5:$P$104,1)+COUNTIF(P$5:P22,P22)-1</f>
        <v>#VALUE!</v>
      </c>
      <c r="AB22" s="14" t="e">
        <f t="shared" si="12"/>
        <v>#VALUE!</v>
      </c>
      <c r="AC22" s="1" t="str">
        <f t="shared" si="13"/>
        <v xml:space="preserve"> </v>
      </c>
      <c r="AD22" s="1" t="str">
        <f t="shared" si="14"/>
        <v>-</v>
      </c>
      <c r="AE22" s="35" t="str">
        <f t="shared" si="15"/>
        <v>-</v>
      </c>
      <c r="AF22" s="35" t="str">
        <f t="shared" si="15"/>
        <v>-</v>
      </c>
      <c r="AG22" s="35" t="str">
        <f t="shared" si="15"/>
        <v>-</v>
      </c>
      <c r="AH22" s="35" t="str">
        <f t="shared" si="15"/>
        <v>-</v>
      </c>
      <c r="AI22" s="35" t="str">
        <f t="shared" si="15"/>
        <v>-</v>
      </c>
      <c r="AJ22" s="35" t="str">
        <f t="shared" si="15"/>
        <v>-</v>
      </c>
      <c r="AL22" s="4">
        <v>18</v>
      </c>
      <c r="AM22" s="2" t="e">
        <f>VLOOKUP(AL22,Q$5:$AJ$104,$AN$2,FALSE)</f>
        <v>#N/A</v>
      </c>
      <c r="AN22" s="6" t="e">
        <f>VLOOKUP(AL22,Q$5:$AJ$104,$AN$2+11,FALSE)</f>
        <v>#N/A</v>
      </c>
      <c r="AO22" s="2" t="e">
        <f t="shared" si="16"/>
        <v>#N/A</v>
      </c>
      <c r="AQ22" s="4">
        <v>18</v>
      </c>
      <c r="AR22" s="2" t="e">
        <f>VLOOKUP(AQ22,$S$5:$AJ$104,$AS$2,FALSE)</f>
        <v>#N/A</v>
      </c>
      <c r="AS22" s="6" t="e">
        <f>VLOOKUP(AQ22,$S$5:$AJ$104,$AS$2+9,FALSE)</f>
        <v>#N/A</v>
      </c>
      <c r="AT22" s="2" t="e">
        <f>VLOOKUP(AR22,$S$5:$AJ$104,$AS$2+12,FALSE)</f>
        <v>#N/A</v>
      </c>
      <c r="AU22" s="9"/>
      <c r="AV22" s="4">
        <v>18</v>
      </c>
      <c r="AW22" s="2" t="e">
        <f>VLOOKUP(AV22,$U$5:$AJ$104,$AX$2,FALSE)</f>
        <v>#N/A</v>
      </c>
      <c r="AX22" s="6" t="e">
        <f>VLOOKUP(AV22,$U$5:$AJ$104,$AX$2+7,FALSE)</f>
        <v>#N/A</v>
      </c>
      <c r="AY22" s="2" t="e">
        <f>VLOOKUP(AW22,$U$5:$AJ$104,$AX$2+11,FALSE)</f>
        <v>#N/A</v>
      </c>
      <c r="BA22" s="4">
        <v>18</v>
      </c>
      <c r="BB22" s="2" t="e">
        <f>VLOOKUP(BA22,$W$5:$AJ$104,$BC$2,FALSE)</f>
        <v>#N/A</v>
      </c>
      <c r="BC22" s="6" t="e">
        <f>VLOOKUP(BA22,$W$5:$AJ$104,$BC$2+5,FALSE)</f>
        <v>#N/A</v>
      </c>
      <c r="BD22" s="58" t="e">
        <f>VLOOKUP(BB22,$W$5:$AJ$104,$BC$2+10,FALSE)</f>
        <v>#N/A</v>
      </c>
      <c r="BE22" s="9"/>
      <c r="BF22" s="4">
        <v>18</v>
      </c>
      <c r="BG22" s="2" t="e">
        <f>VLOOKUP(BF22,$Y$5:$AJ$104,$BH$2,FALSE)</f>
        <v>#N/A</v>
      </c>
      <c r="BH22" s="6" t="e">
        <f>VLOOKUP(BF22,$Y$5:$AJ$104,$BH$2+3,FALSE)</f>
        <v>#N/A</v>
      </c>
      <c r="BI22" s="2" t="e">
        <f>VLOOKUP(BF22,$Y$5:$AJ$104,$BH$2+4,FALSE)</f>
        <v>#N/A</v>
      </c>
      <c r="BJ22" s="2" t="e">
        <f>VLOOKUP(BG22,$Y$5:$AJ$104,$BH$2+9,FALSE)</f>
        <v>#N/A</v>
      </c>
      <c r="BL22" s="4">
        <v>18</v>
      </c>
      <c r="BM22" s="2" t="e">
        <f>VLOOKUP(BL22,$AA$5:$AJ$104,$BN$2,FALSE)</f>
        <v>#N/A</v>
      </c>
      <c r="BN22" s="6" t="e">
        <f>VLOOKUP(BL22,$AA$5:$AJ$104,$BN$2+1,FALSE)</f>
        <v>#N/A</v>
      </c>
      <c r="BO22" s="2" t="e">
        <f>VLOOKUP(BM22,$AA$5:$AJ$104,$BN$2+8,FALSE)</f>
        <v>#N/A</v>
      </c>
      <c r="BQ22" s="2" t="e">
        <f>'Eclectic B'!CD22</f>
        <v>#N/A</v>
      </c>
      <c r="BR22" s="6" t="e">
        <f>'Eclectic B'!CE22</f>
        <v>#N/A</v>
      </c>
      <c r="BS22" s="103" t="e">
        <f>'Eclectic B'!CF22</f>
        <v>#N/A</v>
      </c>
    </row>
    <row r="23" spans="1:71">
      <c r="A23" s="10" t="str">
        <f>IF(ISBLANK(Players!F21),"",Players!F21)</f>
        <v/>
      </c>
      <c r="B23" s="10" t="str">
        <f>IF(ISBLANK(Players!G21),"",Players!G21)</f>
        <v/>
      </c>
      <c r="C23" s="10" t="str">
        <f>IF(ISBLANK(Players!I21),"",Players!I21)</f>
        <v/>
      </c>
      <c r="D23" s="69" t="str">
        <f>IF(ISNUMBER(C23),MIN((C23*Rules!$N$14/113)+(Rules!$N$13-Rules!$N$12),Rules!$N$37),"-")</f>
        <v>-</v>
      </c>
      <c r="E23" s="69" t="str">
        <f>IF(ISNUMBER(C23),    ROUND( (D23*Rules!$N$11) / 100,0),"-")</f>
        <v>-</v>
      </c>
      <c r="F23" s="36" t="str">
        <f>IF(AND(ISNUMBER(C23),C23&gt;=Rules!$M$17,C23&lt;=Rules!$N$17),"Y","N")</f>
        <v>N</v>
      </c>
      <c r="G23" s="137" t="str">
        <f>'Eclectic B'!M23</f>
        <v>-</v>
      </c>
      <c r="H23" s="137" t="str">
        <f>'Eclectic B'!W23</f>
        <v>-</v>
      </c>
      <c r="I23" s="137" t="str">
        <f>'Eclectic B'!AJ23</f>
        <v>-</v>
      </c>
      <c r="J23" s="137" t="str">
        <f>'Eclectic B'!AT23</f>
        <v>-</v>
      </c>
      <c r="K23" s="14" t="str">
        <f t="shared" si="1"/>
        <v>-</v>
      </c>
      <c r="L23" s="14" t="str">
        <f t="shared" si="2"/>
        <v>-</v>
      </c>
      <c r="M23" s="14" t="str">
        <f t="shared" si="3"/>
        <v>-</v>
      </c>
      <c r="N23" s="14" t="str">
        <f t="shared" si="4"/>
        <v>-</v>
      </c>
      <c r="O23" s="14" t="str">
        <f t="shared" si="5"/>
        <v>-</v>
      </c>
      <c r="P23" s="14" t="str">
        <f t="shared" si="6"/>
        <v>-</v>
      </c>
      <c r="Q23" s="14" t="e">
        <f>RANK($K23,$K$5:$K$104,1)+COUNTIF(K$5:K23,K23)-1</f>
        <v>#VALUE!</v>
      </c>
      <c r="R23" s="14" t="e">
        <f t="shared" si="7"/>
        <v>#VALUE!</v>
      </c>
      <c r="S23" s="14" t="e">
        <f>RANK($L23,$L$5:$L$104,1)+COUNTIF(L$5:L23,L23)-1</f>
        <v>#VALUE!</v>
      </c>
      <c r="T23" s="14" t="e">
        <f t="shared" si="8"/>
        <v>#VALUE!</v>
      </c>
      <c r="U23" s="14" t="e">
        <f>RANK($M23,$M$5:$M$104,1)+COUNTIF(M$5:M23,M23)-1</f>
        <v>#VALUE!</v>
      </c>
      <c r="V23" s="14" t="e">
        <f t="shared" si="9"/>
        <v>#VALUE!</v>
      </c>
      <c r="W23" s="14" t="e">
        <f>RANK($N23,$N$5:$N$104,1)+COUNTIF(N$5:N23,N23)-1</f>
        <v>#VALUE!</v>
      </c>
      <c r="X23" s="14" t="e">
        <f t="shared" si="10"/>
        <v>#VALUE!</v>
      </c>
      <c r="Y23" s="14" t="e">
        <f>RANK($O23,$O$5:$O$104,1)+COUNTIF(O$5:O23,O23)-1</f>
        <v>#VALUE!</v>
      </c>
      <c r="Z23" s="14" t="e">
        <f t="shared" si="11"/>
        <v>#VALUE!</v>
      </c>
      <c r="AA23" s="14" t="e">
        <f>RANK($P23,$P$5:$P$104,1)+COUNTIF(P$5:P23,P23)-1</f>
        <v>#VALUE!</v>
      </c>
      <c r="AB23" s="14" t="e">
        <f t="shared" si="12"/>
        <v>#VALUE!</v>
      </c>
      <c r="AC23" s="1" t="str">
        <f t="shared" si="13"/>
        <v xml:space="preserve"> </v>
      </c>
      <c r="AD23" s="1" t="str">
        <f t="shared" si="14"/>
        <v>-</v>
      </c>
      <c r="AE23" s="35" t="str">
        <f t="shared" si="15"/>
        <v>-</v>
      </c>
      <c r="AF23" s="35" t="str">
        <f t="shared" si="15"/>
        <v>-</v>
      </c>
      <c r="AG23" s="35" t="str">
        <f t="shared" si="15"/>
        <v>-</v>
      </c>
      <c r="AH23" s="35" t="str">
        <f t="shared" si="15"/>
        <v>-</v>
      </c>
      <c r="AI23" s="35" t="str">
        <f t="shared" si="15"/>
        <v>-</v>
      </c>
      <c r="AJ23" s="35" t="str">
        <f t="shared" si="15"/>
        <v>-</v>
      </c>
      <c r="AL23" s="4">
        <v>19</v>
      </c>
      <c r="AM23" s="2" t="e">
        <f>VLOOKUP(AL23,Q$5:$AJ$104,$AN$2,FALSE)</f>
        <v>#N/A</v>
      </c>
      <c r="AN23" s="6" t="e">
        <f>VLOOKUP(AL23,Q$5:$AJ$104,$AN$2+11,FALSE)</f>
        <v>#N/A</v>
      </c>
      <c r="AO23" s="2" t="e">
        <f t="shared" si="16"/>
        <v>#N/A</v>
      </c>
      <c r="AQ23" s="4">
        <v>19</v>
      </c>
      <c r="AR23" s="2" t="e">
        <f>VLOOKUP(AQ23,$S$5:$AJ$104,$AS$2,FALSE)</f>
        <v>#N/A</v>
      </c>
      <c r="AS23" s="6" t="e">
        <f>VLOOKUP(AQ23,$S$5:$AJ$104,$AS$2+9,FALSE)</f>
        <v>#N/A</v>
      </c>
      <c r="AT23" s="2" t="e">
        <f>VLOOKUP(AR23,$S$5:$AJ$104,$AS$2+12,FALSE)</f>
        <v>#N/A</v>
      </c>
      <c r="AU23" s="9"/>
      <c r="AV23" s="4">
        <v>19</v>
      </c>
      <c r="AW23" s="2" t="e">
        <f>VLOOKUP(AV23,$U$5:$AJ$104,$AX$2,FALSE)</f>
        <v>#N/A</v>
      </c>
      <c r="AX23" s="6" t="e">
        <f>VLOOKUP(AV23,$U$5:$AJ$104,$AX$2+7,FALSE)</f>
        <v>#N/A</v>
      </c>
      <c r="AY23" s="2" t="e">
        <f>VLOOKUP(AW23,$U$5:$AJ$104,$AX$2+11,FALSE)</f>
        <v>#N/A</v>
      </c>
      <c r="BA23" s="4">
        <v>19</v>
      </c>
      <c r="BB23" s="2" t="e">
        <f>VLOOKUP(BA23,$W$5:$AJ$104,$BC$2,FALSE)</f>
        <v>#N/A</v>
      </c>
      <c r="BC23" s="6" t="e">
        <f>VLOOKUP(BA23,$W$5:$AJ$104,$BC$2+5,FALSE)</f>
        <v>#N/A</v>
      </c>
      <c r="BD23" s="58" t="e">
        <f>VLOOKUP(BB23,$W$5:$AJ$104,$BC$2+10,FALSE)</f>
        <v>#N/A</v>
      </c>
      <c r="BE23" s="9"/>
      <c r="BF23" s="4">
        <v>19</v>
      </c>
      <c r="BG23" s="2" t="e">
        <f>VLOOKUP(BF23,$Y$5:$AJ$104,$BH$2,FALSE)</f>
        <v>#N/A</v>
      </c>
      <c r="BH23" s="6" t="e">
        <f>VLOOKUP(BF23,$Y$5:$AJ$104,$BH$2+3,FALSE)</f>
        <v>#N/A</v>
      </c>
      <c r="BI23" s="2" t="e">
        <f>VLOOKUP(BF23,$Y$5:$AJ$104,$BH$2+4,FALSE)</f>
        <v>#N/A</v>
      </c>
      <c r="BJ23" s="2" t="e">
        <f>VLOOKUP(BG23,$Y$5:$AJ$104,$BH$2+9,FALSE)</f>
        <v>#N/A</v>
      </c>
      <c r="BL23" s="4">
        <v>19</v>
      </c>
      <c r="BM23" s="2" t="e">
        <f>VLOOKUP(BL23,$AA$5:$AJ$104,$BN$2,FALSE)</f>
        <v>#N/A</v>
      </c>
      <c r="BN23" s="6" t="e">
        <f>VLOOKUP(BL23,$AA$5:$AJ$104,$BN$2+1,FALSE)</f>
        <v>#N/A</v>
      </c>
      <c r="BO23" s="2" t="e">
        <f>VLOOKUP(BM23,$AA$5:$AJ$104,$BN$2+8,FALSE)</f>
        <v>#N/A</v>
      </c>
      <c r="BQ23" s="2" t="e">
        <f>'Eclectic B'!CD23</f>
        <v>#N/A</v>
      </c>
      <c r="BR23" s="6" t="e">
        <f>'Eclectic B'!CE23</f>
        <v>#N/A</v>
      </c>
      <c r="BS23" s="103" t="e">
        <f>'Eclectic B'!CF23</f>
        <v>#N/A</v>
      </c>
    </row>
    <row r="24" spans="1:71">
      <c r="A24" s="10" t="str">
        <f>IF(ISBLANK(Players!F22),"",Players!F22)</f>
        <v/>
      </c>
      <c r="B24" s="10" t="str">
        <f>IF(ISBLANK(Players!G22),"",Players!G22)</f>
        <v/>
      </c>
      <c r="C24" s="10" t="str">
        <f>IF(ISBLANK(Players!I22),"",Players!I22)</f>
        <v/>
      </c>
      <c r="D24" s="69" t="str">
        <f>IF(ISNUMBER(C24),MIN((C24*Rules!$N$14/113)+(Rules!$N$13-Rules!$N$12),Rules!$N$37),"-")</f>
        <v>-</v>
      </c>
      <c r="E24" s="69" t="str">
        <f>IF(ISNUMBER(C24),    ROUND( (D24*Rules!$N$11) / 100,0),"-")</f>
        <v>-</v>
      </c>
      <c r="F24" s="36" t="str">
        <f>IF(AND(ISNUMBER(C24),C24&gt;=Rules!$M$17,C24&lt;=Rules!$N$17),"Y","N")</f>
        <v>N</v>
      </c>
      <c r="G24" s="137" t="str">
        <f>'Eclectic B'!M24</f>
        <v>-</v>
      </c>
      <c r="H24" s="137" t="str">
        <f>'Eclectic B'!W24</f>
        <v>-</v>
      </c>
      <c r="I24" s="137" t="str">
        <f>'Eclectic B'!AJ24</f>
        <v>-</v>
      </c>
      <c r="J24" s="137" t="str">
        <f>'Eclectic B'!AT24</f>
        <v>-</v>
      </c>
      <c r="K24" s="14" t="str">
        <f t="shared" si="1"/>
        <v>-</v>
      </c>
      <c r="L24" s="14" t="str">
        <f t="shared" si="2"/>
        <v>-</v>
      </c>
      <c r="M24" s="14" t="str">
        <f t="shared" si="3"/>
        <v>-</v>
      </c>
      <c r="N24" s="14" t="str">
        <f t="shared" si="4"/>
        <v>-</v>
      </c>
      <c r="O24" s="14" t="str">
        <f t="shared" si="5"/>
        <v>-</v>
      </c>
      <c r="P24" s="14" t="str">
        <f t="shared" si="6"/>
        <v>-</v>
      </c>
      <c r="Q24" s="14" t="e">
        <f>RANK($K24,$K$5:$K$104,1)+COUNTIF(K$5:K24,K24)-1</f>
        <v>#VALUE!</v>
      </c>
      <c r="R24" s="14" t="e">
        <f t="shared" si="7"/>
        <v>#VALUE!</v>
      </c>
      <c r="S24" s="14" t="e">
        <f>RANK($L24,$L$5:$L$104,1)+COUNTIF(L$5:L24,L24)-1</f>
        <v>#VALUE!</v>
      </c>
      <c r="T24" s="14" t="e">
        <f t="shared" si="8"/>
        <v>#VALUE!</v>
      </c>
      <c r="U24" s="14" t="e">
        <f>RANK($M24,$M$5:$M$104,1)+COUNTIF(M$5:M24,M24)-1</f>
        <v>#VALUE!</v>
      </c>
      <c r="V24" s="14" t="e">
        <f t="shared" si="9"/>
        <v>#VALUE!</v>
      </c>
      <c r="W24" s="14" t="e">
        <f>RANK($N24,$N$5:$N$104,1)+COUNTIF(N$5:N24,N24)-1</f>
        <v>#VALUE!</v>
      </c>
      <c r="X24" s="14" t="e">
        <f t="shared" si="10"/>
        <v>#VALUE!</v>
      </c>
      <c r="Y24" s="14" t="e">
        <f>RANK($O24,$O$5:$O$104,1)+COUNTIF(O$5:O24,O24)-1</f>
        <v>#VALUE!</v>
      </c>
      <c r="Z24" s="14" t="e">
        <f t="shared" si="11"/>
        <v>#VALUE!</v>
      </c>
      <c r="AA24" s="14" t="e">
        <f>RANK($P24,$P$5:$P$104,1)+COUNTIF(P$5:P24,P24)-1</f>
        <v>#VALUE!</v>
      </c>
      <c r="AB24" s="14" t="e">
        <f t="shared" si="12"/>
        <v>#VALUE!</v>
      </c>
      <c r="AC24" s="1" t="str">
        <f t="shared" si="13"/>
        <v xml:space="preserve"> </v>
      </c>
      <c r="AD24" s="1" t="str">
        <f t="shared" si="14"/>
        <v>-</v>
      </c>
      <c r="AE24" s="35" t="str">
        <f t="shared" si="15"/>
        <v>-</v>
      </c>
      <c r="AF24" s="35" t="str">
        <f t="shared" si="15"/>
        <v>-</v>
      </c>
      <c r="AG24" s="35" t="str">
        <f t="shared" si="15"/>
        <v>-</v>
      </c>
      <c r="AH24" s="35" t="str">
        <f t="shared" si="15"/>
        <v>-</v>
      </c>
      <c r="AI24" s="35" t="str">
        <f t="shared" si="15"/>
        <v>-</v>
      </c>
      <c r="AJ24" s="35" t="str">
        <f t="shared" si="15"/>
        <v>-</v>
      </c>
      <c r="AL24" s="4">
        <v>20</v>
      </c>
      <c r="AM24" s="2" t="e">
        <f>VLOOKUP(AL24,Q$5:$AJ$104,$AN$2,FALSE)</f>
        <v>#N/A</v>
      </c>
      <c r="AN24" s="6" t="e">
        <f>VLOOKUP(AL24,Q$5:$AJ$104,$AN$2+11,FALSE)</f>
        <v>#N/A</v>
      </c>
      <c r="AO24" s="2" t="e">
        <f t="shared" si="16"/>
        <v>#N/A</v>
      </c>
      <c r="AQ24" s="4">
        <v>20</v>
      </c>
      <c r="AR24" s="2" t="e">
        <f>VLOOKUP(AQ24,$S$5:$AJ$104,$AS$2,FALSE)</f>
        <v>#N/A</v>
      </c>
      <c r="AS24" s="6" t="e">
        <f>VLOOKUP(AQ24,$S$5:$AJ$104,$AS$2+9,FALSE)</f>
        <v>#N/A</v>
      </c>
      <c r="AT24" s="2" t="e">
        <f>VLOOKUP(AR24,$S$5:$AJ$104,$AS$2+12,FALSE)</f>
        <v>#N/A</v>
      </c>
      <c r="AU24" s="9"/>
      <c r="AV24" s="4">
        <v>20</v>
      </c>
      <c r="AW24" s="2" t="e">
        <f>VLOOKUP(AV24,$U$5:$AJ$104,$AX$2,FALSE)</f>
        <v>#N/A</v>
      </c>
      <c r="AX24" s="6" t="e">
        <f>VLOOKUP(AV24,$U$5:$AJ$104,$AX$2+7,FALSE)</f>
        <v>#N/A</v>
      </c>
      <c r="AY24" s="2" t="e">
        <f>VLOOKUP(AW24,$U$5:$AJ$104,$AX$2+11,FALSE)</f>
        <v>#N/A</v>
      </c>
      <c r="BA24" s="4">
        <v>20</v>
      </c>
      <c r="BB24" s="2" t="e">
        <f>VLOOKUP(BA24,$W$5:$AJ$104,$BC$2,FALSE)</f>
        <v>#N/A</v>
      </c>
      <c r="BC24" s="6" t="e">
        <f>VLOOKUP(BA24,$W$5:$AJ$104,$BC$2+5,FALSE)</f>
        <v>#N/A</v>
      </c>
      <c r="BD24" s="58" t="e">
        <f>VLOOKUP(BB24,$W$5:$AJ$104,$BC$2+10,FALSE)</f>
        <v>#N/A</v>
      </c>
      <c r="BE24" s="9"/>
      <c r="BF24" s="4">
        <v>20</v>
      </c>
      <c r="BG24" s="2" t="e">
        <f>VLOOKUP(BF24,$Y$5:$AJ$104,$BH$2,FALSE)</f>
        <v>#N/A</v>
      </c>
      <c r="BH24" s="6" t="e">
        <f>VLOOKUP(BF24,$Y$5:$AJ$104,$BH$2+3,FALSE)</f>
        <v>#N/A</v>
      </c>
      <c r="BI24" s="2" t="e">
        <f>VLOOKUP(BF24,$Y$5:$AJ$104,$BH$2+4,FALSE)</f>
        <v>#N/A</v>
      </c>
      <c r="BJ24" s="2" t="e">
        <f>VLOOKUP(BG24,$Y$5:$AJ$104,$BH$2+9,FALSE)</f>
        <v>#N/A</v>
      </c>
      <c r="BL24" s="4">
        <v>20</v>
      </c>
      <c r="BM24" s="2" t="e">
        <f>VLOOKUP(BL24,$AA$5:$AJ$104,$BN$2,FALSE)</f>
        <v>#N/A</v>
      </c>
      <c r="BN24" s="6" t="e">
        <f>VLOOKUP(BL24,$AA$5:$AJ$104,$BN$2+1,FALSE)</f>
        <v>#N/A</v>
      </c>
      <c r="BO24" s="2" t="e">
        <f>VLOOKUP(BM24,$AA$5:$AJ$104,$BN$2+8,FALSE)</f>
        <v>#N/A</v>
      </c>
      <c r="BQ24" s="2" t="e">
        <f>'Eclectic B'!CD24</f>
        <v>#N/A</v>
      </c>
      <c r="BR24" s="6" t="e">
        <f>'Eclectic B'!CE24</f>
        <v>#N/A</v>
      </c>
      <c r="BS24" s="103" t="e">
        <f>'Eclectic B'!CF24</f>
        <v>#N/A</v>
      </c>
    </row>
    <row r="25" spans="1:71">
      <c r="A25" s="10" t="str">
        <f>IF(ISBLANK(Players!F23),"",Players!F23)</f>
        <v/>
      </c>
      <c r="B25" s="10" t="str">
        <f>IF(ISBLANK(Players!G23),"",Players!G23)</f>
        <v/>
      </c>
      <c r="C25" s="10" t="str">
        <f>IF(ISBLANK(Players!I23),"",Players!I23)</f>
        <v/>
      </c>
      <c r="D25" s="69" t="str">
        <f>IF(ISNUMBER(C25),MIN((C25*Rules!$N$14/113)+(Rules!$N$13-Rules!$N$12),Rules!$N$37),"-")</f>
        <v>-</v>
      </c>
      <c r="E25" s="69" t="str">
        <f>IF(ISNUMBER(C25),    ROUND( (D25*Rules!$N$11) / 100,0),"-")</f>
        <v>-</v>
      </c>
      <c r="F25" s="36" t="str">
        <f>IF(AND(ISNUMBER(C25),C25&gt;=Rules!$M$17,C25&lt;=Rules!$N$17),"Y","N")</f>
        <v>N</v>
      </c>
      <c r="G25" s="137" t="str">
        <f>'Eclectic B'!M25</f>
        <v>-</v>
      </c>
      <c r="H25" s="137" t="str">
        <f>'Eclectic B'!W25</f>
        <v>-</v>
      </c>
      <c r="I25" s="137" t="str">
        <f>'Eclectic B'!AJ25</f>
        <v>-</v>
      </c>
      <c r="J25" s="137" t="str">
        <f>'Eclectic B'!AT25</f>
        <v>-</v>
      </c>
      <c r="K25" s="14" t="str">
        <f t="shared" si="1"/>
        <v>-</v>
      </c>
      <c r="L25" s="14" t="str">
        <f t="shared" si="2"/>
        <v>-</v>
      </c>
      <c r="M25" s="14" t="str">
        <f t="shared" si="3"/>
        <v>-</v>
      </c>
      <c r="N25" s="14" t="str">
        <f t="shared" si="4"/>
        <v>-</v>
      </c>
      <c r="O25" s="14" t="str">
        <f t="shared" si="5"/>
        <v>-</v>
      </c>
      <c r="P25" s="14" t="str">
        <f t="shared" si="6"/>
        <v>-</v>
      </c>
      <c r="Q25" s="14" t="e">
        <f>RANK($K25,$K$5:$K$104,1)+COUNTIF(K$5:K25,K25)-1</f>
        <v>#VALUE!</v>
      </c>
      <c r="R25" s="14" t="e">
        <f t="shared" si="7"/>
        <v>#VALUE!</v>
      </c>
      <c r="S25" s="14" t="e">
        <f>RANK($L25,$L$5:$L$104,1)+COUNTIF(L$5:L25,L25)-1</f>
        <v>#VALUE!</v>
      </c>
      <c r="T25" s="14" t="e">
        <f t="shared" si="8"/>
        <v>#VALUE!</v>
      </c>
      <c r="U25" s="14" t="e">
        <f>RANK($M25,$M$5:$M$104,1)+COUNTIF(M$5:M25,M25)-1</f>
        <v>#VALUE!</v>
      </c>
      <c r="V25" s="14" t="e">
        <f t="shared" si="9"/>
        <v>#VALUE!</v>
      </c>
      <c r="W25" s="14" t="e">
        <f>RANK($N25,$N$5:$N$104,1)+COUNTIF(N$5:N25,N25)-1</f>
        <v>#VALUE!</v>
      </c>
      <c r="X25" s="14" t="e">
        <f t="shared" si="10"/>
        <v>#VALUE!</v>
      </c>
      <c r="Y25" s="14" t="e">
        <f>RANK($O25,$O$5:$O$104,1)+COUNTIF(O$5:O25,O25)-1</f>
        <v>#VALUE!</v>
      </c>
      <c r="Z25" s="14" t="e">
        <f t="shared" si="11"/>
        <v>#VALUE!</v>
      </c>
      <c r="AA25" s="14" t="e">
        <f>RANK($P25,$P$5:$P$104,1)+COUNTIF(P$5:P25,P25)-1</f>
        <v>#VALUE!</v>
      </c>
      <c r="AB25" s="14" t="e">
        <f t="shared" si="12"/>
        <v>#VALUE!</v>
      </c>
      <c r="AC25" s="1" t="str">
        <f t="shared" si="13"/>
        <v xml:space="preserve"> </v>
      </c>
      <c r="AD25" s="1" t="str">
        <f t="shared" si="14"/>
        <v>-</v>
      </c>
      <c r="AE25" s="35" t="str">
        <f t="shared" si="15"/>
        <v>-</v>
      </c>
      <c r="AF25" s="35" t="str">
        <f t="shared" si="15"/>
        <v>-</v>
      </c>
      <c r="AG25" s="35" t="str">
        <f t="shared" si="15"/>
        <v>-</v>
      </c>
      <c r="AH25" s="35" t="str">
        <f t="shared" si="15"/>
        <v>-</v>
      </c>
      <c r="AI25" s="35" t="str">
        <f t="shared" si="15"/>
        <v>-</v>
      </c>
      <c r="AJ25" s="35" t="str">
        <f t="shared" si="15"/>
        <v>-</v>
      </c>
      <c r="AL25" s="4">
        <v>21</v>
      </c>
      <c r="AM25" s="2" t="e">
        <f>VLOOKUP(AL25,Q$5:$AJ$104,$AN$2,FALSE)</f>
        <v>#N/A</v>
      </c>
      <c r="AN25" s="6" t="e">
        <f>VLOOKUP(AL25,Q$5:$AJ$104,$AN$2+11,FALSE)</f>
        <v>#N/A</v>
      </c>
      <c r="AO25" s="2" t="e">
        <f t="shared" si="16"/>
        <v>#N/A</v>
      </c>
      <c r="AQ25" s="4">
        <v>21</v>
      </c>
      <c r="AR25" s="2" t="e">
        <f>VLOOKUP(AQ25,$S$5:$AJ$104,$AS$2,FALSE)</f>
        <v>#N/A</v>
      </c>
      <c r="AS25" s="6" t="e">
        <f>VLOOKUP(AQ25,$S$5:$AJ$104,$AS$2+9,FALSE)</f>
        <v>#N/A</v>
      </c>
      <c r="AT25" s="2" t="e">
        <f>VLOOKUP(AR25,$S$5:$AJ$104,$AS$2+12,FALSE)</f>
        <v>#N/A</v>
      </c>
      <c r="AU25" s="9"/>
      <c r="AV25" s="4">
        <v>21</v>
      </c>
      <c r="AW25" s="2" t="e">
        <f>VLOOKUP(AV25,$U$5:$AJ$104,$AX$2,FALSE)</f>
        <v>#N/A</v>
      </c>
      <c r="AX25" s="6" t="e">
        <f>VLOOKUP(AV25,$U$5:$AJ$104,$AX$2+7,FALSE)</f>
        <v>#N/A</v>
      </c>
      <c r="AY25" s="2" t="e">
        <f>VLOOKUP(AW25,$U$5:$AJ$104,$AX$2+11,FALSE)</f>
        <v>#N/A</v>
      </c>
      <c r="BA25" s="4">
        <v>21</v>
      </c>
      <c r="BB25" s="2" t="e">
        <f>VLOOKUP(BA25,$W$5:$AJ$104,$BC$2,FALSE)</f>
        <v>#N/A</v>
      </c>
      <c r="BC25" s="6" t="e">
        <f>VLOOKUP(BA25,$W$5:$AJ$104,$BC$2+5,FALSE)</f>
        <v>#N/A</v>
      </c>
      <c r="BD25" s="58" t="e">
        <f>VLOOKUP(BB25,$W$5:$AJ$104,$BC$2+10,FALSE)</f>
        <v>#N/A</v>
      </c>
      <c r="BE25" s="9"/>
      <c r="BF25" s="4">
        <v>21</v>
      </c>
      <c r="BG25" s="2" t="e">
        <f>VLOOKUP(BF25,$Y$5:$AJ$104,$BH$2,FALSE)</f>
        <v>#N/A</v>
      </c>
      <c r="BH25" s="6" t="e">
        <f>VLOOKUP(BF25,$Y$5:$AJ$104,$BH$2+3,FALSE)</f>
        <v>#N/A</v>
      </c>
      <c r="BI25" s="2" t="e">
        <f>VLOOKUP(BF25,$Y$5:$AJ$104,$BH$2+4,FALSE)</f>
        <v>#N/A</v>
      </c>
      <c r="BJ25" s="2" t="e">
        <f>VLOOKUP(BG25,$Y$5:$AJ$104,$BH$2+9,FALSE)</f>
        <v>#N/A</v>
      </c>
      <c r="BL25" s="4">
        <v>21</v>
      </c>
      <c r="BM25" s="2" t="e">
        <f>VLOOKUP(BL25,$AA$5:$AJ$104,$BN$2,FALSE)</f>
        <v>#N/A</v>
      </c>
      <c r="BN25" s="6" t="e">
        <f>VLOOKUP(BL25,$AA$5:$AJ$104,$BN$2+1,FALSE)</f>
        <v>#N/A</v>
      </c>
      <c r="BO25" s="2" t="e">
        <f>VLOOKUP(BM25,$AA$5:$AJ$104,$BN$2+8,FALSE)</f>
        <v>#N/A</v>
      </c>
      <c r="BQ25" s="2" t="e">
        <f>'Eclectic B'!CD25</f>
        <v>#N/A</v>
      </c>
      <c r="BR25" s="6" t="e">
        <f>'Eclectic B'!CE25</f>
        <v>#N/A</v>
      </c>
      <c r="BS25" s="103" t="e">
        <f>'Eclectic B'!CF25</f>
        <v>#N/A</v>
      </c>
    </row>
    <row r="26" spans="1:71">
      <c r="A26" s="10" t="str">
        <f>IF(ISBLANK(Players!F24),"",Players!F24)</f>
        <v/>
      </c>
      <c r="B26" s="10" t="str">
        <f>IF(ISBLANK(Players!G24),"",Players!G24)</f>
        <v/>
      </c>
      <c r="C26" s="10" t="str">
        <f>IF(ISBLANK(Players!I24),"",Players!I24)</f>
        <v/>
      </c>
      <c r="D26" s="69" t="str">
        <f>IF(ISNUMBER(C26),MIN((C26*Rules!$N$14/113)+(Rules!$N$13-Rules!$N$12),Rules!$N$37),"-")</f>
        <v>-</v>
      </c>
      <c r="E26" s="69" t="str">
        <f>IF(ISNUMBER(C26),    ROUND( (D26*Rules!$N$11) / 100,0),"-")</f>
        <v>-</v>
      </c>
      <c r="F26" s="36" t="str">
        <f>IF(AND(ISNUMBER(C26),C26&gt;=Rules!$M$17,C26&lt;=Rules!$N$17),"Y","N")</f>
        <v>N</v>
      </c>
      <c r="G26" s="137" t="str">
        <f>'Eclectic B'!M26</f>
        <v>-</v>
      </c>
      <c r="H26" s="137" t="str">
        <f>'Eclectic B'!W26</f>
        <v>-</v>
      </c>
      <c r="I26" s="137" t="str">
        <f>'Eclectic B'!AJ26</f>
        <v>-</v>
      </c>
      <c r="J26" s="137" t="str">
        <f>'Eclectic B'!AT26</f>
        <v>-</v>
      </c>
      <c r="K26" s="14" t="str">
        <f t="shared" si="1"/>
        <v>-</v>
      </c>
      <c r="L26" s="14" t="str">
        <f t="shared" si="2"/>
        <v>-</v>
      </c>
      <c r="M26" s="14" t="str">
        <f t="shared" si="3"/>
        <v>-</v>
      </c>
      <c r="N26" s="14" t="str">
        <f t="shared" si="4"/>
        <v>-</v>
      </c>
      <c r="O26" s="14" t="str">
        <f t="shared" si="5"/>
        <v>-</v>
      </c>
      <c r="P26" s="14" t="str">
        <f t="shared" si="6"/>
        <v>-</v>
      </c>
      <c r="Q26" s="14" t="e">
        <f>RANK($K26,$K$5:$K$104,1)+COUNTIF(K$5:K26,K26)-1</f>
        <v>#VALUE!</v>
      </c>
      <c r="R26" s="14" t="e">
        <f t="shared" si="7"/>
        <v>#VALUE!</v>
      </c>
      <c r="S26" s="14" t="e">
        <f>RANK($L26,$L$5:$L$104,1)+COUNTIF(L$5:L26,L26)-1</f>
        <v>#VALUE!</v>
      </c>
      <c r="T26" s="14" t="e">
        <f t="shared" si="8"/>
        <v>#VALUE!</v>
      </c>
      <c r="U26" s="14" t="e">
        <f>RANK($M26,$M$5:$M$104,1)+COUNTIF(M$5:M26,M26)-1</f>
        <v>#VALUE!</v>
      </c>
      <c r="V26" s="14" t="e">
        <f t="shared" si="9"/>
        <v>#VALUE!</v>
      </c>
      <c r="W26" s="14" t="e">
        <f>RANK($N26,$N$5:$N$104,1)+COUNTIF(N$5:N26,N26)-1</f>
        <v>#VALUE!</v>
      </c>
      <c r="X26" s="14" t="e">
        <f t="shared" si="10"/>
        <v>#VALUE!</v>
      </c>
      <c r="Y26" s="14" t="e">
        <f>RANK($O26,$O$5:$O$104,1)+COUNTIF(O$5:O26,O26)-1</f>
        <v>#VALUE!</v>
      </c>
      <c r="Z26" s="14" t="e">
        <f t="shared" si="11"/>
        <v>#VALUE!</v>
      </c>
      <c r="AA26" s="14" t="e">
        <f>RANK($P26,$P$5:$P$104,1)+COUNTIF(P$5:P26,P26)-1</f>
        <v>#VALUE!</v>
      </c>
      <c r="AB26" s="14" t="e">
        <f t="shared" si="12"/>
        <v>#VALUE!</v>
      </c>
      <c r="AC26" s="1" t="str">
        <f t="shared" si="13"/>
        <v xml:space="preserve"> </v>
      </c>
      <c r="AD26" s="1" t="str">
        <f t="shared" si="14"/>
        <v>-</v>
      </c>
      <c r="AE26" s="35" t="str">
        <f t="shared" si="15"/>
        <v>-</v>
      </c>
      <c r="AF26" s="35" t="str">
        <f t="shared" si="15"/>
        <v>-</v>
      </c>
      <c r="AG26" s="35" t="str">
        <f t="shared" si="15"/>
        <v>-</v>
      </c>
      <c r="AH26" s="35" t="str">
        <f t="shared" si="15"/>
        <v>-</v>
      </c>
      <c r="AI26" s="35" t="str">
        <f t="shared" si="15"/>
        <v>-</v>
      </c>
      <c r="AJ26" s="35" t="str">
        <f t="shared" si="15"/>
        <v>-</v>
      </c>
      <c r="AL26" s="4">
        <v>22</v>
      </c>
      <c r="AM26" s="2" t="e">
        <f>VLOOKUP(AL26,Q$5:$AJ$104,$AN$2,FALSE)</f>
        <v>#N/A</v>
      </c>
      <c r="AN26" s="6" t="e">
        <f>VLOOKUP(AL26,Q$5:$AJ$104,$AN$2+11,FALSE)</f>
        <v>#N/A</v>
      </c>
      <c r="AO26" s="2" t="e">
        <f t="shared" si="16"/>
        <v>#N/A</v>
      </c>
      <c r="AQ26" s="4">
        <v>22</v>
      </c>
      <c r="AR26" s="2" t="e">
        <f>VLOOKUP(AQ26,$S$5:$AJ$104,$AS$2,FALSE)</f>
        <v>#N/A</v>
      </c>
      <c r="AS26" s="6" t="e">
        <f>VLOOKUP(AQ26,$S$5:$AJ$104,$AS$2+9,FALSE)</f>
        <v>#N/A</v>
      </c>
      <c r="AT26" s="2" t="e">
        <f>VLOOKUP(AR26,$S$5:$AJ$104,$AS$2+12,FALSE)</f>
        <v>#N/A</v>
      </c>
      <c r="AU26" s="9"/>
      <c r="AV26" s="4">
        <v>22</v>
      </c>
      <c r="AW26" s="2" t="e">
        <f>VLOOKUP(AV26,$U$5:$AJ$104,$AX$2,FALSE)</f>
        <v>#N/A</v>
      </c>
      <c r="AX26" s="6" t="e">
        <f>VLOOKUP(AV26,$U$5:$AJ$104,$AX$2+7,FALSE)</f>
        <v>#N/A</v>
      </c>
      <c r="AY26" s="2" t="e">
        <f>VLOOKUP(AW26,$U$5:$AJ$104,$AX$2+11,FALSE)</f>
        <v>#N/A</v>
      </c>
      <c r="BA26" s="4">
        <v>22</v>
      </c>
      <c r="BB26" s="2" t="e">
        <f>VLOOKUP(BA26,$W$5:$AJ$104,$BC$2,FALSE)</f>
        <v>#N/A</v>
      </c>
      <c r="BC26" s="6" t="e">
        <f>VLOOKUP(BA26,$W$5:$AJ$104,$BC$2+5,FALSE)</f>
        <v>#N/A</v>
      </c>
      <c r="BD26" s="58" t="e">
        <f>VLOOKUP(BB26,$W$5:$AJ$104,$BC$2+10,FALSE)</f>
        <v>#N/A</v>
      </c>
      <c r="BE26" s="9"/>
      <c r="BF26" s="4">
        <v>22</v>
      </c>
      <c r="BG26" s="2" t="e">
        <f>VLOOKUP(BF26,$Y$5:$AJ$104,$BH$2,FALSE)</f>
        <v>#N/A</v>
      </c>
      <c r="BH26" s="6" t="e">
        <f>VLOOKUP(BF26,$Y$5:$AJ$104,$BH$2+3,FALSE)</f>
        <v>#N/A</v>
      </c>
      <c r="BI26" s="2" t="e">
        <f>VLOOKUP(BF26,$Y$5:$AJ$104,$BH$2+4,FALSE)</f>
        <v>#N/A</v>
      </c>
      <c r="BJ26" s="2" t="e">
        <f>VLOOKUP(BG26,$Y$5:$AJ$104,$BH$2+9,FALSE)</f>
        <v>#N/A</v>
      </c>
      <c r="BL26" s="4">
        <v>22</v>
      </c>
      <c r="BM26" s="2" t="e">
        <f>VLOOKUP(BL26,$AA$5:$AJ$104,$BN$2,FALSE)</f>
        <v>#N/A</v>
      </c>
      <c r="BN26" s="6" t="e">
        <f>VLOOKUP(BL26,$AA$5:$AJ$104,$BN$2+1,FALSE)</f>
        <v>#N/A</v>
      </c>
      <c r="BO26" s="2" t="e">
        <f>VLOOKUP(BM26,$AA$5:$AJ$104,$BN$2+8,FALSE)</f>
        <v>#N/A</v>
      </c>
      <c r="BQ26" s="2" t="e">
        <f>'Eclectic B'!CD26</f>
        <v>#N/A</v>
      </c>
      <c r="BR26" s="6" t="e">
        <f>'Eclectic B'!CE26</f>
        <v>#N/A</v>
      </c>
      <c r="BS26" s="103" t="e">
        <f>'Eclectic B'!CF26</f>
        <v>#N/A</v>
      </c>
    </row>
    <row r="27" spans="1:71">
      <c r="A27" s="10" t="str">
        <f>IF(ISBLANK(Players!F25),"",Players!F25)</f>
        <v/>
      </c>
      <c r="B27" s="10" t="str">
        <f>IF(ISBLANK(Players!G25),"",Players!G25)</f>
        <v/>
      </c>
      <c r="C27" s="10" t="str">
        <f>IF(ISBLANK(Players!I25),"",Players!I25)</f>
        <v/>
      </c>
      <c r="D27" s="69" t="str">
        <f>IF(ISNUMBER(C27),MIN((C27*Rules!$N$14/113)+(Rules!$N$13-Rules!$N$12),Rules!$N$37),"-")</f>
        <v>-</v>
      </c>
      <c r="E27" s="69" t="str">
        <f>IF(ISNUMBER(C27),    ROUND( (D27*Rules!$N$11) / 100,0),"-")</f>
        <v>-</v>
      </c>
      <c r="F27" s="36" t="str">
        <f>IF(AND(ISNUMBER(C27),C27&gt;=Rules!$M$17,C27&lt;=Rules!$N$17),"Y","N")</f>
        <v>N</v>
      </c>
      <c r="G27" s="137" t="str">
        <f>'Eclectic B'!M27</f>
        <v>-</v>
      </c>
      <c r="H27" s="137" t="str">
        <f>'Eclectic B'!W27</f>
        <v>-</v>
      </c>
      <c r="I27" s="137" t="str">
        <f>'Eclectic B'!AJ27</f>
        <v>-</v>
      </c>
      <c r="J27" s="137" t="str">
        <f>'Eclectic B'!AT27</f>
        <v>-</v>
      </c>
      <c r="K27" s="14" t="str">
        <f t="shared" si="1"/>
        <v>-</v>
      </c>
      <c r="L27" s="14" t="str">
        <f t="shared" si="2"/>
        <v>-</v>
      </c>
      <c r="M27" s="14" t="str">
        <f t="shared" si="3"/>
        <v>-</v>
      </c>
      <c r="N27" s="14" t="str">
        <f t="shared" si="4"/>
        <v>-</v>
      </c>
      <c r="O27" s="14" t="str">
        <f t="shared" si="5"/>
        <v>-</v>
      </c>
      <c r="P27" s="14" t="str">
        <f t="shared" si="6"/>
        <v>-</v>
      </c>
      <c r="Q27" s="14" t="e">
        <f>RANK($K27,$K$5:$K$104,1)+COUNTIF(K$5:K27,K27)-1</f>
        <v>#VALUE!</v>
      </c>
      <c r="R27" s="14" t="e">
        <f t="shared" si="7"/>
        <v>#VALUE!</v>
      </c>
      <c r="S27" s="14" t="e">
        <f>RANK($L27,$L$5:$L$104,1)+COUNTIF(L$5:L27,L27)-1</f>
        <v>#VALUE!</v>
      </c>
      <c r="T27" s="14" t="e">
        <f t="shared" si="8"/>
        <v>#VALUE!</v>
      </c>
      <c r="U27" s="14" t="e">
        <f>RANK($M27,$M$5:$M$104,1)+COUNTIF(M$5:M27,M27)-1</f>
        <v>#VALUE!</v>
      </c>
      <c r="V27" s="14" t="e">
        <f t="shared" si="9"/>
        <v>#VALUE!</v>
      </c>
      <c r="W27" s="14" t="e">
        <f>RANK($N27,$N$5:$N$104,1)+COUNTIF(N$5:N27,N27)-1</f>
        <v>#VALUE!</v>
      </c>
      <c r="X27" s="14" t="e">
        <f t="shared" si="10"/>
        <v>#VALUE!</v>
      </c>
      <c r="Y27" s="14" t="e">
        <f>RANK($O27,$O$5:$O$104,1)+COUNTIF(O$5:O27,O27)-1</f>
        <v>#VALUE!</v>
      </c>
      <c r="Z27" s="14" t="e">
        <f t="shared" si="11"/>
        <v>#VALUE!</v>
      </c>
      <c r="AA27" s="14" t="e">
        <f>RANK($P27,$P$5:$P$104,1)+COUNTIF(P$5:P27,P27)-1</f>
        <v>#VALUE!</v>
      </c>
      <c r="AB27" s="14" t="e">
        <f t="shared" si="12"/>
        <v>#VALUE!</v>
      </c>
      <c r="AC27" s="1" t="str">
        <f t="shared" si="13"/>
        <v xml:space="preserve"> </v>
      </c>
      <c r="AD27" s="1" t="str">
        <f t="shared" si="14"/>
        <v>-</v>
      </c>
      <c r="AE27" s="35" t="str">
        <f t="shared" si="15"/>
        <v>-</v>
      </c>
      <c r="AF27" s="35" t="str">
        <f t="shared" si="15"/>
        <v>-</v>
      </c>
      <c r="AG27" s="35" t="str">
        <f t="shared" si="15"/>
        <v>-</v>
      </c>
      <c r="AH27" s="35" t="str">
        <f t="shared" si="15"/>
        <v>-</v>
      </c>
      <c r="AI27" s="35" t="str">
        <f t="shared" si="15"/>
        <v>-</v>
      </c>
      <c r="AJ27" s="35" t="str">
        <f t="shared" si="15"/>
        <v>-</v>
      </c>
      <c r="AL27" s="4">
        <v>23</v>
      </c>
      <c r="AM27" s="2" t="e">
        <f>VLOOKUP(AL27,Q$5:$AJ$104,$AN$2,FALSE)</f>
        <v>#N/A</v>
      </c>
      <c r="AN27" s="6" t="e">
        <f>VLOOKUP(AL27,Q$5:$AJ$104,$AN$2+11,FALSE)</f>
        <v>#N/A</v>
      </c>
      <c r="AO27" s="2" t="e">
        <f t="shared" si="16"/>
        <v>#N/A</v>
      </c>
      <c r="AQ27" s="4">
        <v>23</v>
      </c>
      <c r="AR27" s="2" t="e">
        <f>VLOOKUP(AQ27,$S$5:$AJ$104,$AS$2,FALSE)</f>
        <v>#N/A</v>
      </c>
      <c r="AS27" s="6" t="e">
        <f>VLOOKUP(AQ27,$S$5:$AJ$104,$AS$2+9,FALSE)</f>
        <v>#N/A</v>
      </c>
      <c r="AT27" s="2" t="e">
        <f>VLOOKUP(AR27,$S$5:$AJ$104,$AS$2+12,FALSE)</f>
        <v>#N/A</v>
      </c>
      <c r="AU27" s="9"/>
      <c r="AV27" s="4">
        <v>23</v>
      </c>
      <c r="AW27" s="2" t="e">
        <f>VLOOKUP(AV27,$U$5:$AJ$104,$AX$2,FALSE)</f>
        <v>#N/A</v>
      </c>
      <c r="AX27" s="6" t="e">
        <f>VLOOKUP(AV27,$U$5:$AJ$104,$AX$2+7,FALSE)</f>
        <v>#N/A</v>
      </c>
      <c r="AY27" s="2" t="e">
        <f>VLOOKUP(AW27,$U$5:$AJ$104,$AX$2+11,FALSE)</f>
        <v>#N/A</v>
      </c>
      <c r="BA27" s="4">
        <v>23</v>
      </c>
      <c r="BB27" s="2" t="e">
        <f>VLOOKUP(BA27,$W$5:$AJ$104,$BC$2,FALSE)</f>
        <v>#N/A</v>
      </c>
      <c r="BC27" s="6" t="e">
        <f>VLOOKUP(BA27,$W$5:$AJ$104,$BC$2+5,FALSE)</f>
        <v>#N/A</v>
      </c>
      <c r="BD27" s="58" t="e">
        <f>VLOOKUP(BB27,$W$5:$AJ$104,$BC$2+10,FALSE)</f>
        <v>#N/A</v>
      </c>
      <c r="BE27" s="9"/>
      <c r="BF27" s="4">
        <v>23</v>
      </c>
      <c r="BG27" s="2" t="e">
        <f>VLOOKUP(BF27,$Y$5:$AJ$104,$BH$2,FALSE)</f>
        <v>#N/A</v>
      </c>
      <c r="BH27" s="6" t="e">
        <f>VLOOKUP(BF27,$Y$5:$AJ$104,$BH$2+3,FALSE)</f>
        <v>#N/A</v>
      </c>
      <c r="BI27" s="2" t="e">
        <f>VLOOKUP(BF27,$Y$5:$AJ$104,$BH$2+4,FALSE)</f>
        <v>#N/A</v>
      </c>
      <c r="BJ27" s="2" t="e">
        <f>VLOOKUP(BG27,$Y$5:$AJ$104,$BH$2+9,FALSE)</f>
        <v>#N/A</v>
      </c>
      <c r="BL27" s="4">
        <v>23</v>
      </c>
      <c r="BM27" s="2" t="e">
        <f>VLOOKUP(BL27,$AA$5:$AJ$104,$BN$2,FALSE)</f>
        <v>#N/A</v>
      </c>
      <c r="BN27" s="6" t="e">
        <f>VLOOKUP(BL27,$AA$5:$AJ$104,$BN$2+1,FALSE)</f>
        <v>#N/A</v>
      </c>
      <c r="BO27" s="2" t="e">
        <f>VLOOKUP(BM27,$AA$5:$AJ$104,$BN$2+8,FALSE)</f>
        <v>#N/A</v>
      </c>
      <c r="BQ27" s="2" t="e">
        <f>'Eclectic B'!CD27</f>
        <v>#N/A</v>
      </c>
      <c r="BR27" s="6" t="e">
        <f>'Eclectic B'!CE27</f>
        <v>#N/A</v>
      </c>
      <c r="BS27" s="103" t="e">
        <f>'Eclectic B'!CF27</f>
        <v>#N/A</v>
      </c>
    </row>
    <row r="28" spans="1:71">
      <c r="A28" s="10" t="str">
        <f>IF(ISBLANK(Players!F26),"",Players!F26)</f>
        <v/>
      </c>
      <c r="B28" s="10" t="str">
        <f>IF(ISBLANK(Players!G26),"",Players!G26)</f>
        <v/>
      </c>
      <c r="C28" s="10" t="str">
        <f>IF(ISBLANK(Players!I26),"",Players!I26)</f>
        <v/>
      </c>
      <c r="D28" s="69" t="str">
        <f>IF(ISNUMBER(C28),MIN((C28*Rules!$N$14/113)+(Rules!$N$13-Rules!$N$12),Rules!$N$37),"-")</f>
        <v>-</v>
      </c>
      <c r="E28" s="69" t="str">
        <f>IF(ISNUMBER(C28),    ROUND( (D28*Rules!$N$11) / 100,0),"-")</f>
        <v>-</v>
      </c>
      <c r="F28" s="36" t="str">
        <f>IF(AND(ISNUMBER(C28),C28&gt;=Rules!$M$17,C28&lt;=Rules!$N$17),"Y","N")</f>
        <v>N</v>
      </c>
      <c r="G28" s="137" t="str">
        <f>'Eclectic B'!M28</f>
        <v>-</v>
      </c>
      <c r="H28" s="137" t="str">
        <f>'Eclectic B'!W28</f>
        <v>-</v>
      </c>
      <c r="I28" s="137" t="str">
        <f>'Eclectic B'!AJ28</f>
        <v>-</v>
      </c>
      <c r="J28" s="137" t="str">
        <f>'Eclectic B'!AT28</f>
        <v>-</v>
      </c>
      <c r="K28" s="14" t="str">
        <f t="shared" si="1"/>
        <v>-</v>
      </c>
      <c r="L28" s="14" t="str">
        <f t="shared" si="2"/>
        <v>-</v>
      </c>
      <c r="M28" s="14" t="str">
        <f t="shared" si="3"/>
        <v>-</v>
      </c>
      <c r="N28" s="14" t="str">
        <f t="shared" si="4"/>
        <v>-</v>
      </c>
      <c r="O28" s="14" t="str">
        <f t="shared" si="5"/>
        <v>-</v>
      </c>
      <c r="P28" s="14" t="str">
        <f t="shared" si="6"/>
        <v>-</v>
      </c>
      <c r="Q28" s="14" t="e">
        <f>RANK($K28,$K$5:$K$104,1)+COUNTIF(K$5:K28,K28)-1</f>
        <v>#VALUE!</v>
      </c>
      <c r="R28" s="14" t="e">
        <f t="shared" si="7"/>
        <v>#VALUE!</v>
      </c>
      <c r="S28" s="14" t="e">
        <f>RANK($L28,$L$5:$L$104,1)+COUNTIF(L$5:L28,L28)-1</f>
        <v>#VALUE!</v>
      </c>
      <c r="T28" s="14" t="e">
        <f t="shared" si="8"/>
        <v>#VALUE!</v>
      </c>
      <c r="U28" s="14" t="e">
        <f>RANK($M28,$M$5:$M$104,1)+COUNTIF(M$5:M28,M28)-1</f>
        <v>#VALUE!</v>
      </c>
      <c r="V28" s="14" t="e">
        <f t="shared" si="9"/>
        <v>#VALUE!</v>
      </c>
      <c r="W28" s="14" t="e">
        <f>RANK($N28,$N$5:$N$104,1)+COUNTIF(N$5:N28,N28)-1</f>
        <v>#VALUE!</v>
      </c>
      <c r="X28" s="14" t="e">
        <f t="shared" si="10"/>
        <v>#VALUE!</v>
      </c>
      <c r="Y28" s="14" t="e">
        <f>RANK($O28,$O$5:$O$104,1)+COUNTIF(O$5:O28,O28)-1</f>
        <v>#VALUE!</v>
      </c>
      <c r="Z28" s="14" t="e">
        <f t="shared" si="11"/>
        <v>#VALUE!</v>
      </c>
      <c r="AA28" s="14" t="e">
        <f>RANK($P28,$P$5:$P$104,1)+COUNTIF(P$5:P28,P28)-1</f>
        <v>#VALUE!</v>
      </c>
      <c r="AB28" s="14" t="e">
        <f t="shared" si="12"/>
        <v>#VALUE!</v>
      </c>
      <c r="AC28" s="1" t="str">
        <f t="shared" si="13"/>
        <v xml:space="preserve"> </v>
      </c>
      <c r="AD28" s="1" t="str">
        <f t="shared" si="14"/>
        <v>-</v>
      </c>
      <c r="AE28" s="35" t="str">
        <f t="shared" si="15"/>
        <v>-</v>
      </c>
      <c r="AF28" s="35" t="str">
        <f t="shared" si="15"/>
        <v>-</v>
      </c>
      <c r="AG28" s="35" t="str">
        <f t="shared" si="15"/>
        <v>-</v>
      </c>
      <c r="AH28" s="35" t="str">
        <f t="shared" si="15"/>
        <v>-</v>
      </c>
      <c r="AI28" s="35" t="str">
        <f t="shared" si="15"/>
        <v>-</v>
      </c>
      <c r="AJ28" s="35" t="str">
        <f t="shared" si="15"/>
        <v>-</v>
      </c>
      <c r="AL28" s="4">
        <v>24</v>
      </c>
      <c r="AM28" s="2" t="e">
        <f>VLOOKUP(AL28,Q$5:$AJ$104,$AN$2,FALSE)</f>
        <v>#N/A</v>
      </c>
      <c r="AN28" s="6" t="e">
        <f>VLOOKUP(AL28,Q$5:$AJ$104,$AN$2+11,FALSE)</f>
        <v>#N/A</v>
      </c>
      <c r="AO28" s="2" t="e">
        <f t="shared" si="16"/>
        <v>#N/A</v>
      </c>
      <c r="AQ28" s="4">
        <v>24</v>
      </c>
      <c r="AR28" s="2" t="e">
        <f>VLOOKUP(AQ28,$S$5:$AJ$104,$AS$2,FALSE)</f>
        <v>#N/A</v>
      </c>
      <c r="AS28" s="6" t="e">
        <f>VLOOKUP(AQ28,$S$5:$AJ$104,$AS$2+9,FALSE)</f>
        <v>#N/A</v>
      </c>
      <c r="AT28" s="2" t="e">
        <f>VLOOKUP(AR28,$S$5:$AJ$104,$AS$2+12,FALSE)</f>
        <v>#N/A</v>
      </c>
      <c r="AU28" s="9"/>
      <c r="AV28" s="4">
        <v>24</v>
      </c>
      <c r="AW28" s="2" t="e">
        <f>VLOOKUP(AV28,$U$5:$AJ$104,$AX$2,FALSE)</f>
        <v>#N/A</v>
      </c>
      <c r="AX28" s="6" t="e">
        <f>VLOOKUP(AV28,$U$5:$AJ$104,$AX$2+7,FALSE)</f>
        <v>#N/A</v>
      </c>
      <c r="AY28" s="2" t="e">
        <f>VLOOKUP(AW28,$U$5:$AJ$104,$AX$2+11,FALSE)</f>
        <v>#N/A</v>
      </c>
      <c r="BA28" s="4">
        <v>24</v>
      </c>
      <c r="BB28" s="2" t="e">
        <f>VLOOKUP(BA28,$W$5:$AJ$104,$BC$2,FALSE)</f>
        <v>#N/A</v>
      </c>
      <c r="BC28" s="6" t="e">
        <f>VLOOKUP(BA28,$W$5:$AJ$104,$BC$2+5,FALSE)</f>
        <v>#N/A</v>
      </c>
      <c r="BD28" s="58" t="e">
        <f>VLOOKUP(BB28,$W$5:$AJ$104,$BC$2+10,FALSE)</f>
        <v>#N/A</v>
      </c>
      <c r="BE28" s="9"/>
      <c r="BF28" s="4">
        <v>24</v>
      </c>
      <c r="BG28" s="2" t="e">
        <f>VLOOKUP(BF28,$Y$5:$AJ$104,$BH$2,FALSE)</f>
        <v>#N/A</v>
      </c>
      <c r="BH28" s="6" t="e">
        <f>VLOOKUP(BF28,$Y$5:$AJ$104,$BH$2+3,FALSE)</f>
        <v>#N/A</v>
      </c>
      <c r="BI28" s="2" t="e">
        <f>VLOOKUP(BF28,$Y$5:$AJ$104,$BH$2+4,FALSE)</f>
        <v>#N/A</v>
      </c>
      <c r="BJ28" s="2" t="e">
        <f>VLOOKUP(BG28,$Y$5:$AJ$104,$BH$2+9,FALSE)</f>
        <v>#N/A</v>
      </c>
      <c r="BL28" s="4">
        <v>24</v>
      </c>
      <c r="BM28" s="2" t="e">
        <f>VLOOKUP(BL28,$AA$5:$AJ$104,$BN$2,FALSE)</f>
        <v>#N/A</v>
      </c>
      <c r="BN28" s="6" t="e">
        <f>VLOOKUP(BL28,$AA$5:$AJ$104,$BN$2+1,FALSE)</f>
        <v>#N/A</v>
      </c>
      <c r="BO28" s="2" t="e">
        <f>VLOOKUP(BM28,$AA$5:$AJ$104,$BN$2+8,FALSE)</f>
        <v>#N/A</v>
      </c>
      <c r="BQ28" s="2" t="e">
        <f>'Eclectic B'!CD28</f>
        <v>#N/A</v>
      </c>
      <c r="BR28" s="6" t="e">
        <f>'Eclectic B'!CE28</f>
        <v>#N/A</v>
      </c>
      <c r="BS28" s="103" t="e">
        <f>'Eclectic B'!CF28</f>
        <v>#N/A</v>
      </c>
    </row>
    <row r="29" spans="1:71">
      <c r="A29" s="10" t="str">
        <f>IF(ISBLANK(Players!F27),"",Players!F27)</f>
        <v/>
      </c>
      <c r="B29" s="10" t="str">
        <f>IF(ISBLANK(Players!G27),"",Players!G27)</f>
        <v/>
      </c>
      <c r="C29" s="10" t="str">
        <f>IF(ISBLANK(Players!I27),"",Players!I27)</f>
        <v/>
      </c>
      <c r="D29" s="69" t="str">
        <f>IF(ISNUMBER(C29),MIN((C29*Rules!$N$14/113)+(Rules!$N$13-Rules!$N$12),Rules!$N$37),"-")</f>
        <v>-</v>
      </c>
      <c r="E29" s="69" t="str">
        <f>IF(ISNUMBER(C29),    ROUND( (D29*Rules!$N$11) / 100,0),"-")</f>
        <v>-</v>
      </c>
      <c r="F29" s="36" t="str">
        <f>IF(AND(ISNUMBER(C29),C29&gt;=Rules!$M$17,C29&lt;=Rules!$N$17),"Y","N")</f>
        <v>N</v>
      </c>
      <c r="G29" s="137" t="str">
        <f>'Eclectic B'!M29</f>
        <v>-</v>
      </c>
      <c r="H29" s="137" t="str">
        <f>'Eclectic B'!W29</f>
        <v>-</v>
      </c>
      <c r="I29" s="137" t="str">
        <f>'Eclectic B'!AJ29</f>
        <v>-</v>
      </c>
      <c r="J29" s="137" t="str">
        <f>'Eclectic B'!AT29</f>
        <v>-</v>
      </c>
      <c r="K29" s="14" t="str">
        <f t="shared" si="1"/>
        <v>-</v>
      </c>
      <c r="L29" s="14" t="str">
        <f t="shared" si="2"/>
        <v>-</v>
      </c>
      <c r="M29" s="14" t="str">
        <f t="shared" si="3"/>
        <v>-</v>
      </c>
      <c r="N29" s="14" t="str">
        <f t="shared" si="4"/>
        <v>-</v>
      </c>
      <c r="O29" s="14" t="str">
        <f t="shared" si="5"/>
        <v>-</v>
      </c>
      <c r="P29" s="14" t="str">
        <f t="shared" si="6"/>
        <v>-</v>
      </c>
      <c r="Q29" s="14" t="e">
        <f>RANK($K29,$K$5:$K$104,1)+COUNTIF(K$5:K29,K29)-1</f>
        <v>#VALUE!</v>
      </c>
      <c r="R29" s="14" t="e">
        <f t="shared" si="7"/>
        <v>#VALUE!</v>
      </c>
      <c r="S29" s="14" t="e">
        <f>RANK($L29,$L$5:$L$104,1)+COUNTIF(L$5:L29,L29)-1</f>
        <v>#VALUE!</v>
      </c>
      <c r="T29" s="14" t="e">
        <f t="shared" si="8"/>
        <v>#VALUE!</v>
      </c>
      <c r="U29" s="14" t="e">
        <f>RANK($M29,$M$5:$M$104,1)+COUNTIF(M$5:M29,M29)-1</f>
        <v>#VALUE!</v>
      </c>
      <c r="V29" s="14" t="e">
        <f t="shared" si="9"/>
        <v>#VALUE!</v>
      </c>
      <c r="W29" s="14" t="e">
        <f>RANK($N29,$N$5:$N$104,1)+COUNTIF(N$5:N29,N29)-1</f>
        <v>#VALUE!</v>
      </c>
      <c r="X29" s="14" t="e">
        <f t="shared" si="10"/>
        <v>#VALUE!</v>
      </c>
      <c r="Y29" s="14" t="e">
        <f>RANK($O29,$O$5:$O$104,1)+COUNTIF(O$5:O29,O29)-1</f>
        <v>#VALUE!</v>
      </c>
      <c r="Z29" s="14" t="e">
        <f t="shared" si="11"/>
        <v>#VALUE!</v>
      </c>
      <c r="AA29" s="14" t="e">
        <f>RANK($P29,$P$5:$P$104,1)+COUNTIF(P$5:P29,P29)-1</f>
        <v>#VALUE!</v>
      </c>
      <c r="AB29" s="14" t="e">
        <f t="shared" si="12"/>
        <v>#VALUE!</v>
      </c>
      <c r="AC29" s="1" t="str">
        <f t="shared" si="13"/>
        <v xml:space="preserve"> </v>
      </c>
      <c r="AD29" s="1" t="str">
        <f t="shared" si="14"/>
        <v>-</v>
      </c>
      <c r="AE29" s="35" t="str">
        <f t="shared" si="15"/>
        <v>-</v>
      </c>
      <c r="AF29" s="35" t="str">
        <f t="shared" si="15"/>
        <v>-</v>
      </c>
      <c r="AG29" s="35" t="str">
        <f t="shared" si="15"/>
        <v>-</v>
      </c>
      <c r="AH29" s="35" t="str">
        <f t="shared" si="15"/>
        <v>-</v>
      </c>
      <c r="AI29" s="35" t="str">
        <f t="shared" si="15"/>
        <v>-</v>
      </c>
      <c r="AJ29" s="35" t="str">
        <f t="shared" si="15"/>
        <v>-</v>
      </c>
      <c r="AL29" s="4">
        <v>25</v>
      </c>
      <c r="AM29" s="2" t="e">
        <f>VLOOKUP(AL29,Q$5:$AJ$104,$AN$2,FALSE)</f>
        <v>#N/A</v>
      </c>
      <c r="AN29" s="6" t="e">
        <f>VLOOKUP(AL29,Q$5:$AJ$104,$AN$2+11,FALSE)</f>
        <v>#N/A</v>
      </c>
      <c r="AO29" s="2" t="e">
        <f t="shared" si="16"/>
        <v>#N/A</v>
      </c>
      <c r="AQ29" s="4">
        <v>25</v>
      </c>
      <c r="AR29" s="2" t="e">
        <f>VLOOKUP(AQ29,$S$5:$AJ$104,$AS$2,FALSE)</f>
        <v>#N/A</v>
      </c>
      <c r="AS29" s="6" t="e">
        <f>VLOOKUP(AQ29,$S$5:$AJ$104,$AS$2+9,FALSE)</f>
        <v>#N/A</v>
      </c>
      <c r="AT29" s="2" t="e">
        <f>VLOOKUP(AR29,$S$5:$AJ$104,$AS$2+12,FALSE)</f>
        <v>#N/A</v>
      </c>
      <c r="AU29" s="9"/>
      <c r="AV29" s="4">
        <v>25</v>
      </c>
      <c r="AW29" s="2" t="e">
        <f>VLOOKUP(AV29,$U$5:$AJ$104,$AX$2,FALSE)</f>
        <v>#N/A</v>
      </c>
      <c r="AX29" s="6" t="e">
        <f>VLOOKUP(AV29,$U$5:$AJ$104,$AX$2+7,FALSE)</f>
        <v>#N/A</v>
      </c>
      <c r="AY29" s="2" t="e">
        <f>VLOOKUP(AW29,$U$5:$AJ$104,$AX$2+11,FALSE)</f>
        <v>#N/A</v>
      </c>
      <c r="BA29" s="4">
        <v>25</v>
      </c>
      <c r="BB29" s="2" t="e">
        <f>VLOOKUP(BA29,$W$5:$AJ$104,$BC$2,FALSE)</f>
        <v>#N/A</v>
      </c>
      <c r="BC29" s="6" t="e">
        <f>VLOOKUP(BA29,$W$5:$AJ$104,$BC$2+5,FALSE)</f>
        <v>#N/A</v>
      </c>
      <c r="BD29" s="58" t="e">
        <f>VLOOKUP(BB29,$W$5:$AJ$104,$BC$2+10,FALSE)</f>
        <v>#N/A</v>
      </c>
      <c r="BE29" s="9"/>
      <c r="BF29" s="4">
        <v>25</v>
      </c>
      <c r="BG29" s="2" t="e">
        <f>VLOOKUP(BF29,$Y$5:$AJ$104,$BH$2,FALSE)</f>
        <v>#N/A</v>
      </c>
      <c r="BH29" s="6" t="e">
        <f>VLOOKUP(BF29,$Y$5:$AJ$104,$BH$2+3,FALSE)</f>
        <v>#N/A</v>
      </c>
      <c r="BI29" s="2" t="e">
        <f>VLOOKUP(BF29,$Y$5:$AJ$104,$BH$2+4,FALSE)</f>
        <v>#N/A</v>
      </c>
      <c r="BJ29" s="2" t="e">
        <f>VLOOKUP(BG29,$Y$5:$AJ$104,$BH$2+9,FALSE)</f>
        <v>#N/A</v>
      </c>
      <c r="BL29" s="4">
        <v>25</v>
      </c>
      <c r="BM29" s="2" t="e">
        <f>VLOOKUP(BL29,$AA$5:$AJ$104,$BN$2,FALSE)</f>
        <v>#N/A</v>
      </c>
      <c r="BN29" s="6" t="e">
        <f>VLOOKUP(BL29,$AA$5:$AJ$104,$BN$2+1,FALSE)</f>
        <v>#N/A</v>
      </c>
      <c r="BO29" s="2" t="e">
        <f>VLOOKUP(BM29,$AA$5:$AJ$104,$BN$2+8,FALSE)</f>
        <v>#N/A</v>
      </c>
      <c r="BQ29" s="2" t="e">
        <f>'Eclectic B'!CD29</f>
        <v>#N/A</v>
      </c>
      <c r="BR29" s="6" t="e">
        <f>'Eclectic B'!CE29</f>
        <v>#N/A</v>
      </c>
      <c r="BS29" s="103" t="e">
        <f>'Eclectic B'!CF29</f>
        <v>#N/A</v>
      </c>
    </row>
    <row r="30" spans="1:71">
      <c r="A30" s="10" t="str">
        <f>IF(ISBLANK(Players!F28),"",Players!F28)</f>
        <v/>
      </c>
      <c r="B30" s="10" t="str">
        <f>IF(ISBLANK(Players!G28),"",Players!G28)</f>
        <v/>
      </c>
      <c r="C30" s="10" t="str">
        <f>IF(ISBLANK(Players!I28),"",Players!I28)</f>
        <v/>
      </c>
      <c r="D30" s="69" t="str">
        <f>IF(ISNUMBER(C30),MIN((C30*Rules!$N$14/113)+(Rules!$N$13-Rules!$N$12),Rules!$N$37),"-")</f>
        <v>-</v>
      </c>
      <c r="E30" s="69" t="str">
        <f>IF(ISNUMBER(C30),    ROUND( (D30*Rules!$N$11) / 100,0),"-")</f>
        <v>-</v>
      </c>
      <c r="F30" s="36" t="str">
        <f>IF(AND(ISNUMBER(C30),C30&gt;=Rules!$M$17,C30&lt;=Rules!$N$17),"Y","N")</f>
        <v>N</v>
      </c>
      <c r="G30" s="137" t="str">
        <f>'Eclectic B'!M30</f>
        <v>-</v>
      </c>
      <c r="H30" s="137" t="str">
        <f>'Eclectic B'!W30</f>
        <v>-</v>
      </c>
      <c r="I30" s="137" t="str">
        <f>'Eclectic B'!AJ30</f>
        <v>-</v>
      </c>
      <c r="J30" s="137" t="str">
        <f>'Eclectic B'!AT30</f>
        <v>-</v>
      </c>
      <c r="K30" s="14" t="str">
        <f t="shared" si="1"/>
        <v>-</v>
      </c>
      <c r="L30" s="14" t="str">
        <f t="shared" si="2"/>
        <v>-</v>
      </c>
      <c r="M30" s="14" t="str">
        <f t="shared" si="3"/>
        <v>-</v>
      </c>
      <c r="N30" s="14" t="str">
        <f t="shared" si="4"/>
        <v>-</v>
      </c>
      <c r="O30" s="14" t="str">
        <f t="shared" si="5"/>
        <v>-</v>
      </c>
      <c r="P30" s="14" t="str">
        <f t="shared" si="6"/>
        <v>-</v>
      </c>
      <c r="Q30" s="14" t="e">
        <f>RANK($K30,$K$5:$K$104,1)+COUNTIF(K$5:K30,K30)-1</f>
        <v>#VALUE!</v>
      </c>
      <c r="R30" s="14" t="e">
        <f t="shared" si="7"/>
        <v>#VALUE!</v>
      </c>
      <c r="S30" s="14" t="e">
        <f>RANK($L30,$L$5:$L$104,1)+COUNTIF(L$5:L30,L30)-1</f>
        <v>#VALUE!</v>
      </c>
      <c r="T30" s="14" t="e">
        <f t="shared" si="8"/>
        <v>#VALUE!</v>
      </c>
      <c r="U30" s="14" t="e">
        <f>RANK($M30,$M$5:$M$104,1)+COUNTIF(M$5:M30,M30)-1</f>
        <v>#VALUE!</v>
      </c>
      <c r="V30" s="14" t="e">
        <f t="shared" si="9"/>
        <v>#VALUE!</v>
      </c>
      <c r="W30" s="14" t="e">
        <f>RANK($N30,$N$5:$N$104,1)+COUNTIF(N$5:N30,N30)-1</f>
        <v>#VALUE!</v>
      </c>
      <c r="X30" s="14" t="e">
        <f t="shared" si="10"/>
        <v>#VALUE!</v>
      </c>
      <c r="Y30" s="14" t="e">
        <f>RANK($O30,$O$5:$O$104,1)+COUNTIF(O$5:O30,O30)-1</f>
        <v>#VALUE!</v>
      </c>
      <c r="Z30" s="14" t="e">
        <f t="shared" si="11"/>
        <v>#VALUE!</v>
      </c>
      <c r="AA30" s="14" t="e">
        <f>RANK($P30,$P$5:$P$104,1)+COUNTIF(P$5:P30,P30)-1</f>
        <v>#VALUE!</v>
      </c>
      <c r="AB30" s="14" t="e">
        <f t="shared" si="12"/>
        <v>#VALUE!</v>
      </c>
      <c r="AC30" s="1" t="str">
        <f t="shared" si="13"/>
        <v xml:space="preserve"> </v>
      </c>
      <c r="AD30" s="1" t="str">
        <f t="shared" si="14"/>
        <v>-</v>
      </c>
      <c r="AE30" s="35" t="str">
        <f t="shared" si="15"/>
        <v>-</v>
      </c>
      <c r="AF30" s="35" t="str">
        <f t="shared" si="15"/>
        <v>-</v>
      </c>
      <c r="AG30" s="35" t="str">
        <f t="shared" si="15"/>
        <v>-</v>
      </c>
      <c r="AH30" s="35" t="str">
        <f t="shared" si="15"/>
        <v>-</v>
      </c>
      <c r="AI30" s="35" t="str">
        <f t="shared" si="15"/>
        <v>-</v>
      </c>
      <c r="AJ30" s="35" t="str">
        <f t="shared" si="15"/>
        <v>-</v>
      </c>
      <c r="AL30" s="4">
        <v>26</v>
      </c>
      <c r="AM30" s="2" t="e">
        <f>VLOOKUP(AL30,Q$5:$AJ$104,$AN$2,FALSE)</f>
        <v>#N/A</v>
      </c>
      <c r="AN30" s="6" t="e">
        <f>VLOOKUP(AL30,Q$5:$AJ$104,$AN$2+11,FALSE)</f>
        <v>#N/A</v>
      </c>
      <c r="AO30" s="2" t="e">
        <f t="shared" si="16"/>
        <v>#N/A</v>
      </c>
      <c r="AQ30" s="4">
        <v>26</v>
      </c>
      <c r="AR30" s="2" t="e">
        <f>VLOOKUP(AQ30,$S$5:$AJ$104,$AS$2,FALSE)</f>
        <v>#N/A</v>
      </c>
      <c r="AS30" s="6" t="e">
        <f>VLOOKUP(AQ30,$S$5:$AJ$104,$AS$2+9,FALSE)</f>
        <v>#N/A</v>
      </c>
      <c r="AT30" s="2" t="e">
        <f>VLOOKUP(AR30,$S$5:$AJ$104,$AS$2+12,FALSE)</f>
        <v>#N/A</v>
      </c>
      <c r="AU30" s="9"/>
      <c r="AV30" s="4">
        <v>26</v>
      </c>
      <c r="AW30" s="2" t="e">
        <f>VLOOKUP(AV30,$U$5:$AJ$104,$AX$2,FALSE)</f>
        <v>#N/A</v>
      </c>
      <c r="AX30" s="6" t="e">
        <f>VLOOKUP(AV30,$U$5:$AJ$104,$AX$2+7,FALSE)</f>
        <v>#N/A</v>
      </c>
      <c r="AY30" s="2" t="e">
        <f>VLOOKUP(AW30,$U$5:$AJ$104,$AX$2+11,FALSE)</f>
        <v>#N/A</v>
      </c>
      <c r="BA30" s="4">
        <v>26</v>
      </c>
      <c r="BB30" s="2" t="e">
        <f>VLOOKUP(BA30,$W$5:$AJ$104,$BC$2,FALSE)</f>
        <v>#N/A</v>
      </c>
      <c r="BC30" s="6" t="e">
        <f>VLOOKUP(BA30,$W$5:$AJ$104,$BC$2+5,FALSE)</f>
        <v>#N/A</v>
      </c>
      <c r="BD30" s="58" t="e">
        <f>VLOOKUP(BB30,$W$5:$AJ$104,$BC$2+10,FALSE)</f>
        <v>#N/A</v>
      </c>
      <c r="BE30" s="9"/>
      <c r="BF30" s="4">
        <v>26</v>
      </c>
      <c r="BG30" s="2" t="e">
        <f>VLOOKUP(BF30,$Y$5:$AJ$104,$BH$2,FALSE)</f>
        <v>#N/A</v>
      </c>
      <c r="BH30" s="6" t="e">
        <f>VLOOKUP(BF30,$Y$5:$AJ$104,$BH$2+3,FALSE)</f>
        <v>#N/A</v>
      </c>
      <c r="BI30" s="2" t="e">
        <f>VLOOKUP(BF30,$Y$5:$AJ$104,$BH$2+4,FALSE)</f>
        <v>#N/A</v>
      </c>
      <c r="BJ30" s="2" t="e">
        <f>VLOOKUP(BG30,$Y$5:$AJ$104,$BH$2+9,FALSE)</f>
        <v>#N/A</v>
      </c>
      <c r="BL30" s="4">
        <v>26</v>
      </c>
      <c r="BM30" s="2" t="e">
        <f>VLOOKUP(BL30,$AA$5:$AJ$104,$BN$2,FALSE)</f>
        <v>#N/A</v>
      </c>
      <c r="BN30" s="6" t="e">
        <f>VLOOKUP(BL30,$AA$5:$AJ$104,$BN$2+1,FALSE)</f>
        <v>#N/A</v>
      </c>
      <c r="BO30" s="2" t="e">
        <f>VLOOKUP(BM30,$AA$5:$AJ$104,$BN$2+8,FALSE)</f>
        <v>#N/A</v>
      </c>
      <c r="BQ30" s="2" t="e">
        <f>'Eclectic B'!CD30</f>
        <v>#N/A</v>
      </c>
      <c r="BR30" s="6" t="e">
        <f>'Eclectic B'!CE30</f>
        <v>#N/A</v>
      </c>
      <c r="BS30" s="103" t="e">
        <f>'Eclectic B'!CF30</f>
        <v>#N/A</v>
      </c>
    </row>
    <row r="31" spans="1:71">
      <c r="A31" s="10" t="str">
        <f>IF(ISBLANK(Players!F29),"",Players!F29)</f>
        <v/>
      </c>
      <c r="B31" s="10" t="str">
        <f>IF(ISBLANK(Players!G29),"",Players!G29)</f>
        <v/>
      </c>
      <c r="C31" s="10" t="str">
        <f>IF(ISBLANK(Players!I29),"",Players!I29)</f>
        <v/>
      </c>
      <c r="D31" s="69" t="str">
        <f>IF(ISNUMBER(C31),MIN((C31*Rules!$N$14/113)+(Rules!$N$13-Rules!$N$12),Rules!$N$37),"-")</f>
        <v>-</v>
      </c>
      <c r="E31" s="69" t="str">
        <f>IF(ISNUMBER(C31),    ROUND( (D31*Rules!$N$11) / 100,0),"-")</f>
        <v>-</v>
      </c>
      <c r="F31" s="36" t="str">
        <f>IF(AND(ISNUMBER(C31),C31&gt;=Rules!$M$17,C31&lt;=Rules!$N$17),"Y","N")</f>
        <v>N</v>
      </c>
      <c r="G31" s="137" t="str">
        <f>'Eclectic B'!M31</f>
        <v>-</v>
      </c>
      <c r="H31" s="137" t="str">
        <f>'Eclectic B'!W31</f>
        <v>-</v>
      </c>
      <c r="I31" s="137" t="str">
        <f>'Eclectic B'!AJ31</f>
        <v>-</v>
      </c>
      <c r="J31" s="137" t="str">
        <f>'Eclectic B'!AT31</f>
        <v>-</v>
      </c>
      <c r="K31" s="14" t="str">
        <f t="shared" si="1"/>
        <v>-</v>
      </c>
      <c r="L31" s="14" t="str">
        <f t="shared" si="2"/>
        <v>-</v>
      </c>
      <c r="M31" s="14" t="str">
        <f t="shared" si="3"/>
        <v>-</v>
      </c>
      <c r="N31" s="14" t="str">
        <f t="shared" si="4"/>
        <v>-</v>
      </c>
      <c r="O31" s="14" t="str">
        <f t="shared" si="5"/>
        <v>-</v>
      </c>
      <c r="P31" s="14" t="str">
        <f t="shared" si="6"/>
        <v>-</v>
      </c>
      <c r="Q31" s="14" t="e">
        <f>RANK($K31,$K$5:$K$104,1)+COUNTIF(K$5:K31,K31)-1</f>
        <v>#VALUE!</v>
      </c>
      <c r="R31" s="14" t="e">
        <f t="shared" si="7"/>
        <v>#VALUE!</v>
      </c>
      <c r="S31" s="14" t="e">
        <f>RANK($L31,$L$5:$L$104,1)+COUNTIF(L$5:L31,L31)-1</f>
        <v>#VALUE!</v>
      </c>
      <c r="T31" s="14" t="e">
        <f t="shared" si="8"/>
        <v>#VALUE!</v>
      </c>
      <c r="U31" s="14" t="e">
        <f>RANK($M31,$M$5:$M$104,1)+COUNTIF(M$5:M31,M31)-1</f>
        <v>#VALUE!</v>
      </c>
      <c r="V31" s="14" t="e">
        <f t="shared" si="9"/>
        <v>#VALUE!</v>
      </c>
      <c r="W31" s="14" t="e">
        <f>RANK($N31,$N$5:$N$104,1)+COUNTIF(N$5:N31,N31)-1</f>
        <v>#VALUE!</v>
      </c>
      <c r="X31" s="14" t="e">
        <f t="shared" si="10"/>
        <v>#VALUE!</v>
      </c>
      <c r="Y31" s="14" t="e">
        <f>RANK($O31,$O$5:$O$104,1)+COUNTIF(O$5:O31,O31)-1</f>
        <v>#VALUE!</v>
      </c>
      <c r="Z31" s="14" t="e">
        <f t="shared" si="11"/>
        <v>#VALUE!</v>
      </c>
      <c r="AA31" s="14" t="e">
        <f>RANK($P31,$P$5:$P$104,1)+COUNTIF(P$5:P31,P31)-1</f>
        <v>#VALUE!</v>
      </c>
      <c r="AB31" s="14" t="e">
        <f t="shared" si="12"/>
        <v>#VALUE!</v>
      </c>
      <c r="AC31" s="1" t="str">
        <f t="shared" si="13"/>
        <v xml:space="preserve"> </v>
      </c>
      <c r="AD31" s="1" t="str">
        <f t="shared" si="14"/>
        <v>-</v>
      </c>
      <c r="AE31" s="35" t="str">
        <f t="shared" si="15"/>
        <v>-</v>
      </c>
      <c r="AF31" s="35" t="str">
        <f t="shared" si="15"/>
        <v>-</v>
      </c>
      <c r="AG31" s="35" t="str">
        <f t="shared" si="15"/>
        <v>-</v>
      </c>
      <c r="AH31" s="35" t="str">
        <f t="shared" si="15"/>
        <v>-</v>
      </c>
      <c r="AI31" s="35" t="str">
        <f t="shared" si="15"/>
        <v>-</v>
      </c>
      <c r="AJ31" s="35" t="str">
        <f t="shared" si="15"/>
        <v>-</v>
      </c>
      <c r="AL31" s="4">
        <v>27</v>
      </c>
      <c r="AM31" s="2" t="e">
        <f>VLOOKUP(AL31,Q$5:$AJ$104,$AN$2,FALSE)</f>
        <v>#N/A</v>
      </c>
      <c r="AN31" s="6" t="e">
        <f>VLOOKUP(AL31,Q$5:$AJ$104,$AN$2+11,FALSE)</f>
        <v>#N/A</v>
      </c>
      <c r="AO31" s="2" t="e">
        <f t="shared" si="16"/>
        <v>#N/A</v>
      </c>
      <c r="AQ31" s="4">
        <v>27</v>
      </c>
      <c r="AR31" s="2" t="e">
        <f>VLOOKUP(AQ31,$S$5:$AJ$104,$AS$2,FALSE)</f>
        <v>#N/A</v>
      </c>
      <c r="AS31" s="6" t="e">
        <f>VLOOKUP(AQ31,$S$5:$AJ$104,$AS$2+9,FALSE)</f>
        <v>#N/A</v>
      </c>
      <c r="AT31" s="2" t="e">
        <f>VLOOKUP(AR31,$S$5:$AJ$104,$AS$2+12,FALSE)</f>
        <v>#N/A</v>
      </c>
      <c r="AU31" s="9"/>
      <c r="AV31" s="4">
        <v>27</v>
      </c>
      <c r="AW31" s="2" t="e">
        <f>VLOOKUP(AV31,$U$5:$AJ$104,$AX$2,FALSE)</f>
        <v>#N/A</v>
      </c>
      <c r="AX31" s="6" t="e">
        <f>VLOOKUP(AV31,$U$5:$AJ$104,$AX$2+7,FALSE)</f>
        <v>#N/A</v>
      </c>
      <c r="AY31" s="2" t="e">
        <f>VLOOKUP(AW31,$U$5:$AJ$104,$AX$2+11,FALSE)</f>
        <v>#N/A</v>
      </c>
      <c r="BA31" s="4">
        <v>27</v>
      </c>
      <c r="BB31" s="2" t="e">
        <f>VLOOKUP(BA31,$W$5:$AJ$104,$BC$2,FALSE)</f>
        <v>#N/A</v>
      </c>
      <c r="BC31" s="6" t="e">
        <f>VLOOKUP(BA31,$W$5:$AJ$104,$BC$2+5,FALSE)</f>
        <v>#N/A</v>
      </c>
      <c r="BD31" s="58" t="e">
        <f>VLOOKUP(BB31,$W$5:$AJ$104,$BC$2+10,FALSE)</f>
        <v>#N/A</v>
      </c>
      <c r="BE31" s="9"/>
      <c r="BF31" s="4">
        <v>27</v>
      </c>
      <c r="BG31" s="2" t="e">
        <f>VLOOKUP(BF31,$Y$5:$AJ$104,$BH$2,FALSE)</f>
        <v>#N/A</v>
      </c>
      <c r="BH31" s="6" t="e">
        <f>VLOOKUP(BF31,$Y$5:$AJ$104,$BH$2+3,FALSE)</f>
        <v>#N/A</v>
      </c>
      <c r="BI31" s="2" t="e">
        <f>VLOOKUP(BF31,$Y$5:$AJ$104,$BH$2+4,FALSE)</f>
        <v>#N/A</v>
      </c>
      <c r="BJ31" s="2" t="e">
        <f>VLOOKUP(BG31,$Y$5:$AJ$104,$BH$2+9,FALSE)</f>
        <v>#N/A</v>
      </c>
      <c r="BL31" s="4">
        <v>27</v>
      </c>
      <c r="BM31" s="2" t="e">
        <f>VLOOKUP(BL31,$AA$5:$AJ$104,$BN$2,FALSE)</f>
        <v>#N/A</v>
      </c>
      <c r="BN31" s="6" t="e">
        <f>VLOOKUP(BL31,$AA$5:$AJ$104,$BN$2+1,FALSE)</f>
        <v>#N/A</v>
      </c>
      <c r="BO31" s="2" t="e">
        <f>VLOOKUP(BM31,$AA$5:$AJ$104,$BN$2+8,FALSE)</f>
        <v>#N/A</v>
      </c>
      <c r="BQ31" s="2" t="e">
        <f>'Eclectic B'!CD31</f>
        <v>#N/A</v>
      </c>
      <c r="BR31" s="6" t="e">
        <f>'Eclectic B'!CE31</f>
        <v>#N/A</v>
      </c>
      <c r="BS31" s="103" t="e">
        <f>'Eclectic B'!CF31</f>
        <v>#N/A</v>
      </c>
    </row>
    <row r="32" spans="1:71">
      <c r="A32" s="10" t="str">
        <f>IF(ISBLANK(Players!F30),"",Players!F30)</f>
        <v/>
      </c>
      <c r="B32" s="10" t="str">
        <f>IF(ISBLANK(Players!G30),"",Players!G30)</f>
        <v/>
      </c>
      <c r="C32" s="10" t="str">
        <f>IF(ISBLANK(Players!I30),"",Players!I30)</f>
        <v/>
      </c>
      <c r="D32" s="69" t="str">
        <f>IF(ISNUMBER(C32),MIN((C32*Rules!$N$14/113)+(Rules!$N$13-Rules!$N$12),Rules!$N$37),"-")</f>
        <v>-</v>
      </c>
      <c r="E32" s="69" t="str">
        <f>IF(ISNUMBER(C32),    ROUND( (D32*Rules!$N$11) / 100,0),"-")</f>
        <v>-</v>
      </c>
      <c r="F32" s="36" t="str">
        <f>IF(AND(ISNUMBER(C32),C32&gt;=Rules!$M$17,C32&lt;=Rules!$N$17),"Y","N")</f>
        <v>N</v>
      </c>
      <c r="G32" s="137" t="str">
        <f>'Eclectic B'!M32</f>
        <v>-</v>
      </c>
      <c r="H32" s="137" t="str">
        <f>'Eclectic B'!W32</f>
        <v>-</v>
      </c>
      <c r="I32" s="137" t="str">
        <f>'Eclectic B'!AJ32</f>
        <v>-</v>
      </c>
      <c r="J32" s="137" t="str">
        <f>'Eclectic B'!AT32</f>
        <v>-</v>
      </c>
      <c r="K32" s="14" t="str">
        <f t="shared" si="1"/>
        <v>-</v>
      </c>
      <c r="L32" s="14" t="str">
        <f t="shared" si="2"/>
        <v>-</v>
      </c>
      <c r="M32" s="14" t="str">
        <f t="shared" si="3"/>
        <v>-</v>
      </c>
      <c r="N32" s="14" t="str">
        <f t="shared" si="4"/>
        <v>-</v>
      </c>
      <c r="O32" s="14" t="str">
        <f t="shared" si="5"/>
        <v>-</v>
      </c>
      <c r="P32" s="14" t="str">
        <f t="shared" si="6"/>
        <v>-</v>
      </c>
      <c r="Q32" s="14" t="e">
        <f>RANK($K32,$K$5:$K$104,1)+COUNTIF(K$5:K32,K32)-1</f>
        <v>#VALUE!</v>
      </c>
      <c r="R32" s="14" t="e">
        <f t="shared" si="7"/>
        <v>#VALUE!</v>
      </c>
      <c r="S32" s="14" t="e">
        <f>RANK($L32,$L$5:$L$104,1)+COUNTIF(L$5:L32,L32)-1</f>
        <v>#VALUE!</v>
      </c>
      <c r="T32" s="14" t="e">
        <f t="shared" si="8"/>
        <v>#VALUE!</v>
      </c>
      <c r="U32" s="14" t="e">
        <f>RANK($M32,$M$5:$M$104,1)+COUNTIF(M$5:M32,M32)-1</f>
        <v>#VALUE!</v>
      </c>
      <c r="V32" s="14" t="e">
        <f t="shared" si="9"/>
        <v>#VALUE!</v>
      </c>
      <c r="W32" s="14" t="e">
        <f>RANK($N32,$N$5:$N$104,1)+COUNTIF(N$5:N32,N32)-1</f>
        <v>#VALUE!</v>
      </c>
      <c r="X32" s="14" t="e">
        <f t="shared" si="10"/>
        <v>#VALUE!</v>
      </c>
      <c r="Y32" s="14" t="e">
        <f>RANK($O32,$O$5:$O$104,1)+COUNTIF(O$5:O32,O32)-1</f>
        <v>#VALUE!</v>
      </c>
      <c r="Z32" s="14" t="e">
        <f t="shared" si="11"/>
        <v>#VALUE!</v>
      </c>
      <c r="AA32" s="14" t="e">
        <f>RANK($P32,$P$5:$P$104,1)+COUNTIF(P$5:P32,P32)-1</f>
        <v>#VALUE!</v>
      </c>
      <c r="AB32" s="14" t="e">
        <f t="shared" si="12"/>
        <v>#VALUE!</v>
      </c>
      <c r="AC32" s="1" t="str">
        <f t="shared" si="13"/>
        <v xml:space="preserve"> </v>
      </c>
      <c r="AD32" s="1" t="str">
        <f t="shared" si="14"/>
        <v>-</v>
      </c>
      <c r="AE32" s="35" t="str">
        <f t="shared" si="15"/>
        <v>-</v>
      </c>
      <c r="AF32" s="35" t="str">
        <f t="shared" si="15"/>
        <v>-</v>
      </c>
      <c r="AG32" s="35" t="str">
        <f t="shared" si="15"/>
        <v>-</v>
      </c>
      <c r="AH32" s="35" t="str">
        <f t="shared" si="15"/>
        <v>-</v>
      </c>
      <c r="AI32" s="35" t="str">
        <f t="shared" si="15"/>
        <v>-</v>
      </c>
      <c r="AJ32" s="35" t="str">
        <f t="shared" si="15"/>
        <v>-</v>
      </c>
      <c r="AL32" s="4">
        <v>28</v>
      </c>
      <c r="AM32" s="2" t="e">
        <f>VLOOKUP(AL32,Q$5:$AJ$104,$AN$2,FALSE)</f>
        <v>#N/A</v>
      </c>
      <c r="AN32" s="6" t="e">
        <f>VLOOKUP(AL32,Q$5:$AJ$104,$AN$2+11,FALSE)</f>
        <v>#N/A</v>
      </c>
      <c r="AO32" s="2" t="e">
        <f t="shared" si="16"/>
        <v>#N/A</v>
      </c>
      <c r="AQ32" s="4">
        <v>28</v>
      </c>
      <c r="AR32" s="2" t="e">
        <f>VLOOKUP(AQ32,$S$5:$AJ$104,$AS$2,FALSE)</f>
        <v>#N/A</v>
      </c>
      <c r="AS32" s="6" t="e">
        <f>VLOOKUP(AQ32,$S$5:$AJ$104,$AS$2+9,FALSE)</f>
        <v>#N/A</v>
      </c>
      <c r="AT32" s="2" t="e">
        <f>VLOOKUP(AR32,$S$5:$AJ$104,$AS$2+12,FALSE)</f>
        <v>#N/A</v>
      </c>
      <c r="AU32" s="9"/>
      <c r="AV32" s="4">
        <v>28</v>
      </c>
      <c r="AW32" s="2" t="e">
        <f>VLOOKUP(AV32,$U$5:$AJ$104,$AX$2,FALSE)</f>
        <v>#N/A</v>
      </c>
      <c r="AX32" s="6" t="e">
        <f>VLOOKUP(AV32,$U$5:$AJ$104,$AX$2+7,FALSE)</f>
        <v>#N/A</v>
      </c>
      <c r="AY32" s="2" t="e">
        <f>VLOOKUP(AW32,$U$5:$AJ$104,$AX$2+11,FALSE)</f>
        <v>#N/A</v>
      </c>
      <c r="BA32" s="4">
        <v>28</v>
      </c>
      <c r="BB32" s="2" t="e">
        <f>VLOOKUP(BA32,$W$5:$AJ$104,$BC$2,FALSE)</f>
        <v>#N/A</v>
      </c>
      <c r="BC32" s="6" t="e">
        <f>VLOOKUP(BA32,$W$5:$AJ$104,$BC$2+5,FALSE)</f>
        <v>#N/A</v>
      </c>
      <c r="BD32" s="58" t="e">
        <f>VLOOKUP(BB32,$W$5:$AJ$104,$BC$2+10,FALSE)</f>
        <v>#N/A</v>
      </c>
      <c r="BE32" s="9"/>
      <c r="BF32" s="4">
        <v>28</v>
      </c>
      <c r="BG32" s="2" t="e">
        <f>VLOOKUP(BF32,$Y$5:$AJ$104,$BH$2,FALSE)</f>
        <v>#N/A</v>
      </c>
      <c r="BH32" s="6" t="e">
        <f>VLOOKUP(BF32,$Y$5:$AJ$104,$BH$2+3,FALSE)</f>
        <v>#N/A</v>
      </c>
      <c r="BI32" s="2" t="e">
        <f>VLOOKUP(BF32,$Y$5:$AJ$104,$BH$2+4,FALSE)</f>
        <v>#N/A</v>
      </c>
      <c r="BJ32" s="2" t="e">
        <f>VLOOKUP(BG32,$Y$5:$AJ$104,$BH$2+9,FALSE)</f>
        <v>#N/A</v>
      </c>
      <c r="BL32" s="4">
        <v>28</v>
      </c>
      <c r="BM32" s="2" t="e">
        <f>VLOOKUP(BL32,$AA$5:$AJ$104,$BN$2,FALSE)</f>
        <v>#N/A</v>
      </c>
      <c r="BN32" s="6" t="e">
        <f>VLOOKUP(BL32,$AA$5:$AJ$104,$BN$2+1,FALSE)</f>
        <v>#N/A</v>
      </c>
      <c r="BO32" s="2" t="e">
        <f>VLOOKUP(BM32,$AA$5:$AJ$104,$BN$2+8,FALSE)</f>
        <v>#N/A</v>
      </c>
      <c r="BQ32" s="2" t="e">
        <f>'Eclectic B'!CD32</f>
        <v>#N/A</v>
      </c>
      <c r="BR32" s="6" t="e">
        <f>'Eclectic B'!CE32</f>
        <v>#N/A</v>
      </c>
      <c r="BS32" s="103" t="e">
        <f>'Eclectic B'!CF32</f>
        <v>#N/A</v>
      </c>
    </row>
    <row r="33" spans="1:71">
      <c r="A33" s="10" t="str">
        <f>IF(ISBLANK(Players!F31),"",Players!F31)</f>
        <v/>
      </c>
      <c r="B33" s="10" t="str">
        <f>IF(ISBLANK(Players!G31),"",Players!G31)</f>
        <v/>
      </c>
      <c r="C33" s="10" t="str">
        <f>IF(ISBLANK(Players!I31),"",Players!I31)</f>
        <v/>
      </c>
      <c r="D33" s="69" t="str">
        <f>IF(ISNUMBER(C33),MIN((C33*Rules!$N$14/113)+(Rules!$N$13-Rules!$N$12),Rules!$N$37),"-")</f>
        <v>-</v>
      </c>
      <c r="E33" s="69" t="str">
        <f>IF(ISNUMBER(C33),    ROUND( (D33*Rules!$N$11) / 100,0),"-")</f>
        <v>-</v>
      </c>
      <c r="F33" s="36" t="str">
        <f>IF(AND(ISNUMBER(C33),C33&gt;=Rules!$M$17,C33&lt;=Rules!$N$17),"Y","N")</f>
        <v>N</v>
      </c>
      <c r="G33" s="137" t="str">
        <f>'Eclectic B'!M33</f>
        <v>-</v>
      </c>
      <c r="H33" s="137" t="str">
        <f>'Eclectic B'!W33</f>
        <v>-</v>
      </c>
      <c r="I33" s="137" t="str">
        <f>'Eclectic B'!AJ33</f>
        <v>-</v>
      </c>
      <c r="J33" s="137" t="str">
        <f>'Eclectic B'!AT33</f>
        <v>-</v>
      </c>
      <c r="K33" s="14" t="str">
        <f t="shared" si="1"/>
        <v>-</v>
      </c>
      <c r="L33" s="14" t="str">
        <f t="shared" si="2"/>
        <v>-</v>
      </c>
      <c r="M33" s="14" t="str">
        <f t="shared" si="3"/>
        <v>-</v>
      </c>
      <c r="N33" s="14" t="str">
        <f t="shared" si="4"/>
        <v>-</v>
      </c>
      <c r="O33" s="14" t="str">
        <f t="shared" si="5"/>
        <v>-</v>
      </c>
      <c r="P33" s="14" t="str">
        <f t="shared" si="6"/>
        <v>-</v>
      </c>
      <c r="Q33" s="14" t="e">
        <f>RANK($K33,$K$5:$K$104,1)+COUNTIF(K$5:K33,K33)-1</f>
        <v>#VALUE!</v>
      </c>
      <c r="R33" s="14" t="e">
        <f t="shared" si="7"/>
        <v>#VALUE!</v>
      </c>
      <c r="S33" s="14" t="e">
        <f>RANK($L33,$L$5:$L$104,1)+COUNTIF(L$5:L33,L33)-1</f>
        <v>#VALUE!</v>
      </c>
      <c r="T33" s="14" t="e">
        <f t="shared" si="8"/>
        <v>#VALUE!</v>
      </c>
      <c r="U33" s="14" t="e">
        <f>RANK($M33,$M$5:$M$104,1)+COUNTIF(M$5:M33,M33)-1</f>
        <v>#VALUE!</v>
      </c>
      <c r="V33" s="14" t="e">
        <f t="shared" si="9"/>
        <v>#VALUE!</v>
      </c>
      <c r="W33" s="14" t="e">
        <f>RANK($N33,$N$5:$N$104,1)+COUNTIF(N$5:N33,N33)-1</f>
        <v>#VALUE!</v>
      </c>
      <c r="X33" s="14" t="e">
        <f t="shared" si="10"/>
        <v>#VALUE!</v>
      </c>
      <c r="Y33" s="14" t="e">
        <f>RANK($O33,$O$5:$O$104,1)+COUNTIF(O$5:O33,O33)-1</f>
        <v>#VALUE!</v>
      </c>
      <c r="Z33" s="14" t="e">
        <f t="shared" si="11"/>
        <v>#VALUE!</v>
      </c>
      <c r="AA33" s="14" t="e">
        <f>RANK($P33,$P$5:$P$104,1)+COUNTIF(P$5:P33,P33)-1</f>
        <v>#VALUE!</v>
      </c>
      <c r="AB33" s="14" t="e">
        <f t="shared" si="12"/>
        <v>#VALUE!</v>
      </c>
      <c r="AC33" s="1" t="str">
        <f t="shared" si="13"/>
        <v xml:space="preserve"> </v>
      </c>
      <c r="AD33" s="1" t="str">
        <f t="shared" si="14"/>
        <v>-</v>
      </c>
      <c r="AE33" s="35" t="str">
        <f t="shared" si="15"/>
        <v>-</v>
      </c>
      <c r="AF33" s="35" t="str">
        <f t="shared" si="15"/>
        <v>-</v>
      </c>
      <c r="AG33" s="35" t="str">
        <f t="shared" si="15"/>
        <v>-</v>
      </c>
      <c r="AH33" s="35" t="str">
        <f t="shared" si="15"/>
        <v>-</v>
      </c>
      <c r="AI33" s="35" t="str">
        <f t="shared" si="15"/>
        <v>-</v>
      </c>
      <c r="AJ33" s="35" t="str">
        <f t="shared" si="15"/>
        <v>-</v>
      </c>
      <c r="AL33" s="4">
        <v>29</v>
      </c>
      <c r="AM33" s="2" t="e">
        <f>VLOOKUP(AL33,Q$5:$AJ$104,$AN$2,FALSE)</f>
        <v>#N/A</v>
      </c>
      <c r="AN33" s="6" t="e">
        <f>VLOOKUP(AL33,Q$5:$AJ$104,$AN$2+11,FALSE)</f>
        <v>#N/A</v>
      </c>
      <c r="AO33" s="2" t="e">
        <f t="shared" si="16"/>
        <v>#N/A</v>
      </c>
      <c r="AQ33" s="4">
        <v>29</v>
      </c>
      <c r="AR33" s="2" t="e">
        <f>VLOOKUP(AQ33,$S$5:$AJ$104,$AS$2,FALSE)</f>
        <v>#N/A</v>
      </c>
      <c r="AS33" s="6" t="e">
        <f>VLOOKUP(AQ33,$S$5:$AJ$104,$AS$2+9,FALSE)</f>
        <v>#N/A</v>
      </c>
      <c r="AT33" s="2" t="e">
        <f>VLOOKUP(AR33,$S$5:$AJ$104,$AS$2+12,FALSE)</f>
        <v>#N/A</v>
      </c>
      <c r="AU33" s="9"/>
      <c r="AV33" s="4">
        <v>29</v>
      </c>
      <c r="AW33" s="2" t="e">
        <f>VLOOKUP(AV33,$U$5:$AJ$104,$AX$2,FALSE)</f>
        <v>#N/A</v>
      </c>
      <c r="AX33" s="6" t="e">
        <f>VLOOKUP(AV33,$U$5:$AJ$104,$AX$2+7,FALSE)</f>
        <v>#N/A</v>
      </c>
      <c r="AY33" s="2" t="e">
        <f>VLOOKUP(AW33,$U$5:$AJ$104,$AX$2+11,FALSE)</f>
        <v>#N/A</v>
      </c>
      <c r="BA33" s="4">
        <v>29</v>
      </c>
      <c r="BB33" s="2" t="e">
        <f>VLOOKUP(BA33,$W$5:$AJ$104,$BC$2,FALSE)</f>
        <v>#N/A</v>
      </c>
      <c r="BC33" s="6" t="e">
        <f>VLOOKUP(BA33,$W$5:$AJ$104,$BC$2+5,FALSE)</f>
        <v>#N/A</v>
      </c>
      <c r="BD33" s="58" t="e">
        <f>VLOOKUP(BB33,$W$5:$AJ$104,$BC$2+10,FALSE)</f>
        <v>#N/A</v>
      </c>
      <c r="BE33" s="9"/>
      <c r="BF33" s="4">
        <v>29</v>
      </c>
      <c r="BG33" s="2" t="e">
        <f>VLOOKUP(BF33,$Y$5:$AJ$104,$BH$2,FALSE)</f>
        <v>#N/A</v>
      </c>
      <c r="BH33" s="6" t="e">
        <f>VLOOKUP(BF33,$Y$5:$AJ$104,$BH$2+3,FALSE)</f>
        <v>#N/A</v>
      </c>
      <c r="BI33" s="2" t="e">
        <f>VLOOKUP(BF33,$Y$5:$AJ$104,$BH$2+4,FALSE)</f>
        <v>#N/A</v>
      </c>
      <c r="BJ33" s="2" t="e">
        <f>VLOOKUP(BG33,$Y$5:$AJ$104,$BH$2+9,FALSE)</f>
        <v>#N/A</v>
      </c>
      <c r="BL33" s="4">
        <v>29</v>
      </c>
      <c r="BM33" s="2" t="e">
        <f>VLOOKUP(BL33,$AA$5:$AJ$104,$BN$2,FALSE)</f>
        <v>#N/A</v>
      </c>
      <c r="BN33" s="6" t="e">
        <f>VLOOKUP(BL33,$AA$5:$AJ$104,$BN$2+1,FALSE)</f>
        <v>#N/A</v>
      </c>
      <c r="BO33" s="2" t="e">
        <f>VLOOKUP(BM33,$AA$5:$AJ$104,$BN$2+8,FALSE)</f>
        <v>#N/A</v>
      </c>
      <c r="BQ33" s="2" t="e">
        <f>'Eclectic B'!CD33</f>
        <v>#N/A</v>
      </c>
      <c r="BR33" s="6" t="e">
        <f>'Eclectic B'!CE33</f>
        <v>#N/A</v>
      </c>
      <c r="BS33" s="103" t="e">
        <f>'Eclectic B'!CF33</f>
        <v>#N/A</v>
      </c>
    </row>
    <row r="34" spans="1:71">
      <c r="A34" s="10" t="str">
        <f>IF(ISBLANK(Players!F32),"",Players!F32)</f>
        <v/>
      </c>
      <c r="B34" s="10" t="str">
        <f>IF(ISBLANK(Players!G32),"",Players!G32)</f>
        <v/>
      </c>
      <c r="C34" s="10" t="str">
        <f>IF(ISBLANK(Players!I32),"",Players!I32)</f>
        <v/>
      </c>
      <c r="D34" s="69" t="str">
        <f>IF(ISNUMBER(C34),MIN((C34*Rules!$N$14/113)+(Rules!$N$13-Rules!$N$12),Rules!$N$37),"-")</f>
        <v>-</v>
      </c>
      <c r="E34" s="69" t="str">
        <f>IF(ISNUMBER(C34),    ROUND( (D34*Rules!$N$11) / 100,0),"-")</f>
        <v>-</v>
      </c>
      <c r="F34" s="36" t="str">
        <f>IF(AND(ISNUMBER(C34),C34&gt;=Rules!$M$17,C34&lt;=Rules!$N$17),"Y","N")</f>
        <v>N</v>
      </c>
      <c r="G34" s="137" t="str">
        <f>'Eclectic B'!M34</f>
        <v>-</v>
      </c>
      <c r="H34" s="137" t="str">
        <f>'Eclectic B'!W34</f>
        <v>-</v>
      </c>
      <c r="I34" s="137" t="str">
        <f>'Eclectic B'!AJ34</f>
        <v>-</v>
      </c>
      <c r="J34" s="137" t="str">
        <f>'Eclectic B'!AT34</f>
        <v>-</v>
      </c>
      <c r="K34" s="14" t="str">
        <f t="shared" si="1"/>
        <v>-</v>
      </c>
      <c r="L34" s="14" t="str">
        <f t="shared" si="2"/>
        <v>-</v>
      </c>
      <c r="M34" s="14" t="str">
        <f t="shared" si="3"/>
        <v>-</v>
      </c>
      <c r="N34" s="14" t="str">
        <f t="shared" si="4"/>
        <v>-</v>
      </c>
      <c r="O34" s="14" t="str">
        <f t="shared" si="5"/>
        <v>-</v>
      </c>
      <c r="P34" s="14" t="str">
        <f t="shared" si="6"/>
        <v>-</v>
      </c>
      <c r="Q34" s="14" t="e">
        <f>RANK($K34,$K$5:$K$104,1)+COUNTIF(K$5:K34,K34)-1</f>
        <v>#VALUE!</v>
      </c>
      <c r="R34" s="14" t="e">
        <f t="shared" si="7"/>
        <v>#VALUE!</v>
      </c>
      <c r="S34" s="14" t="e">
        <f>RANK($L34,$L$5:$L$104,1)+COUNTIF(L$5:L34,L34)-1</f>
        <v>#VALUE!</v>
      </c>
      <c r="T34" s="14" t="e">
        <f t="shared" si="8"/>
        <v>#VALUE!</v>
      </c>
      <c r="U34" s="14" t="e">
        <f>RANK($M34,$M$5:$M$104,1)+COUNTIF(M$5:M34,M34)-1</f>
        <v>#VALUE!</v>
      </c>
      <c r="V34" s="14" t="e">
        <f t="shared" si="9"/>
        <v>#VALUE!</v>
      </c>
      <c r="W34" s="14" t="e">
        <f>RANK($N34,$N$5:$N$104,1)+COUNTIF(N$5:N34,N34)-1</f>
        <v>#VALUE!</v>
      </c>
      <c r="X34" s="14" t="e">
        <f t="shared" si="10"/>
        <v>#VALUE!</v>
      </c>
      <c r="Y34" s="14" t="e">
        <f>RANK($O34,$O$5:$O$104,1)+COUNTIF(O$5:O34,O34)-1</f>
        <v>#VALUE!</v>
      </c>
      <c r="Z34" s="14" t="e">
        <f t="shared" si="11"/>
        <v>#VALUE!</v>
      </c>
      <c r="AA34" s="14" t="e">
        <f>RANK($P34,$P$5:$P$104,1)+COUNTIF(P$5:P34,P34)-1</f>
        <v>#VALUE!</v>
      </c>
      <c r="AB34" s="14" t="e">
        <f t="shared" si="12"/>
        <v>#VALUE!</v>
      </c>
      <c r="AC34" s="1" t="str">
        <f t="shared" si="13"/>
        <v xml:space="preserve"> </v>
      </c>
      <c r="AD34" s="1" t="str">
        <f t="shared" si="14"/>
        <v>-</v>
      </c>
      <c r="AE34" s="35" t="str">
        <f t="shared" si="15"/>
        <v>-</v>
      </c>
      <c r="AF34" s="35" t="str">
        <f t="shared" si="15"/>
        <v>-</v>
      </c>
      <c r="AG34" s="35" t="str">
        <f t="shared" si="15"/>
        <v>-</v>
      </c>
      <c r="AH34" s="35" t="str">
        <f t="shared" si="15"/>
        <v>-</v>
      </c>
      <c r="AI34" s="35" t="str">
        <f t="shared" si="15"/>
        <v>-</v>
      </c>
      <c r="AJ34" s="35" t="str">
        <f t="shared" si="15"/>
        <v>-</v>
      </c>
      <c r="AL34" s="4">
        <v>30</v>
      </c>
      <c r="AM34" s="2" t="e">
        <f>VLOOKUP(AL34,Q$5:$AJ$104,$AN$2,FALSE)</f>
        <v>#N/A</v>
      </c>
      <c r="AN34" s="6" t="e">
        <f>VLOOKUP(AL34,Q$5:$AJ$104,$AN$2+11,FALSE)</f>
        <v>#N/A</v>
      </c>
      <c r="AO34" s="2" t="e">
        <f t="shared" si="16"/>
        <v>#N/A</v>
      </c>
      <c r="AQ34" s="4">
        <v>30</v>
      </c>
      <c r="AR34" s="2" t="e">
        <f>VLOOKUP(AQ34,$S$5:$AJ$104,$AS$2,FALSE)</f>
        <v>#N/A</v>
      </c>
      <c r="AS34" s="6" t="e">
        <f>VLOOKUP(AQ34,$S$5:$AJ$104,$AS$2+9,FALSE)</f>
        <v>#N/A</v>
      </c>
      <c r="AT34" s="2" t="e">
        <f>VLOOKUP(AR34,$S$5:$AJ$104,$AS$2+12,FALSE)</f>
        <v>#N/A</v>
      </c>
      <c r="AU34" s="9"/>
      <c r="AV34" s="4">
        <v>30</v>
      </c>
      <c r="AW34" s="2" t="e">
        <f>VLOOKUP(AV34,$U$5:$AJ$104,$AX$2,FALSE)</f>
        <v>#N/A</v>
      </c>
      <c r="AX34" s="6" t="e">
        <f>VLOOKUP(AV34,$U$5:$AJ$104,$AX$2+7,FALSE)</f>
        <v>#N/A</v>
      </c>
      <c r="AY34" s="2" t="e">
        <f>VLOOKUP(AW34,$U$5:$AJ$104,$AX$2+11,FALSE)</f>
        <v>#N/A</v>
      </c>
      <c r="BA34" s="4">
        <v>30</v>
      </c>
      <c r="BB34" s="2" t="e">
        <f>VLOOKUP(BA34,$W$5:$AJ$104,$BC$2,FALSE)</f>
        <v>#N/A</v>
      </c>
      <c r="BC34" s="6" t="e">
        <f>VLOOKUP(BA34,$W$5:$AJ$104,$BC$2+5,FALSE)</f>
        <v>#N/A</v>
      </c>
      <c r="BD34" s="58" t="e">
        <f>VLOOKUP(BB34,$W$5:$AJ$104,$BC$2+10,FALSE)</f>
        <v>#N/A</v>
      </c>
      <c r="BE34" s="9"/>
      <c r="BF34" s="4">
        <v>30</v>
      </c>
      <c r="BG34" s="2" t="e">
        <f>VLOOKUP(BF34,$Y$5:$AJ$104,$BH$2,FALSE)</f>
        <v>#N/A</v>
      </c>
      <c r="BH34" s="6" t="e">
        <f>VLOOKUP(BF34,$Y$5:$AJ$104,$BH$2+3,FALSE)</f>
        <v>#N/A</v>
      </c>
      <c r="BI34" s="2" t="e">
        <f>VLOOKUP(BF34,$Y$5:$AJ$104,$BH$2+4,FALSE)</f>
        <v>#N/A</v>
      </c>
      <c r="BJ34" s="2" t="e">
        <f>VLOOKUP(BG34,$Y$5:$AJ$104,$BH$2+9,FALSE)</f>
        <v>#N/A</v>
      </c>
      <c r="BL34" s="4">
        <v>30</v>
      </c>
      <c r="BM34" s="2" t="e">
        <f>VLOOKUP(BL34,$AA$5:$AJ$104,$BN$2,FALSE)</f>
        <v>#N/A</v>
      </c>
      <c r="BN34" s="6" t="e">
        <f>VLOOKUP(BL34,$AA$5:$AJ$104,$BN$2+1,FALSE)</f>
        <v>#N/A</v>
      </c>
      <c r="BO34" s="2" t="e">
        <f>VLOOKUP(BM34,$AA$5:$AJ$104,$BN$2+8,FALSE)</f>
        <v>#N/A</v>
      </c>
      <c r="BQ34" s="2" t="e">
        <f>'Eclectic B'!CD34</f>
        <v>#N/A</v>
      </c>
      <c r="BR34" s="6" t="e">
        <f>'Eclectic B'!CE34</f>
        <v>#N/A</v>
      </c>
      <c r="BS34" s="103" t="e">
        <f>'Eclectic B'!CF34</f>
        <v>#N/A</v>
      </c>
    </row>
    <row r="35" spans="1:71">
      <c r="A35" s="10" t="str">
        <f>IF(ISBLANK(Players!F33),"",Players!F33)</f>
        <v/>
      </c>
      <c r="B35" s="10" t="str">
        <f>IF(ISBLANK(Players!G33),"",Players!G33)</f>
        <v/>
      </c>
      <c r="C35" s="10" t="str">
        <f>IF(ISBLANK(Players!I33),"",Players!I33)</f>
        <v/>
      </c>
      <c r="D35" s="69" t="str">
        <f>IF(ISNUMBER(C35),MIN((C35*Rules!$N$14/113)+(Rules!$N$13-Rules!$N$12),Rules!$N$37),"-")</f>
        <v>-</v>
      </c>
      <c r="E35" s="69" t="str">
        <f>IF(ISNUMBER(C35),    ROUND( (D35*Rules!$N$11) / 100,0),"-")</f>
        <v>-</v>
      </c>
      <c r="F35" s="36" t="str">
        <f>IF(AND(ISNUMBER(C35),C35&gt;=Rules!$M$17,C35&lt;=Rules!$N$17),"Y","N")</f>
        <v>N</v>
      </c>
      <c r="G35" s="137" t="str">
        <f>'Eclectic B'!M35</f>
        <v>-</v>
      </c>
      <c r="H35" s="137" t="str">
        <f>'Eclectic B'!W35</f>
        <v>-</v>
      </c>
      <c r="I35" s="137" t="str">
        <f>'Eclectic B'!AJ35</f>
        <v>-</v>
      </c>
      <c r="J35" s="137" t="str">
        <f>'Eclectic B'!AT35</f>
        <v>-</v>
      </c>
      <c r="K35" s="14" t="str">
        <f t="shared" si="1"/>
        <v>-</v>
      </c>
      <c r="L35" s="14" t="str">
        <f t="shared" si="2"/>
        <v>-</v>
      </c>
      <c r="M35" s="14" t="str">
        <f t="shared" si="3"/>
        <v>-</v>
      </c>
      <c r="N35" s="14" t="str">
        <f t="shared" si="4"/>
        <v>-</v>
      </c>
      <c r="O35" s="14" t="str">
        <f t="shared" si="5"/>
        <v>-</v>
      </c>
      <c r="P35" s="14" t="str">
        <f t="shared" si="6"/>
        <v>-</v>
      </c>
      <c r="Q35" s="14" t="e">
        <f>RANK($K35,$K$5:$K$104,1)+COUNTIF(K$5:K35,K35)-1</f>
        <v>#VALUE!</v>
      </c>
      <c r="R35" s="14" t="e">
        <f t="shared" si="7"/>
        <v>#VALUE!</v>
      </c>
      <c r="S35" s="14" t="e">
        <f>RANK($L35,$L$5:$L$104,1)+COUNTIF(L$5:L35,L35)-1</f>
        <v>#VALUE!</v>
      </c>
      <c r="T35" s="14" t="e">
        <f t="shared" si="8"/>
        <v>#VALUE!</v>
      </c>
      <c r="U35" s="14" t="e">
        <f>RANK($M35,$M$5:$M$104,1)+COUNTIF(M$5:M35,M35)-1</f>
        <v>#VALUE!</v>
      </c>
      <c r="V35" s="14" t="e">
        <f t="shared" si="9"/>
        <v>#VALUE!</v>
      </c>
      <c r="W35" s="14" t="e">
        <f>RANK($N35,$N$5:$N$104,1)+COUNTIF(N$5:N35,N35)-1</f>
        <v>#VALUE!</v>
      </c>
      <c r="X35" s="14" t="e">
        <f t="shared" si="10"/>
        <v>#VALUE!</v>
      </c>
      <c r="Y35" s="14" t="e">
        <f>RANK($O35,$O$5:$O$104,1)+COUNTIF(O$5:O35,O35)-1</f>
        <v>#VALUE!</v>
      </c>
      <c r="Z35" s="14" t="e">
        <f t="shared" si="11"/>
        <v>#VALUE!</v>
      </c>
      <c r="AA35" s="14" t="e">
        <f>RANK($P35,$P$5:$P$104,1)+COUNTIF(P$5:P35,P35)-1</f>
        <v>#VALUE!</v>
      </c>
      <c r="AB35" s="14" t="e">
        <f t="shared" si="12"/>
        <v>#VALUE!</v>
      </c>
      <c r="AC35" s="1" t="str">
        <f t="shared" si="13"/>
        <v xml:space="preserve"> </v>
      </c>
      <c r="AD35" s="1" t="str">
        <f t="shared" si="14"/>
        <v>-</v>
      </c>
      <c r="AE35" s="35" t="str">
        <f t="shared" si="15"/>
        <v>-</v>
      </c>
      <c r="AF35" s="35" t="str">
        <f t="shared" si="15"/>
        <v>-</v>
      </c>
      <c r="AG35" s="35" t="str">
        <f t="shared" si="15"/>
        <v>-</v>
      </c>
      <c r="AH35" s="35" t="str">
        <f t="shared" si="15"/>
        <v>-</v>
      </c>
      <c r="AI35" s="35" t="str">
        <f t="shared" si="15"/>
        <v>-</v>
      </c>
      <c r="AJ35" s="35" t="str">
        <f t="shared" si="15"/>
        <v>-</v>
      </c>
      <c r="AL35" s="4">
        <v>31</v>
      </c>
      <c r="AM35" s="2" t="e">
        <f>VLOOKUP(AL35,Q$5:$AJ$104,$AN$2,FALSE)</f>
        <v>#N/A</v>
      </c>
      <c r="AN35" s="6" t="e">
        <f>VLOOKUP(AL35,Q$5:$AJ$104,$AN$2+11,FALSE)</f>
        <v>#N/A</v>
      </c>
      <c r="AO35" s="2" t="e">
        <f t="shared" si="16"/>
        <v>#N/A</v>
      </c>
      <c r="AQ35" s="4">
        <v>31</v>
      </c>
      <c r="AR35" s="2" t="e">
        <f>VLOOKUP(AQ35,$S$5:$AJ$104,$AS$2,FALSE)</f>
        <v>#N/A</v>
      </c>
      <c r="AS35" s="6" t="e">
        <f>VLOOKUP(AQ35,$S$5:$AJ$104,$AS$2+9,FALSE)</f>
        <v>#N/A</v>
      </c>
      <c r="AT35" s="2" t="e">
        <f>VLOOKUP(AR35,$S$5:$AJ$104,$AS$2+12,FALSE)</f>
        <v>#N/A</v>
      </c>
      <c r="AU35" s="9"/>
      <c r="AV35" s="4">
        <v>31</v>
      </c>
      <c r="AW35" s="2" t="e">
        <f>VLOOKUP(AV35,$U$5:$AJ$104,$AX$2,FALSE)</f>
        <v>#N/A</v>
      </c>
      <c r="AX35" s="6" t="e">
        <f>VLOOKUP(AV35,$U$5:$AJ$104,$AX$2+7,FALSE)</f>
        <v>#N/A</v>
      </c>
      <c r="AY35" s="2" t="e">
        <f>VLOOKUP(AW35,$U$5:$AJ$104,$AX$2+11,FALSE)</f>
        <v>#N/A</v>
      </c>
      <c r="BA35" s="4">
        <v>31</v>
      </c>
      <c r="BB35" s="2" t="e">
        <f>VLOOKUP(BA35,$W$5:$AJ$104,$BC$2,FALSE)</f>
        <v>#N/A</v>
      </c>
      <c r="BC35" s="6" t="e">
        <f>VLOOKUP(BA35,$W$5:$AJ$104,$BC$2+5,FALSE)</f>
        <v>#N/A</v>
      </c>
      <c r="BD35" s="58" t="e">
        <f>VLOOKUP(BB35,$W$5:$AJ$104,$BC$2+10,FALSE)</f>
        <v>#N/A</v>
      </c>
      <c r="BE35" s="9"/>
      <c r="BF35" s="4">
        <v>31</v>
      </c>
      <c r="BG35" s="2" t="e">
        <f>VLOOKUP(BF35,$Y$5:$AJ$104,$BH$2,FALSE)</f>
        <v>#N/A</v>
      </c>
      <c r="BH35" s="6" t="e">
        <f>VLOOKUP(BF35,$Y$5:$AJ$104,$BH$2+3,FALSE)</f>
        <v>#N/A</v>
      </c>
      <c r="BI35" s="2" t="e">
        <f>VLOOKUP(BF35,$Y$5:$AJ$104,$BH$2+4,FALSE)</f>
        <v>#N/A</v>
      </c>
      <c r="BJ35" s="2" t="e">
        <f>VLOOKUP(BG35,$Y$5:$AJ$104,$BH$2+9,FALSE)</f>
        <v>#N/A</v>
      </c>
      <c r="BL35" s="4">
        <v>31</v>
      </c>
      <c r="BM35" s="2" t="e">
        <f>VLOOKUP(BL35,$AA$5:$AJ$104,$BN$2,FALSE)</f>
        <v>#N/A</v>
      </c>
      <c r="BN35" s="6" t="e">
        <f>VLOOKUP(BL35,$AA$5:$AJ$104,$BN$2+1,FALSE)</f>
        <v>#N/A</v>
      </c>
      <c r="BO35" s="2" t="e">
        <f>VLOOKUP(BM35,$AA$5:$AJ$104,$BN$2+8,FALSE)</f>
        <v>#N/A</v>
      </c>
      <c r="BQ35" s="2" t="e">
        <f>'Eclectic B'!CD35</f>
        <v>#N/A</v>
      </c>
      <c r="BR35" s="6" t="e">
        <f>'Eclectic B'!CE35</f>
        <v>#N/A</v>
      </c>
      <c r="BS35" s="103" t="e">
        <f>'Eclectic B'!CF35</f>
        <v>#N/A</v>
      </c>
    </row>
    <row r="36" spans="1:71">
      <c r="A36" s="10" t="str">
        <f>IF(ISBLANK(Players!F34),"",Players!F34)</f>
        <v/>
      </c>
      <c r="B36" s="10" t="str">
        <f>IF(ISBLANK(Players!G34),"",Players!G34)</f>
        <v/>
      </c>
      <c r="C36" s="10" t="str">
        <f>IF(ISBLANK(Players!I34),"",Players!I34)</f>
        <v/>
      </c>
      <c r="D36" s="69" t="str">
        <f>IF(ISNUMBER(C36),MIN((C36*Rules!$N$14/113)+(Rules!$N$13-Rules!$N$12),Rules!$N$37),"-")</f>
        <v>-</v>
      </c>
      <c r="E36" s="69" t="str">
        <f>IF(ISNUMBER(C36),    ROUND( (D36*Rules!$N$11) / 100,0),"-")</f>
        <v>-</v>
      </c>
      <c r="F36" s="36" t="str">
        <f>IF(AND(ISNUMBER(C36),C36&gt;=Rules!$M$17,C36&lt;=Rules!$N$17),"Y","N")</f>
        <v>N</v>
      </c>
      <c r="G36" s="137" t="str">
        <f>'Eclectic B'!M36</f>
        <v>-</v>
      </c>
      <c r="H36" s="137" t="str">
        <f>'Eclectic B'!W36</f>
        <v>-</v>
      </c>
      <c r="I36" s="137" t="str">
        <f>'Eclectic B'!AJ36</f>
        <v>-</v>
      </c>
      <c r="J36" s="137" t="str">
        <f>'Eclectic B'!AT36</f>
        <v>-</v>
      </c>
      <c r="K36" s="14" t="str">
        <f t="shared" si="1"/>
        <v>-</v>
      </c>
      <c r="L36" s="14" t="str">
        <f t="shared" si="2"/>
        <v>-</v>
      </c>
      <c r="M36" s="14" t="str">
        <f t="shared" si="3"/>
        <v>-</v>
      </c>
      <c r="N36" s="14" t="str">
        <f t="shared" si="4"/>
        <v>-</v>
      </c>
      <c r="O36" s="14" t="str">
        <f t="shared" si="5"/>
        <v>-</v>
      </c>
      <c r="P36" s="14" t="str">
        <f t="shared" si="6"/>
        <v>-</v>
      </c>
      <c r="Q36" s="14" t="e">
        <f>RANK($K36,$K$5:$K$104,1)+COUNTIF(K$5:K36,K36)-1</f>
        <v>#VALUE!</v>
      </c>
      <c r="R36" s="14" t="e">
        <f t="shared" si="7"/>
        <v>#VALUE!</v>
      </c>
      <c r="S36" s="14" t="e">
        <f>RANK($L36,$L$5:$L$104,1)+COUNTIF(L$5:L36,L36)-1</f>
        <v>#VALUE!</v>
      </c>
      <c r="T36" s="14" t="e">
        <f t="shared" si="8"/>
        <v>#VALUE!</v>
      </c>
      <c r="U36" s="14" t="e">
        <f>RANK($M36,$M$5:$M$104,1)+COUNTIF(M$5:M36,M36)-1</f>
        <v>#VALUE!</v>
      </c>
      <c r="V36" s="14" t="e">
        <f t="shared" si="9"/>
        <v>#VALUE!</v>
      </c>
      <c r="W36" s="14" t="e">
        <f>RANK($N36,$N$5:$N$104,1)+COUNTIF(N$5:N36,N36)-1</f>
        <v>#VALUE!</v>
      </c>
      <c r="X36" s="14" t="e">
        <f t="shared" si="10"/>
        <v>#VALUE!</v>
      </c>
      <c r="Y36" s="14" t="e">
        <f>RANK($O36,$O$5:$O$104,1)+COUNTIF(O$5:O36,O36)-1</f>
        <v>#VALUE!</v>
      </c>
      <c r="Z36" s="14" t="e">
        <f t="shared" si="11"/>
        <v>#VALUE!</v>
      </c>
      <c r="AA36" s="14" t="e">
        <f>RANK($P36,$P$5:$P$104,1)+COUNTIF(P$5:P36,P36)-1</f>
        <v>#VALUE!</v>
      </c>
      <c r="AB36" s="14" t="e">
        <f t="shared" si="12"/>
        <v>#VALUE!</v>
      </c>
      <c r="AC36" s="1" t="str">
        <f t="shared" si="13"/>
        <v xml:space="preserve"> </v>
      </c>
      <c r="AD36" s="1" t="str">
        <f t="shared" si="14"/>
        <v>-</v>
      </c>
      <c r="AE36" s="35" t="str">
        <f t="shared" si="15"/>
        <v>-</v>
      </c>
      <c r="AF36" s="35" t="str">
        <f t="shared" si="15"/>
        <v>-</v>
      </c>
      <c r="AG36" s="35" t="str">
        <f t="shared" si="15"/>
        <v>-</v>
      </c>
      <c r="AH36" s="35" t="str">
        <f t="shared" si="15"/>
        <v>-</v>
      </c>
      <c r="AI36" s="35" t="str">
        <f t="shared" si="15"/>
        <v>-</v>
      </c>
      <c r="AJ36" s="35" t="str">
        <f t="shared" si="15"/>
        <v>-</v>
      </c>
      <c r="AL36" s="4">
        <v>32</v>
      </c>
      <c r="AM36" s="2" t="e">
        <f>VLOOKUP(AL36,Q$5:$AJ$104,$AN$2,FALSE)</f>
        <v>#N/A</v>
      </c>
      <c r="AN36" s="6" t="e">
        <f>VLOOKUP(AL36,Q$5:$AJ$104,$AN$2+11,FALSE)</f>
        <v>#N/A</v>
      </c>
      <c r="AO36" s="2" t="e">
        <f t="shared" si="16"/>
        <v>#N/A</v>
      </c>
      <c r="AQ36" s="4">
        <v>32</v>
      </c>
      <c r="AR36" s="2" t="e">
        <f>VLOOKUP(AQ36,$S$5:$AJ$104,$AS$2,FALSE)</f>
        <v>#N/A</v>
      </c>
      <c r="AS36" s="6" t="e">
        <f>VLOOKUP(AQ36,$S$5:$AJ$104,$AS$2+9,FALSE)</f>
        <v>#N/A</v>
      </c>
      <c r="AT36" s="2" t="e">
        <f>VLOOKUP(AR36,$S$5:$AJ$104,$AS$2+12,FALSE)</f>
        <v>#N/A</v>
      </c>
      <c r="AU36" s="9"/>
      <c r="AV36" s="4">
        <v>32</v>
      </c>
      <c r="AW36" s="2" t="e">
        <f>VLOOKUP(AV36,$U$5:$AJ$104,$AX$2,FALSE)</f>
        <v>#N/A</v>
      </c>
      <c r="AX36" s="6" t="e">
        <f>VLOOKUP(AV36,$U$5:$AJ$104,$AX$2+7,FALSE)</f>
        <v>#N/A</v>
      </c>
      <c r="AY36" s="2" t="e">
        <f>VLOOKUP(AW36,$U$5:$AJ$104,$AX$2+11,FALSE)</f>
        <v>#N/A</v>
      </c>
      <c r="BA36" s="4">
        <v>32</v>
      </c>
      <c r="BB36" s="2" t="e">
        <f>VLOOKUP(BA36,$W$5:$AJ$104,$BC$2,FALSE)</f>
        <v>#N/A</v>
      </c>
      <c r="BC36" s="6" t="e">
        <f>VLOOKUP(BA36,$W$5:$AJ$104,$BC$2+5,FALSE)</f>
        <v>#N/A</v>
      </c>
      <c r="BD36" s="58" t="e">
        <f>VLOOKUP(BB36,$W$5:$AJ$104,$BC$2+10,FALSE)</f>
        <v>#N/A</v>
      </c>
      <c r="BE36" s="9"/>
      <c r="BF36" s="4">
        <v>32</v>
      </c>
      <c r="BG36" s="2" t="e">
        <f>VLOOKUP(BF36,$Y$5:$AJ$104,$BH$2,FALSE)</f>
        <v>#N/A</v>
      </c>
      <c r="BH36" s="6" t="e">
        <f>VLOOKUP(BF36,$Y$5:$AJ$104,$BH$2+3,FALSE)</f>
        <v>#N/A</v>
      </c>
      <c r="BI36" s="2" t="e">
        <f>VLOOKUP(BF36,$Y$5:$AJ$104,$BH$2+4,FALSE)</f>
        <v>#N/A</v>
      </c>
      <c r="BJ36" s="2" t="e">
        <f>VLOOKUP(BG36,$Y$5:$AJ$104,$BH$2+9,FALSE)</f>
        <v>#N/A</v>
      </c>
      <c r="BL36" s="4">
        <v>32</v>
      </c>
      <c r="BM36" s="2" t="e">
        <f>VLOOKUP(BL36,$AA$5:$AJ$104,$BN$2,FALSE)</f>
        <v>#N/A</v>
      </c>
      <c r="BN36" s="6" t="e">
        <f>VLOOKUP(BL36,$AA$5:$AJ$104,$BN$2+1,FALSE)</f>
        <v>#N/A</v>
      </c>
      <c r="BO36" s="2" t="e">
        <f>VLOOKUP(BM36,$AA$5:$AJ$104,$BN$2+8,FALSE)</f>
        <v>#N/A</v>
      </c>
      <c r="BQ36" s="2" t="e">
        <f>'Eclectic B'!CD36</f>
        <v>#N/A</v>
      </c>
      <c r="BR36" s="6" t="e">
        <f>'Eclectic B'!CE36</f>
        <v>#N/A</v>
      </c>
      <c r="BS36" s="103" t="e">
        <f>'Eclectic B'!CF36</f>
        <v>#N/A</v>
      </c>
    </row>
    <row r="37" spans="1:71">
      <c r="A37" s="10" t="str">
        <f>IF(ISBLANK(Players!F35),"",Players!F35)</f>
        <v/>
      </c>
      <c r="B37" s="10" t="str">
        <f>IF(ISBLANK(Players!G35),"",Players!G35)</f>
        <v/>
      </c>
      <c r="C37" s="10" t="str">
        <f>IF(ISBLANK(Players!I35),"",Players!I35)</f>
        <v/>
      </c>
      <c r="D37" s="69" t="str">
        <f>IF(ISNUMBER(C37),MIN((C37*Rules!$N$14/113)+(Rules!$N$13-Rules!$N$12),Rules!$N$37),"-")</f>
        <v>-</v>
      </c>
      <c r="E37" s="69" t="str">
        <f>IF(ISNUMBER(C37),    ROUND( (D37*Rules!$N$11) / 100,0),"-")</f>
        <v>-</v>
      </c>
      <c r="F37" s="36" t="str">
        <f>IF(AND(ISNUMBER(C37),C37&gt;=Rules!$M$17,C37&lt;=Rules!$N$17),"Y","N")</f>
        <v>N</v>
      </c>
      <c r="G37" s="137" t="str">
        <f>'Eclectic B'!M37</f>
        <v>-</v>
      </c>
      <c r="H37" s="137" t="str">
        <f>'Eclectic B'!W37</f>
        <v>-</v>
      </c>
      <c r="I37" s="137" t="str">
        <f>'Eclectic B'!AJ37</f>
        <v>-</v>
      </c>
      <c r="J37" s="137" t="str">
        <f>'Eclectic B'!AT37</f>
        <v>-</v>
      </c>
      <c r="K37" s="14" t="str">
        <f t="shared" si="1"/>
        <v>-</v>
      </c>
      <c r="L37" s="14" t="str">
        <f t="shared" si="2"/>
        <v>-</v>
      </c>
      <c r="M37" s="14" t="str">
        <f t="shared" si="3"/>
        <v>-</v>
      </c>
      <c r="N37" s="14" t="str">
        <f t="shared" si="4"/>
        <v>-</v>
      </c>
      <c r="O37" s="14" t="str">
        <f t="shared" si="5"/>
        <v>-</v>
      </c>
      <c r="P37" s="14" t="str">
        <f t="shared" si="6"/>
        <v>-</v>
      </c>
      <c r="Q37" s="14" t="e">
        <f>RANK($K37,$K$5:$K$104,1)+COUNTIF(K$5:K37,K37)-1</f>
        <v>#VALUE!</v>
      </c>
      <c r="R37" s="14" t="e">
        <f t="shared" si="7"/>
        <v>#VALUE!</v>
      </c>
      <c r="S37" s="14" t="e">
        <f>RANK($L37,$L$5:$L$104,1)+COUNTIF(L$5:L37,L37)-1</f>
        <v>#VALUE!</v>
      </c>
      <c r="T37" s="14" t="e">
        <f t="shared" si="8"/>
        <v>#VALUE!</v>
      </c>
      <c r="U37" s="14" t="e">
        <f>RANK($M37,$M$5:$M$104,1)+COUNTIF(M$5:M37,M37)-1</f>
        <v>#VALUE!</v>
      </c>
      <c r="V37" s="14" t="e">
        <f t="shared" si="9"/>
        <v>#VALUE!</v>
      </c>
      <c r="W37" s="14" t="e">
        <f>RANK($N37,$N$5:$N$104,1)+COUNTIF(N$5:N37,N37)-1</f>
        <v>#VALUE!</v>
      </c>
      <c r="X37" s="14" t="e">
        <f t="shared" si="10"/>
        <v>#VALUE!</v>
      </c>
      <c r="Y37" s="14" t="e">
        <f>RANK($O37,$O$5:$O$104,1)+COUNTIF(O$5:O37,O37)-1</f>
        <v>#VALUE!</v>
      </c>
      <c r="Z37" s="14" t="e">
        <f t="shared" si="11"/>
        <v>#VALUE!</v>
      </c>
      <c r="AA37" s="14" t="e">
        <f>RANK($P37,$P$5:$P$104,1)+COUNTIF(P$5:P37,P37)-1</f>
        <v>#VALUE!</v>
      </c>
      <c r="AB37" s="14" t="e">
        <f t="shared" si="12"/>
        <v>#VALUE!</v>
      </c>
      <c r="AC37" s="1" t="str">
        <f t="shared" si="13"/>
        <v xml:space="preserve"> </v>
      </c>
      <c r="AD37" s="1" t="str">
        <f t="shared" si="14"/>
        <v>-</v>
      </c>
      <c r="AE37" s="35" t="str">
        <f t="shared" si="15"/>
        <v>-</v>
      </c>
      <c r="AF37" s="35" t="str">
        <f t="shared" si="15"/>
        <v>-</v>
      </c>
      <c r="AG37" s="35" t="str">
        <f t="shared" si="15"/>
        <v>-</v>
      </c>
      <c r="AH37" s="35" t="str">
        <f t="shared" si="15"/>
        <v>-</v>
      </c>
      <c r="AI37" s="35" t="str">
        <f t="shared" si="15"/>
        <v>-</v>
      </c>
      <c r="AJ37" s="35" t="str">
        <f t="shared" si="15"/>
        <v>-</v>
      </c>
      <c r="AL37" s="4">
        <v>33</v>
      </c>
      <c r="AM37" s="2" t="e">
        <f>VLOOKUP(AL37,Q$5:$AJ$104,$AN$2,FALSE)</f>
        <v>#N/A</v>
      </c>
      <c r="AN37" s="6" t="e">
        <f>VLOOKUP(AL37,Q$5:$AJ$104,$AN$2+11,FALSE)</f>
        <v>#N/A</v>
      </c>
      <c r="AO37" s="2" t="e">
        <f t="shared" si="16"/>
        <v>#N/A</v>
      </c>
      <c r="AQ37" s="4">
        <v>33</v>
      </c>
      <c r="AR37" s="2" t="e">
        <f>VLOOKUP(AQ37,$S$5:$AJ$104,$AS$2,FALSE)</f>
        <v>#N/A</v>
      </c>
      <c r="AS37" s="6" t="e">
        <f>VLOOKUP(AQ37,$S$5:$AJ$104,$AS$2+9,FALSE)</f>
        <v>#N/A</v>
      </c>
      <c r="AT37" s="2" t="e">
        <f>VLOOKUP(AR37,$S$5:$AJ$104,$AS$2+12,FALSE)</f>
        <v>#N/A</v>
      </c>
      <c r="AU37" s="9"/>
      <c r="AV37" s="4">
        <v>33</v>
      </c>
      <c r="AW37" s="2" t="e">
        <f>VLOOKUP(AV37,$U$5:$AJ$104,$AX$2,FALSE)</f>
        <v>#N/A</v>
      </c>
      <c r="AX37" s="6" t="e">
        <f>VLOOKUP(AV37,$U$5:$AJ$104,$AX$2+7,FALSE)</f>
        <v>#N/A</v>
      </c>
      <c r="AY37" s="2" t="e">
        <f>VLOOKUP(AW37,$U$5:$AJ$104,$AX$2+11,FALSE)</f>
        <v>#N/A</v>
      </c>
      <c r="BA37" s="4">
        <v>33</v>
      </c>
      <c r="BB37" s="2" t="e">
        <f>VLOOKUP(BA37,$W$5:$AJ$104,$BC$2,FALSE)</f>
        <v>#N/A</v>
      </c>
      <c r="BC37" s="6" t="e">
        <f>VLOOKUP(BA37,$W$5:$AJ$104,$BC$2+5,FALSE)</f>
        <v>#N/A</v>
      </c>
      <c r="BD37" s="58" t="e">
        <f>VLOOKUP(BB37,$W$5:$AJ$104,$BC$2+10,FALSE)</f>
        <v>#N/A</v>
      </c>
      <c r="BE37" s="9"/>
      <c r="BF37" s="4">
        <v>33</v>
      </c>
      <c r="BG37" s="2" t="e">
        <f>VLOOKUP(BF37,$Y$5:$AJ$104,$BH$2,FALSE)</f>
        <v>#N/A</v>
      </c>
      <c r="BH37" s="6" t="e">
        <f>VLOOKUP(BF37,$Y$5:$AJ$104,$BH$2+3,FALSE)</f>
        <v>#N/A</v>
      </c>
      <c r="BI37" s="2" t="e">
        <f>VLOOKUP(BF37,$Y$5:$AJ$104,$BH$2+4,FALSE)</f>
        <v>#N/A</v>
      </c>
      <c r="BJ37" s="2" t="e">
        <f>VLOOKUP(BG37,$Y$5:$AJ$104,$BH$2+9,FALSE)</f>
        <v>#N/A</v>
      </c>
      <c r="BL37" s="4">
        <v>33</v>
      </c>
      <c r="BM37" s="2" t="e">
        <f>VLOOKUP(BL37,$AA$5:$AJ$104,$BN$2,FALSE)</f>
        <v>#N/A</v>
      </c>
      <c r="BN37" s="6" t="e">
        <f>VLOOKUP(BL37,$AA$5:$AJ$104,$BN$2+1,FALSE)</f>
        <v>#N/A</v>
      </c>
      <c r="BO37" s="2" t="e">
        <f>VLOOKUP(BM37,$AA$5:$AJ$104,$BN$2+8,FALSE)</f>
        <v>#N/A</v>
      </c>
      <c r="BQ37" s="2" t="e">
        <f>'Eclectic B'!CD37</f>
        <v>#N/A</v>
      </c>
      <c r="BR37" s="6" t="e">
        <f>'Eclectic B'!CE37</f>
        <v>#N/A</v>
      </c>
      <c r="BS37" s="103" t="e">
        <f>'Eclectic B'!CF37</f>
        <v>#N/A</v>
      </c>
    </row>
    <row r="38" spans="1:71">
      <c r="A38" s="10" t="str">
        <f>IF(ISBLANK(Players!F36),"",Players!F36)</f>
        <v/>
      </c>
      <c r="B38" s="10" t="str">
        <f>IF(ISBLANK(Players!G36),"",Players!G36)</f>
        <v/>
      </c>
      <c r="C38" s="10" t="str">
        <f>IF(ISBLANK(Players!I36),"",Players!I36)</f>
        <v/>
      </c>
      <c r="D38" s="69" t="str">
        <f>IF(ISNUMBER(C38),MIN((C38*Rules!$N$14/113)+(Rules!$N$13-Rules!$N$12),Rules!$N$37),"-")</f>
        <v>-</v>
      </c>
      <c r="E38" s="69" t="str">
        <f>IF(ISNUMBER(C38),    ROUND( (D38*Rules!$N$11) / 100,0),"-")</f>
        <v>-</v>
      </c>
      <c r="F38" s="36" t="str">
        <f>IF(AND(ISNUMBER(C38),C38&gt;=Rules!$M$17,C38&lt;=Rules!$N$17),"Y","N")</f>
        <v>N</v>
      </c>
      <c r="G38" s="137" t="str">
        <f>'Eclectic B'!M38</f>
        <v>-</v>
      </c>
      <c r="H38" s="137" t="str">
        <f>'Eclectic B'!W38</f>
        <v>-</v>
      </c>
      <c r="I38" s="137" t="str">
        <f>'Eclectic B'!AJ38</f>
        <v>-</v>
      </c>
      <c r="J38" s="137" t="str">
        <f>'Eclectic B'!AT38</f>
        <v>-</v>
      </c>
      <c r="K38" s="14" t="str">
        <f t="shared" si="1"/>
        <v>-</v>
      </c>
      <c r="L38" s="14" t="str">
        <f t="shared" si="2"/>
        <v>-</v>
      </c>
      <c r="M38" s="14" t="str">
        <f t="shared" si="3"/>
        <v>-</v>
      </c>
      <c r="N38" s="14" t="str">
        <f t="shared" si="4"/>
        <v>-</v>
      </c>
      <c r="O38" s="14" t="str">
        <f t="shared" si="5"/>
        <v>-</v>
      </c>
      <c r="P38" s="14" t="str">
        <f t="shared" si="6"/>
        <v>-</v>
      </c>
      <c r="Q38" s="14" t="e">
        <f>RANK($K38,$K$5:$K$104,1)+COUNTIF(K$5:K38,K38)-1</f>
        <v>#VALUE!</v>
      </c>
      <c r="R38" s="14" t="e">
        <f t="shared" si="7"/>
        <v>#VALUE!</v>
      </c>
      <c r="S38" s="14" t="e">
        <f>RANK($L38,$L$5:$L$104,1)+COUNTIF(L$5:L38,L38)-1</f>
        <v>#VALUE!</v>
      </c>
      <c r="T38" s="14" t="e">
        <f t="shared" si="8"/>
        <v>#VALUE!</v>
      </c>
      <c r="U38" s="14" t="e">
        <f>RANK($M38,$M$5:$M$104,1)+COUNTIF(M$5:M38,M38)-1</f>
        <v>#VALUE!</v>
      </c>
      <c r="V38" s="14" t="e">
        <f t="shared" si="9"/>
        <v>#VALUE!</v>
      </c>
      <c r="W38" s="14" t="e">
        <f>RANK($N38,$N$5:$N$104,1)+COUNTIF(N$5:N38,N38)-1</f>
        <v>#VALUE!</v>
      </c>
      <c r="X38" s="14" t="e">
        <f t="shared" si="10"/>
        <v>#VALUE!</v>
      </c>
      <c r="Y38" s="14" t="e">
        <f>RANK($O38,$O$5:$O$104,1)+COUNTIF(O$5:O38,O38)-1</f>
        <v>#VALUE!</v>
      </c>
      <c r="Z38" s="14" t="e">
        <f t="shared" si="11"/>
        <v>#VALUE!</v>
      </c>
      <c r="AA38" s="14" t="e">
        <f>RANK($P38,$P$5:$P$104,1)+COUNTIF(P$5:P38,P38)-1</f>
        <v>#VALUE!</v>
      </c>
      <c r="AB38" s="14" t="e">
        <f t="shared" si="12"/>
        <v>#VALUE!</v>
      </c>
      <c r="AC38" s="1" t="str">
        <f t="shared" si="13"/>
        <v xml:space="preserve"> </v>
      </c>
      <c r="AD38" s="1" t="str">
        <f t="shared" si="14"/>
        <v>-</v>
      </c>
      <c r="AE38" s="35" t="str">
        <f t="shared" si="15"/>
        <v>-</v>
      </c>
      <c r="AF38" s="35" t="str">
        <f t="shared" si="15"/>
        <v>-</v>
      </c>
      <c r="AG38" s="35" t="str">
        <f t="shared" si="15"/>
        <v>-</v>
      </c>
      <c r="AH38" s="35" t="str">
        <f t="shared" si="15"/>
        <v>-</v>
      </c>
      <c r="AI38" s="35" t="str">
        <f t="shared" si="15"/>
        <v>-</v>
      </c>
      <c r="AJ38" s="35" t="str">
        <f t="shared" si="15"/>
        <v>-</v>
      </c>
      <c r="AL38" s="4">
        <v>34</v>
      </c>
      <c r="AM38" s="2" t="e">
        <f>VLOOKUP(AL38,Q$5:$AJ$104,$AN$2,FALSE)</f>
        <v>#N/A</v>
      </c>
      <c r="AN38" s="6" t="e">
        <f>VLOOKUP(AL38,Q$5:$AJ$104,$AN$2+11,FALSE)</f>
        <v>#N/A</v>
      </c>
      <c r="AO38" s="2" t="e">
        <f t="shared" si="16"/>
        <v>#N/A</v>
      </c>
      <c r="AQ38" s="4">
        <v>34</v>
      </c>
      <c r="AR38" s="2" t="e">
        <f>VLOOKUP(AQ38,$S$5:$AJ$104,$AS$2,FALSE)</f>
        <v>#N/A</v>
      </c>
      <c r="AS38" s="6" t="e">
        <f>VLOOKUP(AQ38,$S$5:$AJ$104,$AS$2+9,FALSE)</f>
        <v>#N/A</v>
      </c>
      <c r="AT38" s="2" t="e">
        <f>VLOOKUP(AR38,$S$5:$AJ$104,$AS$2+12,FALSE)</f>
        <v>#N/A</v>
      </c>
      <c r="AU38" s="9"/>
      <c r="AV38" s="4">
        <v>34</v>
      </c>
      <c r="AW38" s="2" t="e">
        <f>VLOOKUP(AV38,$U$5:$AJ$104,$AX$2,FALSE)</f>
        <v>#N/A</v>
      </c>
      <c r="AX38" s="6" t="e">
        <f>VLOOKUP(AV38,$U$5:$AJ$104,$AX$2+7,FALSE)</f>
        <v>#N/A</v>
      </c>
      <c r="AY38" s="2" t="e">
        <f>VLOOKUP(AW38,$U$5:$AJ$104,$AX$2+11,FALSE)</f>
        <v>#N/A</v>
      </c>
      <c r="BA38" s="4">
        <v>34</v>
      </c>
      <c r="BB38" s="2" t="e">
        <f>VLOOKUP(BA38,$W$5:$AJ$104,$BC$2,FALSE)</f>
        <v>#N/A</v>
      </c>
      <c r="BC38" s="6" t="e">
        <f>VLOOKUP(BA38,$W$5:$AJ$104,$BC$2+5,FALSE)</f>
        <v>#N/A</v>
      </c>
      <c r="BD38" s="58" t="e">
        <f>VLOOKUP(BB38,$W$5:$AJ$104,$BC$2+10,FALSE)</f>
        <v>#N/A</v>
      </c>
      <c r="BE38" s="9"/>
      <c r="BF38" s="4">
        <v>34</v>
      </c>
      <c r="BG38" s="2" t="e">
        <f>VLOOKUP(BF38,$Y$5:$AJ$104,$BH$2,FALSE)</f>
        <v>#N/A</v>
      </c>
      <c r="BH38" s="6" t="e">
        <f>VLOOKUP(BF38,$Y$5:$AJ$104,$BH$2+3,FALSE)</f>
        <v>#N/A</v>
      </c>
      <c r="BI38" s="2" t="e">
        <f>VLOOKUP(BF38,$Y$5:$AJ$104,$BH$2+4,FALSE)</f>
        <v>#N/A</v>
      </c>
      <c r="BJ38" s="2" t="e">
        <f>VLOOKUP(BG38,$Y$5:$AJ$104,$BH$2+9,FALSE)</f>
        <v>#N/A</v>
      </c>
      <c r="BL38" s="4">
        <v>34</v>
      </c>
      <c r="BM38" s="2" t="e">
        <f>VLOOKUP(BL38,$AA$5:$AJ$104,$BN$2,FALSE)</f>
        <v>#N/A</v>
      </c>
      <c r="BN38" s="6" t="e">
        <f>VLOOKUP(BL38,$AA$5:$AJ$104,$BN$2+1,FALSE)</f>
        <v>#N/A</v>
      </c>
      <c r="BO38" s="2" t="e">
        <f>VLOOKUP(BM38,$AA$5:$AJ$104,$BN$2+8,FALSE)</f>
        <v>#N/A</v>
      </c>
      <c r="BQ38" s="2" t="e">
        <f>'Eclectic B'!CD38</f>
        <v>#N/A</v>
      </c>
      <c r="BR38" s="6" t="e">
        <f>'Eclectic B'!CE38</f>
        <v>#N/A</v>
      </c>
      <c r="BS38" s="103" t="e">
        <f>'Eclectic B'!CF38</f>
        <v>#N/A</v>
      </c>
    </row>
    <row r="39" spans="1:71">
      <c r="A39" s="10" t="str">
        <f>IF(ISBLANK(Players!F37),"",Players!F37)</f>
        <v/>
      </c>
      <c r="B39" s="10" t="str">
        <f>IF(ISBLANK(Players!G37),"",Players!G37)</f>
        <v/>
      </c>
      <c r="C39" s="10" t="str">
        <f>IF(ISBLANK(Players!I37),"",Players!I37)</f>
        <v/>
      </c>
      <c r="D39" s="69" t="str">
        <f>IF(ISNUMBER(C39),MIN((C39*Rules!$N$14/113)+(Rules!$N$13-Rules!$N$12),Rules!$N$37),"-")</f>
        <v>-</v>
      </c>
      <c r="E39" s="69" t="str">
        <f>IF(ISNUMBER(C39),    ROUND( (D39*Rules!$N$11) / 100,0),"-")</f>
        <v>-</v>
      </c>
      <c r="F39" s="36" t="str">
        <f>IF(AND(ISNUMBER(C39),C39&gt;=Rules!$M$17,C39&lt;=Rules!$N$17),"Y","N")</f>
        <v>N</v>
      </c>
      <c r="G39" s="137" t="str">
        <f>'Eclectic B'!M39</f>
        <v>-</v>
      </c>
      <c r="H39" s="137" t="str">
        <f>'Eclectic B'!W39</f>
        <v>-</v>
      </c>
      <c r="I39" s="137" t="str">
        <f>'Eclectic B'!AJ39</f>
        <v>-</v>
      </c>
      <c r="J39" s="137" t="str">
        <f>'Eclectic B'!AT39</f>
        <v>-</v>
      </c>
      <c r="K39" s="14" t="str">
        <f t="shared" si="1"/>
        <v>-</v>
      </c>
      <c r="L39" s="14" t="str">
        <f t="shared" si="2"/>
        <v>-</v>
      </c>
      <c r="M39" s="14" t="str">
        <f t="shared" si="3"/>
        <v>-</v>
      </c>
      <c r="N39" s="14" t="str">
        <f t="shared" si="4"/>
        <v>-</v>
      </c>
      <c r="O39" s="14" t="str">
        <f t="shared" si="5"/>
        <v>-</v>
      </c>
      <c r="P39" s="14" t="str">
        <f t="shared" si="6"/>
        <v>-</v>
      </c>
      <c r="Q39" s="14" t="e">
        <f>RANK($K39,$K$5:$K$104,1)+COUNTIF(K$5:K39,K39)-1</f>
        <v>#VALUE!</v>
      </c>
      <c r="R39" s="14" t="e">
        <f t="shared" si="7"/>
        <v>#VALUE!</v>
      </c>
      <c r="S39" s="14" t="e">
        <f>RANK($L39,$L$5:$L$104,1)+COUNTIF(L$5:L39,L39)-1</f>
        <v>#VALUE!</v>
      </c>
      <c r="T39" s="14" t="e">
        <f t="shared" si="8"/>
        <v>#VALUE!</v>
      </c>
      <c r="U39" s="14" t="e">
        <f>RANK($M39,$M$5:$M$104,1)+COUNTIF(M$5:M39,M39)-1</f>
        <v>#VALUE!</v>
      </c>
      <c r="V39" s="14" t="e">
        <f t="shared" si="9"/>
        <v>#VALUE!</v>
      </c>
      <c r="W39" s="14" t="e">
        <f>RANK($N39,$N$5:$N$104,1)+COUNTIF(N$5:N39,N39)-1</f>
        <v>#VALUE!</v>
      </c>
      <c r="X39" s="14" t="e">
        <f t="shared" si="10"/>
        <v>#VALUE!</v>
      </c>
      <c r="Y39" s="14" t="e">
        <f>RANK($O39,$O$5:$O$104,1)+COUNTIF(O$5:O39,O39)-1</f>
        <v>#VALUE!</v>
      </c>
      <c r="Z39" s="14" t="e">
        <f t="shared" si="11"/>
        <v>#VALUE!</v>
      </c>
      <c r="AA39" s="14" t="e">
        <f>RANK($P39,$P$5:$P$104,1)+COUNTIF(P$5:P39,P39)-1</f>
        <v>#VALUE!</v>
      </c>
      <c r="AB39" s="14" t="e">
        <f t="shared" si="12"/>
        <v>#VALUE!</v>
      </c>
      <c r="AC39" s="1" t="str">
        <f t="shared" si="13"/>
        <v xml:space="preserve"> </v>
      </c>
      <c r="AD39" s="1" t="str">
        <f t="shared" si="14"/>
        <v>-</v>
      </c>
      <c r="AE39" s="35" t="str">
        <f t="shared" si="15"/>
        <v>-</v>
      </c>
      <c r="AF39" s="35" t="str">
        <f t="shared" si="15"/>
        <v>-</v>
      </c>
      <c r="AG39" s="35" t="str">
        <f t="shared" si="15"/>
        <v>-</v>
      </c>
      <c r="AH39" s="35" t="str">
        <f t="shared" si="15"/>
        <v>-</v>
      </c>
      <c r="AI39" s="35" t="str">
        <f t="shared" si="15"/>
        <v>-</v>
      </c>
      <c r="AJ39" s="35" t="str">
        <f t="shared" si="15"/>
        <v>-</v>
      </c>
      <c r="AL39" s="4">
        <v>35</v>
      </c>
      <c r="AM39" s="2" t="e">
        <f>VLOOKUP(AL39,Q$5:$AJ$104,$AN$2,FALSE)</f>
        <v>#N/A</v>
      </c>
      <c r="AN39" s="6" t="e">
        <f>VLOOKUP(AL39,Q$5:$AJ$104,$AN$2+11,FALSE)</f>
        <v>#N/A</v>
      </c>
      <c r="AO39" s="2" t="e">
        <f t="shared" si="16"/>
        <v>#N/A</v>
      </c>
      <c r="AQ39" s="4">
        <v>35</v>
      </c>
      <c r="AR39" s="2" t="e">
        <f>VLOOKUP(AQ39,$S$5:$AJ$104,$AS$2,FALSE)</f>
        <v>#N/A</v>
      </c>
      <c r="AS39" s="6" t="e">
        <f>VLOOKUP(AQ39,$S$5:$AJ$104,$AS$2+9,FALSE)</f>
        <v>#N/A</v>
      </c>
      <c r="AT39" s="2" t="e">
        <f>VLOOKUP(AR39,$S$5:$AJ$104,$AS$2+12,FALSE)</f>
        <v>#N/A</v>
      </c>
      <c r="AU39" s="9"/>
      <c r="AV39" s="4">
        <v>35</v>
      </c>
      <c r="AW39" s="2" t="e">
        <f>VLOOKUP(AV39,$U$5:$AJ$104,$AX$2,FALSE)</f>
        <v>#N/A</v>
      </c>
      <c r="AX39" s="6" t="e">
        <f>VLOOKUP(AV39,$U$5:$AJ$104,$AX$2+7,FALSE)</f>
        <v>#N/A</v>
      </c>
      <c r="AY39" s="2" t="e">
        <f>VLOOKUP(AW39,$U$5:$AJ$104,$AX$2+11,FALSE)</f>
        <v>#N/A</v>
      </c>
      <c r="BA39" s="4">
        <v>35</v>
      </c>
      <c r="BB39" s="2" t="e">
        <f>VLOOKUP(BA39,$W$5:$AJ$104,$BC$2,FALSE)</f>
        <v>#N/A</v>
      </c>
      <c r="BC39" s="6" t="e">
        <f>VLOOKUP(BA39,$W$5:$AJ$104,$BC$2+5,FALSE)</f>
        <v>#N/A</v>
      </c>
      <c r="BD39" s="58" t="e">
        <f>VLOOKUP(BB39,$W$5:$AJ$104,$BC$2+10,FALSE)</f>
        <v>#N/A</v>
      </c>
      <c r="BE39" s="9"/>
      <c r="BF39" s="4">
        <v>35</v>
      </c>
      <c r="BG39" s="2" t="e">
        <f>VLOOKUP(BF39,$Y$5:$AJ$104,$BH$2,FALSE)</f>
        <v>#N/A</v>
      </c>
      <c r="BH39" s="6" t="e">
        <f>VLOOKUP(BF39,$Y$5:$AJ$104,$BH$2+3,FALSE)</f>
        <v>#N/A</v>
      </c>
      <c r="BI39" s="2" t="e">
        <f>VLOOKUP(BF39,$Y$5:$AJ$104,$BH$2+4,FALSE)</f>
        <v>#N/A</v>
      </c>
      <c r="BJ39" s="2" t="e">
        <f>VLOOKUP(BG39,$Y$5:$AJ$104,$BH$2+9,FALSE)</f>
        <v>#N/A</v>
      </c>
      <c r="BL39" s="4">
        <v>35</v>
      </c>
      <c r="BM39" s="2" t="e">
        <f>VLOOKUP(BL39,$AA$5:$AJ$104,$BN$2,FALSE)</f>
        <v>#N/A</v>
      </c>
      <c r="BN39" s="6" t="e">
        <f>VLOOKUP(BL39,$AA$5:$AJ$104,$BN$2+1,FALSE)</f>
        <v>#N/A</v>
      </c>
      <c r="BO39" s="2" t="e">
        <f>VLOOKUP(BM39,$AA$5:$AJ$104,$BN$2+8,FALSE)</f>
        <v>#N/A</v>
      </c>
      <c r="BQ39" s="2" t="e">
        <f>'Eclectic B'!CD39</f>
        <v>#N/A</v>
      </c>
      <c r="BR39" s="6" t="e">
        <f>'Eclectic B'!CE39</f>
        <v>#N/A</v>
      </c>
      <c r="BS39" s="103" t="e">
        <f>'Eclectic B'!CF39</f>
        <v>#N/A</v>
      </c>
    </row>
    <row r="40" spans="1:71">
      <c r="A40" s="10" t="str">
        <f>IF(ISBLANK(Players!F38),"",Players!F38)</f>
        <v/>
      </c>
      <c r="B40" s="10" t="str">
        <f>IF(ISBLANK(Players!G38),"",Players!G38)</f>
        <v/>
      </c>
      <c r="C40" s="10" t="str">
        <f>IF(ISBLANK(Players!I38),"",Players!I38)</f>
        <v/>
      </c>
      <c r="D40" s="69" t="str">
        <f>IF(ISNUMBER(C40),MIN((C40*Rules!$N$14/113)+(Rules!$N$13-Rules!$N$12),Rules!$N$37),"-")</f>
        <v>-</v>
      </c>
      <c r="E40" s="69" t="str">
        <f>IF(ISNUMBER(C40),    ROUND( (D40*Rules!$N$11) / 100,0),"-")</f>
        <v>-</v>
      </c>
      <c r="F40" s="36" t="str">
        <f>IF(AND(ISNUMBER(C40),C40&gt;=Rules!$M$17,C40&lt;=Rules!$N$17),"Y","N")</f>
        <v>N</v>
      </c>
      <c r="G40" s="137" t="str">
        <f>'Eclectic B'!M40</f>
        <v>-</v>
      </c>
      <c r="H40" s="137" t="str">
        <f>'Eclectic B'!W40</f>
        <v>-</v>
      </c>
      <c r="I40" s="137" t="str">
        <f>'Eclectic B'!AJ40</f>
        <v>-</v>
      </c>
      <c r="J40" s="137" t="str">
        <f>'Eclectic B'!AT40</f>
        <v>-</v>
      </c>
      <c r="K40" s="14" t="str">
        <f t="shared" si="1"/>
        <v>-</v>
      </c>
      <c r="L40" s="14" t="str">
        <f t="shared" si="2"/>
        <v>-</v>
      </c>
      <c r="M40" s="14" t="str">
        <f t="shared" si="3"/>
        <v>-</v>
      </c>
      <c r="N40" s="14" t="str">
        <f t="shared" si="4"/>
        <v>-</v>
      </c>
      <c r="O40" s="14" t="str">
        <f t="shared" si="5"/>
        <v>-</v>
      </c>
      <c r="P40" s="14" t="str">
        <f t="shared" si="6"/>
        <v>-</v>
      </c>
      <c r="Q40" s="14" t="e">
        <f>RANK($K40,$K$5:$K$104,1)+COUNTIF(K$5:K40,K40)-1</f>
        <v>#VALUE!</v>
      </c>
      <c r="R40" s="14" t="e">
        <f t="shared" si="7"/>
        <v>#VALUE!</v>
      </c>
      <c r="S40" s="14" t="e">
        <f>RANK($L40,$L$5:$L$104,1)+COUNTIF(L$5:L40,L40)-1</f>
        <v>#VALUE!</v>
      </c>
      <c r="T40" s="14" t="e">
        <f t="shared" si="8"/>
        <v>#VALUE!</v>
      </c>
      <c r="U40" s="14" t="e">
        <f>RANK($M40,$M$5:$M$104,1)+COUNTIF(M$5:M40,M40)-1</f>
        <v>#VALUE!</v>
      </c>
      <c r="V40" s="14" t="e">
        <f t="shared" si="9"/>
        <v>#VALUE!</v>
      </c>
      <c r="W40" s="14" t="e">
        <f>RANK($N40,$N$5:$N$104,1)+COUNTIF(N$5:N40,N40)-1</f>
        <v>#VALUE!</v>
      </c>
      <c r="X40" s="14" t="e">
        <f t="shared" si="10"/>
        <v>#VALUE!</v>
      </c>
      <c r="Y40" s="14" t="e">
        <f>RANK($O40,$O$5:$O$104,1)+COUNTIF(O$5:O40,O40)-1</f>
        <v>#VALUE!</v>
      </c>
      <c r="Z40" s="14" t="e">
        <f t="shared" si="11"/>
        <v>#VALUE!</v>
      </c>
      <c r="AA40" s="14" t="e">
        <f>RANK($P40,$P$5:$P$104,1)+COUNTIF(P$5:P40,P40)-1</f>
        <v>#VALUE!</v>
      </c>
      <c r="AB40" s="14" t="e">
        <f t="shared" si="12"/>
        <v>#VALUE!</v>
      </c>
      <c r="AC40" s="1" t="str">
        <f t="shared" si="13"/>
        <v xml:space="preserve"> </v>
      </c>
      <c r="AD40" s="1" t="str">
        <f t="shared" si="14"/>
        <v>-</v>
      </c>
      <c r="AE40" s="35" t="str">
        <f t="shared" si="15"/>
        <v>-</v>
      </c>
      <c r="AF40" s="35" t="str">
        <f t="shared" si="15"/>
        <v>-</v>
      </c>
      <c r="AG40" s="35" t="str">
        <f t="shared" si="15"/>
        <v>-</v>
      </c>
      <c r="AH40" s="35" t="str">
        <f t="shared" si="15"/>
        <v>-</v>
      </c>
      <c r="AI40" s="35" t="str">
        <f t="shared" si="15"/>
        <v>-</v>
      </c>
      <c r="AJ40" s="35" t="str">
        <f t="shared" si="15"/>
        <v>-</v>
      </c>
      <c r="AL40" s="4">
        <v>36</v>
      </c>
      <c r="AM40" s="2" t="e">
        <f>VLOOKUP(AL40,Q$5:$AJ$104,$AN$2,FALSE)</f>
        <v>#N/A</v>
      </c>
      <c r="AN40" s="6" t="e">
        <f>VLOOKUP(AL40,Q$5:$AJ$104,$AN$2+11,FALSE)</f>
        <v>#N/A</v>
      </c>
      <c r="AO40" s="2" t="e">
        <f t="shared" si="16"/>
        <v>#N/A</v>
      </c>
      <c r="AQ40" s="4">
        <v>36</v>
      </c>
      <c r="AR40" s="2" t="e">
        <f>VLOOKUP(AQ40,$S$5:$AJ$104,$AS$2,FALSE)</f>
        <v>#N/A</v>
      </c>
      <c r="AS40" s="6" t="e">
        <f>VLOOKUP(AQ40,$S$5:$AJ$104,$AS$2+9,FALSE)</f>
        <v>#N/A</v>
      </c>
      <c r="AT40" s="2" t="e">
        <f>VLOOKUP(AR40,$S$5:$AJ$104,$AS$2+12,FALSE)</f>
        <v>#N/A</v>
      </c>
      <c r="AU40" s="9"/>
      <c r="AV40" s="4">
        <v>36</v>
      </c>
      <c r="AW40" s="2" t="e">
        <f>VLOOKUP(AV40,$U$5:$AJ$104,$AX$2,FALSE)</f>
        <v>#N/A</v>
      </c>
      <c r="AX40" s="6" t="e">
        <f>VLOOKUP(AV40,$U$5:$AJ$104,$AX$2+7,FALSE)</f>
        <v>#N/A</v>
      </c>
      <c r="AY40" s="2" t="e">
        <f>VLOOKUP(AW40,$U$5:$AJ$104,$AX$2+11,FALSE)</f>
        <v>#N/A</v>
      </c>
      <c r="BA40" s="4">
        <v>36</v>
      </c>
      <c r="BB40" s="2" t="e">
        <f>VLOOKUP(BA40,$W$5:$AJ$104,$BC$2,FALSE)</f>
        <v>#N/A</v>
      </c>
      <c r="BC40" s="6" t="e">
        <f>VLOOKUP(BA40,$W$5:$AJ$104,$BC$2+5,FALSE)</f>
        <v>#N/A</v>
      </c>
      <c r="BD40" s="58" t="e">
        <f>VLOOKUP(BB40,$W$5:$AJ$104,$BC$2+10,FALSE)</f>
        <v>#N/A</v>
      </c>
      <c r="BE40" s="9"/>
      <c r="BF40" s="4">
        <v>36</v>
      </c>
      <c r="BG40" s="2" t="e">
        <f>VLOOKUP(BF40,$Y$5:$AJ$104,$BH$2,FALSE)</f>
        <v>#N/A</v>
      </c>
      <c r="BH40" s="6" t="e">
        <f>VLOOKUP(BF40,$Y$5:$AJ$104,$BH$2+3,FALSE)</f>
        <v>#N/A</v>
      </c>
      <c r="BI40" s="2" t="e">
        <f>VLOOKUP(BF40,$Y$5:$AJ$104,$BH$2+4,FALSE)</f>
        <v>#N/A</v>
      </c>
      <c r="BJ40" s="2" t="e">
        <f>VLOOKUP(BG40,$Y$5:$AJ$104,$BH$2+9,FALSE)</f>
        <v>#N/A</v>
      </c>
      <c r="BL40" s="4">
        <v>36</v>
      </c>
      <c r="BM40" s="2" t="e">
        <f>VLOOKUP(BL40,$AA$5:$AJ$104,$BN$2,FALSE)</f>
        <v>#N/A</v>
      </c>
      <c r="BN40" s="6" t="e">
        <f>VLOOKUP(BL40,$AA$5:$AJ$104,$BN$2+1,FALSE)</f>
        <v>#N/A</v>
      </c>
      <c r="BO40" s="2" t="e">
        <f>VLOOKUP(BM40,$AA$5:$AJ$104,$BN$2+8,FALSE)</f>
        <v>#N/A</v>
      </c>
      <c r="BQ40" s="2" t="e">
        <f>'Eclectic B'!CD40</f>
        <v>#N/A</v>
      </c>
      <c r="BR40" s="6" t="e">
        <f>'Eclectic B'!CE40</f>
        <v>#N/A</v>
      </c>
      <c r="BS40" s="103" t="e">
        <f>'Eclectic B'!CF40</f>
        <v>#N/A</v>
      </c>
    </row>
    <row r="41" spans="1:71">
      <c r="A41" s="10" t="str">
        <f>IF(ISBLANK(Players!F39),"",Players!F39)</f>
        <v/>
      </c>
      <c r="B41" s="10" t="str">
        <f>IF(ISBLANK(Players!G39),"",Players!G39)</f>
        <v/>
      </c>
      <c r="C41" s="10" t="str">
        <f>IF(ISBLANK(Players!I39),"",Players!I39)</f>
        <v/>
      </c>
      <c r="D41" s="69" t="str">
        <f>IF(ISNUMBER(C41),MIN((C41*Rules!$N$14/113)+(Rules!$N$13-Rules!$N$12),Rules!$N$37),"-")</f>
        <v>-</v>
      </c>
      <c r="E41" s="69" t="str">
        <f>IF(ISNUMBER(C41),    ROUND( (D41*Rules!$N$11) / 100,0),"-")</f>
        <v>-</v>
      </c>
      <c r="F41" s="36" t="str">
        <f>IF(AND(ISNUMBER(C41),C41&gt;=Rules!$M$17,C41&lt;=Rules!$N$17),"Y","N")</f>
        <v>N</v>
      </c>
      <c r="G41" s="137" t="str">
        <f>'Eclectic B'!M41</f>
        <v>-</v>
      </c>
      <c r="H41" s="137" t="str">
        <f>'Eclectic B'!W41</f>
        <v>-</v>
      </c>
      <c r="I41" s="137" t="str">
        <f>'Eclectic B'!AJ41</f>
        <v>-</v>
      </c>
      <c r="J41" s="137" t="str">
        <f>'Eclectic B'!AT41</f>
        <v>-</v>
      </c>
      <c r="K41" s="14" t="str">
        <f t="shared" si="1"/>
        <v>-</v>
      </c>
      <c r="L41" s="14" t="str">
        <f t="shared" si="2"/>
        <v>-</v>
      </c>
      <c r="M41" s="14" t="str">
        <f t="shared" si="3"/>
        <v>-</v>
      </c>
      <c r="N41" s="14" t="str">
        <f t="shared" si="4"/>
        <v>-</v>
      </c>
      <c r="O41" s="14" t="str">
        <f t="shared" si="5"/>
        <v>-</v>
      </c>
      <c r="P41" s="14" t="str">
        <f t="shared" si="6"/>
        <v>-</v>
      </c>
      <c r="Q41" s="14" t="e">
        <f>RANK($K41,$K$5:$K$104,1)+COUNTIF(K$5:K41,K41)-1</f>
        <v>#VALUE!</v>
      </c>
      <c r="R41" s="14" t="e">
        <f t="shared" si="7"/>
        <v>#VALUE!</v>
      </c>
      <c r="S41" s="14" t="e">
        <f>RANK($L41,$L$5:$L$104,1)+COUNTIF(L$5:L41,L41)-1</f>
        <v>#VALUE!</v>
      </c>
      <c r="T41" s="14" t="e">
        <f t="shared" si="8"/>
        <v>#VALUE!</v>
      </c>
      <c r="U41" s="14" t="e">
        <f>RANK($M41,$M$5:$M$104,1)+COUNTIF(M$5:M41,M41)-1</f>
        <v>#VALUE!</v>
      </c>
      <c r="V41" s="14" t="e">
        <f t="shared" si="9"/>
        <v>#VALUE!</v>
      </c>
      <c r="W41" s="14" t="e">
        <f>RANK($N41,$N$5:$N$104,1)+COUNTIF(N$5:N41,N41)-1</f>
        <v>#VALUE!</v>
      </c>
      <c r="X41" s="14" t="e">
        <f t="shared" si="10"/>
        <v>#VALUE!</v>
      </c>
      <c r="Y41" s="14" t="e">
        <f>RANK($O41,$O$5:$O$104,1)+COUNTIF(O$5:O41,O41)-1</f>
        <v>#VALUE!</v>
      </c>
      <c r="Z41" s="14" t="e">
        <f t="shared" si="11"/>
        <v>#VALUE!</v>
      </c>
      <c r="AA41" s="14" t="e">
        <f>RANK($P41,$P$5:$P$104,1)+COUNTIF(P$5:P41,P41)-1</f>
        <v>#VALUE!</v>
      </c>
      <c r="AB41" s="14" t="e">
        <f t="shared" si="12"/>
        <v>#VALUE!</v>
      </c>
      <c r="AC41" s="1" t="str">
        <f t="shared" si="13"/>
        <v xml:space="preserve"> </v>
      </c>
      <c r="AD41" s="1" t="str">
        <f t="shared" si="14"/>
        <v>-</v>
      </c>
      <c r="AE41" s="35" t="str">
        <f t="shared" si="15"/>
        <v>-</v>
      </c>
      <c r="AF41" s="35" t="str">
        <f t="shared" si="15"/>
        <v>-</v>
      </c>
      <c r="AG41" s="35" t="str">
        <f t="shared" si="15"/>
        <v>-</v>
      </c>
      <c r="AH41" s="35" t="str">
        <f t="shared" si="15"/>
        <v>-</v>
      </c>
      <c r="AI41" s="35" t="str">
        <f t="shared" si="15"/>
        <v>-</v>
      </c>
      <c r="AJ41" s="35" t="str">
        <f t="shared" si="15"/>
        <v>-</v>
      </c>
      <c r="AL41" s="4">
        <v>37</v>
      </c>
      <c r="AM41" s="2" t="e">
        <f>VLOOKUP(AL41,Q$5:$AJ$104,$AN$2,FALSE)</f>
        <v>#N/A</v>
      </c>
      <c r="AN41" s="6" t="e">
        <f>VLOOKUP(AL41,Q$5:$AJ$104,$AN$2+11,FALSE)</f>
        <v>#N/A</v>
      </c>
      <c r="AO41" s="2" t="e">
        <f t="shared" si="16"/>
        <v>#N/A</v>
      </c>
      <c r="AQ41" s="4">
        <v>37</v>
      </c>
      <c r="AR41" s="2" t="e">
        <f>VLOOKUP(AQ41,$S$5:$AJ$104,$AS$2,FALSE)</f>
        <v>#N/A</v>
      </c>
      <c r="AS41" s="6" t="e">
        <f>VLOOKUP(AQ41,$S$5:$AJ$104,$AS$2+9,FALSE)</f>
        <v>#N/A</v>
      </c>
      <c r="AT41" s="2" t="e">
        <f>VLOOKUP(AR41,$S$5:$AJ$104,$AS$2+12,FALSE)</f>
        <v>#N/A</v>
      </c>
      <c r="AU41" s="9"/>
      <c r="AV41" s="4">
        <v>37</v>
      </c>
      <c r="AW41" s="2" t="e">
        <f>VLOOKUP(AV41,$U$5:$AJ$104,$AX$2,FALSE)</f>
        <v>#N/A</v>
      </c>
      <c r="AX41" s="6" t="e">
        <f>VLOOKUP(AV41,$U$5:$AJ$104,$AX$2+7,FALSE)</f>
        <v>#N/A</v>
      </c>
      <c r="AY41" s="2" t="e">
        <f>VLOOKUP(AW41,$U$5:$AJ$104,$AX$2+11,FALSE)</f>
        <v>#N/A</v>
      </c>
      <c r="BA41" s="4">
        <v>37</v>
      </c>
      <c r="BB41" s="2" t="e">
        <f>VLOOKUP(BA41,$W$5:$AJ$104,$BC$2,FALSE)</f>
        <v>#N/A</v>
      </c>
      <c r="BC41" s="6" t="e">
        <f>VLOOKUP(BA41,$W$5:$AJ$104,$BC$2+5,FALSE)</f>
        <v>#N/A</v>
      </c>
      <c r="BD41" s="58" t="e">
        <f>VLOOKUP(BB41,$W$5:$AJ$104,$BC$2+10,FALSE)</f>
        <v>#N/A</v>
      </c>
      <c r="BE41" s="9"/>
      <c r="BF41" s="4">
        <v>37</v>
      </c>
      <c r="BG41" s="2" t="e">
        <f>VLOOKUP(BF41,$Y$5:$AJ$104,$BH$2,FALSE)</f>
        <v>#N/A</v>
      </c>
      <c r="BH41" s="6" t="e">
        <f>VLOOKUP(BF41,$Y$5:$AJ$104,$BH$2+3,FALSE)</f>
        <v>#N/A</v>
      </c>
      <c r="BI41" s="2" t="e">
        <f>VLOOKUP(BF41,$Y$5:$AJ$104,$BH$2+4,FALSE)</f>
        <v>#N/A</v>
      </c>
      <c r="BJ41" s="2" t="e">
        <f>VLOOKUP(BG41,$Y$5:$AJ$104,$BH$2+9,FALSE)</f>
        <v>#N/A</v>
      </c>
      <c r="BL41" s="4">
        <v>37</v>
      </c>
      <c r="BM41" s="2" t="e">
        <f>VLOOKUP(BL41,$AA$5:$AJ$104,$BN$2,FALSE)</f>
        <v>#N/A</v>
      </c>
      <c r="BN41" s="6" t="e">
        <f>VLOOKUP(BL41,$AA$5:$AJ$104,$BN$2+1,FALSE)</f>
        <v>#N/A</v>
      </c>
      <c r="BO41" s="2" t="e">
        <f>VLOOKUP(BM41,$AA$5:$AJ$104,$BN$2+8,FALSE)</f>
        <v>#N/A</v>
      </c>
      <c r="BQ41" s="2" t="e">
        <f>'Eclectic B'!CD41</f>
        <v>#N/A</v>
      </c>
      <c r="BR41" s="6" t="e">
        <f>'Eclectic B'!CE41</f>
        <v>#N/A</v>
      </c>
      <c r="BS41" s="103" t="e">
        <f>'Eclectic B'!CF41</f>
        <v>#N/A</v>
      </c>
    </row>
    <row r="42" spans="1:71">
      <c r="A42" s="10" t="str">
        <f>IF(ISBLANK(Players!F40),"",Players!F40)</f>
        <v/>
      </c>
      <c r="B42" s="10" t="str">
        <f>IF(ISBLANK(Players!G40),"",Players!G40)</f>
        <v/>
      </c>
      <c r="C42" s="10" t="str">
        <f>IF(ISBLANK(Players!I40),"",Players!I40)</f>
        <v/>
      </c>
      <c r="D42" s="69" t="str">
        <f>IF(ISNUMBER(C42),MIN((C42*Rules!$N$14/113)+(Rules!$N$13-Rules!$N$12),Rules!$N$37),"-")</f>
        <v>-</v>
      </c>
      <c r="E42" s="69" t="str">
        <f>IF(ISNUMBER(C42),    ROUND( (D42*Rules!$N$11) / 100,0),"-")</f>
        <v>-</v>
      </c>
      <c r="F42" s="36" t="str">
        <f>IF(AND(ISNUMBER(C42),C42&gt;=Rules!$M$17,C42&lt;=Rules!$N$17),"Y","N")</f>
        <v>N</v>
      </c>
      <c r="G42" s="137" t="str">
        <f>'Eclectic B'!M42</f>
        <v>-</v>
      </c>
      <c r="H42" s="137" t="str">
        <f>'Eclectic B'!W42</f>
        <v>-</v>
      </c>
      <c r="I42" s="137" t="str">
        <f>'Eclectic B'!AJ42</f>
        <v>-</v>
      </c>
      <c r="J42" s="137" t="str">
        <f>'Eclectic B'!AT42</f>
        <v>-</v>
      </c>
      <c r="K42" s="14" t="str">
        <f t="shared" si="1"/>
        <v>-</v>
      </c>
      <c r="L42" s="14" t="str">
        <f t="shared" si="2"/>
        <v>-</v>
      </c>
      <c r="M42" s="14" t="str">
        <f t="shared" si="3"/>
        <v>-</v>
      </c>
      <c r="N42" s="14" t="str">
        <f t="shared" si="4"/>
        <v>-</v>
      </c>
      <c r="O42" s="14" t="str">
        <f t="shared" si="5"/>
        <v>-</v>
      </c>
      <c r="P42" s="14" t="str">
        <f t="shared" si="6"/>
        <v>-</v>
      </c>
      <c r="Q42" s="14" t="e">
        <f>RANK($K42,$K$5:$K$104,1)+COUNTIF(K$5:K42,K42)-1</f>
        <v>#VALUE!</v>
      </c>
      <c r="R42" s="14" t="e">
        <f t="shared" si="7"/>
        <v>#VALUE!</v>
      </c>
      <c r="S42" s="14" t="e">
        <f>RANK($L42,$L$5:$L$104,1)+COUNTIF(L$5:L42,L42)-1</f>
        <v>#VALUE!</v>
      </c>
      <c r="T42" s="14" t="e">
        <f t="shared" si="8"/>
        <v>#VALUE!</v>
      </c>
      <c r="U42" s="14" t="e">
        <f>RANK($M42,$M$5:$M$104,1)+COUNTIF(M$5:M42,M42)-1</f>
        <v>#VALUE!</v>
      </c>
      <c r="V42" s="14" t="e">
        <f t="shared" si="9"/>
        <v>#VALUE!</v>
      </c>
      <c r="W42" s="14" t="e">
        <f>RANK($N42,$N$5:$N$104,1)+COUNTIF(N$5:N42,N42)-1</f>
        <v>#VALUE!</v>
      </c>
      <c r="X42" s="14" t="e">
        <f t="shared" si="10"/>
        <v>#VALUE!</v>
      </c>
      <c r="Y42" s="14" t="e">
        <f>RANK($O42,$O$5:$O$104,1)+COUNTIF(O$5:O42,O42)-1</f>
        <v>#VALUE!</v>
      </c>
      <c r="Z42" s="14" t="e">
        <f t="shared" si="11"/>
        <v>#VALUE!</v>
      </c>
      <c r="AA42" s="14" t="e">
        <f>RANK($P42,$P$5:$P$104,1)+COUNTIF(P$5:P42,P42)-1</f>
        <v>#VALUE!</v>
      </c>
      <c r="AB42" s="14" t="e">
        <f t="shared" si="12"/>
        <v>#VALUE!</v>
      </c>
      <c r="AC42" s="1" t="str">
        <f t="shared" si="13"/>
        <v xml:space="preserve"> </v>
      </c>
      <c r="AD42" s="1" t="str">
        <f t="shared" si="14"/>
        <v>-</v>
      </c>
      <c r="AE42" s="35" t="str">
        <f t="shared" si="15"/>
        <v>-</v>
      </c>
      <c r="AF42" s="35" t="str">
        <f t="shared" si="15"/>
        <v>-</v>
      </c>
      <c r="AG42" s="35" t="str">
        <f t="shared" si="15"/>
        <v>-</v>
      </c>
      <c r="AH42" s="35" t="str">
        <f t="shared" si="15"/>
        <v>-</v>
      </c>
      <c r="AI42" s="35" t="str">
        <f t="shared" si="15"/>
        <v>-</v>
      </c>
      <c r="AJ42" s="35" t="str">
        <f t="shared" si="15"/>
        <v>-</v>
      </c>
      <c r="AL42" s="4">
        <v>38</v>
      </c>
      <c r="AM42" s="2" t="e">
        <f>VLOOKUP(AL42,Q$5:$AJ$104,$AN$2,FALSE)</f>
        <v>#N/A</v>
      </c>
      <c r="AN42" s="6" t="e">
        <f>VLOOKUP(AL42,Q$5:$AJ$104,$AN$2+11,FALSE)</f>
        <v>#N/A</v>
      </c>
      <c r="AO42" s="2" t="e">
        <f t="shared" si="16"/>
        <v>#N/A</v>
      </c>
      <c r="AQ42" s="4">
        <v>38</v>
      </c>
      <c r="AR42" s="2" t="e">
        <f>VLOOKUP(AQ42,$S$5:$AJ$104,$AS$2,FALSE)</f>
        <v>#N/A</v>
      </c>
      <c r="AS42" s="6" t="e">
        <f>VLOOKUP(AQ42,$S$5:$AJ$104,$AS$2+9,FALSE)</f>
        <v>#N/A</v>
      </c>
      <c r="AT42" s="2" t="e">
        <f>VLOOKUP(AR42,$S$5:$AJ$104,$AS$2+12,FALSE)</f>
        <v>#N/A</v>
      </c>
      <c r="AU42" s="9"/>
      <c r="AV42" s="4">
        <v>38</v>
      </c>
      <c r="AW42" s="2" t="e">
        <f>VLOOKUP(AV42,$U$5:$AJ$104,$AX$2,FALSE)</f>
        <v>#N/A</v>
      </c>
      <c r="AX42" s="6" t="e">
        <f>VLOOKUP(AV42,$U$5:$AJ$104,$AX$2+7,FALSE)</f>
        <v>#N/A</v>
      </c>
      <c r="AY42" s="2" t="e">
        <f>VLOOKUP(AW42,$U$5:$AJ$104,$AX$2+11,FALSE)</f>
        <v>#N/A</v>
      </c>
      <c r="BA42" s="4">
        <v>38</v>
      </c>
      <c r="BB42" s="2" t="e">
        <f>VLOOKUP(BA42,$W$5:$AJ$104,$BC$2,FALSE)</f>
        <v>#N/A</v>
      </c>
      <c r="BC42" s="6" t="e">
        <f>VLOOKUP(BA42,$W$5:$AJ$104,$BC$2+5,FALSE)</f>
        <v>#N/A</v>
      </c>
      <c r="BD42" s="58" t="e">
        <f>VLOOKUP(BB42,$W$5:$AJ$104,$BC$2+10,FALSE)</f>
        <v>#N/A</v>
      </c>
      <c r="BE42" s="9"/>
      <c r="BF42" s="4">
        <v>38</v>
      </c>
      <c r="BG42" s="2" t="e">
        <f>VLOOKUP(BF42,$Y$5:$AJ$104,$BH$2,FALSE)</f>
        <v>#N/A</v>
      </c>
      <c r="BH42" s="6" t="e">
        <f>VLOOKUP(BF42,$Y$5:$AJ$104,$BH$2+3,FALSE)</f>
        <v>#N/A</v>
      </c>
      <c r="BI42" s="2" t="e">
        <f>VLOOKUP(BF42,$Y$5:$AJ$104,$BH$2+4,FALSE)</f>
        <v>#N/A</v>
      </c>
      <c r="BJ42" s="2" t="e">
        <f>VLOOKUP(BG42,$Y$5:$AJ$104,$BH$2+9,FALSE)</f>
        <v>#N/A</v>
      </c>
      <c r="BL42" s="4">
        <v>38</v>
      </c>
      <c r="BM42" s="2" t="e">
        <f>VLOOKUP(BL42,$AA$5:$AJ$104,$BN$2,FALSE)</f>
        <v>#N/A</v>
      </c>
      <c r="BN42" s="6" t="e">
        <f>VLOOKUP(BL42,$AA$5:$AJ$104,$BN$2+1,FALSE)</f>
        <v>#N/A</v>
      </c>
      <c r="BO42" s="2" t="e">
        <f>VLOOKUP(BM42,$AA$5:$AJ$104,$BN$2+8,FALSE)</f>
        <v>#N/A</v>
      </c>
      <c r="BQ42" s="2" t="e">
        <f>'Eclectic B'!CD42</f>
        <v>#N/A</v>
      </c>
      <c r="BR42" s="6" t="e">
        <f>'Eclectic B'!CE42</f>
        <v>#N/A</v>
      </c>
      <c r="BS42" s="103" t="e">
        <f>'Eclectic B'!CF42</f>
        <v>#N/A</v>
      </c>
    </row>
    <row r="43" spans="1:71">
      <c r="A43" s="10" t="str">
        <f>IF(ISBLANK(Players!F41),"",Players!F41)</f>
        <v/>
      </c>
      <c r="B43" s="10" t="str">
        <f>IF(ISBLANK(Players!G41),"",Players!G41)</f>
        <v/>
      </c>
      <c r="C43" s="10" t="str">
        <f>IF(ISBLANK(Players!I41),"",Players!I41)</f>
        <v/>
      </c>
      <c r="D43" s="69" t="str">
        <f>IF(ISNUMBER(C43),MIN((C43*Rules!$N$14/113)+(Rules!$N$13-Rules!$N$12),Rules!$N$37),"-")</f>
        <v>-</v>
      </c>
      <c r="E43" s="69" t="str">
        <f>IF(ISNUMBER(C43),    ROUND( (D43*Rules!$N$11) / 100,0),"-")</f>
        <v>-</v>
      </c>
      <c r="F43" s="36" t="str">
        <f>IF(AND(ISNUMBER(C43),C43&gt;=Rules!$M$17,C43&lt;=Rules!$N$17),"Y","N")</f>
        <v>N</v>
      </c>
      <c r="G43" s="137" t="str">
        <f>'Eclectic B'!M43</f>
        <v>-</v>
      </c>
      <c r="H43" s="137" t="str">
        <f>'Eclectic B'!W43</f>
        <v>-</v>
      </c>
      <c r="I43" s="137" t="str">
        <f>'Eclectic B'!AJ43</f>
        <v>-</v>
      </c>
      <c r="J43" s="137" t="str">
        <f>'Eclectic B'!AT43</f>
        <v>-</v>
      </c>
      <c r="K43" s="14" t="str">
        <f t="shared" si="1"/>
        <v>-</v>
      </c>
      <c r="L43" s="14" t="str">
        <f t="shared" si="2"/>
        <v>-</v>
      </c>
      <c r="M43" s="14" t="str">
        <f t="shared" si="3"/>
        <v>-</v>
      </c>
      <c r="N43" s="14" t="str">
        <f t="shared" si="4"/>
        <v>-</v>
      </c>
      <c r="O43" s="14" t="str">
        <f t="shared" si="5"/>
        <v>-</v>
      </c>
      <c r="P43" s="14" t="str">
        <f t="shared" si="6"/>
        <v>-</v>
      </c>
      <c r="Q43" s="14" t="e">
        <f>RANK($K43,$K$5:$K$104,1)+COUNTIF(K$5:K43,K43)-1</f>
        <v>#VALUE!</v>
      </c>
      <c r="R43" s="14" t="e">
        <f t="shared" si="7"/>
        <v>#VALUE!</v>
      </c>
      <c r="S43" s="14" t="e">
        <f>RANK($L43,$L$5:$L$104,1)+COUNTIF(L$5:L43,L43)-1</f>
        <v>#VALUE!</v>
      </c>
      <c r="T43" s="14" t="e">
        <f t="shared" si="8"/>
        <v>#VALUE!</v>
      </c>
      <c r="U43" s="14" t="e">
        <f>RANK($M43,$M$5:$M$104,1)+COUNTIF(M$5:M43,M43)-1</f>
        <v>#VALUE!</v>
      </c>
      <c r="V43" s="14" t="e">
        <f t="shared" si="9"/>
        <v>#VALUE!</v>
      </c>
      <c r="W43" s="14" t="e">
        <f>RANK($N43,$N$5:$N$104,1)+COUNTIF(N$5:N43,N43)-1</f>
        <v>#VALUE!</v>
      </c>
      <c r="X43" s="14" t="e">
        <f t="shared" si="10"/>
        <v>#VALUE!</v>
      </c>
      <c r="Y43" s="14" t="e">
        <f>RANK($O43,$O$5:$O$104,1)+COUNTIF(O$5:O43,O43)-1</f>
        <v>#VALUE!</v>
      </c>
      <c r="Z43" s="14" t="e">
        <f t="shared" si="11"/>
        <v>#VALUE!</v>
      </c>
      <c r="AA43" s="14" t="e">
        <f>RANK($P43,$P$5:$P$104,1)+COUNTIF(P$5:P43,P43)-1</f>
        <v>#VALUE!</v>
      </c>
      <c r="AB43" s="14" t="e">
        <f t="shared" si="12"/>
        <v>#VALUE!</v>
      </c>
      <c r="AC43" s="1" t="str">
        <f t="shared" si="13"/>
        <v xml:space="preserve"> </v>
      </c>
      <c r="AD43" s="1" t="str">
        <f t="shared" si="14"/>
        <v>-</v>
      </c>
      <c r="AE43" s="35" t="str">
        <f t="shared" si="15"/>
        <v>-</v>
      </c>
      <c r="AF43" s="35" t="str">
        <f t="shared" si="15"/>
        <v>-</v>
      </c>
      <c r="AG43" s="35" t="str">
        <f t="shared" si="15"/>
        <v>-</v>
      </c>
      <c r="AH43" s="35" t="str">
        <f t="shared" si="15"/>
        <v>-</v>
      </c>
      <c r="AI43" s="35" t="str">
        <f t="shared" si="15"/>
        <v>-</v>
      </c>
      <c r="AJ43" s="35" t="str">
        <f t="shared" si="15"/>
        <v>-</v>
      </c>
      <c r="AL43" s="4">
        <v>39</v>
      </c>
      <c r="AM43" s="2" t="e">
        <f>VLOOKUP(AL43,Q$5:$AJ$104,$AN$2,FALSE)</f>
        <v>#N/A</v>
      </c>
      <c r="AN43" s="6" t="e">
        <f>VLOOKUP(AL43,Q$5:$AJ$104,$AN$2+11,FALSE)</f>
        <v>#N/A</v>
      </c>
      <c r="AO43" s="2" t="e">
        <f t="shared" si="16"/>
        <v>#N/A</v>
      </c>
      <c r="AQ43" s="4">
        <v>39</v>
      </c>
      <c r="AR43" s="2" t="e">
        <f>VLOOKUP(AQ43,$S$5:$AJ$104,$AS$2,FALSE)</f>
        <v>#N/A</v>
      </c>
      <c r="AS43" s="6" t="e">
        <f>VLOOKUP(AQ43,$S$5:$AJ$104,$AS$2+9,FALSE)</f>
        <v>#N/A</v>
      </c>
      <c r="AT43" s="2" t="e">
        <f>VLOOKUP(AR43,$S$5:$AJ$104,$AS$2+12,FALSE)</f>
        <v>#N/A</v>
      </c>
      <c r="AU43" s="9"/>
      <c r="AV43" s="4">
        <v>39</v>
      </c>
      <c r="AW43" s="2" t="e">
        <f>VLOOKUP(AV43,$U$5:$AJ$104,$AX$2,FALSE)</f>
        <v>#N/A</v>
      </c>
      <c r="AX43" s="6" t="e">
        <f>VLOOKUP(AV43,$U$5:$AJ$104,$AX$2+7,FALSE)</f>
        <v>#N/A</v>
      </c>
      <c r="AY43" s="2" t="e">
        <f>VLOOKUP(AW43,$U$5:$AJ$104,$AX$2+11,FALSE)</f>
        <v>#N/A</v>
      </c>
      <c r="BA43" s="4">
        <v>39</v>
      </c>
      <c r="BB43" s="2" t="e">
        <f>VLOOKUP(BA43,$W$5:$AJ$104,$BC$2,FALSE)</f>
        <v>#N/A</v>
      </c>
      <c r="BC43" s="6" t="e">
        <f>VLOOKUP(BA43,$W$5:$AJ$104,$BC$2+5,FALSE)</f>
        <v>#N/A</v>
      </c>
      <c r="BD43" s="58" t="e">
        <f>VLOOKUP(BB43,$W$5:$AJ$104,$BC$2+10,FALSE)</f>
        <v>#N/A</v>
      </c>
      <c r="BE43" s="9"/>
      <c r="BF43" s="4">
        <v>39</v>
      </c>
      <c r="BG43" s="2" t="e">
        <f>VLOOKUP(BF43,$Y$5:$AJ$104,$BH$2,FALSE)</f>
        <v>#N/A</v>
      </c>
      <c r="BH43" s="6" t="e">
        <f>VLOOKUP(BF43,$Y$5:$AJ$104,$BH$2+3,FALSE)</f>
        <v>#N/A</v>
      </c>
      <c r="BI43" s="2" t="e">
        <f>VLOOKUP(BF43,$Y$5:$AJ$104,$BH$2+4,FALSE)</f>
        <v>#N/A</v>
      </c>
      <c r="BJ43" s="2" t="e">
        <f>VLOOKUP(BG43,$Y$5:$AJ$104,$BH$2+9,FALSE)</f>
        <v>#N/A</v>
      </c>
      <c r="BL43" s="4">
        <v>39</v>
      </c>
      <c r="BM43" s="2" t="e">
        <f>VLOOKUP(BL43,$AA$5:$AJ$104,$BN$2,FALSE)</f>
        <v>#N/A</v>
      </c>
      <c r="BN43" s="6" t="e">
        <f>VLOOKUP(BL43,$AA$5:$AJ$104,$BN$2+1,FALSE)</f>
        <v>#N/A</v>
      </c>
      <c r="BO43" s="2" t="e">
        <f>VLOOKUP(BM43,$AA$5:$AJ$104,$BN$2+8,FALSE)</f>
        <v>#N/A</v>
      </c>
      <c r="BQ43" s="2" t="e">
        <f>'Eclectic B'!CD43</f>
        <v>#N/A</v>
      </c>
      <c r="BR43" s="6" t="e">
        <f>'Eclectic B'!CE43</f>
        <v>#N/A</v>
      </c>
      <c r="BS43" s="103" t="e">
        <f>'Eclectic B'!CF43</f>
        <v>#N/A</v>
      </c>
    </row>
    <row r="44" spans="1:71">
      <c r="A44" s="10" t="str">
        <f>IF(ISBLANK(Players!F42),"",Players!F42)</f>
        <v/>
      </c>
      <c r="B44" s="10" t="str">
        <f>IF(ISBLANK(Players!G42),"",Players!G42)</f>
        <v/>
      </c>
      <c r="C44" s="10" t="str">
        <f>IF(ISBLANK(Players!I42),"",Players!I42)</f>
        <v/>
      </c>
      <c r="D44" s="69" t="str">
        <f>IF(ISNUMBER(C44),MIN((C44*Rules!$N$14/113)+(Rules!$N$13-Rules!$N$12),Rules!$N$37),"-")</f>
        <v>-</v>
      </c>
      <c r="E44" s="69" t="str">
        <f>IF(ISNUMBER(C44),    ROUND( (D44*Rules!$N$11) / 100,0),"-")</f>
        <v>-</v>
      </c>
      <c r="F44" s="36" t="str">
        <f>IF(AND(ISNUMBER(C44),C44&gt;=Rules!$M$17,C44&lt;=Rules!$N$17),"Y","N")</f>
        <v>N</v>
      </c>
      <c r="G44" s="137" t="str">
        <f>'Eclectic B'!M44</f>
        <v>-</v>
      </c>
      <c r="H44" s="137" t="str">
        <f>'Eclectic B'!W44</f>
        <v>-</v>
      </c>
      <c r="I44" s="137" t="str">
        <f>'Eclectic B'!AJ44</f>
        <v>-</v>
      </c>
      <c r="J44" s="137" t="str">
        <f>'Eclectic B'!AT44</f>
        <v>-</v>
      </c>
      <c r="K44" s="14" t="str">
        <f t="shared" si="1"/>
        <v>-</v>
      </c>
      <c r="L44" s="14" t="str">
        <f t="shared" si="2"/>
        <v>-</v>
      </c>
      <c r="M44" s="14" t="str">
        <f t="shared" si="3"/>
        <v>-</v>
      </c>
      <c r="N44" s="14" t="str">
        <f t="shared" si="4"/>
        <v>-</v>
      </c>
      <c r="O44" s="14" t="str">
        <f t="shared" si="5"/>
        <v>-</v>
      </c>
      <c r="P44" s="14" t="str">
        <f t="shared" si="6"/>
        <v>-</v>
      </c>
      <c r="Q44" s="14" t="e">
        <f>RANK($K44,$K$5:$K$104,1)+COUNTIF(K$5:K44,K44)-1</f>
        <v>#VALUE!</v>
      </c>
      <c r="R44" s="14" t="e">
        <f t="shared" si="7"/>
        <v>#VALUE!</v>
      </c>
      <c r="S44" s="14" t="e">
        <f>RANK($L44,$L$5:$L$104,1)+COUNTIF(L$5:L44,L44)-1</f>
        <v>#VALUE!</v>
      </c>
      <c r="T44" s="14" t="e">
        <f t="shared" si="8"/>
        <v>#VALUE!</v>
      </c>
      <c r="U44" s="14" t="e">
        <f>RANK($M44,$M$5:$M$104,1)+COUNTIF(M$5:M44,M44)-1</f>
        <v>#VALUE!</v>
      </c>
      <c r="V44" s="14" t="e">
        <f t="shared" si="9"/>
        <v>#VALUE!</v>
      </c>
      <c r="W44" s="14" t="e">
        <f>RANK($N44,$N$5:$N$104,1)+COUNTIF(N$5:N44,N44)-1</f>
        <v>#VALUE!</v>
      </c>
      <c r="X44" s="14" t="e">
        <f t="shared" si="10"/>
        <v>#VALUE!</v>
      </c>
      <c r="Y44" s="14" t="e">
        <f>RANK($O44,$O$5:$O$104,1)+COUNTIF(O$5:O44,O44)-1</f>
        <v>#VALUE!</v>
      </c>
      <c r="Z44" s="14" t="e">
        <f t="shared" si="11"/>
        <v>#VALUE!</v>
      </c>
      <c r="AA44" s="14" t="e">
        <f>RANK($P44,$P$5:$P$104,1)+COUNTIF(P$5:P44,P44)-1</f>
        <v>#VALUE!</v>
      </c>
      <c r="AB44" s="14" t="e">
        <f t="shared" si="12"/>
        <v>#VALUE!</v>
      </c>
      <c r="AC44" s="1" t="str">
        <f t="shared" si="13"/>
        <v xml:space="preserve"> </v>
      </c>
      <c r="AD44" s="1" t="str">
        <f t="shared" si="14"/>
        <v>-</v>
      </c>
      <c r="AE44" s="35" t="str">
        <f t="shared" si="15"/>
        <v>-</v>
      </c>
      <c r="AF44" s="35" t="str">
        <f t="shared" si="15"/>
        <v>-</v>
      </c>
      <c r="AG44" s="35" t="str">
        <f t="shared" si="15"/>
        <v>-</v>
      </c>
      <c r="AH44" s="35" t="str">
        <f t="shared" si="15"/>
        <v>-</v>
      </c>
      <c r="AI44" s="35" t="str">
        <f t="shared" si="15"/>
        <v>-</v>
      </c>
      <c r="AJ44" s="35" t="str">
        <f t="shared" si="15"/>
        <v>-</v>
      </c>
      <c r="AL44" s="4">
        <v>40</v>
      </c>
      <c r="AM44" s="2" t="e">
        <f>VLOOKUP(AL44,Q$5:$AJ$104,$AN$2,FALSE)</f>
        <v>#N/A</v>
      </c>
      <c r="AN44" s="6" t="e">
        <f>VLOOKUP(AL44,Q$5:$AJ$104,$AN$2+11,FALSE)</f>
        <v>#N/A</v>
      </c>
      <c r="AO44" s="2" t="e">
        <f t="shared" si="16"/>
        <v>#N/A</v>
      </c>
      <c r="AQ44" s="4">
        <v>40</v>
      </c>
      <c r="AR44" s="2" t="e">
        <f>VLOOKUP(AQ44,$S$5:$AJ$104,$AS$2,FALSE)</f>
        <v>#N/A</v>
      </c>
      <c r="AS44" s="6" t="e">
        <f>VLOOKUP(AQ44,$S$5:$AJ$104,$AS$2+9,FALSE)</f>
        <v>#N/A</v>
      </c>
      <c r="AT44" s="2" t="e">
        <f>VLOOKUP(AR44,$S$5:$AJ$104,$AS$2+12,FALSE)</f>
        <v>#N/A</v>
      </c>
      <c r="AU44" s="9"/>
      <c r="AV44" s="4">
        <v>40</v>
      </c>
      <c r="AW44" s="2" t="e">
        <f>VLOOKUP(AV44,$U$5:$AJ$104,$AX$2,FALSE)</f>
        <v>#N/A</v>
      </c>
      <c r="AX44" s="6" t="e">
        <f>VLOOKUP(AV44,$U$5:$AJ$104,$AX$2+7,FALSE)</f>
        <v>#N/A</v>
      </c>
      <c r="AY44" s="2" t="e">
        <f>VLOOKUP(AW44,$U$5:$AJ$104,$AX$2+11,FALSE)</f>
        <v>#N/A</v>
      </c>
      <c r="BA44" s="4">
        <v>40</v>
      </c>
      <c r="BB44" s="2" t="e">
        <f>VLOOKUP(BA44,$W$5:$AJ$104,$BC$2,FALSE)</f>
        <v>#N/A</v>
      </c>
      <c r="BC44" s="6" t="e">
        <f>VLOOKUP(BA44,$W$5:$AJ$104,$BC$2+5,FALSE)</f>
        <v>#N/A</v>
      </c>
      <c r="BD44" s="58" t="e">
        <f>VLOOKUP(BB44,$W$5:$AJ$104,$BC$2+10,FALSE)</f>
        <v>#N/A</v>
      </c>
      <c r="BE44" s="9"/>
      <c r="BF44" s="4">
        <v>40</v>
      </c>
      <c r="BG44" s="2" t="e">
        <f>VLOOKUP(BF44,$Y$5:$AJ$104,$BH$2,FALSE)</f>
        <v>#N/A</v>
      </c>
      <c r="BH44" s="6" t="e">
        <f>VLOOKUP(BF44,$Y$5:$AJ$104,$BH$2+3,FALSE)</f>
        <v>#N/A</v>
      </c>
      <c r="BI44" s="2" t="e">
        <f>VLOOKUP(BF44,$Y$5:$AJ$104,$BH$2+4,FALSE)</f>
        <v>#N/A</v>
      </c>
      <c r="BJ44" s="2" t="e">
        <f>VLOOKUP(BG44,$Y$5:$AJ$104,$BH$2+9,FALSE)</f>
        <v>#N/A</v>
      </c>
      <c r="BL44" s="4">
        <v>40</v>
      </c>
      <c r="BM44" s="2" t="e">
        <f>VLOOKUP(BL44,$AA$5:$AJ$104,$BN$2,FALSE)</f>
        <v>#N/A</v>
      </c>
      <c r="BN44" s="6" t="e">
        <f>VLOOKUP(BL44,$AA$5:$AJ$104,$BN$2+1,FALSE)</f>
        <v>#N/A</v>
      </c>
      <c r="BO44" s="2" t="e">
        <f>VLOOKUP(BM44,$AA$5:$AJ$104,$BN$2+8,FALSE)</f>
        <v>#N/A</v>
      </c>
      <c r="BQ44" s="2" t="e">
        <f>'Eclectic B'!CD44</f>
        <v>#N/A</v>
      </c>
      <c r="BR44" s="6" t="e">
        <f>'Eclectic B'!CE44</f>
        <v>#N/A</v>
      </c>
      <c r="BS44" s="103" t="e">
        <f>'Eclectic B'!CF44</f>
        <v>#N/A</v>
      </c>
    </row>
    <row r="45" spans="1:71">
      <c r="A45" s="10" t="str">
        <f>IF(ISBLANK(Players!F43),"",Players!F43)</f>
        <v/>
      </c>
      <c r="B45" s="10" t="str">
        <f>IF(ISBLANK(Players!G43),"",Players!G43)</f>
        <v/>
      </c>
      <c r="C45" s="10" t="str">
        <f>IF(ISBLANK(Players!I43),"",Players!I43)</f>
        <v/>
      </c>
      <c r="D45" s="69" t="str">
        <f>IF(ISNUMBER(C45),MIN((C45*Rules!$N$14/113)+(Rules!$N$13-Rules!$N$12),Rules!$N$37),"-")</f>
        <v>-</v>
      </c>
      <c r="E45" s="69" t="str">
        <f>IF(ISNUMBER(C45),    ROUND( (D45*Rules!$N$11) / 100,0),"-")</f>
        <v>-</v>
      </c>
      <c r="F45" s="36" t="str">
        <f>IF(AND(ISNUMBER(C45),C45&gt;=Rules!$M$17,C45&lt;=Rules!$N$17),"Y","N")</f>
        <v>N</v>
      </c>
      <c r="G45" s="137" t="str">
        <f>'Eclectic B'!M45</f>
        <v>-</v>
      </c>
      <c r="H45" s="137" t="str">
        <f>'Eclectic B'!W45</f>
        <v>-</v>
      </c>
      <c r="I45" s="137" t="str">
        <f>'Eclectic B'!AJ45</f>
        <v>-</v>
      </c>
      <c r="J45" s="137" t="str">
        <f>'Eclectic B'!AT45</f>
        <v>-</v>
      </c>
      <c r="K45" s="14" t="str">
        <f t="shared" si="1"/>
        <v>-</v>
      </c>
      <c r="L45" s="14" t="str">
        <f t="shared" si="2"/>
        <v>-</v>
      </c>
      <c r="M45" s="14" t="str">
        <f t="shared" si="3"/>
        <v>-</v>
      </c>
      <c r="N45" s="14" t="str">
        <f t="shared" si="4"/>
        <v>-</v>
      </c>
      <c r="O45" s="14" t="str">
        <f t="shared" si="5"/>
        <v>-</v>
      </c>
      <c r="P45" s="14" t="str">
        <f t="shared" si="6"/>
        <v>-</v>
      </c>
      <c r="Q45" s="14" t="e">
        <f>RANK($K45,$K$5:$K$104,1)+COUNTIF(K$5:K45,K45)-1</f>
        <v>#VALUE!</v>
      </c>
      <c r="R45" s="14" t="e">
        <f t="shared" si="7"/>
        <v>#VALUE!</v>
      </c>
      <c r="S45" s="14" t="e">
        <f>RANK($L45,$L$5:$L$104,1)+COUNTIF(L$5:L45,L45)-1</f>
        <v>#VALUE!</v>
      </c>
      <c r="T45" s="14" t="e">
        <f t="shared" si="8"/>
        <v>#VALUE!</v>
      </c>
      <c r="U45" s="14" t="e">
        <f>RANK($M45,$M$5:$M$104,1)+COUNTIF(M$5:M45,M45)-1</f>
        <v>#VALUE!</v>
      </c>
      <c r="V45" s="14" t="e">
        <f t="shared" si="9"/>
        <v>#VALUE!</v>
      </c>
      <c r="W45" s="14" t="e">
        <f>RANK($N45,$N$5:$N$104,1)+COUNTIF(N$5:N45,N45)-1</f>
        <v>#VALUE!</v>
      </c>
      <c r="X45" s="14" t="e">
        <f t="shared" si="10"/>
        <v>#VALUE!</v>
      </c>
      <c r="Y45" s="14" t="e">
        <f>RANK($O45,$O$5:$O$104,1)+COUNTIF(O$5:O45,O45)-1</f>
        <v>#VALUE!</v>
      </c>
      <c r="Z45" s="14" t="e">
        <f t="shared" si="11"/>
        <v>#VALUE!</v>
      </c>
      <c r="AA45" s="14" t="e">
        <f>RANK($P45,$P$5:$P$104,1)+COUNTIF(P$5:P45,P45)-1</f>
        <v>#VALUE!</v>
      </c>
      <c r="AB45" s="14" t="e">
        <f t="shared" si="12"/>
        <v>#VALUE!</v>
      </c>
      <c r="AC45" s="1" t="str">
        <f t="shared" si="13"/>
        <v xml:space="preserve"> </v>
      </c>
      <c r="AD45" s="1" t="str">
        <f t="shared" si="14"/>
        <v>-</v>
      </c>
      <c r="AE45" s="35" t="str">
        <f t="shared" si="15"/>
        <v>-</v>
      </c>
      <c r="AF45" s="35" t="str">
        <f t="shared" si="15"/>
        <v>-</v>
      </c>
      <c r="AG45" s="35" t="str">
        <f t="shared" si="15"/>
        <v>-</v>
      </c>
      <c r="AH45" s="35" t="str">
        <f t="shared" si="15"/>
        <v>-</v>
      </c>
      <c r="AI45" s="35" t="str">
        <f t="shared" si="15"/>
        <v>-</v>
      </c>
      <c r="AJ45" s="35" t="str">
        <f t="shared" si="15"/>
        <v>-</v>
      </c>
      <c r="AL45" s="4">
        <v>41</v>
      </c>
      <c r="AM45" s="2" t="e">
        <f>VLOOKUP(AL45,Q$5:$AJ$104,$AN$2,FALSE)</f>
        <v>#N/A</v>
      </c>
      <c r="AN45" s="6" t="e">
        <f>VLOOKUP(AL45,Q$5:$AJ$104,$AN$2+11,FALSE)</f>
        <v>#N/A</v>
      </c>
      <c r="AO45" s="2" t="e">
        <f t="shared" si="16"/>
        <v>#N/A</v>
      </c>
      <c r="AQ45" s="4">
        <v>41</v>
      </c>
      <c r="AR45" s="2" t="e">
        <f>VLOOKUP(AQ45,$S$5:$AJ$104,$AS$2,FALSE)</f>
        <v>#N/A</v>
      </c>
      <c r="AS45" s="6" t="e">
        <f>VLOOKUP(AQ45,$S$5:$AJ$104,$AS$2+9,FALSE)</f>
        <v>#N/A</v>
      </c>
      <c r="AT45" s="2" t="e">
        <f>VLOOKUP(AR45,$S$5:$AJ$104,$AS$2+12,FALSE)</f>
        <v>#N/A</v>
      </c>
      <c r="AU45" s="9"/>
      <c r="AV45" s="4">
        <v>41</v>
      </c>
      <c r="AW45" s="2" t="e">
        <f>VLOOKUP(AV45,$U$5:$AJ$104,$AX$2,FALSE)</f>
        <v>#N/A</v>
      </c>
      <c r="AX45" s="6" t="e">
        <f>VLOOKUP(AV45,$U$5:$AJ$104,$AX$2+7,FALSE)</f>
        <v>#N/A</v>
      </c>
      <c r="AY45" s="2" t="e">
        <f>VLOOKUP(AW45,$U$5:$AJ$104,$AX$2+11,FALSE)</f>
        <v>#N/A</v>
      </c>
      <c r="BA45" s="4">
        <v>41</v>
      </c>
      <c r="BB45" s="2" t="e">
        <f>VLOOKUP(BA45,$W$5:$AJ$104,$BC$2,FALSE)</f>
        <v>#N/A</v>
      </c>
      <c r="BC45" s="6" t="e">
        <f>VLOOKUP(BA45,$W$5:$AJ$104,$BC$2+5,FALSE)</f>
        <v>#N/A</v>
      </c>
      <c r="BD45" s="58" t="e">
        <f>VLOOKUP(BB45,$W$5:$AJ$104,$BC$2+10,FALSE)</f>
        <v>#N/A</v>
      </c>
      <c r="BE45" s="9"/>
      <c r="BF45" s="4">
        <v>41</v>
      </c>
      <c r="BG45" s="2" t="e">
        <f>VLOOKUP(BF45,$Y$5:$AJ$104,$BH$2,FALSE)</f>
        <v>#N/A</v>
      </c>
      <c r="BH45" s="6" t="e">
        <f>VLOOKUP(BF45,$Y$5:$AJ$104,$BH$2+3,FALSE)</f>
        <v>#N/A</v>
      </c>
      <c r="BI45" s="2" t="e">
        <f>VLOOKUP(BF45,$Y$5:$AJ$104,$BH$2+4,FALSE)</f>
        <v>#N/A</v>
      </c>
      <c r="BJ45" s="2" t="e">
        <f>VLOOKUP(BG45,$Y$5:$AJ$104,$BH$2+9,FALSE)</f>
        <v>#N/A</v>
      </c>
      <c r="BL45" s="4">
        <v>41</v>
      </c>
      <c r="BM45" s="2" t="e">
        <f>VLOOKUP(BL45,$AA$5:$AJ$104,$BN$2,FALSE)</f>
        <v>#N/A</v>
      </c>
      <c r="BN45" s="6" t="e">
        <f>VLOOKUP(BL45,$AA$5:$AJ$104,$BN$2+1,FALSE)</f>
        <v>#N/A</v>
      </c>
      <c r="BO45" s="2" t="e">
        <f>VLOOKUP(BM45,$AA$5:$AJ$104,$BN$2+8,FALSE)</f>
        <v>#N/A</v>
      </c>
      <c r="BQ45" s="2" t="e">
        <f>'Eclectic B'!CD45</f>
        <v>#N/A</v>
      </c>
      <c r="BR45" s="6" t="e">
        <f>'Eclectic B'!CE45</f>
        <v>#N/A</v>
      </c>
      <c r="BS45" s="103" t="e">
        <f>'Eclectic B'!CF45</f>
        <v>#N/A</v>
      </c>
    </row>
    <row r="46" spans="1:71">
      <c r="A46" s="10" t="str">
        <f>IF(ISBLANK(Players!F44),"",Players!F44)</f>
        <v/>
      </c>
      <c r="B46" s="10" t="str">
        <f>IF(ISBLANK(Players!G44),"",Players!G44)</f>
        <v/>
      </c>
      <c r="C46" s="10" t="str">
        <f>IF(ISBLANK(Players!I44),"",Players!I44)</f>
        <v/>
      </c>
      <c r="D46" s="69" t="str">
        <f>IF(ISNUMBER(C46),MIN((C46*Rules!$N$14/113)+(Rules!$N$13-Rules!$N$12),Rules!$N$37),"-")</f>
        <v>-</v>
      </c>
      <c r="E46" s="69" t="str">
        <f>IF(ISNUMBER(C46),    ROUND( (D46*Rules!$N$11) / 100,0),"-")</f>
        <v>-</v>
      </c>
      <c r="F46" s="36" t="str">
        <f>IF(AND(ISNUMBER(C46),C46&gt;=Rules!$M$17,C46&lt;=Rules!$N$17),"Y","N")</f>
        <v>N</v>
      </c>
      <c r="G46" s="137" t="str">
        <f>'Eclectic B'!M46</f>
        <v>-</v>
      </c>
      <c r="H46" s="137" t="str">
        <f>'Eclectic B'!W46</f>
        <v>-</v>
      </c>
      <c r="I46" s="137" t="str">
        <f>'Eclectic B'!AJ46</f>
        <v>-</v>
      </c>
      <c r="J46" s="137" t="str">
        <f>'Eclectic B'!AT46</f>
        <v>-</v>
      </c>
      <c r="K46" s="14" t="str">
        <f t="shared" si="1"/>
        <v>-</v>
      </c>
      <c r="L46" s="14" t="str">
        <f t="shared" si="2"/>
        <v>-</v>
      </c>
      <c r="M46" s="14" t="str">
        <f t="shared" si="3"/>
        <v>-</v>
      </c>
      <c r="N46" s="14" t="str">
        <f t="shared" si="4"/>
        <v>-</v>
      </c>
      <c r="O46" s="14" t="str">
        <f t="shared" si="5"/>
        <v>-</v>
      </c>
      <c r="P46" s="14" t="str">
        <f t="shared" si="6"/>
        <v>-</v>
      </c>
      <c r="Q46" s="14" t="e">
        <f>RANK($K46,$K$5:$K$104,1)+COUNTIF(K$5:K46,K46)-1</f>
        <v>#VALUE!</v>
      </c>
      <c r="R46" s="14" t="e">
        <f t="shared" si="7"/>
        <v>#VALUE!</v>
      </c>
      <c r="S46" s="14" t="e">
        <f>RANK($L46,$L$5:$L$104,1)+COUNTIF(L$5:L46,L46)-1</f>
        <v>#VALUE!</v>
      </c>
      <c r="T46" s="14" t="e">
        <f t="shared" si="8"/>
        <v>#VALUE!</v>
      </c>
      <c r="U46" s="14" t="e">
        <f>RANK($M46,$M$5:$M$104,1)+COUNTIF(M$5:M46,M46)-1</f>
        <v>#VALUE!</v>
      </c>
      <c r="V46" s="14" t="e">
        <f t="shared" si="9"/>
        <v>#VALUE!</v>
      </c>
      <c r="W46" s="14" t="e">
        <f>RANK($N46,$N$5:$N$104,1)+COUNTIF(N$5:N46,N46)-1</f>
        <v>#VALUE!</v>
      </c>
      <c r="X46" s="14" t="e">
        <f t="shared" si="10"/>
        <v>#VALUE!</v>
      </c>
      <c r="Y46" s="14" t="e">
        <f>RANK($O46,$O$5:$O$104,1)+COUNTIF(O$5:O46,O46)-1</f>
        <v>#VALUE!</v>
      </c>
      <c r="Z46" s="14" t="e">
        <f t="shared" si="11"/>
        <v>#VALUE!</v>
      </c>
      <c r="AA46" s="14" t="e">
        <f>RANK($P46,$P$5:$P$104,1)+COUNTIF(P$5:P46,P46)-1</f>
        <v>#VALUE!</v>
      </c>
      <c r="AB46" s="14" t="e">
        <f t="shared" si="12"/>
        <v>#VALUE!</v>
      </c>
      <c r="AC46" s="1" t="str">
        <f t="shared" si="13"/>
        <v xml:space="preserve"> </v>
      </c>
      <c r="AD46" s="1" t="str">
        <f t="shared" si="14"/>
        <v>-</v>
      </c>
      <c r="AE46" s="35" t="str">
        <f t="shared" si="15"/>
        <v>-</v>
      </c>
      <c r="AF46" s="35" t="str">
        <f t="shared" si="15"/>
        <v>-</v>
      </c>
      <c r="AG46" s="35" t="str">
        <f t="shared" si="15"/>
        <v>-</v>
      </c>
      <c r="AH46" s="35" t="str">
        <f t="shared" si="15"/>
        <v>-</v>
      </c>
      <c r="AI46" s="35" t="str">
        <f t="shared" si="15"/>
        <v>-</v>
      </c>
      <c r="AJ46" s="35" t="str">
        <f t="shared" si="15"/>
        <v>-</v>
      </c>
      <c r="AL46" s="4">
        <v>42</v>
      </c>
      <c r="AM46" s="2" t="e">
        <f>VLOOKUP(AL46,Q$5:$AJ$104,$AN$2,FALSE)</f>
        <v>#N/A</v>
      </c>
      <c r="AN46" s="6" t="e">
        <f>VLOOKUP(AL46,Q$5:$AJ$104,$AN$2+11,FALSE)</f>
        <v>#N/A</v>
      </c>
      <c r="AO46" s="2" t="e">
        <f t="shared" si="16"/>
        <v>#N/A</v>
      </c>
      <c r="AQ46" s="4">
        <v>42</v>
      </c>
      <c r="AR46" s="2" t="e">
        <f>VLOOKUP(AQ46,$S$5:$AJ$104,$AS$2,FALSE)</f>
        <v>#N/A</v>
      </c>
      <c r="AS46" s="6" t="e">
        <f>VLOOKUP(AQ46,$S$5:$AJ$104,$AS$2+9,FALSE)</f>
        <v>#N/A</v>
      </c>
      <c r="AT46" s="2" t="e">
        <f>VLOOKUP(AR46,$S$5:$AJ$104,$AS$2+12,FALSE)</f>
        <v>#N/A</v>
      </c>
      <c r="AU46" s="9"/>
      <c r="AV46" s="4">
        <v>42</v>
      </c>
      <c r="AW46" s="2" t="e">
        <f>VLOOKUP(AV46,$U$5:$AJ$104,$AX$2,FALSE)</f>
        <v>#N/A</v>
      </c>
      <c r="AX46" s="6" t="e">
        <f>VLOOKUP(AV46,$U$5:$AJ$104,$AX$2+7,FALSE)</f>
        <v>#N/A</v>
      </c>
      <c r="AY46" s="2" t="e">
        <f>VLOOKUP(AW46,$U$5:$AJ$104,$AX$2+11,FALSE)</f>
        <v>#N/A</v>
      </c>
      <c r="BA46" s="4">
        <v>42</v>
      </c>
      <c r="BB46" s="2" t="e">
        <f>VLOOKUP(BA46,$W$5:$AJ$104,$BC$2,FALSE)</f>
        <v>#N/A</v>
      </c>
      <c r="BC46" s="6" t="e">
        <f>VLOOKUP(BA46,$W$5:$AJ$104,$BC$2+5,FALSE)</f>
        <v>#N/A</v>
      </c>
      <c r="BD46" s="58" t="e">
        <f>VLOOKUP(BB46,$W$5:$AJ$104,$BC$2+10,FALSE)</f>
        <v>#N/A</v>
      </c>
      <c r="BE46" s="9"/>
      <c r="BF46" s="4">
        <v>42</v>
      </c>
      <c r="BG46" s="2" t="e">
        <f>VLOOKUP(BF46,$Y$5:$AJ$104,$BH$2,FALSE)</f>
        <v>#N/A</v>
      </c>
      <c r="BH46" s="6" t="e">
        <f>VLOOKUP(BF46,$Y$5:$AJ$104,$BH$2+3,FALSE)</f>
        <v>#N/A</v>
      </c>
      <c r="BI46" s="2" t="e">
        <f>VLOOKUP(BF46,$Y$5:$AJ$104,$BH$2+4,FALSE)</f>
        <v>#N/A</v>
      </c>
      <c r="BJ46" s="2" t="e">
        <f>VLOOKUP(BG46,$Y$5:$AJ$104,$BH$2+9,FALSE)</f>
        <v>#N/A</v>
      </c>
      <c r="BL46" s="4">
        <v>42</v>
      </c>
      <c r="BM46" s="2" t="e">
        <f>VLOOKUP(BL46,$AA$5:$AJ$104,$BN$2,FALSE)</f>
        <v>#N/A</v>
      </c>
      <c r="BN46" s="6" t="e">
        <f>VLOOKUP(BL46,$AA$5:$AJ$104,$BN$2+1,FALSE)</f>
        <v>#N/A</v>
      </c>
      <c r="BO46" s="2" t="e">
        <f>VLOOKUP(BM46,$AA$5:$AJ$104,$BN$2+8,FALSE)</f>
        <v>#N/A</v>
      </c>
      <c r="BQ46" s="2" t="e">
        <f>'Eclectic B'!CD46</f>
        <v>#N/A</v>
      </c>
      <c r="BR46" s="6" t="e">
        <f>'Eclectic B'!CE46</f>
        <v>#N/A</v>
      </c>
      <c r="BS46" s="103" t="e">
        <f>'Eclectic B'!CF46</f>
        <v>#N/A</v>
      </c>
    </row>
    <row r="47" spans="1:71">
      <c r="A47" s="10" t="str">
        <f>IF(ISBLANK(Players!F45),"",Players!F45)</f>
        <v/>
      </c>
      <c r="B47" s="10" t="str">
        <f>IF(ISBLANK(Players!G45),"",Players!G45)</f>
        <v/>
      </c>
      <c r="C47" s="10" t="str">
        <f>IF(ISBLANK(Players!I45),"",Players!I45)</f>
        <v/>
      </c>
      <c r="D47" s="69" t="str">
        <f>IF(ISNUMBER(C47),MIN((C47*Rules!$N$14/113)+(Rules!$N$13-Rules!$N$12),Rules!$N$37),"-")</f>
        <v>-</v>
      </c>
      <c r="E47" s="69" t="str">
        <f>IF(ISNUMBER(C47),    ROUND( (D47*Rules!$N$11) / 100,0),"-")</f>
        <v>-</v>
      </c>
      <c r="F47" s="36" t="str">
        <f>IF(AND(ISNUMBER(C47),C47&gt;=Rules!$M$17,C47&lt;=Rules!$N$17),"Y","N")</f>
        <v>N</v>
      </c>
      <c r="G47" s="137" t="str">
        <f>'Eclectic B'!M47</f>
        <v>-</v>
      </c>
      <c r="H47" s="137" t="str">
        <f>'Eclectic B'!W47</f>
        <v>-</v>
      </c>
      <c r="I47" s="137" t="str">
        <f>'Eclectic B'!AJ47</f>
        <v>-</v>
      </c>
      <c r="J47" s="137" t="str">
        <f>'Eclectic B'!AT47</f>
        <v>-</v>
      </c>
      <c r="K47" s="14" t="str">
        <f t="shared" si="1"/>
        <v>-</v>
      </c>
      <c r="L47" s="14" t="str">
        <f t="shared" si="2"/>
        <v>-</v>
      </c>
      <c r="M47" s="14" t="str">
        <f t="shared" si="3"/>
        <v>-</v>
      </c>
      <c r="N47" s="14" t="str">
        <f t="shared" si="4"/>
        <v>-</v>
      </c>
      <c r="O47" s="14" t="str">
        <f t="shared" si="5"/>
        <v>-</v>
      </c>
      <c r="P47" s="14" t="str">
        <f t="shared" si="6"/>
        <v>-</v>
      </c>
      <c r="Q47" s="14" t="e">
        <f>RANK($K47,$K$5:$K$104,1)+COUNTIF(K$5:K47,K47)-1</f>
        <v>#VALUE!</v>
      </c>
      <c r="R47" s="14" t="e">
        <f t="shared" si="7"/>
        <v>#VALUE!</v>
      </c>
      <c r="S47" s="14" t="e">
        <f>RANK($L47,$L$5:$L$104,1)+COUNTIF(L$5:L47,L47)-1</f>
        <v>#VALUE!</v>
      </c>
      <c r="T47" s="14" t="e">
        <f t="shared" si="8"/>
        <v>#VALUE!</v>
      </c>
      <c r="U47" s="14" t="e">
        <f>RANK($M47,$M$5:$M$104,1)+COUNTIF(M$5:M47,M47)-1</f>
        <v>#VALUE!</v>
      </c>
      <c r="V47" s="14" t="e">
        <f t="shared" si="9"/>
        <v>#VALUE!</v>
      </c>
      <c r="W47" s="14" t="e">
        <f>RANK($N47,$N$5:$N$104,1)+COUNTIF(N$5:N47,N47)-1</f>
        <v>#VALUE!</v>
      </c>
      <c r="X47" s="14" t="e">
        <f t="shared" si="10"/>
        <v>#VALUE!</v>
      </c>
      <c r="Y47" s="14" t="e">
        <f>RANK($O47,$O$5:$O$104,1)+COUNTIF(O$5:O47,O47)-1</f>
        <v>#VALUE!</v>
      </c>
      <c r="Z47" s="14" t="e">
        <f t="shared" si="11"/>
        <v>#VALUE!</v>
      </c>
      <c r="AA47" s="14" t="e">
        <f>RANK($P47,$P$5:$P$104,1)+COUNTIF(P$5:P47,P47)-1</f>
        <v>#VALUE!</v>
      </c>
      <c r="AB47" s="14" t="e">
        <f t="shared" si="12"/>
        <v>#VALUE!</v>
      </c>
      <c r="AC47" s="1" t="str">
        <f t="shared" si="13"/>
        <v xml:space="preserve"> </v>
      </c>
      <c r="AD47" s="1" t="str">
        <f t="shared" si="14"/>
        <v>-</v>
      </c>
      <c r="AE47" s="35" t="str">
        <f t="shared" si="15"/>
        <v>-</v>
      </c>
      <c r="AF47" s="35" t="str">
        <f t="shared" si="15"/>
        <v>-</v>
      </c>
      <c r="AG47" s="35" t="str">
        <f t="shared" si="15"/>
        <v>-</v>
      </c>
      <c r="AH47" s="35" t="str">
        <f t="shared" si="15"/>
        <v>-</v>
      </c>
      <c r="AI47" s="35" t="str">
        <f t="shared" si="15"/>
        <v>-</v>
      </c>
      <c r="AJ47" s="35" t="str">
        <f t="shared" si="15"/>
        <v>-</v>
      </c>
      <c r="AL47" s="4">
        <v>43</v>
      </c>
      <c r="AM47" s="2" t="e">
        <f>VLOOKUP(AL47,Q$5:$AJ$104,$AN$2,FALSE)</f>
        <v>#N/A</v>
      </c>
      <c r="AN47" s="6" t="e">
        <f>VLOOKUP(AL47,Q$5:$AJ$104,$AN$2+11,FALSE)</f>
        <v>#N/A</v>
      </c>
      <c r="AO47" s="2" t="e">
        <f t="shared" si="16"/>
        <v>#N/A</v>
      </c>
      <c r="AQ47" s="4">
        <v>43</v>
      </c>
      <c r="AR47" s="2" t="e">
        <f>VLOOKUP(AQ47,$S$5:$AJ$104,$AS$2,FALSE)</f>
        <v>#N/A</v>
      </c>
      <c r="AS47" s="6" t="e">
        <f>VLOOKUP(AQ47,$S$5:$AJ$104,$AS$2+9,FALSE)</f>
        <v>#N/A</v>
      </c>
      <c r="AT47" s="2" t="e">
        <f>VLOOKUP(AR47,$S$5:$AJ$104,$AS$2+12,FALSE)</f>
        <v>#N/A</v>
      </c>
      <c r="AU47" s="9"/>
      <c r="AV47" s="4">
        <v>43</v>
      </c>
      <c r="AW47" s="2" t="e">
        <f>VLOOKUP(AV47,$U$5:$AJ$104,$AX$2,FALSE)</f>
        <v>#N/A</v>
      </c>
      <c r="AX47" s="6" t="e">
        <f>VLOOKUP(AV47,$U$5:$AJ$104,$AX$2+7,FALSE)</f>
        <v>#N/A</v>
      </c>
      <c r="AY47" s="2" t="e">
        <f>VLOOKUP(AW47,$U$5:$AJ$104,$AX$2+11,FALSE)</f>
        <v>#N/A</v>
      </c>
      <c r="BA47" s="4">
        <v>43</v>
      </c>
      <c r="BB47" s="2" t="e">
        <f>VLOOKUP(BA47,$W$5:$AJ$104,$BC$2,FALSE)</f>
        <v>#N/A</v>
      </c>
      <c r="BC47" s="6" t="e">
        <f>VLOOKUP(BA47,$W$5:$AJ$104,$BC$2+5,FALSE)</f>
        <v>#N/A</v>
      </c>
      <c r="BD47" s="58" t="e">
        <f>VLOOKUP(BB47,$W$5:$AJ$104,$BC$2+10,FALSE)</f>
        <v>#N/A</v>
      </c>
      <c r="BE47" s="9"/>
      <c r="BF47" s="4">
        <v>43</v>
      </c>
      <c r="BG47" s="2" t="e">
        <f>VLOOKUP(BF47,$Y$5:$AJ$104,$BH$2,FALSE)</f>
        <v>#N/A</v>
      </c>
      <c r="BH47" s="6" t="e">
        <f>VLOOKUP(BF47,$Y$5:$AJ$104,$BH$2+3,FALSE)</f>
        <v>#N/A</v>
      </c>
      <c r="BI47" s="2" t="e">
        <f>VLOOKUP(BF47,$Y$5:$AJ$104,$BH$2+4,FALSE)</f>
        <v>#N/A</v>
      </c>
      <c r="BJ47" s="2" t="e">
        <f>VLOOKUP(BG47,$Y$5:$AJ$104,$BH$2+9,FALSE)</f>
        <v>#N/A</v>
      </c>
      <c r="BL47" s="4">
        <v>43</v>
      </c>
      <c r="BM47" s="2" t="e">
        <f>VLOOKUP(BL47,$AA$5:$AJ$104,$BN$2,FALSE)</f>
        <v>#N/A</v>
      </c>
      <c r="BN47" s="6" t="e">
        <f>VLOOKUP(BL47,$AA$5:$AJ$104,$BN$2+1,FALSE)</f>
        <v>#N/A</v>
      </c>
      <c r="BO47" s="2" t="e">
        <f>VLOOKUP(BM47,$AA$5:$AJ$104,$BN$2+8,FALSE)</f>
        <v>#N/A</v>
      </c>
      <c r="BQ47" s="2" t="e">
        <f>'Eclectic B'!CD47</f>
        <v>#N/A</v>
      </c>
      <c r="BR47" s="6" t="e">
        <f>'Eclectic B'!CE47</f>
        <v>#N/A</v>
      </c>
      <c r="BS47" s="103" t="e">
        <f>'Eclectic B'!CF47</f>
        <v>#N/A</v>
      </c>
    </row>
    <row r="48" spans="1:71">
      <c r="A48" s="10" t="str">
        <f>IF(ISBLANK(Players!F46),"",Players!F46)</f>
        <v/>
      </c>
      <c r="B48" s="10" t="str">
        <f>IF(ISBLANK(Players!G46),"",Players!G46)</f>
        <v/>
      </c>
      <c r="C48" s="10" t="str">
        <f>IF(ISBLANK(Players!I46),"",Players!I46)</f>
        <v/>
      </c>
      <c r="D48" s="69" t="str">
        <f>IF(ISNUMBER(C48),MIN((C48*Rules!$N$14/113)+(Rules!$N$13-Rules!$N$12),Rules!$N$37),"-")</f>
        <v>-</v>
      </c>
      <c r="E48" s="69" t="str">
        <f>IF(ISNUMBER(C48),    ROUND( (D48*Rules!$N$11) / 100,0),"-")</f>
        <v>-</v>
      </c>
      <c r="F48" s="36" t="str">
        <f>IF(AND(ISNUMBER(C48),C48&gt;=Rules!$M$17,C48&lt;=Rules!$N$17),"Y","N")</f>
        <v>N</v>
      </c>
      <c r="G48" s="137" t="str">
        <f>'Eclectic B'!M48</f>
        <v>-</v>
      </c>
      <c r="H48" s="137" t="str">
        <f>'Eclectic B'!W48</f>
        <v>-</v>
      </c>
      <c r="I48" s="137" t="str">
        <f>'Eclectic B'!AJ48</f>
        <v>-</v>
      </c>
      <c r="J48" s="137" t="str">
        <f>'Eclectic B'!AT48</f>
        <v>-</v>
      </c>
      <c r="K48" s="14" t="str">
        <f t="shared" si="1"/>
        <v>-</v>
      </c>
      <c r="L48" s="14" t="str">
        <f t="shared" si="2"/>
        <v>-</v>
      </c>
      <c r="M48" s="14" t="str">
        <f t="shared" si="3"/>
        <v>-</v>
      </c>
      <c r="N48" s="14" t="str">
        <f t="shared" si="4"/>
        <v>-</v>
      </c>
      <c r="O48" s="14" t="str">
        <f t="shared" si="5"/>
        <v>-</v>
      </c>
      <c r="P48" s="14" t="str">
        <f t="shared" si="6"/>
        <v>-</v>
      </c>
      <c r="Q48" s="14" t="e">
        <f>RANK($K48,$K$5:$K$104,1)+COUNTIF(K$5:K48,K48)-1</f>
        <v>#VALUE!</v>
      </c>
      <c r="R48" s="14" t="e">
        <f t="shared" si="7"/>
        <v>#VALUE!</v>
      </c>
      <c r="S48" s="14" t="e">
        <f>RANK($L48,$L$5:$L$104,1)+COUNTIF(L$5:L48,L48)-1</f>
        <v>#VALUE!</v>
      </c>
      <c r="T48" s="14" t="e">
        <f t="shared" si="8"/>
        <v>#VALUE!</v>
      </c>
      <c r="U48" s="14" t="e">
        <f>RANK($M48,$M$5:$M$104,1)+COUNTIF(M$5:M48,M48)-1</f>
        <v>#VALUE!</v>
      </c>
      <c r="V48" s="14" t="e">
        <f t="shared" si="9"/>
        <v>#VALUE!</v>
      </c>
      <c r="W48" s="14" t="e">
        <f>RANK($N48,$N$5:$N$104,1)+COUNTIF(N$5:N48,N48)-1</f>
        <v>#VALUE!</v>
      </c>
      <c r="X48" s="14" t="e">
        <f t="shared" si="10"/>
        <v>#VALUE!</v>
      </c>
      <c r="Y48" s="14" t="e">
        <f>RANK($O48,$O$5:$O$104,1)+COUNTIF(O$5:O48,O48)-1</f>
        <v>#VALUE!</v>
      </c>
      <c r="Z48" s="14" t="e">
        <f t="shared" si="11"/>
        <v>#VALUE!</v>
      </c>
      <c r="AA48" s="14" t="e">
        <f>RANK($P48,$P$5:$P$104,1)+COUNTIF(P$5:P48,P48)-1</f>
        <v>#VALUE!</v>
      </c>
      <c r="AB48" s="14" t="e">
        <f t="shared" si="12"/>
        <v>#VALUE!</v>
      </c>
      <c r="AC48" s="1" t="str">
        <f t="shared" si="13"/>
        <v xml:space="preserve"> </v>
      </c>
      <c r="AD48" s="1" t="str">
        <f t="shared" si="14"/>
        <v>-</v>
      </c>
      <c r="AE48" s="35" t="str">
        <f t="shared" si="15"/>
        <v>-</v>
      </c>
      <c r="AF48" s="35" t="str">
        <f t="shared" si="15"/>
        <v>-</v>
      </c>
      <c r="AG48" s="35" t="str">
        <f t="shared" si="15"/>
        <v>-</v>
      </c>
      <c r="AH48" s="35" t="str">
        <f t="shared" ref="AH48:AJ104" si="17">N48</f>
        <v>-</v>
      </c>
      <c r="AI48" s="35" t="str">
        <f t="shared" si="17"/>
        <v>-</v>
      </c>
      <c r="AJ48" s="35" t="str">
        <f t="shared" si="17"/>
        <v>-</v>
      </c>
      <c r="AL48" s="4">
        <v>44</v>
      </c>
      <c r="AM48" s="2" t="e">
        <f>VLOOKUP(AL48,Q$5:$AJ$104,$AN$2,FALSE)</f>
        <v>#N/A</v>
      </c>
      <c r="AN48" s="6" t="e">
        <f>VLOOKUP(AL48,Q$5:$AJ$104,$AN$2+11,FALSE)</f>
        <v>#N/A</v>
      </c>
      <c r="AO48" s="2" t="e">
        <f t="shared" si="16"/>
        <v>#N/A</v>
      </c>
      <c r="AQ48" s="4">
        <v>44</v>
      </c>
      <c r="AR48" s="2" t="e">
        <f>VLOOKUP(AQ48,$S$5:$AJ$104,$AS$2,FALSE)</f>
        <v>#N/A</v>
      </c>
      <c r="AS48" s="6" t="e">
        <f>VLOOKUP(AQ48,$S$5:$AJ$104,$AS$2+9,FALSE)</f>
        <v>#N/A</v>
      </c>
      <c r="AT48" s="2" t="e">
        <f>VLOOKUP(AR48,$S$5:$AJ$104,$AS$2+12,FALSE)</f>
        <v>#N/A</v>
      </c>
      <c r="AU48" s="9"/>
      <c r="AV48" s="4">
        <v>44</v>
      </c>
      <c r="AW48" s="2" t="e">
        <f>VLOOKUP(AV48,$U$5:$AJ$104,$AX$2,FALSE)</f>
        <v>#N/A</v>
      </c>
      <c r="AX48" s="6" t="e">
        <f>VLOOKUP(AV48,$U$5:$AJ$104,$AX$2+7,FALSE)</f>
        <v>#N/A</v>
      </c>
      <c r="AY48" s="2" t="e">
        <f>VLOOKUP(AW48,$U$5:$AJ$104,$AX$2+11,FALSE)</f>
        <v>#N/A</v>
      </c>
      <c r="BA48" s="4">
        <v>44</v>
      </c>
      <c r="BB48" s="2" t="e">
        <f>VLOOKUP(BA48,$W$5:$AJ$104,$BC$2,FALSE)</f>
        <v>#N/A</v>
      </c>
      <c r="BC48" s="6" t="e">
        <f>VLOOKUP(BA48,$W$5:$AJ$104,$BC$2+5,FALSE)</f>
        <v>#N/A</v>
      </c>
      <c r="BD48" s="58" t="e">
        <f>VLOOKUP(BB48,$W$5:$AJ$104,$BC$2+10,FALSE)</f>
        <v>#N/A</v>
      </c>
      <c r="BE48" s="9"/>
      <c r="BF48" s="4">
        <v>44</v>
      </c>
      <c r="BG48" s="2" t="e">
        <f>VLOOKUP(BF48,$Y$5:$AJ$104,$BH$2,FALSE)</f>
        <v>#N/A</v>
      </c>
      <c r="BH48" s="6" t="e">
        <f>VLOOKUP(BF48,$Y$5:$AJ$104,$BH$2+3,FALSE)</f>
        <v>#N/A</v>
      </c>
      <c r="BI48" s="2" t="e">
        <f>VLOOKUP(BF48,$Y$5:$AJ$104,$BH$2+4,FALSE)</f>
        <v>#N/A</v>
      </c>
      <c r="BJ48" s="2" t="e">
        <f>VLOOKUP(BG48,$Y$5:$AJ$104,$BH$2+9,FALSE)</f>
        <v>#N/A</v>
      </c>
      <c r="BL48" s="4">
        <v>44</v>
      </c>
      <c r="BM48" s="2" t="e">
        <f>VLOOKUP(BL48,$AA$5:$AJ$104,$BN$2,FALSE)</f>
        <v>#N/A</v>
      </c>
      <c r="BN48" s="6" t="e">
        <f>VLOOKUP(BL48,$AA$5:$AJ$104,$BN$2+1,FALSE)</f>
        <v>#N/A</v>
      </c>
      <c r="BO48" s="2" t="e">
        <f>VLOOKUP(BM48,$AA$5:$AJ$104,$BN$2+8,FALSE)</f>
        <v>#N/A</v>
      </c>
      <c r="BQ48" s="2" t="e">
        <f>'Eclectic B'!CD48</f>
        <v>#N/A</v>
      </c>
      <c r="BR48" s="6" t="e">
        <f>'Eclectic B'!CE48</f>
        <v>#N/A</v>
      </c>
      <c r="BS48" s="103" t="e">
        <f>'Eclectic B'!CF48</f>
        <v>#N/A</v>
      </c>
    </row>
    <row r="49" spans="1:71">
      <c r="A49" s="10" t="str">
        <f>IF(ISBLANK(Players!F47),"",Players!F47)</f>
        <v/>
      </c>
      <c r="B49" s="10" t="str">
        <f>IF(ISBLANK(Players!G47),"",Players!G47)</f>
        <v/>
      </c>
      <c r="C49" s="10" t="str">
        <f>IF(ISBLANK(Players!I47),"",Players!I47)</f>
        <v/>
      </c>
      <c r="D49" s="69" t="str">
        <f>IF(ISNUMBER(C49),MIN((C49*Rules!$N$14/113)+(Rules!$N$13-Rules!$N$12),Rules!$N$37),"-")</f>
        <v>-</v>
      </c>
      <c r="E49" s="69" t="str">
        <f>IF(ISNUMBER(C49),    ROUND( (D49*Rules!$N$11) / 100,0),"-")</f>
        <v>-</v>
      </c>
      <c r="F49" s="36" t="str">
        <f>IF(AND(ISNUMBER(C49),C49&gt;=Rules!$M$17,C49&lt;=Rules!$N$17),"Y","N")</f>
        <v>N</v>
      </c>
      <c r="G49" s="137" t="str">
        <f>'Eclectic B'!M49</f>
        <v>-</v>
      </c>
      <c r="H49" s="137" t="str">
        <f>'Eclectic B'!W49</f>
        <v>-</v>
      </c>
      <c r="I49" s="137" t="str">
        <f>'Eclectic B'!AJ49</f>
        <v>-</v>
      </c>
      <c r="J49" s="137" t="str">
        <f>'Eclectic B'!AT49</f>
        <v>-</v>
      </c>
      <c r="K49" s="14" t="str">
        <f t="shared" si="1"/>
        <v>-</v>
      </c>
      <c r="L49" s="14" t="str">
        <f t="shared" si="2"/>
        <v>-</v>
      </c>
      <c r="M49" s="14" t="str">
        <f t="shared" si="3"/>
        <v>-</v>
      </c>
      <c r="N49" s="14" t="str">
        <f t="shared" si="4"/>
        <v>-</v>
      </c>
      <c r="O49" s="14" t="str">
        <f t="shared" si="5"/>
        <v>-</v>
      </c>
      <c r="P49" s="14" t="str">
        <f t="shared" si="6"/>
        <v>-</v>
      </c>
      <c r="Q49" s="14" t="e">
        <f>RANK($K49,$K$5:$K$104,1)+COUNTIF(K$5:K49,K49)-1</f>
        <v>#VALUE!</v>
      </c>
      <c r="R49" s="14" t="e">
        <f t="shared" si="7"/>
        <v>#VALUE!</v>
      </c>
      <c r="S49" s="14" t="e">
        <f>RANK($L49,$L$5:$L$104,1)+COUNTIF(L$5:L49,L49)-1</f>
        <v>#VALUE!</v>
      </c>
      <c r="T49" s="14" t="e">
        <f t="shared" si="8"/>
        <v>#VALUE!</v>
      </c>
      <c r="U49" s="14" t="e">
        <f>RANK($M49,$M$5:$M$104,1)+COUNTIF(M$5:M49,M49)-1</f>
        <v>#VALUE!</v>
      </c>
      <c r="V49" s="14" t="e">
        <f t="shared" si="9"/>
        <v>#VALUE!</v>
      </c>
      <c r="W49" s="14" t="e">
        <f>RANK($N49,$N$5:$N$104,1)+COUNTIF(N$5:N49,N49)-1</f>
        <v>#VALUE!</v>
      </c>
      <c r="X49" s="14" t="e">
        <f t="shared" si="10"/>
        <v>#VALUE!</v>
      </c>
      <c r="Y49" s="14" t="e">
        <f>RANK($O49,$O$5:$O$104,1)+COUNTIF(O$5:O49,O49)-1</f>
        <v>#VALUE!</v>
      </c>
      <c r="Z49" s="14" t="e">
        <f t="shared" si="11"/>
        <v>#VALUE!</v>
      </c>
      <c r="AA49" s="14" t="e">
        <f>RANK($P49,$P$5:$P$104,1)+COUNTIF(P$5:P49,P49)-1</f>
        <v>#VALUE!</v>
      </c>
      <c r="AB49" s="14" t="e">
        <f t="shared" si="12"/>
        <v>#VALUE!</v>
      </c>
      <c r="AC49" s="1" t="str">
        <f t="shared" si="13"/>
        <v xml:space="preserve"> </v>
      </c>
      <c r="AD49" s="1" t="str">
        <f t="shared" si="14"/>
        <v>-</v>
      </c>
      <c r="AE49" s="35" t="str">
        <f t="shared" ref="AE49:AG104" si="18">K49</f>
        <v>-</v>
      </c>
      <c r="AF49" s="35" t="str">
        <f t="shared" si="18"/>
        <v>-</v>
      </c>
      <c r="AG49" s="35" t="str">
        <f t="shared" si="18"/>
        <v>-</v>
      </c>
      <c r="AH49" s="35" t="str">
        <f t="shared" si="17"/>
        <v>-</v>
      </c>
      <c r="AI49" s="35" t="str">
        <f t="shared" si="17"/>
        <v>-</v>
      </c>
      <c r="AJ49" s="35" t="str">
        <f t="shared" si="17"/>
        <v>-</v>
      </c>
      <c r="AL49" s="4">
        <v>45</v>
      </c>
      <c r="AM49" s="2" t="e">
        <f>VLOOKUP(AL49,Q$5:$AJ$104,$AN$2,FALSE)</f>
        <v>#N/A</v>
      </c>
      <c r="AN49" s="6" t="e">
        <f>VLOOKUP(AL49,Q$5:$AJ$104,$AN$2+11,FALSE)</f>
        <v>#N/A</v>
      </c>
      <c r="AO49" s="2" t="e">
        <f t="shared" si="16"/>
        <v>#N/A</v>
      </c>
      <c r="AQ49" s="4">
        <v>45</v>
      </c>
      <c r="AR49" s="2" t="e">
        <f>VLOOKUP(AQ49,$S$5:$AJ$104,$AS$2,FALSE)</f>
        <v>#N/A</v>
      </c>
      <c r="AS49" s="6" t="e">
        <f>VLOOKUP(AQ49,$S$5:$AJ$104,$AS$2+9,FALSE)</f>
        <v>#N/A</v>
      </c>
      <c r="AT49" s="2" t="e">
        <f>VLOOKUP(AR49,$S$5:$AJ$104,$AS$2+12,FALSE)</f>
        <v>#N/A</v>
      </c>
      <c r="AU49" s="9"/>
      <c r="AV49" s="4">
        <v>45</v>
      </c>
      <c r="AW49" s="2" t="e">
        <f>VLOOKUP(AV49,$U$5:$AJ$104,$AX$2,FALSE)</f>
        <v>#N/A</v>
      </c>
      <c r="AX49" s="6" t="e">
        <f>VLOOKUP(AV49,$U$5:$AJ$104,$AX$2+7,FALSE)</f>
        <v>#N/A</v>
      </c>
      <c r="AY49" s="2" t="e">
        <f>VLOOKUP(AW49,$U$5:$AJ$104,$AX$2+11,FALSE)</f>
        <v>#N/A</v>
      </c>
      <c r="BA49" s="4">
        <v>45</v>
      </c>
      <c r="BB49" s="2" t="e">
        <f>VLOOKUP(BA49,$W$5:$AJ$104,$BC$2,FALSE)</f>
        <v>#N/A</v>
      </c>
      <c r="BC49" s="6" t="e">
        <f>VLOOKUP(BA49,$W$5:$AJ$104,$BC$2+5,FALSE)</f>
        <v>#N/A</v>
      </c>
      <c r="BD49" s="58" t="e">
        <f>VLOOKUP(BB49,$W$5:$AJ$104,$BC$2+10,FALSE)</f>
        <v>#N/A</v>
      </c>
      <c r="BE49" s="9"/>
      <c r="BF49" s="4">
        <v>45</v>
      </c>
      <c r="BG49" s="2" t="e">
        <f>VLOOKUP(BF49,$Y$5:$AJ$104,$BH$2,FALSE)</f>
        <v>#N/A</v>
      </c>
      <c r="BH49" s="6" t="e">
        <f>VLOOKUP(BF49,$Y$5:$AJ$104,$BH$2+3,FALSE)</f>
        <v>#N/A</v>
      </c>
      <c r="BI49" s="2" t="e">
        <f>VLOOKUP(BF49,$Y$5:$AJ$104,$BH$2+4,FALSE)</f>
        <v>#N/A</v>
      </c>
      <c r="BJ49" s="2" t="e">
        <f>VLOOKUP(BG49,$Y$5:$AJ$104,$BH$2+9,FALSE)</f>
        <v>#N/A</v>
      </c>
      <c r="BL49" s="4">
        <v>45</v>
      </c>
      <c r="BM49" s="2" t="e">
        <f>VLOOKUP(BL49,$AA$5:$AJ$104,$BN$2,FALSE)</f>
        <v>#N/A</v>
      </c>
      <c r="BN49" s="6" t="e">
        <f>VLOOKUP(BL49,$AA$5:$AJ$104,$BN$2+1,FALSE)</f>
        <v>#N/A</v>
      </c>
      <c r="BO49" s="2" t="e">
        <f>VLOOKUP(BM49,$AA$5:$AJ$104,$BN$2+8,FALSE)</f>
        <v>#N/A</v>
      </c>
      <c r="BQ49" s="2" t="e">
        <f>'Eclectic B'!CD49</f>
        <v>#N/A</v>
      </c>
      <c r="BR49" s="6" t="e">
        <f>'Eclectic B'!CE49</f>
        <v>#N/A</v>
      </c>
      <c r="BS49" s="103" t="e">
        <f>'Eclectic B'!CF49</f>
        <v>#N/A</v>
      </c>
    </row>
    <row r="50" spans="1:71">
      <c r="A50" s="10" t="str">
        <f>IF(ISBLANK(Players!F48),"",Players!F48)</f>
        <v/>
      </c>
      <c r="B50" s="10" t="str">
        <f>IF(ISBLANK(Players!G48),"",Players!G48)</f>
        <v/>
      </c>
      <c r="C50" s="10" t="str">
        <f>IF(ISBLANK(Players!I48),"",Players!I48)</f>
        <v/>
      </c>
      <c r="D50" s="69" t="str">
        <f>IF(ISNUMBER(C50),MIN((C50*Rules!$N$14/113)+(Rules!$N$13-Rules!$N$12),Rules!$N$37),"-")</f>
        <v>-</v>
      </c>
      <c r="E50" s="69" t="str">
        <f>IF(ISNUMBER(C50),    ROUND( (D50*Rules!$N$11) / 100,0),"-")</f>
        <v>-</v>
      </c>
      <c r="F50" s="36" t="str">
        <f>IF(AND(ISNUMBER(C50),C50&gt;=Rules!$M$17,C50&lt;=Rules!$N$17),"Y","N")</f>
        <v>N</v>
      </c>
      <c r="G50" s="137" t="str">
        <f>'Eclectic B'!M50</f>
        <v>-</v>
      </c>
      <c r="H50" s="137" t="str">
        <f>'Eclectic B'!W50</f>
        <v>-</v>
      </c>
      <c r="I50" s="137" t="str">
        <f>'Eclectic B'!AJ50</f>
        <v>-</v>
      </c>
      <c r="J50" s="137" t="str">
        <f>'Eclectic B'!AT50</f>
        <v>-</v>
      </c>
      <c r="K50" s="14" t="str">
        <f t="shared" si="1"/>
        <v>-</v>
      </c>
      <c r="L50" s="14" t="str">
        <f t="shared" si="2"/>
        <v>-</v>
      </c>
      <c r="M50" s="14" t="str">
        <f t="shared" si="3"/>
        <v>-</v>
      </c>
      <c r="N50" s="14" t="str">
        <f t="shared" si="4"/>
        <v>-</v>
      </c>
      <c r="O50" s="14" t="str">
        <f t="shared" si="5"/>
        <v>-</v>
      </c>
      <c r="P50" s="14" t="str">
        <f t="shared" si="6"/>
        <v>-</v>
      </c>
      <c r="Q50" s="14" t="e">
        <f>RANK($K50,$K$5:$K$104,1)+COUNTIF(K$5:K50,K50)-1</f>
        <v>#VALUE!</v>
      </c>
      <c r="R50" s="14" t="e">
        <f t="shared" si="7"/>
        <v>#VALUE!</v>
      </c>
      <c r="S50" s="14" t="e">
        <f>RANK($L50,$L$5:$L$104,1)+COUNTIF(L$5:L50,L50)-1</f>
        <v>#VALUE!</v>
      </c>
      <c r="T50" s="14" t="e">
        <f t="shared" si="8"/>
        <v>#VALUE!</v>
      </c>
      <c r="U50" s="14" t="e">
        <f>RANK($M50,$M$5:$M$104,1)+COUNTIF(M$5:M50,M50)-1</f>
        <v>#VALUE!</v>
      </c>
      <c r="V50" s="14" t="e">
        <f t="shared" si="9"/>
        <v>#VALUE!</v>
      </c>
      <c r="W50" s="14" t="e">
        <f>RANK($N50,$N$5:$N$104,1)+COUNTIF(N$5:N50,N50)-1</f>
        <v>#VALUE!</v>
      </c>
      <c r="X50" s="14" t="e">
        <f t="shared" si="10"/>
        <v>#VALUE!</v>
      </c>
      <c r="Y50" s="14" t="e">
        <f>RANK($O50,$O$5:$O$104,1)+COUNTIF(O$5:O50,O50)-1</f>
        <v>#VALUE!</v>
      </c>
      <c r="Z50" s="14" t="e">
        <f t="shared" si="11"/>
        <v>#VALUE!</v>
      </c>
      <c r="AA50" s="14" t="e">
        <f>RANK($P50,$P$5:$P$104,1)+COUNTIF(P$5:P50,P50)-1</f>
        <v>#VALUE!</v>
      </c>
      <c r="AB50" s="14" t="e">
        <f t="shared" si="12"/>
        <v>#VALUE!</v>
      </c>
      <c r="AC50" s="1" t="str">
        <f t="shared" si="13"/>
        <v xml:space="preserve"> </v>
      </c>
      <c r="AD50" s="1" t="str">
        <f t="shared" si="14"/>
        <v>-</v>
      </c>
      <c r="AE50" s="35" t="str">
        <f t="shared" si="18"/>
        <v>-</v>
      </c>
      <c r="AF50" s="35" t="str">
        <f t="shared" si="18"/>
        <v>-</v>
      </c>
      <c r="AG50" s="35" t="str">
        <f t="shared" si="18"/>
        <v>-</v>
      </c>
      <c r="AH50" s="35" t="str">
        <f t="shared" si="17"/>
        <v>-</v>
      </c>
      <c r="AI50" s="35" t="str">
        <f t="shared" si="17"/>
        <v>-</v>
      </c>
      <c r="AJ50" s="35" t="str">
        <f t="shared" si="17"/>
        <v>-</v>
      </c>
      <c r="AL50" s="4">
        <v>46</v>
      </c>
      <c r="AM50" s="2" t="e">
        <f>VLOOKUP(AL50,Q$5:$AJ$104,$AN$2,FALSE)</f>
        <v>#N/A</v>
      </c>
      <c r="AN50" s="6" t="e">
        <f>VLOOKUP(AL50,Q$5:$AJ$104,$AN$2+11,FALSE)</f>
        <v>#N/A</v>
      </c>
      <c r="AO50" s="2" t="e">
        <f t="shared" si="16"/>
        <v>#N/A</v>
      </c>
      <c r="AQ50" s="4">
        <v>46</v>
      </c>
      <c r="AR50" s="2" t="e">
        <f>VLOOKUP(AQ50,$S$5:$AJ$104,$AS$2,FALSE)</f>
        <v>#N/A</v>
      </c>
      <c r="AS50" s="6" t="e">
        <f>VLOOKUP(AQ50,$S$5:$AJ$104,$AS$2+9,FALSE)</f>
        <v>#N/A</v>
      </c>
      <c r="AT50" s="2" t="e">
        <f>VLOOKUP(AR50,$S$5:$AJ$104,$AS$2+12,FALSE)</f>
        <v>#N/A</v>
      </c>
      <c r="AU50" s="9"/>
      <c r="AV50" s="4">
        <v>46</v>
      </c>
      <c r="AW50" s="2" t="e">
        <f>VLOOKUP(AV50,$U$5:$AJ$104,$AX$2,FALSE)</f>
        <v>#N/A</v>
      </c>
      <c r="AX50" s="6" t="e">
        <f>VLOOKUP(AV50,$U$5:$AJ$104,$AX$2+7,FALSE)</f>
        <v>#N/A</v>
      </c>
      <c r="AY50" s="2" t="e">
        <f>VLOOKUP(AW50,$U$5:$AJ$104,$AX$2+11,FALSE)</f>
        <v>#N/A</v>
      </c>
      <c r="BA50" s="4">
        <v>46</v>
      </c>
      <c r="BB50" s="2" t="e">
        <f>VLOOKUP(BA50,$W$5:$AJ$104,$BC$2,FALSE)</f>
        <v>#N/A</v>
      </c>
      <c r="BC50" s="6" t="e">
        <f>VLOOKUP(BA50,$W$5:$AJ$104,$BC$2+5,FALSE)</f>
        <v>#N/A</v>
      </c>
      <c r="BD50" s="58" t="e">
        <f>VLOOKUP(BB50,$W$5:$AJ$104,$BC$2+10,FALSE)</f>
        <v>#N/A</v>
      </c>
      <c r="BE50" s="9"/>
      <c r="BF50" s="4">
        <v>46</v>
      </c>
      <c r="BG50" s="2" t="e">
        <f>VLOOKUP(BF50,$Y$5:$AJ$104,$BH$2,FALSE)</f>
        <v>#N/A</v>
      </c>
      <c r="BH50" s="6" t="e">
        <f>VLOOKUP(BF50,$Y$5:$AJ$104,$BH$2+3,FALSE)</f>
        <v>#N/A</v>
      </c>
      <c r="BI50" s="2" t="e">
        <f>VLOOKUP(BF50,$Y$5:$AJ$104,$BH$2+4,FALSE)</f>
        <v>#N/A</v>
      </c>
      <c r="BJ50" s="2" t="e">
        <f>VLOOKUP(BG50,$Y$5:$AJ$104,$BH$2+9,FALSE)</f>
        <v>#N/A</v>
      </c>
      <c r="BL50" s="4">
        <v>46</v>
      </c>
      <c r="BM50" s="2" t="e">
        <f>VLOOKUP(BL50,$AA$5:$AJ$104,$BN$2,FALSE)</f>
        <v>#N/A</v>
      </c>
      <c r="BN50" s="6" t="e">
        <f>VLOOKUP(BL50,$AA$5:$AJ$104,$BN$2+1,FALSE)</f>
        <v>#N/A</v>
      </c>
      <c r="BO50" s="2" t="e">
        <f>VLOOKUP(BM50,$AA$5:$AJ$104,$BN$2+8,FALSE)</f>
        <v>#N/A</v>
      </c>
      <c r="BQ50" s="2" t="e">
        <f>'Eclectic B'!CD50</f>
        <v>#N/A</v>
      </c>
      <c r="BR50" s="6" t="e">
        <f>'Eclectic B'!CE50</f>
        <v>#N/A</v>
      </c>
      <c r="BS50" s="103" t="e">
        <f>'Eclectic B'!CF50</f>
        <v>#N/A</v>
      </c>
    </row>
    <row r="51" spans="1:71">
      <c r="A51" s="10" t="str">
        <f>IF(ISBLANK(Players!F49),"",Players!F49)</f>
        <v/>
      </c>
      <c r="B51" s="10" t="str">
        <f>IF(ISBLANK(Players!G49),"",Players!G49)</f>
        <v/>
      </c>
      <c r="C51" s="10" t="str">
        <f>IF(ISBLANK(Players!I49),"",Players!I49)</f>
        <v/>
      </c>
      <c r="D51" s="69" t="str">
        <f>IF(ISNUMBER(C51),MIN((C51*Rules!$N$14/113)+(Rules!$N$13-Rules!$N$12),Rules!$N$37),"-")</f>
        <v>-</v>
      </c>
      <c r="E51" s="69" t="str">
        <f>IF(ISNUMBER(C51),    ROUND( (D51*Rules!$N$11) / 100,0),"-")</f>
        <v>-</v>
      </c>
      <c r="F51" s="36" t="str">
        <f>IF(AND(ISNUMBER(C51),C51&gt;=Rules!$M$17,C51&lt;=Rules!$N$17),"Y","N")</f>
        <v>N</v>
      </c>
      <c r="G51" s="137" t="str">
        <f>'Eclectic B'!M51</f>
        <v>-</v>
      </c>
      <c r="H51" s="137" t="str">
        <f>'Eclectic B'!W51</f>
        <v>-</v>
      </c>
      <c r="I51" s="137" t="str">
        <f>'Eclectic B'!AJ51</f>
        <v>-</v>
      </c>
      <c r="J51" s="137" t="str">
        <f>'Eclectic B'!AT51</f>
        <v>-</v>
      </c>
      <c r="K51" s="14" t="str">
        <f t="shared" si="1"/>
        <v>-</v>
      </c>
      <c r="L51" s="14" t="str">
        <f t="shared" si="2"/>
        <v>-</v>
      </c>
      <c r="M51" s="14" t="str">
        <f t="shared" si="3"/>
        <v>-</v>
      </c>
      <c r="N51" s="14" t="str">
        <f t="shared" si="4"/>
        <v>-</v>
      </c>
      <c r="O51" s="14" t="str">
        <f t="shared" si="5"/>
        <v>-</v>
      </c>
      <c r="P51" s="14" t="str">
        <f t="shared" si="6"/>
        <v>-</v>
      </c>
      <c r="Q51" s="14" t="e">
        <f>RANK($K51,$K$5:$K$104,1)+COUNTIF(K$5:K51,K51)-1</f>
        <v>#VALUE!</v>
      </c>
      <c r="R51" s="14" t="e">
        <f t="shared" si="7"/>
        <v>#VALUE!</v>
      </c>
      <c r="S51" s="14" t="e">
        <f>RANK($L51,$L$5:$L$104,1)+COUNTIF(L$5:L51,L51)-1</f>
        <v>#VALUE!</v>
      </c>
      <c r="T51" s="14" t="e">
        <f t="shared" si="8"/>
        <v>#VALUE!</v>
      </c>
      <c r="U51" s="14" t="e">
        <f>RANK($M51,$M$5:$M$104,1)+COUNTIF(M$5:M51,M51)-1</f>
        <v>#VALUE!</v>
      </c>
      <c r="V51" s="14" t="e">
        <f t="shared" si="9"/>
        <v>#VALUE!</v>
      </c>
      <c r="W51" s="14" t="e">
        <f>RANK($N51,$N$5:$N$104,1)+COUNTIF(N$5:N51,N51)-1</f>
        <v>#VALUE!</v>
      </c>
      <c r="X51" s="14" t="e">
        <f t="shared" si="10"/>
        <v>#VALUE!</v>
      </c>
      <c r="Y51" s="14" t="e">
        <f>RANK($O51,$O$5:$O$104,1)+COUNTIF(O$5:O51,O51)-1</f>
        <v>#VALUE!</v>
      </c>
      <c r="Z51" s="14" t="e">
        <f t="shared" si="11"/>
        <v>#VALUE!</v>
      </c>
      <c r="AA51" s="14" t="e">
        <f>RANK($P51,$P$5:$P$104,1)+COUNTIF(P$5:P51,P51)-1</f>
        <v>#VALUE!</v>
      </c>
      <c r="AB51" s="14" t="e">
        <f t="shared" si="12"/>
        <v>#VALUE!</v>
      </c>
      <c r="AC51" s="1" t="str">
        <f t="shared" si="13"/>
        <v xml:space="preserve"> </v>
      </c>
      <c r="AD51" s="1" t="str">
        <f t="shared" si="14"/>
        <v>-</v>
      </c>
      <c r="AE51" s="35" t="str">
        <f t="shared" si="18"/>
        <v>-</v>
      </c>
      <c r="AF51" s="35" t="str">
        <f t="shared" si="18"/>
        <v>-</v>
      </c>
      <c r="AG51" s="35" t="str">
        <f t="shared" si="18"/>
        <v>-</v>
      </c>
      <c r="AH51" s="35" t="str">
        <f t="shared" si="17"/>
        <v>-</v>
      </c>
      <c r="AI51" s="35" t="str">
        <f t="shared" si="17"/>
        <v>-</v>
      </c>
      <c r="AJ51" s="35" t="str">
        <f t="shared" si="17"/>
        <v>-</v>
      </c>
      <c r="AL51" s="4">
        <v>47</v>
      </c>
      <c r="AM51" s="2" t="e">
        <f>VLOOKUP(AL51,Q$5:$AJ$104,$AN$2,FALSE)</f>
        <v>#N/A</v>
      </c>
      <c r="AN51" s="6" t="e">
        <f>VLOOKUP(AL51,Q$5:$AJ$104,$AN$2+11,FALSE)</f>
        <v>#N/A</v>
      </c>
      <c r="AO51" s="2" t="e">
        <f t="shared" si="16"/>
        <v>#N/A</v>
      </c>
      <c r="AQ51" s="4">
        <v>47</v>
      </c>
      <c r="AR51" s="2" t="e">
        <f>VLOOKUP(AQ51,$S$5:$AJ$104,$AS$2,FALSE)</f>
        <v>#N/A</v>
      </c>
      <c r="AS51" s="6" t="e">
        <f>VLOOKUP(AQ51,$S$5:$AJ$104,$AS$2+9,FALSE)</f>
        <v>#N/A</v>
      </c>
      <c r="AT51" s="2" t="e">
        <f>VLOOKUP(AR51,$S$5:$AJ$104,$AS$2+12,FALSE)</f>
        <v>#N/A</v>
      </c>
      <c r="AU51" s="9"/>
      <c r="AV51" s="4">
        <v>47</v>
      </c>
      <c r="AW51" s="2" t="e">
        <f>VLOOKUP(AV51,$U$5:$AJ$104,$AX$2,FALSE)</f>
        <v>#N/A</v>
      </c>
      <c r="AX51" s="6" t="e">
        <f>VLOOKUP(AV51,$U$5:$AJ$104,$AX$2+7,FALSE)</f>
        <v>#N/A</v>
      </c>
      <c r="AY51" s="2" t="e">
        <f>VLOOKUP(AW51,$U$5:$AJ$104,$AX$2+11,FALSE)</f>
        <v>#N/A</v>
      </c>
      <c r="BA51" s="4">
        <v>47</v>
      </c>
      <c r="BB51" s="2" t="e">
        <f>VLOOKUP(BA51,$W$5:$AJ$104,$BC$2,FALSE)</f>
        <v>#N/A</v>
      </c>
      <c r="BC51" s="6" t="e">
        <f>VLOOKUP(BA51,$W$5:$AJ$104,$BC$2+5,FALSE)</f>
        <v>#N/A</v>
      </c>
      <c r="BD51" s="58" t="e">
        <f>VLOOKUP(BB51,$W$5:$AJ$104,$BC$2+10,FALSE)</f>
        <v>#N/A</v>
      </c>
      <c r="BE51" s="9"/>
      <c r="BF51" s="4">
        <v>47</v>
      </c>
      <c r="BG51" s="2" t="e">
        <f>VLOOKUP(BF51,$Y$5:$AJ$104,$BH$2,FALSE)</f>
        <v>#N/A</v>
      </c>
      <c r="BH51" s="6" t="e">
        <f>VLOOKUP(BF51,$Y$5:$AJ$104,$BH$2+3,FALSE)</f>
        <v>#N/A</v>
      </c>
      <c r="BI51" s="2" t="e">
        <f>VLOOKUP(BF51,$Y$5:$AJ$104,$BH$2+4,FALSE)</f>
        <v>#N/A</v>
      </c>
      <c r="BJ51" s="2" t="e">
        <f>VLOOKUP(BG51,$Y$5:$AJ$104,$BH$2+9,FALSE)</f>
        <v>#N/A</v>
      </c>
      <c r="BL51" s="4">
        <v>47</v>
      </c>
      <c r="BM51" s="2" t="e">
        <f>VLOOKUP(BL51,$AA$5:$AJ$104,$BN$2,FALSE)</f>
        <v>#N/A</v>
      </c>
      <c r="BN51" s="6" t="e">
        <f>VLOOKUP(BL51,$AA$5:$AJ$104,$BN$2+1,FALSE)</f>
        <v>#N/A</v>
      </c>
      <c r="BO51" s="2" t="e">
        <f>VLOOKUP(BM51,$AA$5:$AJ$104,$BN$2+8,FALSE)</f>
        <v>#N/A</v>
      </c>
      <c r="BQ51" s="2" t="e">
        <f>'Eclectic B'!CD51</f>
        <v>#N/A</v>
      </c>
      <c r="BR51" s="6" t="e">
        <f>'Eclectic B'!CE51</f>
        <v>#N/A</v>
      </c>
      <c r="BS51" s="103" t="e">
        <f>'Eclectic B'!CF51</f>
        <v>#N/A</v>
      </c>
    </row>
    <row r="52" spans="1:71">
      <c r="A52" s="10" t="str">
        <f>IF(ISBLANK(Players!F50),"",Players!F50)</f>
        <v/>
      </c>
      <c r="B52" s="10" t="str">
        <f>IF(ISBLANK(Players!G50),"",Players!G50)</f>
        <v/>
      </c>
      <c r="C52" s="10" t="str">
        <f>IF(ISBLANK(Players!I50),"",Players!I50)</f>
        <v/>
      </c>
      <c r="D52" s="69" t="str">
        <f>IF(ISNUMBER(C52),MIN((C52*Rules!$N$14/113)+(Rules!$N$13-Rules!$N$12),Rules!$N$37),"-")</f>
        <v>-</v>
      </c>
      <c r="E52" s="69" t="str">
        <f>IF(ISNUMBER(C52),    ROUND( (D52*Rules!$N$11) / 100,0),"-")</f>
        <v>-</v>
      </c>
      <c r="F52" s="36" t="str">
        <f>IF(AND(ISNUMBER(C52),C52&gt;=Rules!$M$17,C52&lt;=Rules!$N$17),"Y","N")</f>
        <v>N</v>
      </c>
      <c r="G52" s="137" t="str">
        <f>'Eclectic B'!M52</f>
        <v>-</v>
      </c>
      <c r="H52" s="137" t="str">
        <f>'Eclectic B'!W52</f>
        <v>-</v>
      </c>
      <c r="I52" s="137" t="str">
        <f>'Eclectic B'!AJ52</f>
        <v>-</v>
      </c>
      <c r="J52" s="137" t="str">
        <f>'Eclectic B'!AT52</f>
        <v>-</v>
      </c>
      <c r="K52" s="14" t="str">
        <f t="shared" si="1"/>
        <v>-</v>
      </c>
      <c r="L52" s="14" t="str">
        <f t="shared" si="2"/>
        <v>-</v>
      </c>
      <c r="M52" s="14" t="str">
        <f t="shared" si="3"/>
        <v>-</v>
      </c>
      <c r="N52" s="14" t="str">
        <f t="shared" si="4"/>
        <v>-</v>
      </c>
      <c r="O52" s="14" t="str">
        <f t="shared" si="5"/>
        <v>-</v>
      </c>
      <c r="P52" s="14" t="str">
        <f t="shared" si="6"/>
        <v>-</v>
      </c>
      <c r="Q52" s="14" t="e">
        <f>RANK($K52,$K$5:$K$104,1)+COUNTIF(K$5:K52,K52)-1</f>
        <v>#VALUE!</v>
      </c>
      <c r="R52" s="14" t="e">
        <f t="shared" si="7"/>
        <v>#VALUE!</v>
      </c>
      <c r="S52" s="14" t="e">
        <f>RANK($L52,$L$5:$L$104,1)+COUNTIF(L$5:L52,L52)-1</f>
        <v>#VALUE!</v>
      </c>
      <c r="T52" s="14" t="e">
        <f t="shared" si="8"/>
        <v>#VALUE!</v>
      </c>
      <c r="U52" s="14" t="e">
        <f>RANK($M52,$M$5:$M$104,1)+COUNTIF(M$5:M52,M52)-1</f>
        <v>#VALUE!</v>
      </c>
      <c r="V52" s="14" t="e">
        <f t="shared" si="9"/>
        <v>#VALUE!</v>
      </c>
      <c r="W52" s="14" t="e">
        <f>RANK($N52,$N$5:$N$104,1)+COUNTIF(N$5:N52,N52)-1</f>
        <v>#VALUE!</v>
      </c>
      <c r="X52" s="14" t="e">
        <f t="shared" si="10"/>
        <v>#VALUE!</v>
      </c>
      <c r="Y52" s="14" t="e">
        <f>RANK($O52,$O$5:$O$104,1)+COUNTIF(O$5:O52,O52)-1</f>
        <v>#VALUE!</v>
      </c>
      <c r="Z52" s="14" t="e">
        <f t="shared" si="11"/>
        <v>#VALUE!</v>
      </c>
      <c r="AA52" s="14" t="e">
        <f>RANK($P52,$P$5:$P$104,1)+COUNTIF(P$5:P52,P52)-1</f>
        <v>#VALUE!</v>
      </c>
      <c r="AB52" s="14" t="e">
        <f t="shared" si="12"/>
        <v>#VALUE!</v>
      </c>
      <c r="AC52" s="1" t="str">
        <f t="shared" si="13"/>
        <v xml:space="preserve"> </v>
      </c>
      <c r="AD52" s="1" t="str">
        <f t="shared" si="14"/>
        <v>-</v>
      </c>
      <c r="AE52" s="35" t="str">
        <f t="shared" si="18"/>
        <v>-</v>
      </c>
      <c r="AF52" s="35" t="str">
        <f t="shared" si="18"/>
        <v>-</v>
      </c>
      <c r="AG52" s="35" t="str">
        <f t="shared" si="18"/>
        <v>-</v>
      </c>
      <c r="AH52" s="35" t="str">
        <f t="shared" si="17"/>
        <v>-</v>
      </c>
      <c r="AI52" s="35" t="str">
        <f t="shared" si="17"/>
        <v>-</v>
      </c>
      <c r="AJ52" s="35" t="str">
        <f t="shared" si="17"/>
        <v>-</v>
      </c>
      <c r="AL52" s="4">
        <v>48</v>
      </c>
      <c r="AM52" s="2" t="e">
        <f>VLOOKUP(AL52,Q$5:$AJ$104,$AN$2,FALSE)</f>
        <v>#N/A</v>
      </c>
      <c r="AN52" s="6" t="e">
        <f>VLOOKUP(AL52,Q$5:$AJ$104,$AN$2+11,FALSE)</f>
        <v>#N/A</v>
      </c>
      <c r="AO52" s="2" t="e">
        <f t="shared" si="16"/>
        <v>#N/A</v>
      </c>
      <c r="AQ52" s="4">
        <v>48</v>
      </c>
      <c r="AR52" s="2" t="e">
        <f>VLOOKUP(AQ52,$S$5:$AJ$104,$AS$2,FALSE)</f>
        <v>#N/A</v>
      </c>
      <c r="AS52" s="6" t="e">
        <f>VLOOKUP(AQ52,$S$5:$AJ$104,$AS$2+9,FALSE)</f>
        <v>#N/A</v>
      </c>
      <c r="AT52" s="2" t="e">
        <f>VLOOKUP(AR52,$S$5:$AJ$104,$AS$2+12,FALSE)</f>
        <v>#N/A</v>
      </c>
      <c r="AU52" s="9"/>
      <c r="AV52" s="4">
        <v>48</v>
      </c>
      <c r="AW52" s="2" t="e">
        <f>VLOOKUP(AV52,$U$5:$AJ$104,$AX$2,FALSE)</f>
        <v>#N/A</v>
      </c>
      <c r="AX52" s="6" t="e">
        <f>VLOOKUP(AV52,$U$5:$AJ$104,$AX$2+7,FALSE)</f>
        <v>#N/A</v>
      </c>
      <c r="AY52" s="2" t="e">
        <f>VLOOKUP(AW52,$U$5:$AJ$104,$AX$2+11,FALSE)</f>
        <v>#N/A</v>
      </c>
      <c r="BA52" s="4">
        <v>48</v>
      </c>
      <c r="BB52" s="2" t="e">
        <f>VLOOKUP(BA52,$W$5:$AJ$104,$BC$2,FALSE)</f>
        <v>#N/A</v>
      </c>
      <c r="BC52" s="6" t="e">
        <f>VLOOKUP(BA52,$W$5:$AJ$104,$BC$2+5,FALSE)</f>
        <v>#N/A</v>
      </c>
      <c r="BD52" s="58" t="e">
        <f>VLOOKUP(BB52,$W$5:$AJ$104,$BC$2+10,FALSE)</f>
        <v>#N/A</v>
      </c>
      <c r="BE52" s="9"/>
      <c r="BF52" s="4">
        <v>48</v>
      </c>
      <c r="BG52" s="2" t="e">
        <f>VLOOKUP(BF52,$Y$5:$AJ$104,$BH$2,FALSE)</f>
        <v>#N/A</v>
      </c>
      <c r="BH52" s="6" t="e">
        <f>VLOOKUP(BF52,$Y$5:$AJ$104,$BH$2+3,FALSE)</f>
        <v>#N/A</v>
      </c>
      <c r="BI52" s="2" t="e">
        <f>VLOOKUP(BF52,$Y$5:$AJ$104,$BH$2+4,FALSE)</f>
        <v>#N/A</v>
      </c>
      <c r="BJ52" s="2" t="e">
        <f>VLOOKUP(BG52,$Y$5:$AJ$104,$BH$2+9,FALSE)</f>
        <v>#N/A</v>
      </c>
      <c r="BL52" s="4">
        <v>48</v>
      </c>
      <c r="BM52" s="2" t="e">
        <f>VLOOKUP(BL52,$AA$5:$AJ$104,$BN$2,FALSE)</f>
        <v>#N/A</v>
      </c>
      <c r="BN52" s="6" t="e">
        <f>VLOOKUP(BL52,$AA$5:$AJ$104,$BN$2+1,FALSE)</f>
        <v>#N/A</v>
      </c>
      <c r="BO52" s="2" t="e">
        <f>VLOOKUP(BM52,$AA$5:$AJ$104,$BN$2+8,FALSE)</f>
        <v>#N/A</v>
      </c>
      <c r="BQ52" s="2" t="e">
        <f>'Eclectic B'!CD52</f>
        <v>#N/A</v>
      </c>
      <c r="BR52" s="6" t="e">
        <f>'Eclectic B'!CE52</f>
        <v>#N/A</v>
      </c>
      <c r="BS52" s="103" t="e">
        <f>'Eclectic B'!CF52</f>
        <v>#N/A</v>
      </c>
    </row>
    <row r="53" spans="1:71">
      <c r="A53" s="10" t="str">
        <f>IF(ISBLANK(Players!F51),"",Players!F51)</f>
        <v/>
      </c>
      <c r="B53" s="10" t="str">
        <f>IF(ISBLANK(Players!G51),"",Players!G51)</f>
        <v/>
      </c>
      <c r="C53" s="10" t="str">
        <f>IF(ISBLANK(Players!I51),"",Players!I51)</f>
        <v/>
      </c>
      <c r="D53" s="69" t="str">
        <f>IF(ISNUMBER(C53),MIN((C53*Rules!$N$14/113)+(Rules!$N$13-Rules!$N$12),Rules!$N$37),"-")</f>
        <v>-</v>
      </c>
      <c r="E53" s="69" t="str">
        <f>IF(ISNUMBER(C53),    ROUND( (D53*Rules!$N$11) / 100,0),"-")</f>
        <v>-</v>
      </c>
      <c r="F53" s="36" t="str">
        <f>IF(AND(ISNUMBER(C53),C53&gt;=Rules!$M$17,C53&lt;=Rules!$N$17),"Y","N")</f>
        <v>N</v>
      </c>
      <c r="G53" s="137" t="str">
        <f>'Eclectic B'!M53</f>
        <v>-</v>
      </c>
      <c r="H53" s="137" t="str">
        <f>'Eclectic B'!W53</f>
        <v>-</v>
      </c>
      <c r="I53" s="137" t="str">
        <f>'Eclectic B'!AJ53</f>
        <v>-</v>
      </c>
      <c r="J53" s="137" t="str">
        <f>'Eclectic B'!AT53</f>
        <v>-</v>
      </c>
      <c r="K53" s="14" t="str">
        <f t="shared" si="1"/>
        <v>-</v>
      </c>
      <c r="L53" s="14" t="str">
        <f t="shared" si="2"/>
        <v>-</v>
      </c>
      <c r="M53" s="14" t="str">
        <f t="shared" si="3"/>
        <v>-</v>
      </c>
      <c r="N53" s="14" t="str">
        <f t="shared" si="4"/>
        <v>-</v>
      </c>
      <c r="O53" s="14" t="str">
        <f t="shared" si="5"/>
        <v>-</v>
      </c>
      <c r="P53" s="14" t="str">
        <f t="shared" si="6"/>
        <v>-</v>
      </c>
      <c r="Q53" s="14" t="e">
        <f>RANK($K53,$K$5:$K$104,1)+COUNTIF(K$5:K53,K53)-1</f>
        <v>#VALUE!</v>
      </c>
      <c r="R53" s="14" t="e">
        <f t="shared" si="7"/>
        <v>#VALUE!</v>
      </c>
      <c r="S53" s="14" t="e">
        <f>RANK($L53,$L$5:$L$104,1)+COUNTIF(L$5:L53,L53)-1</f>
        <v>#VALUE!</v>
      </c>
      <c r="T53" s="14" t="e">
        <f t="shared" si="8"/>
        <v>#VALUE!</v>
      </c>
      <c r="U53" s="14" t="e">
        <f>RANK($M53,$M$5:$M$104,1)+COUNTIF(M$5:M53,M53)-1</f>
        <v>#VALUE!</v>
      </c>
      <c r="V53" s="14" t="e">
        <f t="shared" si="9"/>
        <v>#VALUE!</v>
      </c>
      <c r="W53" s="14" t="e">
        <f>RANK($N53,$N$5:$N$104,1)+COUNTIF(N$5:N53,N53)-1</f>
        <v>#VALUE!</v>
      </c>
      <c r="X53" s="14" t="e">
        <f t="shared" si="10"/>
        <v>#VALUE!</v>
      </c>
      <c r="Y53" s="14" t="e">
        <f>RANK($O53,$O$5:$O$104,1)+COUNTIF(O$5:O53,O53)-1</f>
        <v>#VALUE!</v>
      </c>
      <c r="Z53" s="14" t="e">
        <f t="shared" si="11"/>
        <v>#VALUE!</v>
      </c>
      <c r="AA53" s="14" t="e">
        <f>RANK($P53,$P$5:$P$104,1)+COUNTIF(P$5:P53,P53)-1</f>
        <v>#VALUE!</v>
      </c>
      <c r="AB53" s="14" t="e">
        <f t="shared" si="12"/>
        <v>#VALUE!</v>
      </c>
      <c r="AC53" s="1" t="str">
        <f t="shared" si="13"/>
        <v xml:space="preserve"> </v>
      </c>
      <c r="AD53" s="1" t="str">
        <f t="shared" si="14"/>
        <v>-</v>
      </c>
      <c r="AE53" s="35" t="str">
        <f t="shared" si="18"/>
        <v>-</v>
      </c>
      <c r="AF53" s="35" t="str">
        <f t="shared" si="18"/>
        <v>-</v>
      </c>
      <c r="AG53" s="35" t="str">
        <f t="shared" si="18"/>
        <v>-</v>
      </c>
      <c r="AH53" s="35" t="str">
        <f t="shared" si="17"/>
        <v>-</v>
      </c>
      <c r="AI53" s="35" t="str">
        <f t="shared" si="17"/>
        <v>-</v>
      </c>
      <c r="AJ53" s="35" t="str">
        <f t="shared" si="17"/>
        <v>-</v>
      </c>
      <c r="AL53" s="4">
        <v>49</v>
      </c>
      <c r="AM53" s="2" t="e">
        <f>VLOOKUP(AL53,Q$5:$AJ$104,$AN$2,FALSE)</f>
        <v>#N/A</v>
      </c>
      <c r="AN53" s="6" t="e">
        <f>VLOOKUP(AL53,Q$5:$AJ$104,$AN$2+11,FALSE)</f>
        <v>#N/A</v>
      </c>
      <c r="AO53" s="2" t="e">
        <f t="shared" si="16"/>
        <v>#N/A</v>
      </c>
      <c r="AQ53" s="4">
        <v>49</v>
      </c>
      <c r="AR53" s="2" t="e">
        <f>VLOOKUP(AQ53,$S$5:$AJ$104,$AS$2,FALSE)</f>
        <v>#N/A</v>
      </c>
      <c r="AS53" s="6" t="e">
        <f>VLOOKUP(AQ53,$S$5:$AJ$104,$AS$2+9,FALSE)</f>
        <v>#N/A</v>
      </c>
      <c r="AT53" s="2" t="e">
        <f>VLOOKUP(AR53,$S$5:$AJ$104,$AS$2+12,FALSE)</f>
        <v>#N/A</v>
      </c>
      <c r="AU53" s="9"/>
      <c r="AV53" s="4">
        <v>49</v>
      </c>
      <c r="AW53" s="2" t="e">
        <f>VLOOKUP(AV53,$U$5:$AJ$104,$AX$2,FALSE)</f>
        <v>#N/A</v>
      </c>
      <c r="AX53" s="6" t="e">
        <f>VLOOKUP(AV53,$U$5:$AJ$104,$AX$2+7,FALSE)</f>
        <v>#N/A</v>
      </c>
      <c r="AY53" s="2" t="e">
        <f>VLOOKUP(AW53,$U$5:$AJ$104,$AX$2+11,FALSE)</f>
        <v>#N/A</v>
      </c>
      <c r="BA53" s="4">
        <v>49</v>
      </c>
      <c r="BB53" s="2" t="e">
        <f>VLOOKUP(BA53,$W$5:$AJ$104,$BC$2,FALSE)</f>
        <v>#N/A</v>
      </c>
      <c r="BC53" s="6" t="e">
        <f>VLOOKUP(BA53,$W$5:$AJ$104,$BC$2+5,FALSE)</f>
        <v>#N/A</v>
      </c>
      <c r="BD53" s="58" t="e">
        <f>VLOOKUP(BB53,$W$5:$AJ$104,$BC$2+10,FALSE)</f>
        <v>#N/A</v>
      </c>
      <c r="BE53" s="9"/>
      <c r="BF53" s="4">
        <v>49</v>
      </c>
      <c r="BG53" s="2" t="e">
        <f>VLOOKUP(BF53,$Y$5:$AJ$104,$BH$2,FALSE)</f>
        <v>#N/A</v>
      </c>
      <c r="BH53" s="6" t="e">
        <f>VLOOKUP(BF53,$Y$5:$AJ$104,$BH$2+3,FALSE)</f>
        <v>#N/A</v>
      </c>
      <c r="BI53" s="2" t="e">
        <f>VLOOKUP(BF53,$Y$5:$AJ$104,$BH$2+4,FALSE)</f>
        <v>#N/A</v>
      </c>
      <c r="BJ53" s="2" t="e">
        <f>VLOOKUP(BG53,$Y$5:$AJ$104,$BH$2+9,FALSE)</f>
        <v>#N/A</v>
      </c>
      <c r="BL53" s="4">
        <v>49</v>
      </c>
      <c r="BM53" s="2" t="e">
        <f>VLOOKUP(BL53,$AA$5:$AJ$104,$BN$2,FALSE)</f>
        <v>#N/A</v>
      </c>
      <c r="BN53" s="6" t="e">
        <f>VLOOKUP(BL53,$AA$5:$AJ$104,$BN$2+1,FALSE)</f>
        <v>#N/A</v>
      </c>
      <c r="BO53" s="2" t="e">
        <f>VLOOKUP(BM53,$AA$5:$AJ$104,$BN$2+8,FALSE)</f>
        <v>#N/A</v>
      </c>
      <c r="BQ53" s="2" t="e">
        <f>'Eclectic B'!CD53</f>
        <v>#N/A</v>
      </c>
      <c r="BR53" s="6" t="e">
        <f>'Eclectic B'!CE53</f>
        <v>#N/A</v>
      </c>
      <c r="BS53" s="103" t="e">
        <f>'Eclectic B'!CF53</f>
        <v>#N/A</v>
      </c>
    </row>
    <row r="54" spans="1:71">
      <c r="A54" s="10" t="str">
        <f>IF(ISBLANK(Players!F52),"",Players!F52)</f>
        <v/>
      </c>
      <c r="B54" s="10" t="str">
        <f>IF(ISBLANK(Players!G52),"",Players!G52)</f>
        <v/>
      </c>
      <c r="C54" s="10" t="str">
        <f>IF(ISBLANK(Players!I52),"",Players!I52)</f>
        <v/>
      </c>
      <c r="D54" s="69" t="str">
        <f>IF(ISNUMBER(C54),MIN((C54*Rules!$N$14/113)+(Rules!$N$13-Rules!$N$12),Rules!$N$37),"-")</f>
        <v>-</v>
      </c>
      <c r="E54" s="69" t="str">
        <f>IF(ISNUMBER(C54),    ROUND( (D54*Rules!$N$11) / 100,0),"-")</f>
        <v>-</v>
      </c>
      <c r="F54" s="36" t="str">
        <f>IF(AND(ISNUMBER(C54),C54&gt;=Rules!$M$17,C54&lt;=Rules!$N$17),"Y","N")</f>
        <v>N</v>
      </c>
      <c r="G54" s="137" t="str">
        <f>'Eclectic B'!M54</f>
        <v>-</v>
      </c>
      <c r="H54" s="137" t="str">
        <f>'Eclectic B'!W54</f>
        <v>-</v>
      </c>
      <c r="I54" s="137" t="str">
        <f>'Eclectic B'!AJ54</f>
        <v>-</v>
      </c>
      <c r="J54" s="137" t="str">
        <f>'Eclectic B'!AT54</f>
        <v>-</v>
      </c>
      <c r="K54" s="14" t="str">
        <f t="shared" si="1"/>
        <v>-</v>
      </c>
      <c r="L54" s="14" t="str">
        <f t="shared" si="2"/>
        <v>-</v>
      </c>
      <c r="M54" s="14" t="str">
        <f t="shared" si="3"/>
        <v>-</v>
      </c>
      <c r="N54" s="14" t="str">
        <f t="shared" si="4"/>
        <v>-</v>
      </c>
      <c r="O54" s="14" t="str">
        <f t="shared" si="5"/>
        <v>-</v>
      </c>
      <c r="P54" s="14" t="str">
        <f t="shared" si="6"/>
        <v>-</v>
      </c>
      <c r="Q54" s="14" t="e">
        <f>RANK($K54,$K$5:$K$104,1)+COUNTIF(K$5:K54,K54)-1</f>
        <v>#VALUE!</v>
      </c>
      <c r="R54" s="14" t="e">
        <f t="shared" si="7"/>
        <v>#VALUE!</v>
      </c>
      <c r="S54" s="14" t="e">
        <f>RANK($L54,$L$5:$L$104,1)+COUNTIF(L$5:L54,L54)-1</f>
        <v>#VALUE!</v>
      </c>
      <c r="T54" s="14" t="e">
        <f t="shared" si="8"/>
        <v>#VALUE!</v>
      </c>
      <c r="U54" s="14" t="e">
        <f>RANK($M54,$M$5:$M$104,1)+COUNTIF(M$5:M54,M54)-1</f>
        <v>#VALUE!</v>
      </c>
      <c r="V54" s="14" t="e">
        <f t="shared" si="9"/>
        <v>#VALUE!</v>
      </c>
      <c r="W54" s="14" t="e">
        <f>RANK($N54,$N$5:$N$104,1)+COUNTIF(N$5:N54,N54)-1</f>
        <v>#VALUE!</v>
      </c>
      <c r="X54" s="14" t="e">
        <f t="shared" si="10"/>
        <v>#VALUE!</v>
      </c>
      <c r="Y54" s="14" t="e">
        <f>RANK($O54,$O$5:$O$104,1)+COUNTIF(O$5:O54,O54)-1</f>
        <v>#VALUE!</v>
      </c>
      <c r="Z54" s="14" t="e">
        <f t="shared" si="11"/>
        <v>#VALUE!</v>
      </c>
      <c r="AA54" s="14" t="e">
        <f>RANK($P54,$P$5:$P$104,1)+COUNTIF(P$5:P54,P54)-1</f>
        <v>#VALUE!</v>
      </c>
      <c r="AB54" s="14" t="e">
        <f t="shared" si="12"/>
        <v>#VALUE!</v>
      </c>
      <c r="AC54" s="1" t="str">
        <f t="shared" si="13"/>
        <v xml:space="preserve"> </v>
      </c>
      <c r="AD54" s="1" t="str">
        <f t="shared" si="14"/>
        <v>-</v>
      </c>
      <c r="AE54" s="35" t="str">
        <f t="shared" si="18"/>
        <v>-</v>
      </c>
      <c r="AF54" s="35" t="str">
        <f t="shared" si="18"/>
        <v>-</v>
      </c>
      <c r="AG54" s="35" t="str">
        <f t="shared" si="18"/>
        <v>-</v>
      </c>
      <c r="AH54" s="35" t="str">
        <f t="shared" si="17"/>
        <v>-</v>
      </c>
      <c r="AI54" s="35" t="str">
        <f t="shared" si="17"/>
        <v>-</v>
      </c>
      <c r="AJ54" s="35" t="str">
        <f t="shared" si="17"/>
        <v>-</v>
      </c>
      <c r="AL54" s="4">
        <v>50</v>
      </c>
      <c r="AM54" s="2" t="e">
        <f>VLOOKUP(AL54,Q$5:$AJ$104,$AN$2,FALSE)</f>
        <v>#N/A</v>
      </c>
      <c r="AN54" s="6" t="e">
        <f>VLOOKUP(AL54,Q$5:$AJ$104,$AN$2+11,FALSE)</f>
        <v>#N/A</v>
      </c>
      <c r="AO54" s="2" t="e">
        <f t="shared" si="16"/>
        <v>#N/A</v>
      </c>
      <c r="AQ54" s="4">
        <v>50</v>
      </c>
      <c r="AR54" s="2" t="e">
        <f>VLOOKUP(AQ54,$S$5:$AJ$104,$AS$2,FALSE)</f>
        <v>#N/A</v>
      </c>
      <c r="AS54" s="6" t="e">
        <f>VLOOKUP(AQ54,$S$5:$AJ$104,$AS$2+9,FALSE)</f>
        <v>#N/A</v>
      </c>
      <c r="AT54" s="2" t="e">
        <f>VLOOKUP(AR54,$S$5:$AJ$104,$AS$2+12,FALSE)</f>
        <v>#N/A</v>
      </c>
      <c r="AU54" s="9"/>
      <c r="AV54" s="4">
        <v>50</v>
      </c>
      <c r="AW54" s="2" t="e">
        <f>VLOOKUP(AV54,$U$5:$AJ$104,$AX$2,FALSE)</f>
        <v>#N/A</v>
      </c>
      <c r="AX54" s="6" t="e">
        <f>VLOOKUP(AV54,$U$5:$AJ$104,$AX$2+7,FALSE)</f>
        <v>#N/A</v>
      </c>
      <c r="AY54" s="2" t="e">
        <f>VLOOKUP(AW54,$U$5:$AJ$104,$AX$2+11,FALSE)</f>
        <v>#N/A</v>
      </c>
      <c r="BA54" s="4">
        <v>50</v>
      </c>
      <c r="BB54" s="2" t="e">
        <f>VLOOKUP(BA54,$W$5:$AJ$104,$BC$2,FALSE)</f>
        <v>#N/A</v>
      </c>
      <c r="BC54" s="6" t="e">
        <f>VLOOKUP(BA54,$W$5:$AJ$104,$BC$2+5,FALSE)</f>
        <v>#N/A</v>
      </c>
      <c r="BD54" s="58" t="e">
        <f>VLOOKUP(BB54,$W$5:$AJ$104,$BC$2+10,FALSE)</f>
        <v>#N/A</v>
      </c>
      <c r="BE54" s="9"/>
      <c r="BF54" s="4">
        <v>50</v>
      </c>
      <c r="BG54" s="2" t="e">
        <f>VLOOKUP(BF54,$Y$5:$AJ$104,$BH$2,FALSE)</f>
        <v>#N/A</v>
      </c>
      <c r="BH54" s="6" t="e">
        <f>VLOOKUP(BF54,$Y$5:$AJ$104,$BH$2+3,FALSE)</f>
        <v>#N/A</v>
      </c>
      <c r="BI54" s="2" t="e">
        <f>VLOOKUP(BF54,$Y$5:$AJ$104,$BH$2+4,FALSE)</f>
        <v>#N/A</v>
      </c>
      <c r="BJ54" s="2" t="e">
        <f>VLOOKUP(BG54,$Y$5:$AJ$104,$BH$2+9,FALSE)</f>
        <v>#N/A</v>
      </c>
      <c r="BL54" s="4">
        <v>50</v>
      </c>
      <c r="BM54" s="2" t="e">
        <f>VLOOKUP(BL54,$AA$5:$AJ$104,$BN$2,FALSE)</f>
        <v>#N/A</v>
      </c>
      <c r="BN54" s="6" t="e">
        <f>VLOOKUP(BL54,$AA$5:$AJ$104,$BN$2+1,FALSE)</f>
        <v>#N/A</v>
      </c>
      <c r="BO54" s="2" t="e">
        <f>VLOOKUP(BM54,$AA$5:$AJ$104,$BN$2+8,FALSE)</f>
        <v>#N/A</v>
      </c>
      <c r="BQ54" s="2" t="e">
        <f>'Eclectic B'!CD54</f>
        <v>#N/A</v>
      </c>
      <c r="BR54" s="6" t="e">
        <f>'Eclectic B'!CE54</f>
        <v>#N/A</v>
      </c>
      <c r="BS54" s="103" t="e">
        <f>'Eclectic B'!CF54</f>
        <v>#N/A</v>
      </c>
    </row>
    <row r="55" spans="1:71">
      <c r="A55" s="10" t="str">
        <f>IF(ISBLANK(Players!F53),"",Players!F53)</f>
        <v/>
      </c>
      <c r="B55" s="10" t="str">
        <f>IF(ISBLANK(Players!G53),"",Players!G53)</f>
        <v/>
      </c>
      <c r="C55" s="10" t="str">
        <f>IF(ISBLANK(Players!I53),"",Players!I53)</f>
        <v/>
      </c>
      <c r="D55" s="69" t="str">
        <f>IF(ISNUMBER(C55),MIN((C55*Rules!$N$14/113)+(Rules!$N$13-Rules!$N$12),Rules!$N$37),"-")</f>
        <v>-</v>
      </c>
      <c r="E55" s="69" t="str">
        <f>IF(ISNUMBER(C55),    ROUND( (D55*Rules!$N$11) / 100,0),"-")</f>
        <v>-</v>
      </c>
      <c r="F55" s="36" t="str">
        <f>IF(AND(ISNUMBER(C55),C55&gt;=Rules!$M$17,C55&lt;=Rules!$N$17),"Y","N")</f>
        <v>N</v>
      </c>
      <c r="G55" s="137" t="str">
        <f>'Eclectic B'!M55</f>
        <v>-</v>
      </c>
      <c r="H55" s="137" t="str">
        <f>'Eclectic B'!W55</f>
        <v>-</v>
      </c>
      <c r="I55" s="137" t="str">
        <f>'Eclectic B'!AJ55</f>
        <v>-</v>
      </c>
      <c r="J55" s="137" t="str">
        <f>'Eclectic B'!AT55</f>
        <v>-</v>
      </c>
      <c r="K55" s="14" t="str">
        <f t="shared" si="1"/>
        <v>-</v>
      </c>
      <c r="L55" s="14" t="str">
        <f t="shared" si="2"/>
        <v>-</v>
      </c>
      <c r="M55" s="14" t="str">
        <f t="shared" si="3"/>
        <v>-</v>
      </c>
      <c r="N55" s="14" t="str">
        <f t="shared" si="4"/>
        <v>-</v>
      </c>
      <c r="O55" s="14" t="str">
        <f t="shared" si="5"/>
        <v>-</v>
      </c>
      <c r="P55" s="14" t="str">
        <f t="shared" si="6"/>
        <v>-</v>
      </c>
      <c r="Q55" s="14" t="e">
        <f>RANK($K55,$K$5:$K$104,1)+COUNTIF(K$5:K55,K55)-1</f>
        <v>#VALUE!</v>
      </c>
      <c r="R55" s="14" t="e">
        <f t="shared" si="7"/>
        <v>#VALUE!</v>
      </c>
      <c r="S55" s="14" t="e">
        <f>RANK($L55,$L$5:$L$104,1)+COUNTIF(L$5:L55,L55)-1</f>
        <v>#VALUE!</v>
      </c>
      <c r="T55" s="14" t="e">
        <f t="shared" si="8"/>
        <v>#VALUE!</v>
      </c>
      <c r="U55" s="14" t="e">
        <f>RANK($M55,$M$5:$M$104,1)+COUNTIF(M$5:M55,M55)-1</f>
        <v>#VALUE!</v>
      </c>
      <c r="V55" s="14" t="e">
        <f t="shared" si="9"/>
        <v>#VALUE!</v>
      </c>
      <c r="W55" s="14" t="e">
        <f>RANK($N55,$N$5:$N$104,1)+COUNTIF(N$5:N55,N55)-1</f>
        <v>#VALUE!</v>
      </c>
      <c r="X55" s="14" t="e">
        <f t="shared" si="10"/>
        <v>#VALUE!</v>
      </c>
      <c r="Y55" s="14" t="e">
        <f>RANK($O55,$O$5:$O$104,1)+COUNTIF(O$5:O55,O55)-1</f>
        <v>#VALUE!</v>
      </c>
      <c r="Z55" s="14" t="e">
        <f t="shared" si="11"/>
        <v>#VALUE!</v>
      </c>
      <c r="AA55" s="14" t="e">
        <f>RANK($P55,$P$5:$P$104,1)+COUNTIF(P$5:P55,P55)-1</f>
        <v>#VALUE!</v>
      </c>
      <c r="AB55" s="14" t="e">
        <f t="shared" si="12"/>
        <v>#VALUE!</v>
      </c>
      <c r="AC55" s="1" t="str">
        <f t="shared" si="13"/>
        <v xml:space="preserve"> </v>
      </c>
      <c r="AD55" s="1" t="str">
        <f t="shared" si="14"/>
        <v>-</v>
      </c>
      <c r="AE55" s="35" t="str">
        <f t="shared" si="18"/>
        <v>-</v>
      </c>
      <c r="AF55" s="35" t="str">
        <f t="shared" si="18"/>
        <v>-</v>
      </c>
      <c r="AG55" s="35" t="str">
        <f t="shared" si="18"/>
        <v>-</v>
      </c>
      <c r="AH55" s="35" t="str">
        <f t="shared" si="17"/>
        <v>-</v>
      </c>
      <c r="AI55" s="35" t="str">
        <f t="shared" si="17"/>
        <v>-</v>
      </c>
      <c r="AJ55" s="35" t="str">
        <f t="shared" si="17"/>
        <v>-</v>
      </c>
      <c r="AL55" s="4">
        <v>51</v>
      </c>
      <c r="AM55" s="2" t="e">
        <f>VLOOKUP(AL55,Q$5:$AJ$104,$AN$2,FALSE)</f>
        <v>#N/A</v>
      </c>
      <c r="AN55" s="6" t="e">
        <f>VLOOKUP(AL55,Q$5:$AJ$104,$AN$2+11,FALSE)</f>
        <v>#N/A</v>
      </c>
      <c r="AO55" s="2" t="e">
        <f t="shared" si="16"/>
        <v>#N/A</v>
      </c>
      <c r="AQ55" s="4">
        <v>51</v>
      </c>
      <c r="AR55" s="2" t="e">
        <f>VLOOKUP(AQ55,$S$5:$AJ$104,$AS$2,FALSE)</f>
        <v>#N/A</v>
      </c>
      <c r="AS55" s="6" t="e">
        <f>VLOOKUP(AQ55,$S$5:$AJ$104,$AS$2+9,FALSE)</f>
        <v>#N/A</v>
      </c>
      <c r="AT55" s="2" t="e">
        <f>VLOOKUP(AR55,$S$5:$AJ$104,$AS$2+12,FALSE)</f>
        <v>#N/A</v>
      </c>
      <c r="AU55" s="9"/>
      <c r="AV55" s="4">
        <v>51</v>
      </c>
      <c r="AW55" s="2" t="e">
        <f>VLOOKUP(AV55,$U$5:$AJ$104,$AX$2,FALSE)</f>
        <v>#N/A</v>
      </c>
      <c r="AX55" s="6" t="e">
        <f>VLOOKUP(AV55,$U$5:$AJ$104,$AX$2+7,FALSE)</f>
        <v>#N/A</v>
      </c>
      <c r="AY55" s="2" t="e">
        <f>VLOOKUP(AW55,$U$5:$AJ$104,$AX$2+11,FALSE)</f>
        <v>#N/A</v>
      </c>
      <c r="BA55" s="4">
        <v>51</v>
      </c>
      <c r="BB55" s="2" t="e">
        <f>VLOOKUP(BA55,$W$5:$AJ$104,$BC$2,FALSE)</f>
        <v>#N/A</v>
      </c>
      <c r="BC55" s="6" t="e">
        <f>VLOOKUP(BA55,$W$5:$AJ$104,$BC$2+5,FALSE)</f>
        <v>#N/A</v>
      </c>
      <c r="BD55" s="58" t="e">
        <f>VLOOKUP(BB55,$W$5:$AJ$104,$BC$2+10,FALSE)</f>
        <v>#N/A</v>
      </c>
      <c r="BE55" s="9"/>
      <c r="BF55" s="4">
        <v>51</v>
      </c>
      <c r="BG55" s="2" t="e">
        <f>VLOOKUP(BF55,$Y$5:$AJ$104,$BH$2,FALSE)</f>
        <v>#N/A</v>
      </c>
      <c r="BH55" s="6" t="e">
        <f>VLOOKUP(BF55,$Y$5:$AJ$104,$BH$2+3,FALSE)</f>
        <v>#N/A</v>
      </c>
      <c r="BI55" s="2" t="e">
        <f>VLOOKUP(BF55,$Y$5:$AJ$104,$BH$2+4,FALSE)</f>
        <v>#N/A</v>
      </c>
      <c r="BJ55" s="2" t="e">
        <f>VLOOKUP(BG55,$Y$5:$AJ$104,$BH$2+9,FALSE)</f>
        <v>#N/A</v>
      </c>
      <c r="BL55" s="4">
        <v>51</v>
      </c>
      <c r="BM55" s="2" t="e">
        <f>VLOOKUP(BL55,$AA$5:$AJ$104,$BN$2,FALSE)</f>
        <v>#N/A</v>
      </c>
      <c r="BN55" s="6" t="e">
        <f>VLOOKUP(BL55,$AA$5:$AJ$104,$BN$2+1,FALSE)</f>
        <v>#N/A</v>
      </c>
      <c r="BO55" s="2" t="e">
        <f>VLOOKUP(BM55,$AA$5:$AJ$104,$BN$2+8,FALSE)</f>
        <v>#N/A</v>
      </c>
      <c r="BQ55" s="2" t="e">
        <f>'Eclectic B'!CD55</f>
        <v>#N/A</v>
      </c>
      <c r="BR55" s="6" t="e">
        <f>'Eclectic B'!CE55</f>
        <v>#N/A</v>
      </c>
      <c r="BS55" s="103" t="e">
        <f>'Eclectic B'!CF55</f>
        <v>#N/A</v>
      </c>
    </row>
    <row r="56" spans="1:71">
      <c r="A56" s="10" t="str">
        <f>IF(ISBLANK(Players!F54),"",Players!F54)</f>
        <v/>
      </c>
      <c r="B56" s="10" t="str">
        <f>IF(ISBLANK(Players!G54),"",Players!G54)</f>
        <v/>
      </c>
      <c r="C56" s="10" t="str">
        <f>IF(ISBLANK(Players!I54),"",Players!I54)</f>
        <v/>
      </c>
      <c r="D56" s="69" t="str">
        <f>IF(ISNUMBER(C56),MIN((C56*Rules!$N$14/113)+(Rules!$N$13-Rules!$N$12),Rules!$N$37),"-")</f>
        <v>-</v>
      </c>
      <c r="E56" s="69" t="str">
        <f>IF(ISNUMBER(C56),    ROUND( (D56*Rules!$N$11) / 100,0),"-")</f>
        <v>-</v>
      </c>
      <c r="F56" s="36" t="str">
        <f>IF(AND(ISNUMBER(C56),C56&gt;=Rules!$M$17,C56&lt;=Rules!$N$17),"Y","N")</f>
        <v>N</v>
      </c>
      <c r="G56" s="137" t="str">
        <f>'Eclectic B'!M56</f>
        <v>-</v>
      </c>
      <c r="H56" s="137" t="str">
        <f>'Eclectic B'!W56</f>
        <v>-</v>
      </c>
      <c r="I56" s="137" t="str">
        <f>'Eclectic B'!AJ56</f>
        <v>-</v>
      </c>
      <c r="J56" s="137" t="str">
        <f>'Eclectic B'!AT56</f>
        <v>-</v>
      </c>
      <c r="K56" s="14" t="str">
        <f t="shared" si="1"/>
        <v>-</v>
      </c>
      <c r="L56" s="14" t="str">
        <f t="shared" si="2"/>
        <v>-</v>
      </c>
      <c r="M56" s="14" t="str">
        <f t="shared" si="3"/>
        <v>-</v>
      </c>
      <c r="N56" s="14" t="str">
        <f t="shared" si="4"/>
        <v>-</v>
      </c>
      <c r="O56" s="14" t="str">
        <f t="shared" si="5"/>
        <v>-</v>
      </c>
      <c r="P56" s="14" t="str">
        <f t="shared" si="6"/>
        <v>-</v>
      </c>
      <c r="Q56" s="14" t="e">
        <f>RANK($K56,$K$5:$K$104,1)+COUNTIF(K$5:K56,K56)-1</f>
        <v>#VALUE!</v>
      </c>
      <c r="R56" s="14" t="e">
        <f t="shared" si="7"/>
        <v>#VALUE!</v>
      </c>
      <c r="S56" s="14" t="e">
        <f>RANK($L56,$L$5:$L$104,1)+COUNTIF(L$5:L56,L56)-1</f>
        <v>#VALUE!</v>
      </c>
      <c r="T56" s="14" t="e">
        <f t="shared" si="8"/>
        <v>#VALUE!</v>
      </c>
      <c r="U56" s="14" t="e">
        <f>RANK($M56,$M$5:$M$104,1)+COUNTIF(M$5:M56,M56)-1</f>
        <v>#VALUE!</v>
      </c>
      <c r="V56" s="14" t="e">
        <f t="shared" si="9"/>
        <v>#VALUE!</v>
      </c>
      <c r="W56" s="14" t="e">
        <f>RANK($N56,$N$5:$N$104,1)+COUNTIF(N$5:N56,N56)-1</f>
        <v>#VALUE!</v>
      </c>
      <c r="X56" s="14" t="e">
        <f t="shared" si="10"/>
        <v>#VALUE!</v>
      </c>
      <c r="Y56" s="14" t="e">
        <f>RANK($O56,$O$5:$O$104,1)+COUNTIF(O$5:O56,O56)-1</f>
        <v>#VALUE!</v>
      </c>
      <c r="Z56" s="14" t="e">
        <f t="shared" si="11"/>
        <v>#VALUE!</v>
      </c>
      <c r="AA56" s="14" t="e">
        <f>RANK($P56,$P$5:$P$104,1)+COUNTIF(P$5:P56,P56)-1</f>
        <v>#VALUE!</v>
      </c>
      <c r="AB56" s="14" t="e">
        <f t="shared" si="12"/>
        <v>#VALUE!</v>
      </c>
      <c r="AC56" s="1" t="str">
        <f t="shared" si="13"/>
        <v xml:space="preserve"> </v>
      </c>
      <c r="AD56" s="1" t="str">
        <f t="shared" si="14"/>
        <v>-</v>
      </c>
      <c r="AE56" s="35" t="str">
        <f t="shared" si="18"/>
        <v>-</v>
      </c>
      <c r="AF56" s="35" t="str">
        <f t="shared" si="18"/>
        <v>-</v>
      </c>
      <c r="AG56" s="35" t="str">
        <f t="shared" si="18"/>
        <v>-</v>
      </c>
      <c r="AH56" s="35" t="str">
        <f t="shared" si="17"/>
        <v>-</v>
      </c>
      <c r="AI56" s="35" t="str">
        <f t="shared" si="17"/>
        <v>-</v>
      </c>
      <c r="AJ56" s="35" t="str">
        <f t="shared" si="17"/>
        <v>-</v>
      </c>
      <c r="AL56" s="4">
        <v>52</v>
      </c>
      <c r="AM56" s="2" t="e">
        <f>VLOOKUP(AL56,Q$5:$AJ$104,$AN$2,FALSE)</f>
        <v>#N/A</v>
      </c>
      <c r="AN56" s="6" t="e">
        <f>VLOOKUP(AL56,Q$5:$AJ$104,$AN$2+11,FALSE)</f>
        <v>#N/A</v>
      </c>
      <c r="AO56" s="2" t="e">
        <f t="shared" si="16"/>
        <v>#N/A</v>
      </c>
      <c r="AQ56" s="4">
        <v>52</v>
      </c>
      <c r="AR56" s="2" t="e">
        <f>VLOOKUP(AQ56,$S$5:$AJ$104,$AS$2,FALSE)</f>
        <v>#N/A</v>
      </c>
      <c r="AS56" s="6" t="e">
        <f>VLOOKUP(AQ56,$S$5:$AJ$104,$AS$2+9,FALSE)</f>
        <v>#N/A</v>
      </c>
      <c r="AT56" s="2" t="e">
        <f>VLOOKUP(AR56,$S$5:$AJ$104,$AS$2+12,FALSE)</f>
        <v>#N/A</v>
      </c>
      <c r="AU56" s="9"/>
      <c r="AV56" s="4">
        <v>52</v>
      </c>
      <c r="AW56" s="2" t="e">
        <f>VLOOKUP(AV56,$U$5:$AJ$104,$AX$2,FALSE)</f>
        <v>#N/A</v>
      </c>
      <c r="AX56" s="6" t="e">
        <f>VLOOKUP(AV56,$U$5:$AJ$104,$AX$2+7,FALSE)</f>
        <v>#N/A</v>
      </c>
      <c r="AY56" s="2" t="e">
        <f>VLOOKUP(AW56,$U$5:$AJ$104,$AX$2+11,FALSE)</f>
        <v>#N/A</v>
      </c>
      <c r="BA56" s="4">
        <v>52</v>
      </c>
      <c r="BB56" s="2" t="e">
        <f>VLOOKUP(BA56,$W$5:$AJ$104,$BC$2,FALSE)</f>
        <v>#N/A</v>
      </c>
      <c r="BC56" s="6" t="e">
        <f>VLOOKUP(BA56,$W$5:$AJ$104,$BC$2+5,FALSE)</f>
        <v>#N/A</v>
      </c>
      <c r="BD56" s="58" t="e">
        <f>VLOOKUP(BB56,$W$5:$AJ$104,$BC$2+10,FALSE)</f>
        <v>#N/A</v>
      </c>
      <c r="BE56" s="9"/>
      <c r="BF56" s="4">
        <v>52</v>
      </c>
      <c r="BG56" s="2" t="e">
        <f>VLOOKUP(BF56,$Y$5:$AJ$104,$BH$2,FALSE)</f>
        <v>#N/A</v>
      </c>
      <c r="BH56" s="6" t="e">
        <f>VLOOKUP(BF56,$Y$5:$AJ$104,$BH$2+3,FALSE)</f>
        <v>#N/A</v>
      </c>
      <c r="BI56" s="2" t="e">
        <f>VLOOKUP(BF56,$Y$5:$AJ$104,$BH$2+4,FALSE)</f>
        <v>#N/A</v>
      </c>
      <c r="BJ56" s="2" t="e">
        <f>VLOOKUP(BG56,$Y$5:$AJ$104,$BH$2+9,FALSE)</f>
        <v>#N/A</v>
      </c>
      <c r="BL56" s="4">
        <v>52</v>
      </c>
      <c r="BM56" s="2" t="e">
        <f>VLOOKUP(BL56,$AA$5:$AJ$104,$BN$2,FALSE)</f>
        <v>#N/A</v>
      </c>
      <c r="BN56" s="6" t="e">
        <f>VLOOKUP(BL56,$AA$5:$AJ$104,$BN$2+1,FALSE)</f>
        <v>#N/A</v>
      </c>
      <c r="BO56" s="2" t="e">
        <f>VLOOKUP(BM56,$AA$5:$AJ$104,$BN$2+8,FALSE)</f>
        <v>#N/A</v>
      </c>
      <c r="BQ56" s="2" t="e">
        <f>'Eclectic B'!CD56</f>
        <v>#N/A</v>
      </c>
      <c r="BR56" s="6" t="e">
        <f>'Eclectic B'!CE56</f>
        <v>#N/A</v>
      </c>
      <c r="BS56" s="103" t="e">
        <f>'Eclectic B'!CF56</f>
        <v>#N/A</v>
      </c>
    </row>
    <row r="57" spans="1:71">
      <c r="A57" s="10" t="str">
        <f>IF(ISBLANK(Players!F55),"",Players!F55)</f>
        <v/>
      </c>
      <c r="B57" s="10" t="str">
        <f>IF(ISBLANK(Players!G55),"",Players!G55)</f>
        <v/>
      </c>
      <c r="C57" s="10" t="str">
        <f>IF(ISBLANK(Players!I55),"",Players!I55)</f>
        <v/>
      </c>
      <c r="D57" s="69" t="str">
        <f>IF(ISNUMBER(C57),MIN((C57*Rules!$N$14/113)+(Rules!$N$13-Rules!$N$12),Rules!$N$37),"-")</f>
        <v>-</v>
      </c>
      <c r="E57" s="69" t="str">
        <f>IF(ISNUMBER(C57),    ROUND( (D57*Rules!$N$11) / 100,0),"-")</f>
        <v>-</v>
      </c>
      <c r="F57" s="36" t="str">
        <f>IF(AND(ISNUMBER(C57),C57&gt;=Rules!$M$17,C57&lt;=Rules!$N$17),"Y","N")</f>
        <v>N</v>
      </c>
      <c r="G57" s="137" t="str">
        <f>'Eclectic B'!M57</f>
        <v>-</v>
      </c>
      <c r="H57" s="137" t="str">
        <f>'Eclectic B'!W57</f>
        <v>-</v>
      </c>
      <c r="I57" s="137" t="str">
        <f>'Eclectic B'!AJ57</f>
        <v>-</v>
      </c>
      <c r="J57" s="137" t="str">
        <f>'Eclectic B'!AT57</f>
        <v>-</v>
      </c>
      <c r="K57" s="14" t="str">
        <f t="shared" si="1"/>
        <v>-</v>
      </c>
      <c r="L57" s="14" t="str">
        <f t="shared" si="2"/>
        <v>-</v>
      </c>
      <c r="M57" s="14" t="str">
        <f t="shared" si="3"/>
        <v>-</v>
      </c>
      <c r="N57" s="14" t="str">
        <f t="shared" si="4"/>
        <v>-</v>
      </c>
      <c r="O57" s="14" t="str">
        <f t="shared" si="5"/>
        <v>-</v>
      </c>
      <c r="P57" s="14" t="str">
        <f t="shared" si="6"/>
        <v>-</v>
      </c>
      <c r="Q57" s="14" t="e">
        <f>RANK($K57,$K$5:$K$104,1)+COUNTIF(K$5:K57,K57)-1</f>
        <v>#VALUE!</v>
      </c>
      <c r="R57" s="14" t="e">
        <f t="shared" si="7"/>
        <v>#VALUE!</v>
      </c>
      <c r="S57" s="14" t="e">
        <f>RANK($L57,$L$5:$L$104,1)+COUNTIF(L$5:L57,L57)-1</f>
        <v>#VALUE!</v>
      </c>
      <c r="T57" s="14" t="e">
        <f t="shared" si="8"/>
        <v>#VALUE!</v>
      </c>
      <c r="U57" s="14" t="e">
        <f>RANK($M57,$M$5:$M$104,1)+COUNTIF(M$5:M57,M57)-1</f>
        <v>#VALUE!</v>
      </c>
      <c r="V57" s="14" t="e">
        <f t="shared" si="9"/>
        <v>#VALUE!</v>
      </c>
      <c r="W57" s="14" t="e">
        <f>RANK($N57,$N$5:$N$104,1)+COUNTIF(N$5:N57,N57)-1</f>
        <v>#VALUE!</v>
      </c>
      <c r="X57" s="14" t="e">
        <f t="shared" si="10"/>
        <v>#VALUE!</v>
      </c>
      <c r="Y57" s="14" t="e">
        <f>RANK($O57,$O$5:$O$104,1)+COUNTIF(O$5:O57,O57)-1</f>
        <v>#VALUE!</v>
      </c>
      <c r="Z57" s="14" t="e">
        <f t="shared" si="11"/>
        <v>#VALUE!</v>
      </c>
      <c r="AA57" s="14" t="e">
        <f>RANK($P57,$P$5:$P$104,1)+COUNTIF(P$5:P57,P57)-1</f>
        <v>#VALUE!</v>
      </c>
      <c r="AB57" s="14" t="e">
        <f t="shared" si="12"/>
        <v>#VALUE!</v>
      </c>
      <c r="AC57" s="1" t="str">
        <f t="shared" si="13"/>
        <v xml:space="preserve"> </v>
      </c>
      <c r="AD57" s="1" t="str">
        <f t="shared" si="14"/>
        <v>-</v>
      </c>
      <c r="AE57" s="35" t="str">
        <f t="shared" si="18"/>
        <v>-</v>
      </c>
      <c r="AF57" s="35" t="str">
        <f t="shared" si="18"/>
        <v>-</v>
      </c>
      <c r="AG57" s="35" t="str">
        <f t="shared" si="18"/>
        <v>-</v>
      </c>
      <c r="AH57" s="35" t="str">
        <f t="shared" si="17"/>
        <v>-</v>
      </c>
      <c r="AI57" s="35" t="str">
        <f t="shared" si="17"/>
        <v>-</v>
      </c>
      <c r="AJ57" s="35" t="str">
        <f t="shared" si="17"/>
        <v>-</v>
      </c>
      <c r="AL57" s="4">
        <v>53</v>
      </c>
      <c r="AM57" s="2" t="e">
        <f>VLOOKUP(AL57,Q$5:$AJ$104,$AN$2,FALSE)</f>
        <v>#N/A</v>
      </c>
      <c r="AN57" s="6" t="e">
        <f>VLOOKUP(AL57,Q$5:$AJ$104,$AN$2+11,FALSE)</f>
        <v>#N/A</v>
      </c>
      <c r="AO57" s="2" t="e">
        <f t="shared" si="16"/>
        <v>#N/A</v>
      </c>
      <c r="AQ57" s="4">
        <v>53</v>
      </c>
      <c r="AR57" s="2" t="e">
        <f>VLOOKUP(AQ57,$S$5:$AJ$104,$AS$2,FALSE)</f>
        <v>#N/A</v>
      </c>
      <c r="AS57" s="6" t="e">
        <f>VLOOKUP(AQ57,$S$5:$AJ$104,$AS$2+9,FALSE)</f>
        <v>#N/A</v>
      </c>
      <c r="AT57" s="2" t="e">
        <f>VLOOKUP(AR57,$S$5:$AJ$104,$AS$2+12,FALSE)</f>
        <v>#N/A</v>
      </c>
      <c r="AU57" s="9"/>
      <c r="AV57" s="4">
        <v>53</v>
      </c>
      <c r="AW57" s="2" t="e">
        <f>VLOOKUP(AV57,$U$5:$AJ$104,$AX$2,FALSE)</f>
        <v>#N/A</v>
      </c>
      <c r="AX57" s="6" t="e">
        <f>VLOOKUP(AV57,$U$5:$AJ$104,$AX$2+7,FALSE)</f>
        <v>#N/A</v>
      </c>
      <c r="AY57" s="2" t="e">
        <f>VLOOKUP(AW57,$U$5:$AJ$104,$AX$2+11,FALSE)</f>
        <v>#N/A</v>
      </c>
      <c r="BA57" s="4">
        <v>53</v>
      </c>
      <c r="BB57" s="2" t="e">
        <f>VLOOKUP(BA57,$W$5:$AJ$104,$BC$2,FALSE)</f>
        <v>#N/A</v>
      </c>
      <c r="BC57" s="6" t="e">
        <f>VLOOKUP(BA57,$W$5:$AJ$104,$BC$2+5,FALSE)</f>
        <v>#N/A</v>
      </c>
      <c r="BD57" s="58" t="e">
        <f>VLOOKUP(BB57,$W$5:$AJ$104,$BC$2+10,FALSE)</f>
        <v>#N/A</v>
      </c>
      <c r="BE57" s="9"/>
      <c r="BF57" s="4">
        <v>53</v>
      </c>
      <c r="BG57" s="2" t="e">
        <f>VLOOKUP(BF57,$Y$5:$AJ$104,$BH$2,FALSE)</f>
        <v>#N/A</v>
      </c>
      <c r="BH57" s="6" t="e">
        <f>VLOOKUP(BF57,$Y$5:$AJ$104,$BH$2+3,FALSE)</f>
        <v>#N/A</v>
      </c>
      <c r="BI57" s="2" t="e">
        <f>VLOOKUP(BF57,$Y$5:$AJ$104,$BH$2+4,FALSE)</f>
        <v>#N/A</v>
      </c>
      <c r="BJ57" s="2" t="e">
        <f>VLOOKUP(BG57,$Y$5:$AJ$104,$BH$2+9,FALSE)</f>
        <v>#N/A</v>
      </c>
      <c r="BL57" s="4">
        <v>53</v>
      </c>
      <c r="BM57" s="2" t="e">
        <f>VLOOKUP(BL57,$AA$5:$AJ$104,$BN$2,FALSE)</f>
        <v>#N/A</v>
      </c>
      <c r="BN57" s="6" t="e">
        <f>VLOOKUP(BL57,$AA$5:$AJ$104,$BN$2+1,FALSE)</f>
        <v>#N/A</v>
      </c>
      <c r="BO57" s="2" t="e">
        <f>VLOOKUP(BM57,$AA$5:$AJ$104,$BN$2+8,FALSE)</f>
        <v>#N/A</v>
      </c>
      <c r="BQ57" s="2" t="e">
        <f>'Eclectic B'!CD57</f>
        <v>#N/A</v>
      </c>
      <c r="BR57" s="6" t="e">
        <f>'Eclectic B'!CE57</f>
        <v>#N/A</v>
      </c>
      <c r="BS57" s="103" t="e">
        <f>'Eclectic B'!CF57</f>
        <v>#N/A</v>
      </c>
    </row>
    <row r="58" spans="1:71">
      <c r="A58" s="10" t="str">
        <f>IF(ISBLANK(Players!F56),"",Players!F56)</f>
        <v/>
      </c>
      <c r="B58" s="10" t="str">
        <f>IF(ISBLANK(Players!G56),"",Players!G56)</f>
        <v/>
      </c>
      <c r="C58" s="10" t="str">
        <f>IF(ISBLANK(Players!I56),"",Players!I56)</f>
        <v/>
      </c>
      <c r="D58" s="69" t="str">
        <f>IF(ISNUMBER(C58),MIN((C58*Rules!$N$14/113)+(Rules!$N$13-Rules!$N$12),Rules!$N$37),"-")</f>
        <v>-</v>
      </c>
      <c r="E58" s="69" t="str">
        <f>IF(ISNUMBER(C58),    ROUND( (D58*Rules!$N$11) / 100,0),"-")</f>
        <v>-</v>
      </c>
      <c r="F58" s="36" t="str">
        <f>IF(AND(ISNUMBER(C58),C58&gt;=Rules!$M$17,C58&lt;=Rules!$N$17),"Y","N")</f>
        <v>N</v>
      </c>
      <c r="G58" s="137" t="str">
        <f>'Eclectic B'!M58</f>
        <v>-</v>
      </c>
      <c r="H58" s="137" t="str">
        <f>'Eclectic B'!W58</f>
        <v>-</v>
      </c>
      <c r="I58" s="137" t="str">
        <f>'Eclectic B'!AJ58</f>
        <v>-</v>
      </c>
      <c r="J58" s="137" t="str">
        <f>'Eclectic B'!AT58</f>
        <v>-</v>
      </c>
      <c r="K58" s="14" t="str">
        <f t="shared" si="1"/>
        <v>-</v>
      </c>
      <c r="L58" s="14" t="str">
        <f t="shared" si="2"/>
        <v>-</v>
      </c>
      <c r="M58" s="14" t="str">
        <f t="shared" si="3"/>
        <v>-</v>
      </c>
      <c r="N58" s="14" t="str">
        <f t="shared" si="4"/>
        <v>-</v>
      </c>
      <c r="O58" s="14" t="str">
        <f t="shared" si="5"/>
        <v>-</v>
      </c>
      <c r="P58" s="14" t="str">
        <f t="shared" si="6"/>
        <v>-</v>
      </c>
      <c r="Q58" s="14" t="e">
        <f>RANK($K58,$K$5:$K$104,1)+COUNTIF(K$5:K58,K58)-1</f>
        <v>#VALUE!</v>
      </c>
      <c r="R58" s="14" t="e">
        <f t="shared" si="7"/>
        <v>#VALUE!</v>
      </c>
      <c r="S58" s="14" t="e">
        <f>RANK($L58,$L$5:$L$104,1)+COUNTIF(L$5:L58,L58)-1</f>
        <v>#VALUE!</v>
      </c>
      <c r="T58" s="14" t="e">
        <f t="shared" si="8"/>
        <v>#VALUE!</v>
      </c>
      <c r="U58" s="14" t="e">
        <f>RANK($M58,$M$5:$M$104,1)+COUNTIF(M$5:M58,M58)-1</f>
        <v>#VALUE!</v>
      </c>
      <c r="V58" s="14" t="e">
        <f t="shared" si="9"/>
        <v>#VALUE!</v>
      </c>
      <c r="W58" s="14" t="e">
        <f>RANK($N58,$N$5:$N$104,1)+COUNTIF(N$5:N58,N58)-1</f>
        <v>#VALUE!</v>
      </c>
      <c r="X58" s="14" t="e">
        <f t="shared" si="10"/>
        <v>#VALUE!</v>
      </c>
      <c r="Y58" s="14" t="e">
        <f>RANK($O58,$O$5:$O$104,1)+COUNTIF(O$5:O58,O58)-1</f>
        <v>#VALUE!</v>
      </c>
      <c r="Z58" s="14" t="e">
        <f t="shared" si="11"/>
        <v>#VALUE!</v>
      </c>
      <c r="AA58" s="14" t="e">
        <f>RANK($P58,$P$5:$P$104,1)+COUNTIF(P$5:P58,P58)-1</f>
        <v>#VALUE!</v>
      </c>
      <c r="AB58" s="14" t="e">
        <f t="shared" si="12"/>
        <v>#VALUE!</v>
      </c>
      <c r="AC58" s="1" t="str">
        <f t="shared" si="13"/>
        <v xml:space="preserve"> </v>
      </c>
      <c r="AD58" s="1" t="str">
        <f t="shared" si="14"/>
        <v>-</v>
      </c>
      <c r="AE58" s="35" t="str">
        <f t="shared" si="18"/>
        <v>-</v>
      </c>
      <c r="AF58" s="35" t="str">
        <f t="shared" si="18"/>
        <v>-</v>
      </c>
      <c r="AG58" s="35" t="str">
        <f t="shared" si="18"/>
        <v>-</v>
      </c>
      <c r="AH58" s="35" t="str">
        <f t="shared" si="17"/>
        <v>-</v>
      </c>
      <c r="AI58" s="35" t="str">
        <f t="shared" si="17"/>
        <v>-</v>
      </c>
      <c r="AJ58" s="35" t="str">
        <f t="shared" si="17"/>
        <v>-</v>
      </c>
      <c r="AL58" s="4">
        <v>54</v>
      </c>
      <c r="AM58" s="2" t="e">
        <f>VLOOKUP(AL58,Q$5:$AJ$104,$AN$2,FALSE)</f>
        <v>#N/A</v>
      </c>
      <c r="AN58" s="6" t="e">
        <f>VLOOKUP(AL58,Q$5:$AJ$104,$AN$2+11,FALSE)</f>
        <v>#N/A</v>
      </c>
      <c r="AO58" s="2" t="e">
        <f t="shared" si="16"/>
        <v>#N/A</v>
      </c>
      <c r="AQ58" s="4">
        <v>54</v>
      </c>
      <c r="AR58" s="2" t="e">
        <f>VLOOKUP(AQ58,$S$5:$AJ$104,$AS$2,FALSE)</f>
        <v>#N/A</v>
      </c>
      <c r="AS58" s="6" t="e">
        <f>VLOOKUP(AQ58,$S$5:$AJ$104,$AS$2+9,FALSE)</f>
        <v>#N/A</v>
      </c>
      <c r="AT58" s="2" t="e">
        <f>VLOOKUP(AR58,$S$5:$AJ$104,$AS$2+12,FALSE)</f>
        <v>#N/A</v>
      </c>
      <c r="AU58" s="9"/>
      <c r="AV58" s="4">
        <v>54</v>
      </c>
      <c r="AW58" s="2" t="e">
        <f>VLOOKUP(AV58,$U$5:$AJ$104,$AX$2,FALSE)</f>
        <v>#N/A</v>
      </c>
      <c r="AX58" s="6" t="e">
        <f>VLOOKUP(AV58,$U$5:$AJ$104,$AX$2+7,FALSE)</f>
        <v>#N/A</v>
      </c>
      <c r="AY58" s="2" t="e">
        <f>VLOOKUP(AW58,$U$5:$AJ$104,$AX$2+11,FALSE)</f>
        <v>#N/A</v>
      </c>
      <c r="BA58" s="4">
        <v>54</v>
      </c>
      <c r="BB58" s="2" t="e">
        <f>VLOOKUP(BA58,$W$5:$AJ$104,$BC$2,FALSE)</f>
        <v>#N/A</v>
      </c>
      <c r="BC58" s="6" t="e">
        <f>VLOOKUP(BA58,$W$5:$AJ$104,$BC$2+5,FALSE)</f>
        <v>#N/A</v>
      </c>
      <c r="BD58" s="58" t="e">
        <f>VLOOKUP(BB58,$W$5:$AJ$104,$BC$2+10,FALSE)</f>
        <v>#N/A</v>
      </c>
      <c r="BE58" s="9"/>
      <c r="BF58" s="4">
        <v>54</v>
      </c>
      <c r="BG58" s="2" t="e">
        <f>VLOOKUP(BF58,$Y$5:$AJ$104,$BH$2,FALSE)</f>
        <v>#N/A</v>
      </c>
      <c r="BH58" s="6" t="e">
        <f>VLOOKUP(BF58,$Y$5:$AJ$104,$BH$2+3,FALSE)</f>
        <v>#N/A</v>
      </c>
      <c r="BI58" s="2" t="e">
        <f>VLOOKUP(BF58,$Y$5:$AJ$104,$BH$2+4,FALSE)</f>
        <v>#N/A</v>
      </c>
      <c r="BJ58" s="2" t="e">
        <f>VLOOKUP(BG58,$Y$5:$AJ$104,$BH$2+9,FALSE)</f>
        <v>#N/A</v>
      </c>
      <c r="BL58" s="4">
        <v>54</v>
      </c>
      <c r="BM58" s="2" t="e">
        <f>VLOOKUP(BL58,$AA$5:$AJ$104,$BN$2,FALSE)</f>
        <v>#N/A</v>
      </c>
      <c r="BN58" s="6" t="e">
        <f>VLOOKUP(BL58,$AA$5:$AJ$104,$BN$2+1,FALSE)</f>
        <v>#N/A</v>
      </c>
      <c r="BO58" s="2" t="e">
        <f>VLOOKUP(BM58,$AA$5:$AJ$104,$BN$2+8,FALSE)</f>
        <v>#N/A</v>
      </c>
      <c r="BQ58" s="2" t="e">
        <f>'Eclectic B'!CD58</f>
        <v>#N/A</v>
      </c>
      <c r="BR58" s="6" t="e">
        <f>'Eclectic B'!CE58</f>
        <v>#N/A</v>
      </c>
      <c r="BS58" s="103" t="e">
        <f>'Eclectic B'!CF58</f>
        <v>#N/A</v>
      </c>
    </row>
    <row r="59" spans="1:71">
      <c r="A59" s="10" t="str">
        <f>IF(ISBLANK(Players!F57),"",Players!F57)</f>
        <v/>
      </c>
      <c r="B59" s="10" t="str">
        <f>IF(ISBLANK(Players!G57),"",Players!G57)</f>
        <v/>
      </c>
      <c r="C59" s="10" t="str">
        <f>IF(ISBLANK(Players!I57),"",Players!I57)</f>
        <v/>
      </c>
      <c r="D59" s="69" t="str">
        <f>IF(ISNUMBER(C59),MIN((C59*Rules!$N$14/113)+(Rules!$N$13-Rules!$N$12),Rules!$N$37),"-")</f>
        <v>-</v>
      </c>
      <c r="E59" s="69" t="str">
        <f>IF(ISNUMBER(C59),    ROUND( (D59*Rules!$N$11) / 100,0),"-")</f>
        <v>-</v>
      </c>
      <c r="F59" s="36" t="str">
        <f>IF(AND(ISNUMBER(C59),C59&gt;=Rules!$M$17,C59&lt;=Rules!$N$17),"Y","N")</f>
        <v>N</v>
      </c>
      <c r="G59" s="137" t="str">
        <f>'Eclectic B'!M59</f>
        <v>-</v>
      </c>
      <c r="H59" s="137" t="str">
        <f>'Eclectic B'!W59</f>
        <v>-</v>
      </c>
      <c r="I59" s="137" t="str">
        <f>'Eclectic B'!AJ59</f>
        <v>-</v>
      </c>
      <c r="J59" s="137" t="str">
        <f>'Eclectic B'!AT59</f>
        <v>-</v>
      </c>
      <c r="K59" s="14" t="str">
        <f t="shared" si="1"/>
        <v>-</v>
      </c>
      <c r="L59" s="14" t="str">
        <f t="shared" si="2"/>
        <v>-</v>
      </c>
      <c r="M59" s="14" t="str">
        <f t="shared" si="3"/>
        <v>-</v>
      </c>
      <c r="N59" s="14" t="str">
        <f t="shared" si="4"/>
        <v>-</v>
      </c>
      <c r="O59" s="14" t="str">
        <f t="shared" si="5"/>
        <v>-</v>
      </c>
      <c r="P59" s="14" t="str">
        <f t="shared" si="6"/>
        <v>-</v>
      </c>
      <c r="Q59" s="14" t="e">
        <f>RANK($K59,$K$5:$K$104,1)+COUNTIF(K$5:K59,K59)-1</f>
        <v>#VALUE!</v>
      </c>
      <c r="R59" s="14" t="e">
        <f t="shared" si="7"/>
        <v>#VALUE!</v>
      </c>
      <c r="S59" s="14" t="e">
        <f>RANK($L59,$L$5:$L$104,1)+COUNTIF(L$5:L59,L59)-1</f>
        <v>#VALUE!</v>
      </c>
      <c r="T59" s="14" t="e">
        <f t="shared" si="8"/>
        <v>#VALUE!</v>
      </c>
      <c r="U59" s="14" t="e">
        <f>RANK($M59,$M$5:$M$104,1)+COUNTIF(M$5:M59,M59)-1</f>
        <v>#VALUE!</v>
      </c>
      <c r="V59" s="14" t="e">
        <f t="shared" si="9"/>
        <v>#VALUE!</v>
      </c>
      <c r="W59" s="14" t="e">
        <f>RANK($N59,$N$5:$N$104,1)+COUNTIF(N$5:N59,N59)-1</f>
        <v>#VALUE!</v>
      </c>
      <c r="X59" s="14" t="e">
        <f t="shared" si="10"/>
        <v>#VALUE!</v>
      </c>
      <c r="Y59" s="14" t="e">
        <f>RANK($O59,$O$5:$O$104,1)+COUNTIF(O$5:O59,O59)-1</f>
        <v>#VALUE!</v>
      </c>
      <c r="Z59" s="14" t="e">
        <f t="shared" si="11"/>
        <v>#VALUE!</v>
      </c>
      <c r="AA59" s="14" t="e">
        <f>RANK($P59,$P$5:$P$104,1)+COUNTIF(P$5:P59,P59)-1</f>
        <v>#VALUE!</v>
      </c>
      <c r="AB59" s="14" t="e">
        <f t="shared" si="12"/>
        <v>#VALUE!</v>
      </c>
      <c r="AC59" s="1" t="str">
        <f t="shared" si="13"/>
        <v xml:space="preserve"> </v>
      </c>
      <c r="AD59" s="1" t="str">
        <f t="shared" si="14"/>
        <v>-</v>
      </c>
      <c r="AE59" s="35" t="str">
        <f t="shared" si="18"/>
        <v>-</v>
      </c>
      <c r="AF59" s="35" t="str">
        <f t="shared" si="18"/>
        <v>-</v>
      </c>
      <c r="AG59" s="35" t="str">
        <f t="shared" si="18"/>
        <v>-</v>
      </c>
      <c r="AH59" s="35" t="str">
        <f t="shared" si="17"/>
        <v>-</v>
      </c>
      <c r="AI59" s="35" t="str">
        <f t="shared" si="17"/>
        <v>-</v>
      </c>
      <c r="AJ59" s="35" t="str">
        <f t="shared" si="17"/>
        <v>-</v>
      </c>
      <c r="AL59" s="4">
        <v>55</v>
      </c>
      <c r="AM59" s="2" t="e">
        <f>VLOOKUP(AL59,Q$5:$AJ$104,$AN$2,FALSE)</f>
        <v>#N/A</v>
      </c>
      <c r="AN59" s="6" t="e">
        <f>VLOOKUP(AL59,Q$5:$AJ$104,$AN$2+11,FALSE)</f>
        <v>#N/A</v>
      </c>
      <c r="AO59" s="2" t="e">
        <f t="shared" si="16"/>
        <v>#N/A</v>
      </c>
      <c r="AQ59" s="4">
        <v>55</v>
      </c>
      <c r="AR59" s="2" t="e">
        <f>VLOOKUP(AQ59,$S$5:$AJ$104,$AS$2,FALSE)</f>
        <v>#N/A</v>
      </c>
      <c r="AS59" s="6" t="e">
        <f>VLOOKUP(AQ59,$S$5:$AJ$104,$AS$2+9,FALSE)</f>
        <v>#N/A</v>
      </c>
      <c r="AT59" s="2" t="e">
        <f>VLOOKUP(AR59,$S$5:$AJ$104,$AS$2+12,FALSE)</f>
        <v>#N/A</v>
      </c>
      <c r="AU59" s="9"/>
      <c r="AV59" s="4">
        <v>55</v>
      </c>
      <c r="AW59" s="2" t="e">
        <f>VLOOKUP(AV59,$U$5:$AJ$104,$AX$2,FALSE)</f>
        <v>#N/A</v>
      </c>
      <c r="AX59" s="6" t="e">
        <f>VLOOKUP(AV59,$U$5:$AJ$104,$AX$2+7,FALSE)</f>
        <v>#N/A</v>
      </c>
      <c r="AY59" s="2" t="e">
        <f>VLOOKUP(AW59,$U$5:$AJ$104,$AX$2+11,FALSE)</f>
        <v>#N/A</v>
      </c>
      <c r="BA59" s="4">
        <v>55</v>
      </c>
      <c r="BB59" s="2" t="e">
        <f>VLOOKUP(BA59,$W$5:$AJ$104,$BC$2,FALSE)</f>
        <v>#N/A</v>
      </c>
      <c r="BC59" s="6" t="e">
        <f>VLOOKUP(BA59,$W$5:$AJ$104,$BC$2+5,FALSE)</f>
        <v>#N/A</v>
      </c>
      <c r="BD59" s="58" t="e">
        <f>VLOOKUP(BB59,$W$5:$AJ$104,$BC$2+10,FALSE)</f>
        <v>#N/A</v>
      </c>
      <c r="BE59" s="9"/>
      <c r="BF59" s="4">
        <v>55</v>
      </c>
      <c r="BG59" s="2" t="e">
        <f>VLOOKUP(BF59,$Y$5:$AJ$104,$BH$2,FALSE)</f>
        <v>#N/A</v>
      </c>
      <c r="BH59" s="6" t="e">
        <f>VLOOKUP(BF59,$Y$5:$AJ$104,$BH$2+3,FALSE)</f>
        <v>#N/A</v>
      </c>
      <c r="BI59" s="2" t="e">
        <f>VLOOKUP(BF59,$Y$5:$AJ$104,$BH$2+4,FALSE)</f>
        <v>#N/A</v>
      </c>
      <c r="BJ59" s="2" t="e">
        <f>VLOOKUP(BG59,$Y$5:$AJ$104,$BH$2+9,FALSE)</f>
        <v>#N/A</v>
      </c>
      <c r="BL59" s="4">
        <v>55</v>
      </c>
      <c r="BM59" s="2" t="e">
        <f>VLOOKUP(BL59,$AA$5:$AJ$104,$BN$2,FALSE)</f>
        <v>#N/A</v>
      </c>
      <c r="BN59" s="6" t="e">
        <f>VLOOKUP(BL59,$AA$5:$AJ$104,$BN$2+1,FALSE)</f>
        <v>#N/A</v>
      </c>
      <c r="BO59" s="2" t="e">
        <f>VLOOKUP(BM59,$AA$5:$AJ$104,$BN$2+8,FALSE)</f>
        <v>#N/A</v>
      </c>
      <c r="BQ59" s="2" t="e">
        <f>'Eclectic B'!CD59</f>
        <v>#N/A</v>
      </c>
      <c r="BR59" s="6" t="e">
        <f>'Eclectic B'!CE59</f>
        <v>#N/A</v>
      </c>
      <c r="BS59" s="103" t="e">
        <f>'Eclectic B'!CF59</f>
        <v>#N/A</v>
      </c>
    </row>
    <row r="60" spans="1:71">
      <c r="A60" s="10" t="str">
        <f>IF(ISBLANK(Players!F58),"",Players!F58)</f>
        <v/>
      </c>
      <c r="B60" s="10" t="str">
        <f>IF(ISBLANK(Players!G58),"",Players!G58)</f>
        <v/>
      </c>
      <c r="C60" s="10" t="str">
        <f>IF(ISBLANK(Players!I58),"",Players!I58)</f>
        <v/>
      </c>
      <c r="D60" s="69" t="str">
        <f>IF(ISNUMBER(C60),MIN((C60*Rules!$N$14/113)+(Rules!$N$13-Rules!$N$12),Rules!$N$37),"-")</f>
        <v>-</v>
      </c>
      <c r="E60" s="69" t="str">
        <f>IF(ISNUMBER(C60),    ROUND( (D60*Rules!$N$11) / 100,0),"-")</f>
        <v>-</v>
      </c>
      <c r="F60" s="36" t="str">
        <f>IF(AND(ISNUMBER(C60),C60&gt;=Rules!$M$17,C60&lt;=Rules!$N$17),"Y","N")</f>
        <v>N</v>
      </c>
      <c r="G60" s="137" t="str">
        <f>'Eclectic B'!M60</f>
        <v>-</v>
      </c>
      <c r="H60" s="137" t="str">
        <f>'Eclectic B'!W60</f>
        <v>-</v>
      </c>
      <c r="I60" s="137" t="str">
        <f>'Eclectic B'!AJ60</f>
        <v>-</v>
      </c>
      <c r="J60" s="137" t="str">
        <f>'Eclectic B'!AT60</f>
        <v>-</v>
      </c>
      <c r="K60" s="14" t="str">
        <f t="shared" si="1"/>
        <v>-</v>
      </c>
      <c r="L60" s="14" t="str">
        <f t="shared" si="2"/>
        <v>-</v>
      </c>
      <c r="M60" s="14" t="str">
        <f t="shared" si="3"/>
        <v>-</v>
      </c>
      <c r="N60" s="14" t="str">
        <f t="shared" si="4"/>
        <v>-</v>
      </c>
      <c r="O60" s="14" t="str">
        <f t="shared" si="5"/>
        <v>-</v>
      </c>
      <c r="P60" s="14" t="str">
        <f t="shared" si="6"/>
        <v>-</v>
      </c>
      <c r="Q60" s="14" t="e">
        <f>RANK($K60,$K$5:$K$104,1)+COUNTIF(K$5:K60,K60)-1</f>
        <v>#VALUE!</v>
      </c>
      <c r="R60" s="14" t="e">
        <f t="shared" si="7"/>
        <v>#VALUE!</v>
      </c>
      <c r="S60" s="14" t="e">
        <f>RANK($L60,$L$5:$L$104,1)+COUNTIF(L$5:L60,L60)-1</f>
        <v>#VALUE!</v>
      </c>
      <c r="T60" s="14" t="e">
        <f t="shared" si="8"/>
        <v>#VALUE!</v>
      </c>
      <c r="U60" s="14" t="e">
        <f>RANK($M60,$M$5:$M$104,1)+COUNTIF(M$5:M60,M60)-1</f>
        <v>#VALUE!</v>
      </c>
      <c r="V60" s="14" t="e">
        <f t="shared" si="9"/>
        <v>#VALUE!</v>
      </c>
      <c r="W60" s="14" t="e">
        <f>RANK($N60,$N$5:$N$104,1)+COUNTIF(N$5:N60,N60)-1</f>
        <v>#VALUE!</v>
      </c>
      <c r="X60" s="14" t="e">
        <f t="shared" si="10"/>
        <v>#VALUE!</v>
      </c>
      <c r="Y60" s="14" t="e">
        <f>RANK($O60,$O$5:$O$104,1)+COUNTIF(O$5:O60,O60)-1</f>
        <v>#VALUE!</v>
      </c>
      <c r="Z60" s="14" t="e">
        <f t="shared" si="11"/>
        <v>#VALUE!</v>
      </c>
      <c r="AA60" s="14" t="e">
        <f>RANK($P60,$P$5:$P$104,1)+COUNTIF(P$5:P60,P60)-1</f>
        <v>#VALUE!</v>
      </c>
      <c r="AB60" s="14" t="e">
        <f t="shared" si="12"/>
        <v>#VALUE!</v>
      </c>
      <c r="AC60" s="1" t="str">
        <f t="shared" si="13"/>
        <v xml:space="preserve"> </v>
      </c>
      <c r="AD60" s="1" t="str">
        <f t="shared" si="14"/>
        <v>-</v>
      </c>
      <c r="AE60" s="35" t="str">
        <f t="shared" si="18"/>
        <v>-</v>
      </c>
      <c r="AF60" s="35" t="str">
        <f t="shared" si="18"/>
        <v>-</v>
      </c>
      <c r="AG60" s="35" t="str">
        <f t="shared" si="18"/>
        <v>-</v>
      </c>
      <c r="AH60" s="35" t="str">
        <f t="shared" si="17"/>
        <v>-</v>
      </c>
      <c r="AI60" s="35" t="str">
        <f t="shared" si="17"/>
        <v>-</v>
      </c>
      <c r="AJ60" s="35" t="str">
        <f t="shared" si="17"/>
        <v>-</v>
      </c>
      <c r="AL60" s="4">
        <v>56</v>
      </c>
      <c r="AM60" s="2" t="e">
        <f>VLOOKUP(AL60,Q$5:$AJ$104,$AN$2,FALSE)</f>
        <v>#N/A</v>
      </c>
      <c r="AN60" s="6" t="e">
        <f>VLOOKUP(AL60,Q$5:$AJ$104,$AN$2+11,FALSE)</f>
        <v>#N/A</v>
      </c>
      <c r="AO60" s="2" t="e">
        <f t="shared" si="16"/>
        <v>#N/A</v>
      </c>
      <c r="AQ60" s="4">
        <v>56</v>
      </c>
      <c r="AR60" s="2" t="e">
        <f>VLOOKUP(AQ60,$S$5:$AJ$104,$AS$2,FALSE)</f>
        <v>#N/A</v>
      </c>
      <c r="AS60" s="6" t="e">
        <f>VLOOKUP(AQ60,$S$5:$AJ$104,$AS$2+9,FALSE)</f>
        <v>#N/A</v>
      </c>
      <c r="AT60" s="2" t="e">
        <f>VLOOKUP(AR60,$S$5:$AJ$104,$AS$2+12,FALSE)</f>
        <v>#N/A</v>
      </c>
      <c r="AU60" s="9"/>
      <c r="AV60" s="4">
        <v>56</v>
      </c>
      <c r="AW60" s="2" t="e">
        <f>VLOOKUP(AV60,$U$5:$AJ$104,$AX$2,FALSE)</f>
        <v>#N/A</v>
      </c>
      <c r="AX60" s="6" t="e">
        <f>VLOOKUP(AV60,$U$5:$AJ$104,$AX$2+7,FALSE)</f>
        <v>#N/A</v>
      </c>
      <c r="AY60" s="2" t="e">
        <f>VLOOKUP(AW60,$U$5:$AJ$104,$AX$2+11,FALSE)</f>
        <v>#N/A</v>
      </c>
      <c r="BA60" s="4">
        <v>56</v>
      </c>
      <c r="BB60" s="2" t="e">
        <f>VLOOKUP(BA60,$W$5:$AJ$104,$BC$2,FALSE)</f>
        <v>#N/A</v>
      </c>
      <c r="BC60" s="6" t="e">
        <f>VLOOKUP(BA60,$W$5:$AJ$104,$BC$2+5,FALSE)</f>
        <v>#N/A</v>
      </c>
      <c r="BD60" s="58" t="e">
        <f>VLOOKUP(BB60,$W$5:$AJ$104,$BC$2+10,FALSE)</f>
        <v>#N/A</v>
      </c>
      <c r="BE60" s="9"/>
      <c r="BF60" s="4">
        <v>56</v>
      </c>
      <c r="BG60" s="2" t="e">
        <f>VLOOKUP(BF60,$Y$5:$AJ$104,$BH$2,FALSE)</f>
        <v>#N/A</v>
      </c>
      <c r="BH60" s="6" t="e">
        <f>VLOOKUP(BF60,$Y$5:$AJ$104,$BH$2+3,FALSE)</f>
        <v>#N/A</v>
      </c>
      <c r="BI60" s="2" t="e">
        <f>VLOOKUP(BF60,$Y$5:$AJ$104,$BH$2+4,FALSE)</f>
        <v>#N/A</v>
      </c>
      <c r="BJ60" s="2" t="e">
        <f>VLOOKUP(BG60,$Y$5:$AJ$104,$BH$2+9,FALSE)</f>
        <v>#N/A</v>
      </c>
      <c r="BL60" s="4">
        <v>56</v>
      </c>
      <c r="BM60" s="2" t="e">
        <f>VLOOKUP(BL60,$AA$5:$AJ$104,$BN$2,FALSE)</f>
        <v>#N/A</v>
      </c>
      <c r="BN60" s="6" t="e">
        <f>VLOOKUP(BL60,$AA$5:$AJ$104,$BN$2+1,FALSE)</f>
        <v>#N/A</v>
      </c>
      <c r="BO60" s="2" t="e">
        <f>VLOOKUP(BM60,$AA$5:$AJ$104,$BN$2+8,FALSE)</f>
        <v>#N/A</v>
      </c>
      <c r="BQ60" s="2" t="e">
        <f>'Eclectic B'!CD60</f>
        <v>#N/A</v>
      </c>
      <c r="BR60" s="6" t="e">
        <f>'Eclectic B'!CE60</f>
        <v>#N/A</v>
      </c>
      <c r="BS60" s="103" t="e">
        <f>'Eclectic B'!CF60</f>
        <v>#N/A</v>
      </c>
    </row>
    <row r="61" spans="1:71">
      <c r="A61" s="10" t="str">
        <f>IF(ISBLANK(Players!F59),"",Players!F59)</f>
        <v/>
      </c>
      <c r="B61" s="10" t="str">
        <f>IF(ISBLANK(Players!G59),"",Players!G59)</f>
        <v/>
      </c>
      <c r="C61" s="10" t="str">
        <f>IF(ISBLANK(Players!I59),"",Players!I59)</f>
        <v/>
      </c>
      <c r="D61" s="69" t="str">
        <f>IF(ISNUMBER(C61),MIN((C61*Rules!$N$14/113)+(Rules!$N$13-Rules!$N$12),Rules!$N$37),"-")</f>
        <v>-</v>
      </c>
      <c r="E61" s="69" t="str">
        <f>IF(ISNUMBER(C61),    ROUND( (D61*Rules!$N$11) / 100,0),"-")</f>
        <v>-</v>
      </c>
      <c r="F61" s="36" t="str">
        <f>IF(AND(ISNUMBER(C61),C61&gt;=Rules!$M$17,C61&lt;=Rules!$N$17),"Y","N")</f>
        <v>N</v>
      </c>
      <c r="G61" s="137" t="str">
        <f>'Eclectic B'!M61</f>
        <v>-</v>
      </c>
      <c r="H61" s="137" t="str">
        <f>'Eclectic B'!W61</f>
        <v>-</v>
      </c>
      <c r="I61" s="137" t="str">
        <f>'Eclectic B'!AJ61</f>
        <v>-</v>
      </c>
      <c r="J61" s="137" t="str">
        <f>'Eclectic B'!AT61</f>
        <v>-</v>
      </c>
      <c r="K61" s="14" t="str">
        <f t="shared" si="1"/>
        <v>-</v>
      </c>
      <c r="L61" s="14" t="str">
        <f t="shared" si="2"/>
        <v>-</v>
      </c>
      <c r="M61" s="14" t="str">
        <f t="shared" si="3"/>
        <v>-</v>
      </c>
      <c r="N61" s="14" t="str">
        <f t="shared" si="4"/>
        <v>-</v>
      </c>
      <c r="O61" s="14" t="str">
        <f t="shared" si="5"/>
        <v>-</v>
      </c>
      <c r="P61" s="14" t="str">
        <f t="shared" si="6"/>
        <v>-</v>
      </c>
      <c r="Q61" s="14" t="e">
        <f>RANK($K61,$K$5:$K$104,1)+COUNTIF(K$5:K61,K61)-1</f>
        <v>#VALUE!</v>
      </c>
      <c r="R61" s="14" t="e">
        <f t="shared" si="7"/>
        <v>#VALUE!</v>
      </c>
      <c r="S61" s="14" t="e">
        <f>RANK($L61,$L$5:$L$104,1)+COUNTIF(L$5:L61,L61)-1</f>
        <v>#VALUE!</v>
      </c>
      <c r="T61" s="14" t="e">
        <f t="shared" si="8"/>
        <v>#VALUE!</v>
      </c>
      <c r="U61" s="14" t="e">
        <f>RANK($M61,$M$5:$M$104,1)+COUNTIF(M$5:M61,M61)-1</f>
        <v>#VALUE!</v>
      </c>
      <c r="V61" s="14" t="e">
        <f t="shared" si="9"/>
        <v>#VALUE!</v>
      </c>
      <c r="W61" s="14" t="e">
        <f>RANK($N61,$N$5:$N$104,1)+COUNTIF(N$5:N61,N61)-1</f>
        <v>#VALUE!</v>
      </c>
      <c r="X61" s="14" t="e">
        <f t="shared" si="10"/>
        <v>#VALUE!</v>
      </c>
      <c r="Y61" s="14" t="e">
        <f>RANK($O61,$O$5:$O$104,1)+COUNTIF(O$5:O61,O61)-1</f>
        <v>#VALUE!</v>
      </c>
      <c r="Z61" s="14" t="e">
        <f t="shared" si="11"/>
        <v>#VALUE!</v>
      </c>
      <c r="AA61" s="14" t="e">
        <f>RANK($P61,$P$5:$P$104,1)+COUNTIF(P$5:P61,P61)-1</f>
        <v>#VALUE!</v>
      </c>
      <c r="AB61" s="14" t="e">
        <f t="shared" si="12"/>
        <v>#VALUE!</v>
      </c>
      <c r="AC61" s="1" t="str">
        <f t="shared" si="13"/>
        <v xml:space="preserve"> </v>
      </c>
      <c r="AD61" s="1" t="str">
        <f t="shared" si="14"/>
        <v>-</v>
      </c>
      <c r="AE61" s="35" t="str">
        <f t="shared" si="18"/>
        <v>-</v>
      </c>
      <c r="AF61" s="35" t="str">
        <f t="shared" si="18"/>
        <v>-</v>
      </c>
      <c r="AG61" s="35" t="str">
        <f t="shared" si="18"/>
        <v>-</v>
      </c>
      <c r="AH61" s="35" t="str">
        <f t="shared" si="17"/>
        <v>-</v>
      </c>
      <c r="AI61" s="35" t="str">
        <f t="shared" si="17"/>
        <v>-</v>
      </c>
      <c r="AJ61" s="35" t="str">
        <f t="shared" si="17"/>
        <v>-</v>
      </c>
      <c r="AL61" s="4">
        <v>57</v>
      </c>
      <c r="AM61" s="2" t="e">
        <f>VLOOKUP(AL61,Q$5:$AJ$104,$AN$2,FALSE)</f>
        <v>#N/A</v>
      </c>
      <c r="AN61" s="6" t="e">
        <f>VLOOKUP(AL61,Q$5:$AJ$104,$AN$2+11,FALSE)</f>
        <v>#N/A</v>
      </c>
      <c r="AO61" s="2" t="e">
        <f t="shared" si="16"/>
        <v>#N/A</v>
      </c>
      <c r="AQ61" s="4">
        <v>57</v>
      </c>
      <c r="AR61" s="2" t="e">
        <f>VLOOKUP(AQ61,$S$5:$AJ$104,$AS$2,FALSE)</f>
        <v>#N/A</v>
      </c>
      <c r="AS61" s="6" t="e">
        <f>VLOOKUP(AQ61,$S$5:$AJ$104,$AS$2+9,FALSE)</f>
        <v>#N/A</v>
      </c>
      <c r="AT61" s="2" t="e">
        <f>VLOOKUP(AR61,$S$5:$AJ$104,$AS$2+12,FALSE)</f>
        <v>#N/A</v>
      </c>
      <c r="AU61" s="9"/>
      <c r="AV61" s="4">
        <v>57</v>
      </c>
      <c r="AW61" s="2" t="e">
        <f>VLOOKUP(AV61,$U$5:$AJ$104,$AX$2,FALSE)</f>
        <v>#N/A</v>
      </c>
      <c r="AX61" s="6" t="e">
        <f>VLOOKUP(AV61,$U$5:$AJ$104,$AX$2+7,FALSE)</f>
        <v>#N/A</v>
      </c>
      <c r="AY61" s="2" t="e">
        <f>VLOOKUP(AW61,$U$5:$AJ$104,$AX$2+11,FALSE)</f>
        <v>#N/A</v>
      </c>
      <c r="BA61" s="4">
        <v>57</v>
      </c>
      <c r="BB61" s="2" t="e">
        <f>VLOOKUP(BA61,$W$5:$AJ$104,$BC$2,FALSE)</f>
        <v>#N/A</v>
      </c>
      <c r="BC61" s="6" t="e">
        <f>VLOOKUP(BA61,$W$5:$AJ$104,$BC$2+5,FALSE)</f>
        <v>#N/A</v>
      </c>
      <c r="BD61" s="58" t="e">
        <f>VLOOKUP(BB61,$W$5:$AJ$104,$BC$2+10,FALSE)</f>
        <v>#N/A</v>
      </c>
      <c r="BE61" s="9"/>
      <c r="BF61" s="4">
        <v>57</v>
      </c>
      <c r="BG61" s="2" t="e">
        <f>VLOOKUP(BF61,$Y$5:$AJ$104,$BH$2,FALSE)</f>
        <v>#N/A</v>
      </c>
      <c r="BH61" s="6" t="e">
        <f>VLOOKUP(BF61,$Y$5:$AJ$104,$BH$2+3,FALSE)</f>
        <v>#N/A</v>
      </c>
      <c r="BI61" s="2" t="e">
        <f>VLOOKUP(BF61,$Y$5:$AJ$104,$BH$2+4,FALSE)</f>
        <v>#N/A</v>
      </c>
      <c r="BJ61" s="2" t="e">
        <f>VLOOKUP(BG61,$Y$5:$AJ$104,$BH$2+9,FALSE)</f>
        <v>#N/A</v>
      </c>
      <c r="BL61" s="4">
        <v>57</v>
      </c>
      <c r="BM61" s="2" t="e">
        <f>VLOOKUP(BL61,$AA$5:$AJ$104,$BN$2,FALSE)</f>
        <v>#N/A</v>
      </c>
      <c r="BN61" s="6" t="e">
        <f>VLOOKUP(BL61,$AA$5:$AJ$104,$BN$2+1,FALSE)</f>
        <v>#N/A</v>
      </c>
      <c r="BO61" s="2" t="e">
        <f>VLOOKUP(BM61,$AA$5:$AJ$104,$BN$2+8,FALSE)</f>
        <v>#N/A</v>
      </c>
      <c r="BQ61" s="2" t="e">
        <f>'Eclectic B'!CD61</f>
        <v>#N/A</v>
      </c>
      <c r="BR61" s="6" t="e">
        <f>'Eclectic B'!CE61</f>
        <v>#N/A</v>
      </c>
      <c r="BS61" s="103" t="e">
        <f>'Eclectic B'!CF61</f>
        <v>#N/A</v>
      </c>
    </row>
    <row r="62" spans="1:71">
      <c r="A62" s="10" t="str">
        <f>IF(ISBLANK(Players!F60),"",Players!F60)</f>
        <v/>
      </c>
      <c r="B62" s="10" t="str">
        <f>IF(ISBLANK(Players!G60),"",Players!G60)</f>
        <v/>
      </c>
      <c r="C62" s="10" t="str">
        <f>IF(ISBLANK(Players!I60),"",Players!I60)</f>
        <v/>
      </c>
      <c r="D62" s="69" t="str">
        <f>IF(ISNUMBER(C62),MIN((C62*Rules!$N$14/113)+(Rules!$N$13-Rules!$N$12),Rules!$N$37),"-")</f>
        <v>-</v>
      </c>
      <c r="E62" s="69" t="str">
        <f>IF(ISNUMBER(C62),    ROUND( (D62*Rules!$N$11) / 100,0),"-")</f>
        <v>-</v>
      </c>
      <c r="F62" s="36" t="str">
        <f>IF(AND(ISNUMBER(C62),C62&gt;=Rules!$M$17,C62&lt;=Rules!$N$17),"Y","N")</f>
        <v>N</v>
      </c>
      <c r="G62" s="137" t="str">
        <f>'Eclectic B'!M62</f>
        <v>-</v>
      </c>
      <c r="H62" s="137" t="str">
        <f>'Eclectic B'!W62</f>
        <v>-</v>
      </c>
      <c r="I62" s="137" t="str">
        <f>'Eclectic B'!AJ62</f>
        <v>-</v>
      </c>
      <c r="J62" s="137" t="str">
        <f>'Eclectic B'!AT62</f>
        <v>-</v>
      </c>
      <c r="K62" s="14" t="str">
        <f t="shared" si="1"/>
        <v>-</v>
      </c>
      <c r="L62" s="14" t="str">
        <f t="shared" si="2"/>
        <v>-</v>
      </c>
      <c r="M62" s="14" t="str">
        <f t="shared" si="3"/>
        <v>-</v>
      </c>
      <c r="N62" s="14" t="str">
        <f t="shared" si="4"/>
        <v>-</v>
      </c>
      <c r="O62" s="14" t="str">
        <f t="shared" si="5"/>
        <v>-</v>
      </c>
      <c r="P62" s="14" t="str">
        <f t="shared" si="6"/>
        <v>-</v>
      </c>
      <c r="Q62" s="14" t="e">
        <f>RANK($K62,$K$5:$K$104,1)+COUNTIF(K$5:K62,K62)-1</f>
        <v>#VALUE!</v>
      </c>
      <c r="R62" s="14" t="e">
        <f t="shared" si="7"/>
        <v>#VALUE!</v>
      </c>
      <c r="S62" s="14" t="e">
        <f>RANK($L62,$L$5:$L$104,1)+COUNTIF(L$5:L62,L62)-1</f>
        <v>#VALUE!</v>
      </c>
      <c r="T62" s="14" t="e">
        <f t="shared" si="8"/>
        <v>#VALUE!</v>
      </c>
      <c r="U62" s="14" t="e">
        <f>RANK($M62,$M$5:$M$104,1)+COUNTIF(M$5:M62,M62)-1</f>
        <v>#VALUE!</v>
      </c>
      <c r="V62" s="14" t="e">
        <f t="shared" si="9"/>
        <v>#VALUE!</v>
      </c>
      <c r="W62" s="14" t="e">
        <f>RANK($N62,$N$5:$N$104,1)+COUNTIF(N$5:N62,N62)-1</f>
        <v>#VALUE!</v>
      </c>
      <c r="X62" s="14" t="e">
        <f t="shared" si="10"/>
        <v>#VALUE!</v>
      </c>
      <c r="Y62" s="14" t="e">
        <f>RANK($O62,$O$5:$O$104,1)+COUNTIF(O$5:O62,O62)-1</f>
        <v>#VALUE!</v>
      </c>
      <c r="Z62" s="14" t="e">
        <f t="shared" si="11"/>
        <v>#VALUE!</v>
      </c>
      <c r="AA62" s="14" t="e">
        <f>RANK($P62,$P$5:$P$104,1)+COUNTIF(P$5:P62,P62)-1</f>
        <v>#VALUE!</v>
      </c>
      <c r="AB62" s="14" t="e">
        <f t="shared" si="12"/>
        <v>#VALUE!</v>
      </c>
      <c r="AC62" s="1" t="str">
        <f t="shared" si="13"/>
        <v xml:space="preserve"> </v>
      </c>
      <c r="AD62" s="1" t="str">
        <f t="shared" si="14"/>
        <v>-</v>
      </c>
      <c r="AE62" s="35" t="str">
        <f t="shared" si="18"/>
        <v>-</v>
      </c>
      <c r="AF62" s="35" t="str">
        <f t="shared" si="18"/>
        <v>-</v>
      </c>
      <c r="AG62" s="35" t="str">
        <f t="shared" si="18"/>
        <v>-</v>
      </c>
      <c r="AH62" s="35" t="str">
        <f t="shared" si="17"/>
        <v>-</v>
      </c>
      <c r="AI62" s="35" t="str">
        <f t="shared" si="17"/>
        <v>-</v>
      </c>
      <c r="AJ62" s="35" t="str">
        <f t="shared" si="17"/>
        <v>-</v>
      </c>
      <c r="AL62" s="4">
        <v>58</v>
      </c>
      <c r="AM62" s="2" t="e">
        <f>VLOOKUP(AL62,Q$5:$AJ$104,$AN$2,FALSE)</f>
        <v>#N/A</v>
      </c>
      <c r="AN62" s="6" t="e">
        <f>VLOOKUP(AL62,Q$5:$AJ$104,$AN$2+11,FALSE)</f>
        <v>#N/A</v>
      </c>
      <c r="AO62" s="2" t="e">
        <f t="shared" si="16"/>
        <v>#N/A</v>
      </c>
      <c r="AQ62" s="4">
        <v>58</v>
      </c>
      <c r="AR62" s="2" t="e">
        <f>VLOOKUP(AQ62,$S$5:$AJ$104,$AS$2,FALSE)</f>
        <v>#N/A</v>
      </c>
      <c r="AS62" s="6" t="e">
        <f>VLOOKUP(AQ62,$S$5:$AJ$104,$AS$2+9,FALSE)</f>
        <v>#N/A</v>
      </c>
      <c r="AT62" s="2" t="e">
        <f>VLOOKUP(AR62,$S$5:$AJ$104,$AS$2+12,FALSE)</f>
        <v>#N/A</v>
      </c>
      <c r="AU62" s="9"/>
      <c r="AV62" s="4">
        <v>58</v>
      </c>
      <c r="AW62" s="2" t="e">
        <f>VLOOKUP(AV62,$U$5:$AJ$104,$AX$2,FALSE)</f>
        <v>#N/A</v>
      </c>
      <c r="AX62" s="6" t="e">
        <f>VLOOKUP(AV62,$U$5:$AJ$104,$AX$2+7,FALSE)</f>
        <v>#N/A</v>
      </c>
      <c r="AY62" s="2" t="e">
        <f>VLOOKUP(AW62,$U$5:$AJ$104,$AX$2+11,FALSE)</f>
        <v>#N/A</v>
      </c>
      <c r="BA62" s="4">
        <v>58</v>
      </c>
      <c r="BB62" s="2" t="e">
        <f>VLOOKUP(BA62,$W$5:$AJ$104,$BC$2,FALSE)</f>
        <v>#N/A</v>
      </c>
      <c r="BC62" s="6" t="e">
        <f>VLOOKUP(BA62,$W$5:$AJ$104,$BC$2+5,FALSE)</f>
        <v>#N/A</v>
      </c>
      <c r="BD62" s="58" t="e">
        <f>VLOOKUP(BB62,$W$5:$AJ$104,$BC$2+10,FALSE)</f>
        <v>#N/A</v>
      </c>
      <c r="BE62" s="9"/>
      <c r="BF62" s="4">
        <v>58</v>
      </c>
      <c r="BG62" s="2" t="e">
        <f>VLOOKUP(BF62,$Y$5:$AJ$104,$BH$2,FALSE)</f>
        <v>#N/A</v>
      </c>
      <c r="BH62" s="6" t="e">
        <f>VLOOKUP(BF62,$Y$5:$AJ$104,$BH$2+3,FALSE)</f>
        <v>#N/A</v>
      </c>
      <c r="BI62" s="2" t="e">
        <f>VLOOKUP(BF62,$Y$5:$AJ$104,$BH$2+4,FALSE)</f>
        <v>#N/A</v>
      </c>
      <c r="BJ62" s="2" t="e">
        <f>VLOOKUP(BG62,$Y$5:$AJ$104,$BH$2+9,FALSE)</f>
        <v>#N/A</v>
      </c>
      <c r="BL62" s="4">
        <v>58</v>
      </c>
      <c r="BM62" s="2" t="e">
        <f>VLOOKUP(BL62,$AA$5:$AJ$104,$BN$2,FALSE)</f>
        <v>#N/A</v>
      </c>
      <c r="BN62" s="6" t="e">
        <f>VLOOKUP(BL62,$AA$5:$AJ$104,$BN$2+1,FALSE)</f>
        <v>#N/A</v>
      </c>
      <c r="BO62" s="2" t="e">
        <f>VLOOKUP(BM62,$AA$5:$AJ$104,$BN$2+8,FALSE)</f>
        <v>#N/A</v>
      </c>
      <c r="BQ62" s="2" t="e">
        <f>'Eclectic B'!CD62</f>
        <v>#N/A</v>
      </c>
      <c r="BR62" s="6" t="e">
        <f>'Eclectic B'!CE62</f>
        <v>#N/A</v>
      </c>
      <c r="BS62" s="103" t="e">
        <f>'Eclectic B'!CF62</f>
        <v>#N/A</v>
      </c>
    </row>
    <row r="63" spans="1:71">
      <c r="A63" s="10" t="str">
        <f>IF(ISBLANK(Players!F61),"",Players!F61)</f>
        <v/>
      </c>
      <c r="B63" s="10" t="str">
        <f>IF(ISBLANK(Players!G61),"",Players!G61)</f>
        <v/>
      </c>
      <c r="C63" s="10" t="str">
        <f>IF(ISBLANK(Players!I61),"",Players!I61)</f>
        <v/>
      </c>
      <c r="D63" s="69" t="str">
        <f>IF(ISNUMBER(C63),MIN((C63*Rules!$N$14/113)+(Rules!$N$13-Rules!$N$12),Rules!$N$37),"-")</f>
        <v>-</v>
      </c>
      <c r="E63" s="69" t="str">
        <f>IF(ISNUMBER(C63),    ROUND( (D63*Rules!$N$11) / 100,0),"-")</f>
        <v>-</v>
      </c>
      <c r="F63" s="36" t="str">
        <f>IF(AND(ISNUMBER(C63),C63&gt;=Rules!$M$17,C63&lt;=Rules!$N$17),"Y","N")</f>
        <v>N</v>
      </c>
      <c r="G63" s="137" t="str">
        <f>'Eclectic B'!M63</f>
        <v>-</v>
      </c>
      <c r="H63" s="137" t="str">
        <f>'Eclectic B'!W63</f>
        <v>-</v>
      </c>
      <c r="I63" s="137" t="str">
        <f>'Eclectic B'!AJ63</f>
        <v>-</v>
      </c>
      <c r="J63" s="137" t="str">
        <f>'Eclectic B'!AT63</f>
        <v>-</v>
      </c>
      <c r="K63" s="14" t="str">
        <f t="shared" si="1"/>
        <v>-</v>
      </c>
      <c r="L63" s="14" t="str">
        <f t="shared" si="2"/>
        <v>-</v>
      </c>
      <c r="M63" s="14" t="str">
        <f t="shared" si="3"/>
        <v>-</v>
      </c>
      <c r="N63" s="14" t="str">
        <f t="shared" si="4"/>
        <v>-</v>
      </c>
      <c r="O63" s="14" t="str">
        <f t="shared" si="5"/>
        <v>-</v>
      </c>
      <c r="P63" s="14" t="str">
        <f t="shared" si="6"/>
        <v>-</v>
      </c>
      <c r="Q63" s="14" t="e">
        <f>RANK($K63,$K$5:$K$104,1)+COUNTIF(K$5:K63,K63)-1</f>
        <v>#VALUE!</v>
      </c>
      <c r="R63" s="14" t="e">
        <f t="shared" si="7"/>
        <v>#VALUE!</v>
      </c>
      <c r="S63" s="14" t="e">
        <f>RANK($L63,$L$5:$L$104,1)+COUNTIF(L$5:L63,L63)-1</f>
        <v>#VALUE!</v>
      </c>
      <c r="T63" s="14" t="e">
        <f t="shared" si="8"/>
        <v>#VALUE!</v>
      </c>
      <c r="U63" s="14" t="e">
        <f>RANK($M63,$M$5:$M$104,1)+COUNTIF(M$5:M63,M63)-1</f>
        <v>#VALUE!</v>
      </c>
      <c r="V63" s="14" t="e">
        <f t="shared" si="9"/>
        <v>#VALUE!</v>
      </c>
      <c r="W63" s="14" t="e">
        <f>RANK($N63,$N$5:$N$104,1)+COUNTIF(N$5:N63,N63)-1</f>
        <v>#VALUE!</v>
      </c>
      <c r="X63" s="14" t="e">
        <f t="shared" si="10"/>
        <v>#VALUE!</v>
      </c>
      <c r="Y63" s="14" t="e">
        <f>RANK($O63,$O$5:$O$104,1)+COUNTIF(O$5:O63,O63)-1</f>
        <v>#VALUE!</v>
      </c>
      <c r="Z63" s="14" t="e">
        <f t="shared" si="11"/>
        <v>#VALUE!</v>
      </c>
      <c r="AA63" s="14" t="e">
        <f>RANK($P63,$P$5:$P$104,1)+COUNTIF(P$5:P63,P63)-1</f>
        <v>#VALUE!</v>
      </c>
      <c r="AB63" s="14" t="e">
        <f t="shared" si="12"/>
        <v>#VALUE!</v>
      </c>
      <c r="AC63" s="1" t="str">
        <f t="shared" si="13"/>
        <v xml:space="preserve"> </v>
      </c>
      <c r="AD63" s="1" t="str">
        <f t="shared" si="14"/>
        <v>-</v>
      </c>
      <c r="AE63" s="35" t="str">
        <f t="shared" si="18"/>
        <v>-</v>
      </c>
      <c r="AF63" s="35" t="str">
        <f t="shared" si="18"/>
        <v>-</v>
      </c>
      <c r="AG63" s="35" t="str">
        <f t="shared" si="18"/>
        <v>-</v>
      </c>
      <c r="AH63" s="35" t="str">
        <f t="shared" si="17"/>
        <v>-</v>
      </c>
      <c r="AI63" s="35" t="str">
        <f t="shared" si="17"/>
        <v>-</v>
      </c>
      <c r="AJ63" s="35" t="str">
        <f t="shared" si="17"/>
        <v>-</v>
      </c>
      <c r="AL63" s="4">
        <v>59</v>
      </c>
      <c r="AM63" s="2" t="e">
        <f>VLOOKUP(AL63,Q$5:$AJ$104,$AN$2,FALSE)</f>
        <v>#N/A</v>
      </c>
      <c r="AN63" s="6" t="e">
        <f>VLOOKUP(AL63,Q$5:$AJ$104,$AN$2+11,FALSE)</f>
        <v>#N/A</v>
      </c>
      <c r="AO63" s="2" t="e">
        <f t="shared" si="16"/>
        <v>#N/A</v>
      </c>
      <c r="AQ63" s="4">
        <v>59</v>
      </c>
      <c r="AR63" s="2" t="e">
        <f>VLOOKUP(AQ63,$S$5:$AJ$104,$AS$2,FALSE)</f>
        <v>#N/A</v>
      </c>
      <c r="AS63" s="6" t="e">
        <f>VLOOKUP(AQ63,$S$5:$AJ$104,$AS$2+9,FALSE)</f>
        <v>#N/A</v>
      </c>
      <c r="AT63" s="2" t="e">
        <f>VLOOKUP(AR63,$S$5:$AJ$104,$AS$2+12,FALSE)</f>
        <v>#N/A</v>
      </c>
      <c r="AU63" s="9"/>
      <c r="AV63" s="4">
        <v>59</v>
      </c>
      <c r="AW63" s="2" t="e">
        <f>VLOOKUP(AV63,$U$5:$AJ$104,$AX$2,FALSE)</f>
        <v>#N/A</v>
      </c>
      <c r="AX63" s="6" t="e">
        <f>VLOOKUP(AV63,$U$5:$AJ$104,$AX$2+7,FALSE)</f>
        <v>#N/A</v>
      </c>
      <c r="AY63" s="2" t="e">
        <f>VLOOKUP(AW63,$U$5:$AJ$104,$AX$2+11,FALSE)</f>
        <v>#N/A</v>
      </c>
      <c r="BA63" s="4">
        <v>59</v>
      </c>
      <c r="BB63" s="2" t="e">
        <f>VLOOKUP(BA63,$W$5:$AJ$104,$BC$2,FALSE)</f>
        <v>#N/A</v>
      </c>
      <c r="BC63" s="6" t="e">
        <f>VLOOKUP(BA63,$W$5:$AJ$104,$BC$2+5,FALSE)</f>
        <v>#N/A</v>
      </c>
      <c r="BD63" s="58" t="e">
        <f>VLOOKUP(BB63,$W$5:$AJ$104,$BC$2+10,FALSE)</f>
        <v>#N/A</v>
      </c>
      <c r="BE63" s="9"/>
      <c r="BF63" s="4">
        <v>59</v>
      </c>
      <c r="BG63" s="2" t="e">
        <f>VLOOKUP(BF63,$Y$5:$AJ$104,$BH$2,FALSE)</f>
        <v>#N/A</v>
      </c>
      <c r="BH63" s="6" t="e">
        <f>VLOOKUP(BF63,$Y$5:$AJ$104,$BH$2+3,FALSE)</f>
        <v>#N/A</v>
      </c>
      <c r="BI63" s="2" t="e">
        <f>VLOOKUP(BF63,$Y$5:$AJ$104,$BH$2+4,FALSE)</f>
        <v>#N/A</v>
      </c>
      <c r="BJ63" s="2" t="e">
        <f>VLOOKUP(BG63,$Y$5:$AJ$104,$BH$2+9,FALSE)</f>
        <v>#N/A</v>
      </c>
      <c r="BL63" s="4">
        <v>59</v>
      </c>
      <c r="BM63" s="2" t="e">
        <f>VLOOKUP(BL63,$AA$5:$AJ$104,$BN$2,FALSE)</f>
        <v>#N/A</v>
      </c>
      <c r="BN63" s="6" t="e">
        <f>VLOOKUP(BL63,$AA$5:$AJ$104,$BN$2+1,FALSE)</f>
        <v>#N/A</v>
      </c>
      <c r="BO63" s="2" t="e">
        <f>VLOOKUP(BM63,$AA$5:$AJ$104,$BN$2+8,FALSE)</f>
        <v>#N/A</v>
      </c>
      <c r="BQ63" s="2" t="e">
        <f>'Eclectic B'!CD63</f>
        <v>#N/A</v>
      </c>
      <c r="BR63" s="6" t="e">
        <f>'Eclectic B'!CE63</f>
        <v>#N/A</v>
      </c>
      <c r="BS63" s="103" t="e">
        <f>'Eclectic B'!CF63</f>
        <v>#N/A</v>
      </c>
    </row>
    <row r="64" spans="1:71">
      <c r="A64" s="10" t="str">
        <f>IF(ISBLANK(Players!F62),"",Players!F62)</f>
        <v/>
      </c>
      <c r="B64" s="10" t="str">
        <f>IF(ISBLANK(Players!G62),"",Players!G62)</f>
        <v/>
      </c>
      <c r="C64" s="10" t="str">
        <f>IF(ISBLANK(Players!I62),"",Players!I62)</f>
        <v/>
      </c>
      <c r="D64" s="69" t="str">
        <f>IF(ISNUMBER(C64),MIN((C64*Rules!$N$14/113)+(Rules!$N$13-Rules!$N$12),Rules!$N$37),"-")</f>
        <v>-</v>
      </c>
      <c r="E64" s="69" t="str">
        <f>IF(ISNUMBER(C64),    ROUND( (D64*Rules!$N$11) / 100,0),"-")</f>
        <v>-</v>
      </c>
      <c r="F64" s="36" t="str">
        <f>IF(AND(ISNUMBER(C64),C64&gt;=Rules!$M$17,C64&lt;=Rules!$N$17),"Y","N")</f>
        <v>N</v>
      </c>
      <c r="G64" s="137" t="str">
        <f>'Eclectic B'!M64</f>
        <v>-</v>
      </c>
      <c r="H64" s="137" t="str">
        <f>'Eclectic B'!W64</f>
        <v>-</v>
      </c>
      <c r="I64" s="137" t="str">
        <f>'Eclectic B'!AJ64</f>
        <v>-</v>
      </c>
      <c r="J64" s="137" t="str">
        <f>'Eclectic B'!AT64</f>
        <v>-</v>
      </c>
      <c r="K64" s="14" t="str">
        <f t="shared" si="1"/>
        <v>-</v>
      </c>
      <c r="L64" s="14" t="str">
        <f t="shared" si="2"/>
        <v>-</v>
      </c>
      <c r="M64" s="14" t="str">
        <f t="shared" si="3"/>
        <v>-</v>
      </c>
      <c r="N64" s="14" t="str">
        <f t="shared" si="4"/>
        <v>-</v>
      </c>
      <c r="O64" s="14" t="str">
        <f t="shared" si="5"/>
        <v>-</v>
      </c>
      <c r="P64" s="14" t="str">
        <f t="shared" si="6"/>
        <v>-</v>
      </c>
      <c r="Q64" s="14" t="e">
        <f>RANK($K64,$K$5:$K$104,1)+COUNTIF(K$5:K64,K64)-1</f>
        <v>#VALUE!</v>
      </c>
      <c r="R64" s="14" t="e">
        <f t="shared" si="7"/>
        <v>#VALUE!</v>
      </c>
      <c r="S64" s="14" t="e">
        <f>RANK($L64,$L$5:$L$104,1)+COUNTIF(L$5:L64,L64)-1</f>
        <v>#VALUE!</v>
      </c>
      <c r="T64" s="14" t="e">
        <f t="shared" si="8"/>
        <v>#VALUE!</v>
      </c>
      <c r="U64" s="14" t="e">
        <f>RANK($M64,$M$5:$M$104,1)+COUNTIF(M$5:M64,M64)-1</f>
        <v>#VALUE!</v>
      </c>
      <c r="V64" s="14" t="e">
        <f t="shared" si="9"/>
        <v>#VALUE!</v>
      </c>
      <c r="W64" s="14" t="e">
        <f>RANK($N64,$N$5:$N$104,1)+COUNTIF(N$5:N64,N64)-1</f>
        <v>#VALUE!</v>
      </c>
      <c r="X64" s="14" t="e">
        <f t="shared" si="10"/>
        <v>#VALUE!</v>
      </c>
      <c r="Y64" s="14" t="e">
        <f>RANK($O64,$O$5:$O$104,1)+COUNTIF(O$5:O64,O64)-1</f>
        <v>#VALUE!</v>
      </c>
      <c r="Z64" s="14" t="e">
        <f t="shared" si="11"/>
        <v>#VALUE!</v>
      </c>
      <c r="AA64" s="14" t="e">
        <f>RANK($P64,$P$5:$P$104,1)+COUNTIF(P$5:P64,P64)-1</f>
        <v>#VALUE!</v>
      </c>
      <c r="AB64" s="14" t="e">
        <f t="shared" si="12"/>
        <v>#VALUE!</v>
      </c>
      <c r="AC64" s="1" t="str">
        <f t="shared" si="13"/>
        <v xml:space="preserve"> </v>
      </c>
      <c r="AD64" s="1" t="str">
        <f t="shared" si="14"/>
        <v>-</v>
      </c>
      <c r="AE64" s="35" t="str">
        <f t="shared" si="18"/>
        <v>-</v>
      </c>
      <c r="AF64" s="35" t="str">
        <f t="shared" si="18"/>
        <v>-</v>
      </c>
      <c r="AG64" s="35" t="str">
        <f t="shared" si="18"/>
        <v>-</v>
      </c>
      <c r="AH64" s="35" t="str">
        <f t="shared" si="17"/>
        <v>-</v>
      </c>
      <c r="AI64" s="35" t="str">
        <f t="shared" si="17"/>
        <v>-</v>
      </c>
      <c r="AJ64" s="35" t="str">
        <f t="shared" si="17"/>
        <v>-</v>
      </c>
      <c r="AL64" s="4">
        <v>60</v>
      </c>
      <c r="AM64" s="2" t="e">
        <f>VLOOKUP(AL64,Q$5:$AJ$104,$AN$2,FALSE)</f>
        <v>#N/A</v>
      </c>
      <c r="AN64" s="6" t="e">
        <f>VLOOKUP(AL64,Q$5:$AJ$104,$AN$2+11,FALSE)</f>
        <v>#N/A</v>
      </c>
      <c r="AO64" s="2" t="e">
        <f t="shared" si="16"/>
        <v>#N/A</v>
      </c>
      <c r="AQ64" s="4">
        <v>60</v>
      </c>
      <c r="AR64" s="2" t="e">
        <f>VLOOKUP(AQ64,$S$5:$AJ$104,$AS$2,FALSE)</f>
        <v>#N/A</v>
      </c>
      <c r="AS64" s="6" t="e">
        <f>VLOOKUP(AQ64,$S$5:$AJ$104,$AS$2+9,FALSE)</f>
        <v>#N/A</v>
      </c>
      <c r="AT64" s="2" t="e">
        <f>VLOOKUP(AR64,$S$5:$AJ$104,$AS$2+12,FALSE)</f>
        <v>#N/A</v>
      </c>
      <c r="AU64" s="9"/>
      <c r="AV64" s="4">
        <v>60</v>
      </c>
      <c r="AW64" s="2" t="e">
        <f>VLOOKUP(AV64,$U$5:$AJ$104,$AX$2,FALSE)</f>
        <v>#N/A</v>
      </c>
      <c r="AX64" s="6" t="e">
        <f>VLOOKUP(AV64,$U$5:$AJ$104,$AX$2+7,FALSE)</f>
        <v>#N/A</v>
      </c>
      <c r="AY64" s="2" t="e">
        <f>VLOOKUP(AW64,$U$5:$AJ$104,$AX$2+11,FALSE)</f>
        <v>#N/A</v>
      </c>
      <c r="BA64" s="4">
        <v>60</v>
      </c>
      <c r="BB64" s="2" t="e">
        <f>VLOOKUP(BA64,$W$5:$AJ$104,$BC$2,FALSE)</f>
        <v>#N/A</v>
      </c>
      <c r="BC64" s="6" t="e">
        <f>VLOOKUP(BA64,$W$5:$AJ$104,$BC$2+5,FALSE)</f>
        <v>#N/A</v>
      </c>
      <c r="BD64" s="58" t="e">
        <f>VLOOKUP(BB64,$W$5:$AJ$104,$BC$2+10,FALSE)</f>
        <v>#N/A</v>
      </c>
      <c r="BE64" s="9"/>
      <c r="BF64" s="4">
        <v>60</v>
      </c>
      <c r="BG64" s="2" t="e">
        <f>VLOOKUP(BF64,$Y$5:$AJ$104,$BH$2,FALSE)</f>
        <v>#N/A</v>
      </c>
      <c r="BH64" s="6" t="e">
        <f>VLOOKUP(BF64,$Y$5:$AJ$104,$BH$2+3,FALSE)</f>
        <v>#N/A</v>
      </c>
      <c r="BI64" s="2" t="e">
        <f>VLOOKUP(BF64,$Y$5:$AJ$104,$BH$2+4,FALSE)</f>
        <v>#N/A</v>
      </c>
      <c r="BJ64" s="2" t="e">
        <f>VLOOKUP(BG64,$Y$5:$AJ$104,$BH$2+9,FALSE)</f>
        <v>#N/A</v>
      </c>
      <c r="BL64" s="4">
        <v>60</v>
      </c>
      <c r="BM64" s="2" t="e">
        <f>VLOOKUP(BL64,$AA$5:$AJ$104,$BN$2,FALSE)</f>
        <v>#N/A</v>
      </c>
      <c r="BN64" s="6" t="e">
        <f>VLOOKUP(BL64,$AA$5:$AJ$104,$BN$2+1,FALSE)</f>
        <v>#N/A</v>
      </c>
      <c r="BO64" s="2" t="e">
        <f>VLOOKUP(BM64,$AA$5:$AJ$104,$BN$2+8,FALSE)</f>
        <v>#N/A</v>
      </c>
      <c r="BQ64" s="2" t="e">
        <f>'Eclectic B'!CD64</f>
        <v>#N/A</v>
      </c>
      <c r="BR64" s="6" t="e">
        <f>'Eclectic B'!CE64</f>
        <v>#N/A</v>
      </c>
      <c r="BS64" s="103" t="e">
        <f>'Eclectic B'!CF64</f>
        <v>#N/A</v>
      </c>
    </row>
    <row r="65" spans="1:71">
      <c r="A65" s="10" t="str">
        <f>IF(ISBLANK(Players!F63),"",Players!F63)</f>
        <v/>
      </c>
      <c r="B65" s="10" t="str">
        <f>IF(ISBLANK(Players!G63),"",Players!G63)</f>
        <v/>
      </c>
      <c r="C65" s="10" t="str">
        <f>IF(ISBLANK(Players!I63),"",Players!I63)</f>
        <v/>
      </c>
      <c r="D65" s="69" t="str">
        <f>IF(ISNUMBER(C65),MIN((C65*Rules!$N$14/113)+(Rules!$N$13-Rules!$N$12),Rules!$N$37),"-")</f>
        <v>-</v>
      </c>
      <c r="E65" s="69" t="str">
        <f>IF(ISNUMBER(C65),    ROUND( (D65*Rules!$N$11) / 100,0),"-")</f>
        <v>-</v>
      </c>
      <c r="F65" s="36" t="str">
        <f>IF(AND(ISNUMBER(C65),C65&gt;=Rules!$M$17,C65&lt;=Rules!$N$17),"Y","N")</f>
        <v>N</v>
      </c>
      <c r="G65" s="137" t="str">
        <f>'Eclectic B'!M65</f>
        <v>-</v>
      </c>
      <c r="H65" s="137" t="str">
        <f>'Eclectic B'!W65</f>
        <v>-</v>
      </c>
      <c r="I65" s="137" t="str">
        <f>'Eclectic B'!AJ65</f>
        <v>-</v>
      </c>
      <c r="J65" s="137" t="str">
        <f>'Eclectic B'!AT65</f>
        <v>-</v>
      </c>
      <c r="K65" s="14" t="str">
        <f t="shared" si="1"/>
        <v>-</v>
      </c>
      <c r="L65" s="14" t="str">
        <f t="shared" si="2"/>
        <v>-</v>
      </c>
      <c r="M65" s="14" t="str">
        <f t="shared" si="3"/>
        <v>-</v>
      </c>
      <c r="N65" s="14" t="str">
        <f t="shared" si="4"/>
        <v>-</v>
      </c>
      <c r="O65" s="14" t="str">
        <f t="shared" si="5"/>
        <v>-</v>
      </c>
      <c r="P65" s="14" t="str">
        <f t="shared" si="6"/>
        <v>-</v>
      </c>
      <c r="Q65" s="14" t="e">
        <f>RANK($K65,$K$5:$K$104,1)+COUNTIF(K$5:K65,K65)-1</f>
        <v>#VALUE!</v>
      </c>
      <c r="R65" s="14" t="e">
        <f t="shared" si="7"/>
        <v>#VALUE!</v>
      </c>
      <c r="S65" s="14" t="e">
        <f>RANK($L65,$L$5:$L$104,1)+COUNTIF(L$5:L65,L65)-1</f>
        <v>#VALUE!</v>
      </c>
      <c r="T65" s="14" t="e">
        <f t="shared" si="8"/>
        <v>#VALUE!</v>
      </c>
      <c r="U65" s="14" t="e">
        <f>RANK($M65,$M$5:$M$104,1)+COUNTIF(M$5:M65,M65)-1</f>
        <v>#VALUE!</v>
      </c>
      <c r="V65" s="14" t="e">
        <f t="shared" si="9"/>
        <v>#VALUE!</v>
      </c>
      <c r="W65" s="14" t="e">
        <f>RANK($N65,$N$5:$N$104,1)+COUNTIF(N$5:N65,N65)-1</f>
        <v>#VALUE!</v>
      </c>
      <c r="X65" s="14" t="e">
        <f t="shared" si="10"/>
        <v>#VALUE!</v>
      </c>
      <c r="Y65" s="14" t="e">
        <f>RANK($O65,$O$5:$O$104,1)+COUNTIF(O$5:O65,O65)-1</f>
        <v>#VALUE!</v>
      </c>
      <c r="Z65" s="14" t="e">
        <f t="shared" si="11"/>
        <v>#VALUE!</v>
      </c>
      <c r="AA65" s="14" t="e">
        <f>RANK($P65,$P$5:$P$104,1)+COUNTIF(P$5:P65,P65)-1</f>
        <v>#VALUE!</v>
      </c>
      <c r="AB65" s="14" t="e">
        <f t="shared" si="12"/>
        <v>#VALUE!</v>
      </c>
      <c r="AC65" s="1" t="str">
        <f t="shared" si="13"/>
        <v xml:space="preserve"> </v>
      </c>
      <c r="AD65" s="1" t="str">
        <f t="shared" si="14"/>
        <v>-</v>
      </c>
      <c r="AE65" s="35" t="str">
        <f t="shared" si="18"/>
        <v>-</v>
      </c>
      <c r="AF65" s="35" t="str">
        <f t="shared" si="18"/>
        <v>-</v>
      </c>
      <c r="AG65" s="35" t="str">
        <f t="shared" si="18"/>
        <v>-</v>
      </c>
      <c r="AH65" s="35" t="str">
        <f t="shared" si="17"/>
        <v>-</v>
      </c>
      <c r="AI65" s="35" t="str">
        <f t="shared" si="17"/>
        <v>-</v>
      </c>
      <c r="AJ65" s="35" t="str">
        <f t="shared" si="17"/>
        <v>-</v>
      </c>
      <c r="AL65" s="4">
        <v>61</v>
      </c>
      <c r="AM65" s="2" t="e">
        <f>VLOOKUP(AL65,Q$5:$AJ$104,$AN$2,FALSE)</f>
        <v>#N/A</v>
      </c>
      <c r="AN65" s="6" t="e">
        <f>VLOOKUP(AL65,Q$5:$AJ$104,$AN$2+11,FALSE)</f>
        <v>#N/A</v>
      </c>
      <c r="AO65" s="2" t="e">
        <f t="shared" si="16"/>
        <v>#N/A</v>
      </c>
      <c r="AQ65" s="4">
        <v>61</v>
      </c>
      <c r="AR65" s="2" t="e">
        <f>VLOOKUP(AQ65,$S$5:$AJ$104,$AS$2,FALSE)</f>
        <v>#N/A</v>
      </c>
      <c r="AS65" s="6" t="e">
        <f>VLOOKUP(AQ65,$S$5:$AJ$104,$AS$2+9,FALSE)</f>
        <v>#N/A</v>
      </c>
      <c r="AT65" s="2" t="e">
        <f>VLOOKUP(AR65,$S$5:$AJ$104,$AS$2+12,FALSE)</f>
        <v>#N/A</v>
      </c>
      <c r="AU65" s="9"/>
      <c r="AV65" s="4">
        <v>61</v>
      </c>
      <c r="AW65" s="2" t="e">
        <f>VLOOKUP(AV65,$U$5:$AJ$104,$AX$2,FALSE)</f>
        <v>#N/A</v>
      </c>
      <c r="AX65" s="6" t="e">
        <f>VLOOKUP(AV65,$U$5:$AJ$104,$AX$2+7,FALSE)</f>
        <v>#N/A</v>
      </c>
      <c r="AY65" s="2" t="e">
        <f>VLOOKUP(AW65,$U$5:$AJ$104,$AX$2+11,FALSE)</f>
        <v>#N/A</v>
      </c>
      <c r="BA65" s="4">
        <v>61</v>
      </c>
      <c r="BB65" s="2" t="e">
        <f>VLOOKUP(BA65,$W$5:$AJ$104,$BC$2,FALSE)</f>
        <v>#N/A</v>
      </c>
      <c r="BC65" s="6" t="e">
        <f>VLOOKUP(BA65,$W$5:$AJ$104,$BC$2+5,FALSE)</f>
        <v>#N/A</v>
      </c>
      <c r="BD65" s="58" t="e">
        <f>VLOOKUP(BB65,$W$5:$AJ$104,$BC$2+10,FALSE)</f>
        <v>#N/A</v>
      </c>
      <c r="BE65" s="9"/>
      <c r="BF65" s="4">
        <v>61</v>
      </c>
      <c r="BG65" s="2" t="e">
        <f>VLOOKUP(BF65,$Y$5:$AJ$104,$BH$2,FALSE)</f>
        <v>#N/A</v>
      </c>
      <c r="BH65" s="6" t="e">
        <f>VLOOKUP(BF65,$Y$5:$AJ$104,$BH$2+3,FALSE)</f>
        <v>#N/A</v>
      </c>
      <c r="BI65" s="2" t="e">
        <f>VLOOKUP(BF65,$Y$5:$AJ$104,$BH$2+4,FALSE)</f>
        <v>#N/A</v>
      </c>
      <c r="BJ65" s="2" t="e">
        <f>VLOOKUP(BG65,$Y$5:$AJ$104,$BH$2+9,FALSE)</f>
        <v>#N/A</v>
      </c>
      <c r="BL65" s="4">
        <v>61</v>
      </c>
      <c r="BM65" s="2" t="e">
        <f>VLOOKUP(BL65,$AA$5:$AJ$104,$BN$2,FALSE)</f>
        <v>#N/A</v>
      </c>
      <c r="BN65" s="6" t="e">
        <f>VLOOKUP(BL65,$AA$5:$AJ$104,$BN$2+1,FALSE)</f>
        <v>#N/A</v>
      </c>
      <c r="BO65" s="2" t="e">
        <f>VLOOKUP(BM65,$AA$5:$AJ$104,$BN$2+8,FALSE)</f>
        <v>#N/A</v>
      </c>
      <c r="BQ65" s="2" t="e">
        <f>'Eclectic B'!CD65</f>
        <v>#N/A</v>
      </c>
      <c r="BR65" s="6" t="e">
        <f>'Eclectic B'!CE65</f>
        <v>#N/A</v>
      </c>
      <c r="BS65" s="103" t="e">
        <f>'Eclectic B'!CF65</f>
        <v>#N/A</v>
      </c>
    </row>
    <row r="66" spans="1:71">
      <c r="A66" s="10" t="str">
        <f>IF(ISBLANK(Players!F64),"",Players!F64)</f>
        <v/>
      </c>
      <c r="B66" s="10" t="str">
        <f>IF(ISBLANK(Players!G64),"",Players!G64)</f>
        <v/>
      </c>
      <c r="C66" s="10" t="str">
        <f>IF(ISBLANK(Players!I64),"",Players!I64)</f>
        <v/>
      </c>
      <c r="D66" s="69" t="str">
        <f>IF(ISNUMBER(C66),MIN((C66*Rules!$N$14/113)+(Rules!$N$13-Rules!$N$12),Rules!$N$37),"-")</f>
        <v>-</v>
      </c>
      <c r="E66" s="69" t="str">
        <f>IF(ISNUMBER(C66),    ROUND( (D66*Rules!$N$11) / 100,0),"-")</f>
        <v>-</v>
      </c>
      <c r="F66" s="36" t="str">
        <f>IF(AND(ISNUMBER(C66),C66&gt;=Rules!$M$17,C66&lt;=Rules!$N$17),"Y","N")</f>
        <v>N</v>
      </c>
      <c r="G66" s="137" t="str">
        <f>'Eclectic B'!M66</f>
        <v>-</v>
      </c>
      <c r="H66" s="137" t="str">
        <f>'Eclectic B'!W66</f>
        <v>-</v>
      </c>
      <c r="I66" s="137" t="str">
        <f>'Eclectic B'!AJ66</f>
        <v>-</v>
      </c>
      <c r="J66" s="137" t="str">
        <f>'Eclectic B'!AT66</f>
        <v>-</v>
      </c>
      <c r="K66" s="14" t="str">
        <f t="shared" si="1"/>
        <v>-</v>
      </c>
      <c r="L66" s="14" t="str">
        <f t="shared" si="2"/>
        <v>-</v>
      </c>
      <c r="M66" s="14" t="str">
        <f t="shared" si="3"/>
        <v>-</v>
      </c>
      <c r="N66" s="14" t="str">
        <f t="shared" si="4"/>
        <v>-</v>
      </c>
      <c r="O66" s="14" t="str">
        <f t="shared" si="5"/>
        <v>-</v>
      </c>
      <c r="P66" s="14" t="str">
        <f t="shared" si="6"/>
        <v>-</v>
      </c>
      <c r="Q66" s="14" t="e">
        <f>RANK($K66,$K$5:$K$104,1)+COUNTIF(K$5:K66,K66)-1</f>
        <v>#VALUE!</v>
      </c>
      <c r="R66" s="14" t="e">
        <f t="shared" si="7"/>
        <v>#VALUE!</v>
      </c>
      <c r="S66" s="14" t="e">
        <f>RANK($L66,$L$5:$L$104,1)+COUNTIF(L$5:L66,L66)-1</f>
        <v>#VALUE!</v>
      </c>
      <c r="T66" s="14" t="e">
        <f t="shared" si="8"/>
        <v>#VALUE!</v>
      </c>
      <c r="U66" s="14" t="e">
        <f>RANK($M66,$M$5:$M$104,1)+COUNTIF(M$5:M66,M66)-1</f>
        <v>#VALUE!</v>
      </c>
      <c r="V66" s="14" t="e">
        <f t="shared" si="9"/>
        <v>#VALUE!</v>
      </c>
      <c r="W66" s="14" t="e">
        <f>RANK($N66,$N$5:$N$104,1)+COUNTIF(N$5:N66,N66)-1</f>
        <v>#VALUE!</v>
      </c>
      <c r="X66" s="14" t="e">
        <f t="shared" si="10"/>
        <v>#VALUE!</v>
      </c>
      <c r="Y66" s="14" t="e">
        <f>RANK($O66,$O$5:$O$104,1)+COUNTIF(O$5:O66,O66)-1</f>
        <v>#VALUE!</v>
      </c>
      <c r="Z66" s="14" t="e">
        <f t="shared" si="11"/>
        <v>#VALUE!</v>
      </c>
      <c r="AA66" s="14" t="e">
        <f>RANK($P66,$P$5:$P$104,1)+COUNTIF(P$5:P66,P66)-1</f>
        <v>#VALUE!</v>
      </c>
      <c r="AB66" s="14" t="e">
        <f t="shared" si="12"/>
        <v>#VALUE!</v>
      </c>
      <c r="AC66" s="1" t="str">
        <f t="shared" si="13"/>
        <v xml:space="preserve"> </v>
      </c>
      <c r="AD66" s="1" t="str">
        <f t="shared" si="14"/>
        <v>-</v>
      </c>
      <c r="AE66" s="35" t="str">
        <f t="shared" si="18"/>
        <v>-</v>
      </c>
      <c r="AF66" s="35" t="str">
        <f t="shared" si="18"/>
        <v>-</v>
      </c>
      <c r="AG66" s="35" t="str">
        <f t="shared" si="18"/>
        <v>-</v>
      </c>
      <c r="AH66" s="35" t="str">
        <f t="shared" si="17"/>
        <v>-</v>
      </c>
      <c r="AI66" s="35" t="str">
        <f t="shared" si="17"/>
        <v>-</v>
      </c>
      <c r="AJ66" s="35" t="str">
        <f t="shared" si="17"/>
        <v>-</v>
      </c>
      <c r="AL66" s="4">
        <v>62</v>
      </c>
      <c r="AM66" s="2" t="e">
        <f>VLOOKUP(AL66,Q$5:$AJ$104,$AN$2,FALSE)</f>
        <v>#N/A</v>
      </c>
      <c r="AN66" s="6" t="e">
        <f>VLOOKUP(AL66,Q$5:$AJ$104,$AN$2+11,FALSE)</f>
        <v>#N/A</v>
      </c>
      <c r="AO66" s="2" t="e">
        <f t="shared" si="16"/>
        <v>#N/A</v>
      </c>
      <c r="AQ66" s="4">
        <v>62</v>
      </c>
      <c r="AR66" s="2" t="e">
        <f>VLOOKUP(AQ66,$S$5:$AJ$104,$AS$2,FALSE)</f>
        <v>#N/A</v>
      </c>
      <c r="AS66" s="6" t="e">
        <f>VLOOKUP(AQ66,$S$5:$AJ$104,$AS$2+9,FALSE)</f>
        <v>#N/A</v>
      </c>
      <c r="AT66" s="2" t="e">
        <f>VLOOKUP(AR66,$S$5:$AJ$104,$AS$2+12,FALSE)</f>
        <v>#N/A</v>
      </c>
      <c r="AU66" s="9"/>
      <c r="AV66" s="4">
        <v>62</v>
      </c>
      <c r="AW66" s="2" t="e">
        <f>VLOOKUP(AV66,$U$5:$AJ$104,$AX$2,FALSE)</f>
        <v>#N/A</v>
      </c>
      <c r="AX66" s="6" t="e">
        <f>VLOOKUP(AV66,$U$5:$AJ$104,$AX$2+7,FALSE)</f>
        <v>#N/A</v>
      </c>
      <c r="AY66" s="2" t="e">
        <f>VLOOKUP(AW66,$U$5:$AJ$104,$AX$2+11,FALSE)</f>
        <v>#N/A</v>
      </c>
      <c r="BA66" s="4">
        <v>62</v>
      </c>
      <c r="BB66" s="2" t="e">
        <f>VLOOKUP(BA66,$W$5:$AJ$104,$BC$2,FALSE)</f>
        <v>#N/A</v>
      </c>
      <c r="BC66" s="6" t="e">
        <f>VLOOKUP(BA66,$W$5:$AJ$104,$BC$2+5,FALSE)</f>
        <v>#N/A</v>
      </c>
      <c r="BD66" s="58" t="e">
        <f>VLOOKUP(BB66,$W$5:$AJ$104,$BC$2+10,FALSE)</f>
        <v>#N/A</v>
      </c>
      <c r="BE66" s="9"/>
      <c r="BF66" s="4">
        <v>62</v>
      </c>
      <c r="BG66" s="2" t="e">
        <f>VLOOKUP(BF66,$Y$5:$AJ$104,$BH$2,FALSE)</f>
        <v>#N/A</v>
      </c>
      <c r="BH66" s="6" t="e">
        <f>VLOOKUP(BF66,$Y$5:$AJ$104,$BH$2+3,FALSE)</f>
        <v>#N/A</v>
      </c>
      <c r="BI66" s="2" t="e">
        <f>VLOOKUP(BF66,$Y$5:$AJ$104,$BH$2+4,FALSE)</f>
        <v>#N/A</v>
      </c>
      <c r="BJ66" s="2" t="e">
        <f>VLOOKUP(BG66,$Y$5:$AJ$104,$BH$2+9,FALSE)</f>
        <v>#N/A</v>
      </c>
      <c r="BL66" s="4">
        <v>62</v>
      </c>
      <c r="BM66" s="2" t="e">
        <f>VLOOKUP(BL66,$AA$5:$AJ$104,$BN$2,FALSE)</f>
        <v>#N/A</v>
      </c>
      <c r="BN66" s="6" t="e">
        <f>VLOOKUP(BL66,$AA$5:$AJ$104,$BN$2+1,FALSE)</f>
        <v>#N/A</v>
      </c>
      <c r="BO66" s="2" t="e">
        <f>VLOOKUP(BM66,$AA$5:$AJ$104,$BN$2+8,FALSE)</f>
        <v>#N/A</v>
      </c>
      <c r="BQ66" s="2" t="e">
        <f>'Eclectic B'!CD66</f>
        <v>#N/A</v>
      </c>
      <c r="BR66" s="6" t="e">
        <f>'Eclectic B'!CE66</f>
        <v>#N/A</v>
      </c>
      <c r="BS66" s="103" t="e">
        <f>'Eclectic B'!CF66</f>
        <v>#N/A</v>
      </c>
    </row>
    <row r="67" spans="1:71">
      <c r="A67" s="10" t="str">
        <f>IF(ISBLANK(Players!F65),"",Players!F65)</f>
        <v/>
      </c>
      <c r="B67" s="10" t="str">
        <f>IF(ISBLANK(Players!G65),"",Players!G65)</f>
        <v/>
      </c>
      <c r="C67" s="10" t="str">
        <f>IF(ISBLANK(Players!I65),"",Players!I65)</f>
        <v/>
      </c>
      <c r="D67" s="69" t="str">
        <f>IF(ISNUMBER(C67),MIN((C67*Rules!$N$14/113)+(Rules!$N$13-Rules!$N$12),Rules!$N$37),"-")</f>
        <v>-</v>
      </c>
      <c r="E67" s="69" t="str">
        <f>IF(ISNUMBER(C67),    ROUND( (D67*Rules!$N$11) / 100,0),"-")</f>
        <v>-</v>
      </c>
      <c r="F67" s="36" t="str">
        <f>IF(AND(ISNUMBER(C67),C67&gt;=Rules!$M$17,C67&lt;=Rules!$N$17),"Y","N")</f>
        <v>N</v>
      </c>
      <c r="G67" s="137" t="str">
        <f>'Eclectic B'!M67</f>
        <v>-</v>
      </c>
      <c r="H67" s="137" t="str">
        <f>'Eclectic B'!W67</f>
        <v>-</v>
      </c>
      <c r="I67" s="137" t="str">
        <f>'Eclectic B'!AJ67</f>
        <v>-</v>
      </c>
      <c r="J67" s="137" t="str">
        <f>'Eclectic B'!AT67</f>
        <v>-</v>
      </c>
      <c r="K67" s="14" t="str">
        <f t="shared" si="1"/>
        <v>-</v>
      </c>
      <c r="L67" s="14" t="str">
        <f t="shared" si="2"/>
        <v>-</v>
      </c>
      <c r="M67" s="14" t="str">
        <f t="shared" si="3"/>
        <v>-</v>
      </c>
      <c r="N67" s="14" t="str">
        <f t="shared" si="4"/>
        <v>-</v>
      </c>
      <c r="O67" s="14" t="str">
        <f t="shared" si="5"/>
        <v>-</v>
      </c>
      <c r="P67" s="14" t="str">
        <f t="shared" si="6"/>
        <v>-</v>
      </c>
      <c r="Q67" s="14" t="e">
        <f>RANK($K67,$K$5:$K$104,1)+COUNTIF(K$5:K67,K67)-1</f>
        <v>#VALUE!</v>
      </c>
      <c r="R67" s="14" t="e">
        <f t="shared" si="7"/>
        <v>#VALUE!</v>
      </c>
      <c r="S67" s="14" t="e">
        <f>RANK($L67,$L$5:$L$104,1)+COUNTIF(L$5:L67,L67)-1</f>
        <v>#VALUE!</v>
      </c>
      <c r="T67" s="14" t="e">
        <f t="shared" si="8"/>
        <v>#VALUE!</v>
      </c>
      <c r="U67" s="14" t="e">
        <f>RANK($M67,$M$5:$M$104,1)+COUNTIF(M$5:M67,M67)-1</f>
        <v>#VALUE!</v>
      </c>
      <c r="V67" s="14" t="e">
        <f t="shared" si="9"/>
        <v>#VALUE!</v>
      </c>
      <c r="W67" s="14" t="e">
        <f>RANK($N67,$N$5:$N$104,1)+COUNTIF(N$5:N67,N67)-1</f>
        <v>#VALUE!</v>
      </c>
      <c r="X67" s="14" t="e">
        <f t="shared" si="10"/>
        <v>#VALUE!</v>
      </c>
      <c r="Y67" s="14" t="e">
        <f>RANK($O67,$O$5:$O$104,1)+COUNTIF(O$5:O67,O67)-1</f>
        <v>#VALUE!</v>
      </c>
      <c r="Z67" s="14" t="e">
        <f t="shared" si="11"/>
        <v>#VALUE!</v>
      </c>
      <c r="AA67" s="14" t="e">
        <f>RANK($P67,$P$5:$P$104,1)+COUNTIF(P$5:P67,P67)-1</f>
        <v>#VALUE!</v>
      </c>
      <c r="AB67" s="14" t="e">
        <f t="shared" si="12"/>
        <v>#VALUE!</v>
      </c>
      <c r="AC67" s="1" t="str">
        <f t="shared" si="13"/>
        <v xml:space="preserve"> </v>
      </c>
      <c r="AD67" s="1" t="str">
        <f t="shared" si="14"/>
        <v>-</v>
      </c>
      <c r="AE67" s="35" t="str">
        <f t="shared" si="18"/>
        <v>-</v>
      </c>
      <c r="AF67" s="35" t="str">
        <f t="shared" si="18"/>
        <v>-</v>
      </c>
      <c r="AG67" s="35" t="str">
        <f t="shared" si="18"/>
        <v>-</v>
      </c>
      <c r="AH67" s="35" t="str">
        <f t="shared" si="17"/>
        <v>-</v>
      </c>
      <c r="AI67" s="35" t="str">
        <f t="shared" si="17"/>
        <v>-</v>
      </c>
      <c r="AJ67" s="35" t="str">
        <f t="shared" si="17"/>
        <v>-</v>
      </c>
      <c r="AL67" s="4">
        <v>63</v>
      </c>
      <c r="AM67" s="2" t="e">
        <f>VLOOKUP(AL67,Q$5:$AJ$104,$AN$2,FALSE)</f>
        <v>#N/A</v>
      </c>
      <c r="AN67" s="6" t="e">
        <f>VLOOKUP(AL67,Q$5:$AJ$104,$AN$2+11,FALSE)</f>
        <v>#N/A</v>
      </c>
      <c r="AO67" s="2" t="e">
        <f t="shared" si="16"/>
        <v>#N/A</v>
      </c>
      <c r="AQ67" s="4">
        <v>63</v>
      </c>
      <c r="AR67" s="2" t="e">
        <f>VLOOKUP(AQ67,$S$5:$AJ$104,$AS$2,FALSE)</f>
        <v>#N/A</v>
      </c>
      <c r="AS67" s="6" t="e">
        <f>VLOOKUP(AQ67,$S$5:$AJ$104,$AS$2+9,FALSE)</f>
        <v>#N/A</v>
      </c>
      <c r="AT67" s="2" t="e">
        <f>VLOOKUP(AR67,$S$5:$AJ$104,$AS$2+12,FALSE)</f>
        <v>#N/A</v>
      </c>
      <c r="AU67" s="9"/>
      <c r="AV67" s="4">
        <v>63</v>
      </c>
      <c r="AW67" s="2" t="e">
        <f>VLOOKUP(AV67,$U$5:$AJ$104,$AX$2,FALSE)</f>
        <v>#N/A</v>
      </c>
      <c r="AX67" s="6" t="e">
        <f>VLOOKUP(AV67,$U$5:$AJ$104,$AX$2+7,FALSE)</f>
        <v>#N/A</v>
      </c>
      <c r="AY67" s="2" t="e">
        <f>VLOOKUP(AW67,$U$5:$AJ$104,$AX$2+11,FALSE)</f>
        <v>#N/A</v>
      </c>
      <c r="BA67" s="4">
        <v>63</v>
      </c>
      <c r="BB67" s="2" t="e">
        <f>VLOOKUP(BA67,$W$5:$AJ$104,$BC$2,FALSE)</f>
        <v>#N/A</v>
      </c>
      <c r="BC67" s="6" t="e">
        <f>VLOOKUP(BA67,$W$5:$AJ$104,$BC$2+5,FALSE)</f>
        <v>#N/A</v>
      </c>
      <c r="BD67" s="58" t="e">
        <f>VLOOKUP(BB67,$W$5:$AJ$104,$BC$2+10,FALSE)</f>
        <v>#N/A</v>
      </c>
      <c r="BE67" s="9"/>
      <c r="BF67" s="4">
        <v>63</v>
      </c>
      <c r="BG67" s="2" t="e">
        <f>VLOOKUP(BF67,$Y$5:$AJ$104,$BH$2,FALSE)</f>
        <v>#N/A</v>
      </c>
      <c r="BH67" s="6" t="e">
        <f>VLOOKUP(BF67,$Y$5:$AJ$104,$BH$2+3,FALSE)</f>
        <v>#N/A</v>
      </c>
      <c r="BI67" s="2" t="e">
        <f>VLOOKUP(BF67,$Y$5:$AJ$104,$BH$2+4,FALSE)</f>
        <v>#N/A</v>
      </c>
      <c r="BJ67" s="2" t="e">
        <f>VLOOKUP(BG67,$Y$5:$AJ$104,$BH$2+9,FALSE)</f>
        <v>#N/A</v>
      </c>
      <c r="BL67" s="4">
        <v>63</v>
      </c>
      <c r="BM67" s="2" t="e">
        <f>VLOOKUP(BL67,$AA$5:$AJ$104,$BN$2,FALSE)</f>
        <v>#N/A</v>
      </c>
      <c r="BN67" s="6" t="e">
        <f>VLOOKUP(BL67,$AA$5:$AJ$104,$BN$2+1,FALSE)</f>
        <v>#N/A</v>
      </c>
      <c r="BO67" s="2" t="e">
        <f>VLOOKUP(BM67,$AA$5:$AJ$104,$BN$2+8,FALSE)</f>
        <v>#N/A</v>
      </c>
      <c r="BQ67" s="2" t="e">
        <f>'Eclectic B'!CD67</f>
        <v>#N/A</v>
      </c>
      <c r="BR67" s="6" t="e">
        <f>'Eclectic B'!CE67</f>
        <v>#N/A</v>
      </c>
      <c r="BS67" s="103" t="e">
        <f>'Eclectic B'!CF67</f>
        <v>#N/A</v>
      </c>
    </row>
    <row r="68" spans="1:71">
      <c r="A68" s="10" t="str">
        <f>IF(ISBLANK(Players!F66),"",Players!F66)</f>
        <v/>
      </c>
      <c r="B68" s="10" t="str">
        <f>IF(ISBLANK(Players!G66),"",Players!G66)</f>
        <v/>
      </c>
      <c r="C68" s="10" t="str">
        <f>IF(ISBLANK(Players!I66),"",Players!I66)</f>
        <v/>
      </c>
      <c r="D68" s="69" t="str">
        <f>IF(ISNUMBER(C68),MIN((C68*Rules!$N$14/113)+(Rules!$N$13-Rules!$N$12),Rules!$N$37),"-")</f>
        <v>-</v>
      </c>
      <c r="E68" s="69" t="str">
        <f>IF(ISNUMBER(C68),    ROUND( (D68*Rules!$N$11) / 100,0),"-")</f>
        <v>-</v>
      </c>
      <c r="F68" s="36" t="str">
        <f>IF(AND(ISNUMBER(C68),C68&gt;=Rules!$M$17,C68&lt;=Rules!$N$17),"Y","N")</f>
        <v>N</v>
      </c>
      <c r="G68" s="137" t="str">
        <f>'Eclectic B'!M68</f>
        <v>-</v>
      </c>
      <c r="H68" s="137" t="str">
        <f>'Eclectic B'!W68</f>
        <v>-</v>
      </c>
      <c r="I68" s="137" t="str">
        <f>'Eclectic B'!AJ68</f>
        <v>-</v>
      </c>
      <c r="J68" s="137" t="str">
        <f>'Eclectic B'!AT68</f>
        <v>-</v>
      </c>
      <c r="K68" s="14" t="str">
        <f t="shared" si="1"/>
        <v>-</v>
      </c>
      <c r="L68" s="14" t="str">
        <f t="shared" si="2"/>
        <v>-</v>
      </c>
      <c r="M68" s="14" t="str">
        <f t="shared" si="3"/>
        <v>-</v>
      </c>
      <c r="N68" s="14" t="str">
        <f t="shared" si="4"/>
        <v>-</v>
      </c>
      <c r="O68" s="14" t="str">
        <f t="shared" si="5"/>
        <v>-</v>
      </c>
      <c r="P68" s="14" t="str">
        <f t="shared" si="6"/>
        <v>-</v>
      </c>
      <c r="Q68" s="14" t="e">
        <f>RANK($K68,$K$5:$K$104,1)+COUNTIF(K$5:K68,K68)-1</f>
        <v>#VALUE!</v>
      </c>
      <c r="R68" s="14" t="e">
        <f t="shared" si="7"/>
        <v>#VALUE!</v>
      </c>
      <c r="S68" s="14" t="e">
        <f>RANK($L68,$L$5:$L$104,1)+COUNTIF(L$5:L68,L68)-1</f>
        <v>#VALUE!</v>
      </c>
      <c r="T68" s="14" t="e">
        <f t="shared" si="8"/>
        <v>#VALUE!</v>
      </c>
      <c r="U68" s="14" t="e">
        <f>RANK($M68,$M$5:$M$104,1)+COUNTIF(M$5:M68,M68)-1</f>
        <v>#VALUE!</v>
      </c>
      <c r="V68" s="14" t="e">
        <f t="shared" si="9"/>
        <v>#VALUE!</v>
      </c>
      <c r="W68" s="14" t="e">
        <f>RANK($N68,$N$5:$N$104,1)+COUNTIF(N$5:N68,N68)-1</f>
        <v>#VALUE!</v>
      </c>
      <c r="X68" s="14" t="e">
        <f t="shared" si="10"/>
        <v>#VALUE!</v>
      </c>
      <c r="Y68" s="14" t="e">
        <f>RANK($O68,$O$5:$O$104,1)+COUNTIF(O$5:O68,O68)-1</f>
        <v>#VALUE!</v>
      </c>
      <c r="Z68" s="14" t="e">
        <f t="shared" si="11"/>
        <v>#VALUE!</v>
      </c>
      <c r="AA68" s="14" t="e">
        <f>RANK($P68,$P$5:$P$104,1)+COUNTIF(P$5:P68,P68)-1</f>
        <v>#VALUE!</v>
      </c>
      <c r="AB68" s="14" t="e">
        <f t="shared" si="12"/>
        <v>#VALUE!</v>
      </c>
      <c r="AC68" s="1" t="str">
        <f t="shared" si="13"/>
        <v xml:space="preserve"> </v>
      </c>
      <c r="AD68" s="1" t="str">
        <f t="shared" si="14"/>
        <v>-</v>
      </c>
      <c r="AE68" s="35" t="str">
        <f t="shared" si="18"/>
        <v>-</v>
      </c>
      <c r="AF68" s="35" t="str">
        <f t="shared" si="18"/>
        <v>-</v>
      </c>
      <c r="AG68" s="35" t="str">
        <f t="shared" si="18"/>
        <v>-</v>
      </c>
      <c r="AH68" s="35" t="str">
        <f t="shared" si="17"/>
        <v>-</v>
      </c>
      <c r="AI68" s="35" t="str">
        <f t="shared" si="17"/>
        <v>-</v>
      </c>
      <c r="AJ68" s="35" t="str">
        <f t="shared" si="17"/>
        <v>-</v>
      </c>
      <c r="AL68" s="4">
        <v>64</v>
      </c>
      <c r="AM68" s="2" t="e">
        <f>VLOOKUP(AL68,Q$5:$AJ$104,$AN$2,FALSE)</f>
        <v>#N/A</v>
      </c>
      <c r="AN68" s="6" t="e">
        <f>VLOOKUP(AL68,Q$5:$AJ$104,$AN$2+11,FALSE)</f>
        <v>#N/A</v>
      </c>
      <c r="AO68" s="2" t="e">
        <f t="shared" si="16"/>
        <v>#N/A</v>
      </c>
      <c r="AQ68" s="4">
        <v>64</v>
      </c>
      <c r="AR68" s="2" t="e">
        <f>VLOOKUP(AQ68,$S$5:$AJ$104,$AS$2,FALSE)</f>
        <v>#N/A</v>
      </c>
      <c r="AS68" s="6" t="e">
        <f>VLOOKUP(AQ68,$S$5:$AJ$104,$AS$2+9,FALSE)</f>
        <v>#N/A</v>
      </c>
      <c r="AT68" s="2" t="e">
        <f>VLOOKUP(AR68,$S$5:$AJ$104,$AS$2+12,FALSE)</f>
        <v>#N/A</v>
      </c>
      <c r="AU68" s="9"/>
      <c r="AV68" s="4">
        <v>64</v>
      </c>
      <c r="AW68" s="2" t="e">
        <f>VLOOKUP(AV68,$U$5:$AJ$104,$AX$2,FALSE)</f>
        <v>#N/A</v>
      </c>
      <c r="AX68" s="6" t="e">
        <f>VLOOKUP(AV68,$U$5:$AJ$104,$AX$2+7,FALSE)</f>
        <v>#N/A</v>
      </c>
      <c r="AY68" s="2" t="e">
        <f>VLOOKUP(AW68,$U$5:$AJ$104,$AX$2+11,FALSE)</f>
        <v>#N/A</v>
      </c>
      <c r="BA68" s="4">
        <v>64</v>
      </c>
      <c r="BB68" s="2" t="e">
        <f>VLOOKUP(BA68,$W$5:$AJ$104,$BC$2,FALSE)</f>
        <v>#N/A</v>
      </c>
      <c r="BC68" s="6" t="e">
        <f>VLOOKUP(BA68,$W$5:$AJ$104,$BC$2+5,FALSE)</f>
        <v>#N/A</v>
      </c>
      <c r="BD68" s="58" t="e">
        <f>VLOOKUP(BB68,$W$5:$AJ$104,$BC$2+10,FALSE)</f>
        <v>#N/A</v>
      </c>
      <c r="BE68" s="9"/>
      <c r="BF68" s="4">
        <v>64</v>
      </c>
      <c r="BG68" s="2" t="e">
        <f>VLOOKUP(BF68,$Y$5:$AJ$104,$BH$2,FALSE)</f>
        <v>#N/A</v>
      </c>
      <c r="BH68" s="6" t="e">
        <f>VLOOKUP(BF68,$Y$5:$AJ$104,$BH$2+3,FALSE)</f>
        <v>#N/A</v>
      </c>
      <c r="BI68" s="2" t="e">
        <f>VLOOKUP(BF68,$Y$5:$AJ$104,$BH$2+4,FALSE)</f>
        <v>#N/A</v>
      </c>
      <c r="BJ68" s="2" t="e">
        <f>VLOOKUP(BG68,$Y$5:$AJ$104,$BH$2+9,FALSE)</f>
        <v>#N/A</v>
      </c>
      <c r="BL68" s="4">
        <v>64</v>
      </c>
      <c r="BM68" s="2" t="e">
        <f>VLOOKUP(BL68,$AA$5:$AJ$104,$BN$2,FALSE)</f>
        <v>#N/A</v>
      </c>
      <c r="BN68" s="6" t="e">
        <f>VLOOKUP(BL68,$AA$5:$AJ$104,$BN$2+1,FALSE)</f>
        <v>#N/A</v>
      </c>
      <c r="BO68" s="2" t="e">
        <f>VLOOKUP(BM68,$AA$5:$AJ$104,$BN$2+8,FALSE)</f>
        <v>#N/A</v>
      </c>
      <c r="BQ68" s="2" t="e">
        <f>'Eclectic B'!CD68</f>
        <v>#N/A</v>
      </c>
      <c r="BR68" s="6" t="e">
        <f>'Eclectic B'!CE68</f>
        <v>#N/A</v>
      </c>
      <c r="BS68" s="103" t="e">
        <f>'Eclectic B'!CF68</f>
        <v>#N/A</v>
      </c>
    </row>
    <row r="69" spans="1:71">
      <c r="A69" s="10" t="str">
        <f>IF(ISBLANK(Players!F67),"",Players!F67)</f>
        <v/>
      </c>
      <c r="B69" s="10" t="str">
        <f>IF(ISBLANK(Players!G67),"",Players!G67)</f>
        <v/>
      </c>
      <c r="C69" s="10" t="str">
        <f>IF(ISBLANK(Players!I67),"",Players!I67)</f>
        <v/>
      </c>
      <c r="D69" s="69" t="str">
        <f>IF(ISNUMBER(C69),MIN((C69*Rules!$N$14/113)+(Rules!$N$13-Rules!$N$12),Rules!$N$37),"-")</f>
        <v>-</v>
      </c>
      <c r="E69" s="69" t="str">
        <f>IF(ISNUMBER(C69),    ROUND( (D69*Rules!$N$11) / 100,0),"-")</f>
        <v>-</v>
      </c>
      <c r="F69" s="36" t="str">
        <f>IF(AND(ISNUMBER(C69),C69&gt;=Rules!$M$17,C69&lt;=Rules!$N$17),"Y","N")</f>
        <v>N</v>
      </c>
      <c r="G69" s="137" t="str">
        <f>'Eclectic B'!M69</f>
        <v>-</v>
      </c>
      <c r="H69" s="137" t="str">
        <f>'Eclectic B'!W69</f>
        <v>-</v>
      </c>
      <c r="I69" s="137" t="str">
        <f>'Eclectic B'!AJ69</f>
        <v>-</v>
      </c>
      <c r="J69" s="137" t="str">
        <f>'Eclectic B'!AT69</f>
        <v>-</v>
      </c>
      <c r="K69" s="14" t="str">
        <f t="shared" si="1"/>
        <v>-</v>
      </c>
      <c r="L69" s="14" t="str">
        <f t="shared" si="2"/>
        <v>-</v>
      </c>
      <c r="M69" s="14" t="str">
        <f t="shared" si="3"/>
        <v>-</v>
      </c>
      <c r="N69" s="14" t="str">
        <f t="shared" si="4"/>
        <v>-</v>
      </c>
      <c r="O69" s="14" t="str">
        <f t="shared" si="5"/>
        <v>-</v>
      </c>
      <c r="P69" s="14" t="str">
        <f t="shared" si="6"/>
        <v>-</v>
      </c>
      <c r="Q69" s="14" t="e">
        <f>RANK($K69,$K$5:$K$104,1)+COUNTIF(K$5:K69,K69)-1</f>
        <v>#VALUE!</v>
      </c>
      <c r="R69" s="14" t="e">
        <f t="shared" si="7"/>
        <v>#VALUE!</v>
      </c>
      <c r="S69" s="14" t="e">
        <f>RANK($L69,$L$5:$L$104,1)+COUNTIF(L$5:L69,L69)-1</f>
        <v>#VALUE!</v>
      </c>
      <c r="T69" s="14" t="e">
        <f t="shared" si="8"/>
        <v>#VALUE!</v>
      </c>
      <c r="U69" s="14" t="e">
        <f>RANK($M69,$M$5:$M$104,1)+COUNTIF(M$5:M69,M69)-1</f>
        <v>#VALUE!</v>
      </c>
      <c r="V69" s="14" t="e">
        <f t="shared" si="9"/>
        <v>#VALUE!</v>
      </c>
      <c r="W69" s="14" t="e">
        <f>RANK($N69,$N$5:$N$104,1)+COUNTIF(N$5:N69,N69)-1</f>
        <v>#VALUE!</v>
      </c>
      <c r="X69" s="14" t="e">
        <f t="shared" si="10"/>
        <v>#VALUE!</v>
      </c>
      <c r="Y69" s="14" t="e">
        <f>RANK($O69,$O$5:$O$104,1)+COUNTIF(O$5:O69,O69)-1</f>
        <v>#VALUE!</v>
      </c>
      <c r="Z69" s="14" t="e">
        <f t="shared" si="11"/>
        <v>#VALUE!</v>
      </c>
      <c r="AA69" s="14" t="e">
        <f>RANK($P69,$P$5:$P$104,1)+COUNTIF(P$5:P69,P69)-1</f>
        <v>#VALUE!</v>
      </c>
      <c r="AB69" s="14" t="e">
        <f t="shared" si="12"/>
        <v>#VALUE!</v>
      </c>
      <c r="AC69" s="1" t="str">
        <f t="shared" si="13"/>
        <v xml:space="preserve"> </v>
      </c>
      <c r="AD69" s="1" t="str">
        <f t="shared" si="14"/>
        <v>-</v>
      </c>
      <c r="AE69" s="35" t="str">
        <f t="shared" si="18"/>
        <v>-</v>
      </c>
      <c r="AF69" s="35" t="str">
        <f t="shared" si="18"/>
        <v>-</v>
      </c>
      <c r="AG69" s="35" t="str">
        <f t="shared" si="18"/>
        <v>-</v>
      </c>
      <c r="AH69" s="35" t="str">
        <f t="shared" si="17"/>
        <v>-</v>
      </c>
      <c r="AI69" s="35" t="str">
        <f t="shared" si="17"/>
        <v>-</v>
      </c>
      <c r="AJ69" s="35" t="str">
        <f t="shared" si="17"/>
        <v>-</v>
      </c>
      <c r="AL69" s="4">
        <v>65</v>
      </c>
      <c r="AM69" s="2" t="e">
        <f>VLOOKUP(AL69,Q$5:$AJ$104,$AN$2,FALSE)</f>
        <v>#N/A</v>
      </c>
      <c r="AN69" s="6" t="e">
        <f>VLOOKUP(AL69,Q$5:$AJ$104,$AN$2+11,FALSE)</f>
        <v>#N/A</v>
      </c>
      <c r="AO69" s="2" t="e">
        <f t="shared" si="16"/>
        <v>#N/A</v>
      </c>
      <c r="AQ69" s="4">
        <v>65</v>
      </c>
      <c r="AR69" s="2" t="e">
        <f>VLOOKUP(AQ69,$S$5:$AJ$104,$AS$2,FALSE)</f>
        <v>#N/A</v>
      </c>
      <c r="AS69" s="6" t="e">
        <f>VLOOKUP(AQ69,$S$5:$AJ$104,$AS$2+9,FALSE)</f>
        <v>#N/A</v>
      </c>
      <c r="AT69" s="2" t="e">
        <f>VLOOKUP(AR69,$S$5:$AJ$104,$AS$2+12,FALSE)</f>
        <v>#N/A</v>
      </c>
      <c r="AU69" s="9"/>
      <c r="AV69" s="4">
        <v>65</v>
      </c>
      <c r="AW69" s="2" t="e">
        <f>VLOOKUP(AV69,$U$5:$AJ$104,$AX$2,FALSE)</f>
        <v>#N/A</v>
      </c>
      <c r="AX69" s="6" t="e">
        <f>VLOOKUP(AV69,$U$5:$AJ$104,$AX$2+7,FALSE)</f>
        <v>#N/A</v>
      </c>
      <c r="AY69" s="2" t="e">
        <f>VLOOKUP(AW69,$U$5:$AJ$104,$AX$2+11,FALSE)</f>
        <v>#N/A</v>
      </c>
      <c r="BA69" s="4">
        <v>65</v>
      </c>
      <c r="BB69" s="2" t="e">
        <f>VLOOKUP(BA69,$W$5:$AJ$104,$BC$2,FALSE)</f>
        <v>#N/A</v>
      </c>
      <c r="BC69" s="6" t="e">
        <f>VLOOKUP(BA69,$W$5:$AJ$104,$BC$2+5,FALSE)</f>
        <v>#N/A</v>
      </c>
      <c r="BD69" s="58" t="e">
        <f>VLOOKUP(BB69,$W$5:$AJ$104,$BC$2+10,FALSE)</f>
        <v>#N/A</v>
      </c>
      <c r="BE69" s="9"/>
      <c r="BF69" s="4">
        <v>65</v>
      </c>
      <c r="BG69" s="2" t="e">
        <f>VLOOKUP(BF69,$Y$5:$AJ$104,$BH$2,FALSE)</f>
        <v>#N/A</v>
      </c>
      <c r="BH69" s="6" t="e">
        <f>VLOOKUP(BF69,$Y$5:$AJ$104,$BH$2+3,FALSE)</f>
        <v>#N/A</v>
      </c>
      <c r="BI69" s="2" t="e">
        <f>VLOOKUP(BF69,$Y$5:$AJ$104,$BH$2+4,FALSE)</f>
        <v>#N/A</v>
      </c>
      <c r="BJ69" s="2" t="e">
        <f>VLOOKUP(BG69,$Y$5:$AJ$104,$BH$2+9,FALSE)</f>
        <v>#N/A</v>
      </c>
      <c r="BL69" s="4">
        <v>65</v>
      </c>
      <c r="BM69" s="2" t="e">
        <f>VLOOKUP(BL69,$AA$5:$AJ$104,$BN$2,FALSE)</f>
        <v>#N/A</v>
      </c>
      <c r="BN69" s="6" t="e">
        <f>VLOOKUP(BL69,$AA$5:$AJ$104,$BN$2+1,FALSE)</f>
        <v>#N/A</v>
      </c>
      <c r="BO69" s="2" t="e">
        <f>VLOOKUP(BM69,$AA$5:$AJ$104,$BN$2+8,FALSE)</f>
        <v>#N/A</v>
      </c>
      <c r="BQ69" s="2" t="e">
        <f>'Eclectic B'!CD69</f>
        <v>#N/A</v>
      </c>
      <c r="BR69" s="6" t="e">
        <f>'Eclectic B'!CE69</f>
        <v>#N/A</v>
      </c>
      <c r="BS69" s="103" t="e">
        <f>'Eclectic B'!CF69</f>
        <v>#N/A</v>
      </c>
    </row>
    <row r="70" spans="1:71">
      <c r="A70" s="10" t="str">
        <f>IF(ISBLANK(Players!F68),"",Players!F68)</f>
        <v/>
      </c>
      <c r="B70" s="10" t="str">
        <f>IF(ISBLANK(Players!G68),"",Players!G68)</f>
        <v/>
      </c>
      <c r="C70" s="10" t="str">
        <f>IF(ISBLANK(Players!I68),"",Players!I68)</f>
        <v/>
      </c>
      <c r="D70" s="69" t="str">
        <f>IF(ISNUMBER(C70),MIN((C70*Rules!$N$14/113)+(Rules!$N$13-Rules!$N$12),Rules!$N$37),"-")</f>
        <v>-</v>
      </c>
      <c r="E70" s="69" t="str">
        <f>IF(ISNUMBER(C70),    ROUND( (D70*Rules!$N$11) / 100,0),"-")</f>
        <v>-</v>
      </c>
      <c r="F70" s="36" t="str">
        <f>IF(AND(ISNUMBER(C70),C70&gt;=Rules!$M$17,C70&lt;=Rules!$N$17),"Y","N")</f>
        <v>N</v>
      </c>
      <c r="G70" s="137" t="str">
        <f>'Eclectic B'!M70</f>
        <v>-</v>
      </c>
      <c r="H70" s="137" t="str">
        <f>'Eclectic B'!W70</f>
        <v>-</v>
      </c>
      <c r="I70" s="137" t="str">
        <f>'Eclectic B'!AJ70</f>
        <v>-</v>
      </c>
      <c r="J70" s="137" t="str">
        <f>'Eclectic B'!AT70</f>
        <v>-</v>
      </c>
      <c r="K70" s="14" t="str">
        <f t="shared" ref="K70:K104" si="19">IF(AND(ISNUMBER(G70), ISNUMBER(H70)),G70+H70,"-")</f>
        <v>-</v>
      </c>
      <c r="L70" s="14" t="str">
        <f t="shared" ref="L70:L104" si="20">IF(AND(ISNUMBER(G70), ISNUMBER(H70)),K70-E70,"-")</f>
        <v>-</v>
      </c>
      <c r="M70" s="14" t="str">
        <f t="shared" ref="M70:M104" si="21">IF(AND(ISNUMBER(I70), ISNUMBER(J70)),I70+J70,"-")</f>
        <v>-</v>
      </c>
      <c r="N70" s="14" t="str">
        <f t="shared" ref="N70:N104" si="22">IF(AND(ISNUMBER(I70), ISNUMBER(J70)),M70-E70,"-")</f>
        <v>-</v>
      </c>
      <c r="O70" s="14" t="str">
        <f t="shared" ref="O70:O104" si="23">IF(AND(ISNUMBER(K70), ISNUMBER(M70)),K70+M70,"-")</f>
        <v>-</v>
      </c>
      <c r="P70" s="14" t="str">
        <f t="shared" ref="P70:P104" si="24">IF(AND(ISNUMBER(L70), ISNUMBER(N70)),L70+N70,"-")</f>
        <v>-</v>
      </c>
      <c r="Q70" s="14" t="e">
        <f>RANK($K70,$K$5:$K$104,1)+COUNTIF(K$5:K70,K70)-1</f>
        <v>#VALUE!</v>
      </c>
      <c r="R70" s="14" t="e">
        <f t="shared" ref="R70:R104" si="25">RANK($K70,$K$5:$K$105,1)</f>
        <v>#VALUE!</v>
      </c>
      <c r="S70" s="14" t="e">
        <f>RANK($L70,$L$5:$L$104,1)+COUNTIF(L$5:L70,L70)-1</f>
        <v>#VALUE!</v>
      </c>
      <c r="T70" s="14" t="e">
        <f t="shared" ref="T70:T104" si="26">RANK($L70,$L$5:$L$105,1)</f>
        <v>#VALUE!</v>
      </c>
      <c r="U70" s="14" t="e">
        <f>RANK($M70,$M$5:$M$104,1)+COUNTIF(M$5:M70,M70)-1</f>
        <v>#VALUE!</v>
      </c>
      <c r="V70" s="14" t="e">
        <f t="shared" ref="V70:V104" si="27">RANK($M70,$M$5:$M$105,1)</f>
        <v>#VALUE!</v>
      </c>
      <c r="W70" s="14" t="e">
        <f>RANK($N70,$N$5:$N$104,1)+COUNTIF(N$5:N70,N70)-1</f>
        <v>#VALUE!</v>
      </c>
      <c r="X70" s="14" t="e">
        <f t="shared" ref="X70:X104" si="28">RANK($N70,$N$5:$N$105,1)</f>
        <v>#VALUE!</v>
      </c>
      <c r="Y70" s="14" t="e">
        <f>RANK($O70,$O$5:$O$104,1)+COUNTIF(O$5:O70,O70)-1</f>
        <v>#VALUE!</v>
      </c>
      <c r="Z70" s="14" t="e">
        <f t="shared" ref="Z70:Z104" si="29">RANK($O70,$O$5:$O$105,1)</f>
        <v>#VALUE!</v>
      </c>
      <c r="AA70" s="14" t="e">
        <f>RANK($P70,$P$5:$P$104,1)+COUNTIF(P$5:P70,P70)-1</f>
        <v>#VALUE!</v>
      </c>
      <c r="AB70" s="14" t="e">
        <f t="shared" ref="AB70:AB104" si="30">RANK($P70,$P$5:$P$105,1)</f>
        <v>#VALUE!</v>
      </c>
      <c r="AC70" s="1" t="str">
        <f t="shared" ref="AC70:AC104" si="31">A70 &amp; " " &amp; B70</f>
        <v xml:space="preserve"> </v>
      </c>
      <c r="AD70" s="1" t="str">
        <f t="shared" ref="AD70:AD104" si="32">D70</f>
        <v>-</v>
      </c>
      <c r="AE70" s="35" t="str">
        <f t="shared" si="18"/>
        <v>-</v>
      </c>
      <c r="AF70" s="35" t="str">
        <f t="shared" si="18"/>
        <v>-</v>
      </c>
      <c r="AG70" s="35" t="str">
        <f t="shared" si="18"/>
        <v>-</v>
      </c>
      <c r="AH70" s="35" t="str">
        <f t="shared" si="17"/>
        <v>-</v>
      </c>
      <c r="AI70" s="35" t="str">
        <f t="shared" si="17"/>
        <v>-</v>
      </c>
      <c r="AJ70" s="35" t="str">
        <f t="shared" si="17"/>
        <v>-</v>
      </c>
      <c r="AL70" s="4">
        <v>66</v>
      </c>
      <c r="AM70" s="2" t="e">
        <f>VLOOKUP(AL70,Q$5:$AJ$104,$AN$2,FALSE)</f>
        <v>#N/A</v>
      </c>
      <c r="AN70" s="6" t="e">
        <f>VLOOKUP(AL70,Q$5:$AJ$104,$AN$2+11,FALSE)</f>
        <v>#N/A</v>
      </c>
      <c r="AO70" s="2" t="e">
        <f t="shared" ref="AO70:AO104" si="33">VLOOKUP(AM70,$Q$5:$AJ$104,$AN$2+13,FALSE)</f>
        <v>#N/A</v>
      </c>
      <c r="AQ70" s="4">
        <v>66</v>
      </c>
      <c r="AR70" s="2" t="e">
        <f>VLOOKUP(AQ70,$S$5:$AJ$104,$AS$2,FALSE)</f>
        <v>#N/A</v>
      </c>
      <c r="AS70" s="6" t="e">
        <f>VLOOKUP(AQ70,$S$5:$AJ$104,$AS$2+9,FALSE)</f>
        <v>#N/A</v>
      </c>
      <c r="AT70" s="2" t="e">
        <f>VLOOKUP(AR70,$S$5:$AJ$104,$AS$2+12,FALSE)</f>
        <v>#N/A</v>
      </c>
      <c r="AU70" s="9"/>
      <c r="AV70" s="4">
        <v>66</v>
      </c>
      <c r="AW70" s="2" t="e">
        <f>VLOOKUP(AV70,$U$5:$AJ$104,$AX$2,FALSE)</f>
        <v>#N/A</v>
      </c>
      <c r="AX70" s="6" t="e">
        <f>VLOOKUP(AV70,$U$5:$AJ$104,$AX$2+7,FALSE)</f>
        <v>#N/A</v>
      </c>
      <c r="AY70" s="2" t="e">
        <f>VLOOKUP(AW70,$U$5:$AJ$104,$AX$2+11,FALSE)</f>
        <v>#N/A</v>
      </c>
      <c r="BA70" s="4">
        <v>66</v>
      </c>
      <c r="BB70" s="2" t="e">
        <f>VLOOKUP(BA70,$W$5:$AJ$104,$BC$2,FALSE)</f>
        <v>#N/A</v>
      </c>
      <c r="BC70" s="6" t="e">
        <f>VLOOKUP(BA70,$W$5:$AJ$104,$BC$2+5,FALSE)</f>
        <v>#N/A</v>
      </c>
      <c r="BD70" s="58" t="e">
        <f>VLOOKUP(BB70,$W$5:$AJ$104,$BC$2+10,FALSE)</f>
        <v>#N/A</v>
      </c>
      <c r="BE70" s="9"/>
      <c r="BF70" s="4">
        <v>66</v>
      </c>
      <c r="BG70" s="2" t="e">
        <f>VLOOKUP(BF70,$Y$5:$AJ$104,$BH$2,FALSE)</f>
        <v>#N/A</v>
      </c>
      <c r="BH70" s="6" t="e">
        <f>VLOOKUP(BF70,$Y$5:$AJ$104,$BH$2+3,FALSE)</f>
        <v>#N/A</v>
      </c>
      <c r="BI70" s="2" t="e">
        <f>VLOOKUP(BF70,$Y$5:$AJ$104,$BH$2+4,FALSE)</f>
        <v>#N/A</v>
      </c>
      <c r="BJ70" s="2" t="e">
        <f>VLOOKUP(BG70,$Y$5:$AJ$104,$BH$2+9,FALSE)</f>
        <v>#N/A</v>
      </c>
      <c r="BL70" s="4">
        <v>66</v>
      </c>
      <c r="BM70" s="2" t="e">
        <f>VLOOKUP(BL70,$AA$5:$AJ$104,$BN$2,FALSE)</f>
        <v>#N/A</v>
      </c>
      <c r="BN70" s="6" t="e">
        <f>VLOOKUP(BL70,$AA$5:$AJ$104,$BN$2+1,FALSE)</f>
        <v>#N/A</v>
      </c>
      <c r="BO70" s="2" t="e">
        <f>VLOOKUP(BM70,$AA$5:$AJ$104,$BN$2+8,FALSE)</f>
        <v>#N/A</v>
      </c>
      <c r="BQ70" s="2" t="e">
        <f>'Eclectic B'!CD70</f>
        <v>#N/A</v>
      </c>
      <c r="BR70" s="6" t="e">
        <f>'Eclectic B'!CE70</f>
        <v>#N/A</v>
      </c>
      <c r="BS70" s="103" t="e">
        <f>'Eclectic B'!CF70</f>
        <v>#N/A</v>
      </c>
    </row>
    <row r="71" spans="1:71">
      <c r="A71" s="10" t="str">
        <f>IF(ISBLANK(Players!F69),"",Players!F69)</f>
        <v/>
      </c>
      <c r="B71" s="10" t="str">
        <f>IF(ISBLANK(Players!G69),"",Players!G69)</f>
        <v/>
      </c>
      <c r="C71" s="10" t="str">
        <f>IF(ISBLANK(Players!I69),"",Players!I69)</f>
        <v/>
      </c>
      <c r="D71" s="69" t="str">
        <f>IF(ISNUMBER(C71),MIN((C71*Rules!$N$14/113)+(Rules!$N$13-Rules!$N$12),Rules!$N$37),"-")</f>
        <v>-</v>
      </c>
      <c r="E71" s="69" t="str">
        <f>IF(ISNUMBER(C71),    ROUND( (D71*Rules!$N$11) / 100,0),"-")</f>
        <v>-</v>
      </c>
      <c r="F71" s="36" t="str">
        <f>IF(AND(ISNUMBER(C71),C71&gt;=Rules!$M$17,C71&lt;=Rules!$N$17),"Y","N")</f>
        <v>N</v>
      </c>
      <c r="G71" s="137" t="str">
        <f>'Eclectic B'!M71</f>
        <v>-</v>
      </c>
      <c r="H71" s="137" t="str">
        <f>'Eclectic B'!W71</f>
        <v>-</v>
      </c>
      <c r="I71" s="137" t="str">
        <f>'Eclectic B'!AJ71</f>
        <v>-</v>
      </c>
      <c r="J71" s="137" t="str">
        <f>'Eclectic B'!AT71</f>
        <v>-</v>
      </c>
      <c r="K71" s="14" t="str">
        <f t="shared" si="19"/>
        <v>-</v>
      </c>
      <c r="L71" s="14" t="str">
        <f t="shared" si="20"/>
        <v>-</v>
      </c>
      <c r="M71" s="14" t="str">
        <f t="shared" si="21"/>
        <v>-</v>
      </c>
      <c r="N71" s="14" t="str">
        <f t="shared" si="22"/>
        <v>-</v>
      </c>
      <c r="O71" s="14" t="str">
        <f t="shared" si="23"/>
        <v>-</v>
      </c>
      <c r="P71" s="14" t="str">
        <f t="shared" si="24"/>
        <v>-</v>
      </c>
      <c r="Q71" s="14" t="e">
        <f>RANK($K71,$K$5:$K$104,1)+COUNTIF(K$5:K71,K71)-1</f>
        <v>#VALUE!</v>
      </c>
      <c r="R71" s="14" t="e">
        <f t="shared" si="25"/>
        <v>#VALUE!</v>
      </c>
      <c r="S71" s="14" t="e">
        <f>RANK($L71,$L$5:$L$104,1)+COUNTIF(L$5:L71,L71)-1</f>
        <v>#VALUE!</v>
      </c>
      <c r="T71" s="14" t="e">
        <f t="shared" si="26"/>
        <v>#VALUE!</v>
      </c>
      <c r="U71" s="14" t="e">
        <f>RANK($M71,$M$5:$M$104,1)+COUNTIF(M$5:M71,M71)-1</f>
        <v>#VALUE!</v>
      </c>
      <c r="V71" s="14" t="e">
        <f t="shared" si="27"/>
        <v>#VALUE!</v>
      </c>
      <c r="W71" s="14" t="e">
        <f>RANK($N71,$N$5:$N$104,1)+COUNTIF(N$5:N71,N71)-1</f>
        <v>#VALUE!</v>
      </c>
      <c r="X71" s="14" t="e">
        <f t="shared" si="28"/>
        <v>#VALUE!</v>
      </c>
      <c r="Y71" s="14" t="e">
        <f>RANK($O71,$O$5:$O$104,1)+COUNTIF(O$5:O71,O71)-1</f>
        <v>#VALUE!</v>
      </c>
      <c r="Z71" s="14" t="e">
        <f t="shared" si="29"/>
        <v>#VALUE!</v>
      </c>
      <c r="AA71" s="14" t="e">
        <f>RANK($P71,$P$5:$P$104,1)+COUNTIF(P$5:P71,P71)-1</f>
        <v>#VALUE!</v>
      </c>
      <c r="AB71" s="14" t="e">
        <f t="shared" si="30"/>
        <v>#VALUE!</v>
      </c>
      <c r="AC71" s="1" t="str">
        <f t="shared" si="31"/>
        <v xml:space="preserve"> </v>
      </c>
      <c r="AD71" s="1" t="str">
        <f t="shared" si="32"/>
        <v>-</v>
      </c>
      <c r="AE71" s="35" t="str">
        <f t="shared" si="18"/>
        <v>-</v>
      </c>
      <c r="AF71" s="35" t="str">
        <f t="shared" si="18"/>
        <v>-</v>
      </c>
      <c r="AG71" s="35" t="str">
        <f t="shared" si="18"/>
        <v>-</v>
      </c>
      <c r="AH71" s="35" t="str">
        <f t="shared" si="17"/>
        <v>-</v>
      </c>
      <c r="AI71" s="35" t="str">
        <f t="shared" si="17"/>
        <v>-</v>
      </c>
      <c r="AJ71" s="35" t="str">
        <f t="shared" si="17"/>
        <v>-</v>
      </c>
      <c r="AL71" s="4">
        <v>67</v>
      </c>
      <c r="AM71" s="2" t="e">
        <f>VLOOKUP(AL71,Q$5:$AJ$104,$AN$2,FALSE)</f>
        <v>#N/A</v>
      </c>
      <c r="AN71" s="6" t="e">
        <f>VLOOKUP(AL71,Q$5:$AJ$104,$AN$2+11,FALSE)</f>
        <v>#N/A</v>
      </c>
      <c r="AO71" s="2" t="e">
        <f t="shared" si="33"/>
        <v>#N/A</v>
      </c>
      <c r="AQ71" s="4">
        <v>67</v>
      </c>
      <c r="AR71" s="2" t="e">
        <f>VLOOKUP(AQ71,$S$5:$AJ$104,$AS$2,FALSE)</f>
        <v>#N/A</v>
      </c>
      <c r="AS71" s="6" t="e">
        <f>VLOOKUP(AQ71,$S$5:$AJ$104,$AS$2+9,FALSE)</f>
        <v>#N/A</v>
      </c>
      <c r="AT71" s="2" t="e">
        <f>VLOOKUP(AR71,$S$5:$AJ$104,$AS$2+12,FALSE)</f>
        <v>#N/A</v>
      </c>
      <c r="AU71" s="9"/>
      <c r="AV71" s="4">
        <v>67</v>
      </c>
      <c r="AW71" s="2" t="e">
        <f>VLOOKUP(AV71,$U$5:$AJ$104,$AX$2,FALSE)</f>
        <v>#N/A</v>
      </c>
      <c r="AX71" s="6" t="e">
        <f>VLOOKUP(AV71,$U$5:$AJ$104,$AX$2+7,FALSE)</f>
        <v>#N/A</v>
      </c>
      <c r="AY71" s="2" t="e">
        <f>VLOOKUP(AW71,$U$5:$AJ$104,$AX$2+11,FALSE)</f>
        <v>#N/A</v>
      </c>
      <c r="BA71" s="4">
        <v>67</v>
      </c>
      <c r="BB71" s="2" t="e">
        <f>VLOOKUP(BA71,$W$5:$AJ$104,$BC$2,FALSE)</f>
        <v>#N/A</v>
      </c>
      <c r="BC71" s="6" t="e">
        <f>VLOOKUP(BA71,$W$5:$AJ$104,$BC$2+5,FALSE)</f>
        <v>#N/A</v>
      </c>
      <c r="BD71" s="58" t="e">
        <f>VLOOKUP(BB71,$W$5:$AJ$104,$BC$2+10,FALSE)</f>
        <v>#N/A</v>
      </c>
      <c r="BE71" s="9"/>
      <c r="BF71" s="4">
        <v>67</v>
      </c>
      <c r="BG71" s="2" t="e">
        <f>VLOOKUP(BF71,$Y$5:$AJ$104,$BH$2,FALSE)</f>
        <v>#N/A</v>
      </c>
      <c r="BH71" s="6" t="e">
        <f>VLOOKUP(BF71,$Y$5:$AJ$104,$BH$2+3,FALSE)</f>
        <v>#N/A</v>
      </c>
      <c r="BI71" s="2" t="e">
        <f>VLOOKUP(BF71,$Y$5:$AJ$104,$BH$2+4,FALSE)</f>
        <v>#N/A</v>
      </c>
      <c r="BJ71" s="2" t="e">
        <f>VLOOKUP(BG71,$Y$5:$AJ$104,$BH$2+9,FALSE)</f>
        <v>#N/A</v>
      </c>
      <c r="BL71" s="4">
        <v>67</v>
      </c>
      <c r="BM71" s="2" t="e">
        <f>VLOOKUP(BL71,$AA$5:$AJ$104,$BN$2,FALSE)</f>
        <v>#N/A</v>
      </c>
      <c r="BN71" s="6" t="e">
        <f>VLOOKUP(BL71,$AA$5:$AJ$104,$BN$2+1,FALSE)</f>
        <v>#N/A</v>
      </c>
      <c r="BO71" s="2" t="e">
        <f>VLOOKUP(BM71,$AA$5:$AJ$104,$BN$2+8,FALSE)</f>
        <v>#N/A</v>
      </c>
      <c r="BQ71" s="2" t="e">
        <f>'Eclectic B'!CD71</f>
        <v>#N/A</v>
      </c>
      <c r="BR71" s="6" t="e">
        <f>'Eclectic B'!CE71</f>
        <v>#N/A</v>
      </c>
      <c r="BS71" s="103" t="e">
        <f>'Eclectic B'!CF71</f>
        <v>#N/A</v>
      </c>
    </row>
    <row r="72" spans="1:71">
      <c r="A72" s="10" t="str">
        <f>IF(ISBLANK(Players!F70),"",Players!F70)</f>
        <v/>
      </c>
      <c r="B72" s="10" t="str">
        <f>IF(ISBLANK(Players!G70),"",Players!G70)</f>
        <v/>
      </c>
      <c r="C72" s="10" t="str">
        <f>IF(ISBLANK(Players!I70),"",Players!I70)</f>
        <v/>
      </c>
      <c r="D72" s="69" t="str">
        <f>IF(ISNUMBER(C72),MIN((C72*Rules!$N$14/113)+(Rules!$N$13-Rules!$N$12),Rules!$N$37),"-")</f>
        <v>-</v>
      </c>
      <c r="E72" s="69" t="str">
        <f>IF(ISNUMBER(C72),    ROUND( (D72*Rules!$N$11) / 100,0),"-")</f>
        <v>-</v>
      </c>
      <c r="F72" s="36" t="str">
        <f>IF(AND(ISNUMBER(C72),C72&gt;=Rules!$M$17,C72&lt;=Rules!$N$17),"Y","N")</f>
        <v>N</v>
      </c>
      <c r="G72" s="137" t="str">
        <f>'Eclectic B'!M72</f>
        <v>-</v>
      </c>
      <c r="H72" s="137" t="str">
        <f>'Eclectic B'!W72</f>
        <v>-</v>
      </c>
      <c r="I72" s="137" t="str">
        <f>'Eclectic B'!AJ72</f>
        <v>-</v>
      </c>
      <c r="J72" s="137" t="str">
        <f>'Eclectic B'!AT72</f>
        <v>-</v>
      </c>
      <c r="K72" s="14" t="str">
        <f t="shared" si="19"/>
        <v>-</v>
      </c>
      <c r="L72" s="14" t="str">
        <f t="shared" si="20"/>
        <v>-</v>
      </c>
      <c r="M72" s="14" t="str">
        <f t="shared" si="21"/>
        <v>-</v>
      </c>
      <c r="N72" s="14" t="str">
        <f t="shared" si="22"/>
        <v>-</v>
      </c>
      <c r="O72" s="14" t="str">
        <f t="shared" si="23"/>
        <v>-</v>
      </c>
      <c r="P72" s="14" t="str">
        <f t="shared" si="24"/>
        <v>-</v>
      </c>
      <c r="Q72" s="14" t="e">
        <f>RANK($K72,$K$5:$K$104,1)+COUNTIF(K$5:K72,K72)-1</f>
        <v>#VALUE!</v>
      </c>
      <c r="R72" s="14" t="e">
        <f t="shared" si="25"/>
        <v>#VALUE!</v>
      </c>
      <c r="S72" s="14" t="e">
        <f>RANK($L72,$L$5:$L$104,1)+COUNTIF(L$5:L72,L72)-1</f>
        <v>#VALUE!</v>
      </c>
      <c r="T72" s="14" t="e">
        <f t="shared" si="26"/>
        <v>#VALUE!</v>
      </c>
      <c r="U72" s="14" t="e">
        <f>RANK($M72,$M$5:$M$104,1)+COUNTIF(M$5:M72,M72)-1</f>
        <v>#VALUE!</v>
      </c>
      <c r="V72" s="14" t="e">
        <f t="shared" si="27"/>
        <v>#VALUE!</v>
      </c>
      <c r="W72" s="14" t="e">
        <f>RANK($N72,$N$5:$N$104,1)+COUNTIF(N$5:N72,N72)-1</f>
        <v>#VALUE!</v>
      </c>
      <c r="X72" s="14" t="e">
        <f t="shared" si="28"/>
        <v>#VALUE!</v>
      </c>
      <c r="Y72" s="14" t="e">
        <f>RANK($O72,$O$5:$O$104,1)+COUNTIF(O$5:O72,O72)-1</f>
        <v>#VALUE!</v>
      </c>
      <c r="Z72" s="14" t="e">
        <f t="shared" si="29"/>
        <v>#VALUE!</v>
      </c>
      <c r="AA72" s="14" t="e">
        <f>RANK($P72,$P$5:$P$104,1)+COUNTIF(P$5:P72,P72)-1</f>
        <v>#VALUE!</v>
      </c>
      <c r="AB72" s="14" t="e">
        <f t="shared" si="30"/>
        <v>#VALUE!</v>
      </c>
      <c r="AC72" s="1" t="str">
        <f t="shared" si="31"/>
        <v xml:space="preserve"> </v>
      </c>
      <c r="AD72" s="1" t="str">
        <f t="shared" si="32"/>
        <v>-</v>
      </c>
      <c r="AE72" s="35" t="str">
        <f t="shared" si="18"/>
        <v>-</v>
      </c>
      <c r="AF72" s="35" t="str">
        <f t="shared" si="18"/>
        <v>-</v>
      </c>
      <c r="AG72" s="35" t="str">
        <f t="shared" si="18"/>
        <v>-</v>
      </c>
      <c r="AH72" s="35" t="str">
        <f t="shared" si="17"/>
        <v>-</v>
      </c>
      <c r="AI72" s="35" t="str">
        <f t="shared" si="17"/>
        <v>-</v>
      </c>
      <c r="AJ72" s="35" t="str">
        <f t="shared" si="17"/>
        <v>-</v>
      </c>
      <c r="AL72" s="4">
        <v>68</v>
      </c>
      <c r="AM72" s="2" t="e">
        <f>VLOOKUP(AL72,Q$5:$AJ$104,$AN$2,FALSE)</f>
        <v>#N/A</v>
      </c>
      <c r="AN72" s="6" t="e">
        <f>VLOOKUP(AL72,Q$5:$AJ$104,$AN$2+11,FALSE)</f>
        <v>#N/A</v>
      </c>
      <c r="AO72" s="2" t="e">
        <f t="shared" si="33"/>
        <v>#N/A</v>
      </c>
      <c r="AQ72" s="4">
        <v>68</v>
      </c>
      <c r="AR72" s="2" t="e">
        <f>VLOOKUP(AQ72,$S$5:$AJ$104,$AS$2,FALSE)</f>
        <v>#N/A</v>
      </c>
      <c r="AS72" s="6" t="e">
        <f>VLOOKUP(AQ72,$S$5:$AJ$104,$AS$2+9,FALSE)</f>
        <v>#N/A</v>
      </c>
      <c r="AT72" s="2" t="e">
        <f>VLOOKUP(AR72,$S$5:$AJ$104,$AS$2+12,FALSE)</f>
        <v>#N/A</v>
      </c>
      <c r="AU72" s="9"/>
      <c r="AV72" s="4">
        <v>68</v>
      </c>
      <c r="AW72" s="2" t="e">
        <f>VLOOKUP(AV72,$U$5:$AJ$104,$AX$2,FALSE)</f>
        <v>#N/A</v>
      </c>
      <c r="AX72" s="6" t="e">
        <f>VLOOKUP(AV72,$U$5:$AJ$104,$AX$2+7,FALSE)</f>
        <v>#N/A</v>
      </c>
      <c r="AY72" s="2" t="e">
        <f>VLOOKUP(AW72,$U$5:$AJ$104,$AX$2+11,FALSE)</f>
        <v>#N/A</v>
      </c>
      <c r="BA72" s="4">
        <v>68</v>
      </c>
      <c r="BB72" s="2" t="e">
        <f>VLOOKUP(BA72,$W$5:$AJ$104,$BC$2,FALSE)</f>
        <v>#N/A</v>
      </c>
      <c r="BC72" s="6" t="e">
        <f>VLOOKUP(BA72,$W$5:$AJ$104,$BC$2+5,FALSE)</f>
        <v>#N/A</v>
      </c>
      <c r="BD72" s="58" t="e">
        <f>VLOOKUP(BB72,$W$5:$AJ$104,$BC$2+10,FALSE)</f>
        <v>#N/A</v>
      </c>
      <c r="BE72" s="9"/>
      <c r="BF72" s="4">
        <v>68</v>
      </c>
      <c r="BG72" s="2" t="e">
        <f>VLOOKUP(BF72,$Y$5:$AJ$104,$BH$2,FALSE)</f>
        <v>#N/A</v>
      </c>
      <c r="BH72" s="6" t="e">
        <f>VLOOKUP(BF72,$Y$5:$AJ$104,$BH$2+3,FALSE)</f>
        <v>#N/A</v>
      </c>
      <c r="BI72" s="2" t="e">
        <f>VLOOKUP(BF72,$Y$5:$AJ$104,$BH$2+4,FALSE)</f>
        <v>#N/A</v>
      </c>
      <c r="BJ72" s="2" t="e">
        <f>VLOOKUP(BG72,$Y$5:$AJ$104,$BH$2+9,FALSE)</f>
        <v>#N/A</v>
      </c>
      <c r="BL72" s="4">
        <v>68</v>
      </c>
      <c r="BM72" s="2" t="e">
        <f>VLOOKUP(BL72,$AA$5:$AJ$104,$BN$2,FALSE)</f>
        <v>#N/A</v>
      </c>
      <c r="BN72" s="6" t="e">
        <f>VLOOKUP(BL72,$AA$5:$AJ$104,$BN$2+1,FALSE)</f>
        <v>#N/A</v>
      </c>
      <c r="BO72" s="2" t="e">
        <f>VLOOKUP(BM72,$AA$5:$AJ$104,$BN$2+8,FALSE)</f>
        <v>#N/A</v>
      </c>
      <c r="BQ72" s="2" t="e">
        <f>'Eclectic B'!CD72</f>
        <v>#N/A</v>
      </c>
      <c r="BR72" s="6" t="e">
        <f>'Eclectic B'!CE72</f>
        <v>#N/A</v>
      </c>
      <c r="BS72" s="103" t="e">
        <f>'Eclectic B'!CF72</f>
        <v>#N/A</v>
      </c>
    </row>
    <row r="73" spans="1:71">
      <c r="A73" s="10" t="str">
        <f>IF(ISBLANK(Players!F71),"",Players!F71)</f>
        <v/>
      </c>
      <c r="B73" s="10" t="str">
        <f>IF(ISBLANK(Players!G71),"",Players!G71)</f>
        <v/>
      </c>
      <c r="C73" s="10" t="str">
        <f>IF(ISBLANK(Players!I71),"",Players!I71)</f>
        <v/>
      </c>
      <c r="D73" s="69" t="str">
        <f>IF(ISNUMBER(C73),MIN((C73*Rules!$N$14/113)+(Rules!$N$13-Rules!$N$12),Rules!$N$37),"-")</f>
        <v>-</v>
      </c>
      <c r="E73" s="69" t="str">
        <f>IF(ISNUMBER(C73),    ROUND( (D73*Rules!$N$11) / 100,0),"-")</f>
        <v>-</v>
      </c>
      <c r="F73" s="36" t="str">
        <f>IF(AND(ISNUMBER(C73),C73&gt;=Rules!$M$17,C73&lt;=Rules!$N$17),"Y","N")</f>
        <v>N</v>
      </c>
      <c r="G73" s="137" t="str">
        <f>'Eclectic B'!M73</f>
        <v>-</v>
      </c>
      <c r="H73" s="137" t="str">
        <f>'Eclectic B'!W73</f>
        <v>-</v>
      </c>
      <c r="I73" s="137" t="str">
        <f>'Eclectic B'!AJ73</f>
        <v>-</v>
      </c>
      <c r="J73" s="137" t="str">
        <f>'Eclectic B'!AT73</f>
        <v>-</v>
      </c>
      <c r="K73" s="14" t="str">
        <f t="shared" si="19"/>
        <v>-</v>
      </c>
      <c r="L73" s="14" t="str">
        <f t="shared" si="20"/>
        <v>-</v>
      </c>
      <c r="M73" s="14" t="str">
        <f t="shared" si="21"/>
        <v>-</v>
      </c>
      <c r="N73" s="14" t="str">
        <f t="shared" si="22"/>
        <v>-</v>
      </c>
      <c r="O73" s="14" t="str">
        <f t="shared" si="23"/>
        <v>-</v>
      </c>
      <c r="P73" s="14" t="str">
        <f t="shared" si="24"/>
        <v>-</v>
      </c>
      <c r="Q73" s="14" t="e">
        <f>RANK($K73,$K$5:$K$104,1)+COUNTIF(K$5:K73,K73)-1</f>
        <v>#VALUE!</v>
      </c>
      <c r="R73" s="14" t="e">
        <f t="shared" si="25"/>
        <v>#VALUE!</v>
      </c>
      <c r="S73" s="14" t="e">
        <f>RANK($L73,$L$5:$L$104,1)+COUNTIF(L$5:L73,L73)-1</f>
        <v>#VALUE!</v>
      </c>
      <c r="T73" s="14" t="e">
        <f t="shared" si="26"/>
        <v>#VALUE!</v>
      </c>
      <c r="U73" s="14" t="e">
        <f>RANK($M73,$M$5:$M$104,1)+COUNTIF(M$5:M73,M73)-1</f>
        <v>#VALUE!</v>
      </c>
      <c r="V73" s="14" t="e">
        <f t="shared" si="27"/>
        <v>#VALUE!</v>
      </c>
      <c r="W73" s="14" t="e">
        <f>RANK($N73,$N$5:$N$104,1)+COUNTIF(N$5:N73,N73)-1</f>
        <v>#VALUE!</v>
      </c>
      <c r="X73" s="14" t="e">
        <f t="shared" si="28"/>
        <v>#VALUE!</v>
      </c>
      <c r="Y73" s="14" t="e">
        <f>RANK($O73,$O$5:$O$104,1)+COUNTIF(O$5:O73,O73)-1</f>
        <v>#VALUE!</v>
      </c>
      <c r="Z73" s="14" t="e">
        <f t="shared" si="29"/>
        <v>#VALUE!</v>
      </c>
      <c r="AA73" s="14" t="e">
        <f>RANK($P73,$P$5:$P$104,1)+COUNTIF(P$5:P73,P73)-1</f>
        <v>#VALUE!</v>
      </c>
      <c r="AB73" s="14" t="e">
        <f t="shared" si="30"/>
        <v>#VALUE!</v>
      </c>
      <c r="AC73" s="1" t="str">
        <f t="shared" si="31"/>
        <v xml:space="preserve"> </v>
      </c>
      <c r="AD73" s="1" t="str">
        <f t="shared" si="32"/>
        <v>-</v>
      </c>
      <c r="AE73" s="35" t="str">
        <f t="shared" si="18"/>
        <v>-</v>
      </c>
      <c r="AF73" s="35" t="str">
        <f t="shared" si="18"/>
        <v>-</v>
      </c>
      <c r="AG73" s="35" t="str">
        <f t="shared" si="18"/>
        <v>-</v>
      </c>
      <c r="AH73" s="35" t="str">
        <f t="shared" si="17"/>
        <v>-</v>
      </c>
      <c r="AI73" s="35" t="str">
        <f t="shared" si="17"/>
        <v>-</v>
      </c>
      <c r="AJ73" s="35" t="str">
        <f t="shared" si="17"/>
        <v>-</v>
      </c>
      <c r="AL73" s="4">
        <v>69</v>
      </c>
      <c r="AM73" s="2" t="e">
        <f>VLOOKUP(AL73,Q$5:$AJ$104,$AN$2,FALSE)</f>
        <v>#N/A</v>
      </c>
      <c r="AN73" s="6" t="e">
        <f>VLOOKUP(AL73,Q$5:$AJ$104,$AN$2+11,FALSE)</f>
        <v>#N/A</v>
      </c>
      <c r="AO73" s="2" t="e">
        <f t="shared" si="33"/>
        <v>#N/A</v>
      </c>
      <c r="AQ73" s="4">
        <v>69</v>
      </c>
      <c r="AR73" s="2" t="e">
        <f>VLOOKUP(AQ73,$S$5:$AJ$104,$AS$2,FALSE)</f>
        <v>#N/A</v>
      </c>
      <c r="AS73" s="6" t="e">
        <f>VLOOKUP(AQ73,$S$5:$AJ$104,$AS$2+9,FALSE)</f>
        <v>#N/A</v>
      </c>
      <c r="AT73" s="2" t="e">
        <f>VLOOKUP(AR73,$S$5:$AJ$104,$AS$2+12,FALSE)</f>
        <v>#N/A</v>
      </c>
      <c r="AU73" s="9"/>
      <c r="AV73" s="4">
        <v>69</v>
      </c>
      <c r="AW73" s="2" t="e">
        <f>VLOOKUP(AV73,$U$5:$AJ$104,$AX$2,FALSE)</f>
        <v>#N/A</v>
      </c>
      <c r="AX73" s="6" t="e">
        <f>VLOOKUP(AV73,$U$5:$AJ$104,$AX$2+7,FALSE)</f>
        <v>#N/A</v>
      </c>
      <c r="AY73" s="2" t="e">
        <f>VLOOKUP(AW73,$U$5:$AJ$104,$AX$2+11,FALSE)</f>
        <v>#N/A</v>
      </c>
      <c r="BA73" s="4">
        <v>69</v>
      </c>
      <c r="BB73" s="2" t="e">
        <f>VLOOKUP(BA73,$W$5:$AJ$104,$BC$2,FALSE)</f>
        <v>#N/A</v>
      </c>
      <c r="BC73" s="6" t="e">
        <f>VLOOKUP(BA73,$W$5:$AJ$104,$BC$2+5,FALSE)</f>
        <v>#N/A</v>
      </c>
      <c r="BD73" s="58" t="e">
        <f>VLOOKUP(BB73,$W$5:$AJ$104,$BC$2+10,FALSE)</f>
        <v>#N/A</v>
      </c>
      <c r="BE73" s="9"/>
      <c r="BF73" s="4">
        <v>69</v>
      </c>
      <c r="BG73" s="2" t="e">
        <f>VLOOKUP(BF73,$Y$5:$AJ$104,$BH$2,FALSE)</f>
        <v>#N/A</v>
      </c>
      <c r="BH73" s="6" t="e">
        <f>VLOOKUP(BF73,$Y$5:$AJ$104,$BH$2+3,FALSE)</f>
        <v>#N/A</v>
      </c>
      <c r="BI73" s="2" t="e">
        <f>VLOOKUP(BF73,$Y$5:$AJ$104,$BH$2+4,FALSE)</f>
        <v>#N/A</v>
      </c>
      <c r="BJ73" s="2" t="e">
        <f>VLOOKUP(BG73,$Y$5:$AJ$104,$BH$2+9,FALSE)</f>
        <v>#N/A</v>
      </c>
      <c r="BL73" s="4">
        <v>69</v>
      </c>
      <c r="BM73" s="2" t="e">
        <f>VLOOKUP(BL73,$AA$5:$AJ$104,$BN$2,FALSE)</f>
        <v>#N/A</v>
      </c>
      <c r="BN73" s="6" t="e">
        <f>VLOOKUP(BL73,$AA$5:$AJ$104,$BN$2+1,FALSE)</f>
        <v>#N/A</v>
      </c>
      <c r="BO73" s="2" t="e">
        <f>VLOOKUP(BM73,$AA$5:$AJ$104,$BN$2+8,FALSE)</f>
        <v>#N/A</v>
      </c>
      <c r="BQ73" s="2" t="e">
        <f>'Eclectic B'!CD73</f>
        <v>#N/A</v>
      </c>
      <c r="BR73" s="6" t="e">
        <f>'Eclectic B'!CE73</f>
        <v>#N/A</v>
      </c>
      <c r="BS73" s="103" t="e">
        <f>'Eclectic B'!CF73</f>
        <v>#N/A</v>
      </c>
    </row>
    <row r="74" spans="1:71">
      <c r="A74" s="10" t="str">
        <f>IF(ISBLANK(Players!F72),"",Players!F72)</f>
        <v/>
      </c>
      <c r="B74" s="10" t="str">
        <f>IF(ISBLANK(Players!G72),"",Players!G72)</f>
        <v/>
      </c>
      <c r="C74" s="10" t="str">
        <f>IF(ISBLANK(Players!I72),"",Players!I72)</f>
        <v/>
      </c>
      <c r="D74" s="69" t="str">
        <f>IF(ISNUMBER(C74),MIN((C74*Rules!$N$14/113)+(Rules!$N$13-Rules!$N$12),Rules!$N$37),"-")</f>
        <v>-</v>
      </c>
      <c r="E74" s="69" t="str">
        <f>IF(ISNUMBER(C74),    ROUND( (D74*Rules!$N$11) / 100,0),"-")</f>
        <v>-</v>
      </c>
      <c r="F74" s="36" t="str">
        <f>IF(AND(ISNUMBER(C74),C74&gt;=Rules!$M$17,C74&lt;=Rules!$N$17),"Y","N")</f>
        <v>N</v>
      </c>
      <c r="G74" s="137" t="str">
        <f>'Eclectic B'!M74</f>
        <v>-</v>
      </c>
      <c r="H74" s="137" t="str">
        <f>'Eclectic B'!W74</f>
        <v>-</v>
      </c>
      <c r="I74" s="137" t="str">
        <f>'Eclectic B'!AJ74</f>
        <v>-</v>
      </c>
      <c r="J74" s="137" t="str">
        <f>'Eclectic B'!AT74</f>
        <v>-</v>
      </c>
      <c r="K74" s="14" t="str">
        <f t="shared" si="19"/>
        <v>-</v>
      </c>
      <c r="L74" s="14" t="str">
        <f t="shared" si="20"/>
        <v>-</v>
      </c>
      <c r="M74" s="14" t="str">
        <f t="shared" si="21"/>
        <v>-</v>
      </c>
      <c r="N74" s="14" t="str">
        <f t="shared" si="22"/>
        <v>-</v>
      </c>
      <c r="O74" s="14" t="str">
        <f t="shared" si="23"/>
        <v>-</v>
      </c>
      <c r="P74" s="14" t="str">
        <f t="shared" si="24"/>
        <v>-</v>
      </c>
      <c r="Q74" s="14" t="e">
        <f>RANK($K74,$K$5:$K$104,1)+COUNTIF(K$5:K74,K74)-1</f>
        <v>#VALUE!</v>
      </c>
      <c r="R74" s="14" t="e">
        <f t="shared" si="25"/>
        <v>#VALUE!</v>
      </c>
      <c r="S74" s="14" t="e">
        <f>RANK($L74,$L$5:$L$104,1)+COUNTIF(L$5:L74,L74)-1</f>
        <v>#VALUE!</v>
      </c>
      <c r="T74" s="14" t="e">
        <f t="shared" si="26"/>
        <v>#VALUE!</v>
      </c>
      <c r="U74" s="14" t="e">
        <f>RANK($M74,$M$5:$M$104,1)+COUNTIF(M$5:M74,M74)-1</f>
        <v>#VALUE!</v>
      </c>
      <c r="V74" s="14" t="e">
        <f t="shared" si="27"/>
        <v>#VALUE!</v>
      </c>
      <c r="W74" s="14" t="e">
        <f>RANK($N74,$N$5:$N$104,1)+COUNTIF(N$5:N74,N74)-1</f>
        <v>#VALUE!</v>
      </c>
      <c r="X74" s="14" t="e">
        <f t="shared" si="28"/>
        <v>#VALUE!</v>
      </c>
      <c r="Y74" s="14" t="e">
        <f>RANK($O74,$O$5:$O$104,1)+COUNTIF(O$5:O74,O74)-1</f>
        <v>#VALUE!</v>
      </c>
      <c r="Z74" s="14" t="e">
        <f t="shared" si="29"/>
        <v>#VALUE!</v>
      </c>
      <c r="AA74" s="14" t="e">
        <f>RANK($P74,$P$5:$P$104,1)+COUNTIF(P$5:P74,P74)-1</f>
        <v>#VALUE!</v>
      </c>
      <c r="AB74" s="14" t="e">
        <f t="shared" si="30"/>
        <v>#VALUE!</v>
      </c>
      <c r="AC74" s="1" t="str">
        <f t="shared" si="31"/>
        <v xml:space="preserve"> </v>
      </c>
      <c r="AD74" s="1" t="str">
        <f t="shared" si="32"/>
        <v>-</v>
      </c>
      <c r="AE74" s="35" t="str">
        <f t="shared" si="18"/>
        <v>-</v>
      </c>
      <c r="AF74" s="35" t="str">
        <f t="shared" si="18"/>
        <v>-</v>
      </c>
      <c r="AG74" s="35" t="str">
        <f t="shared" si="18"/>
        <v>-</v>
      </c>
      <c r="AH74" s="35" t="str">
        <f t="shared" si="17"/>
        <v>-</v>
      </c>
      <c r="AI74" s="35" t="str">
        <f t="shared" si="17"/>
        <v>-</v>
      </c>
      <c r="AJ74" s="35" t="str">
        <f t="shared" si="17"/>
        <v>-</v>
      </c>
      <c r="AL74" s="4">
        <v>70</v>
      </c>
      <c r="AM74" s="2" t="e">
        <f>VLOOKUP(AL74,Q$5:$AJ$104,$AN$2,FALSE)</f>
        <v>#N/A</v>
      </c>
      <c r="AN74" s="6" t="e">
        <f>VLOOKUP(AL74,Q$5:$AJ$104,$AN$2+11,FALSE)</f>
        <v>#N/A</v>
      </c>
      <c r="AO74" s="2" t="e">
        <f t="shared" si="33"/>
        <v>#N/A</v>
      </c>
      <c r="AQ74" s="4">
        <v>70</v>
      </c>
      <c r="AR74" s="2" t="e">
        <f>VLOOKUP(AQ74,$S$5:$AJ$104,$AS$2,FALSE)</f>
        <v>#N/A</v>
      </c>
      <c r="AS74" s="6" t="e">
        <f>VLOOKUP(AQ74,$S$5:$AJ$104,$AS$2+9,FALSE)</f>
        <v>#N/A</v>
      </c>
      <c r="AT74" s="2" t="e">
        <f>VLOOKUP(AR74,$S$5:$AJ$104,$AS$2+12,FALSE)</f>
        <v>#N/A</v>
      </c>
      <c r="AU74" s="9"/>
      <c r="AV74" s="4">
        <v>70</v>
      </c>
      <c r="AW74" s="2" t="e">
        <f>VLOOKUP(AV74,$U$5:$AJ$104,$AX$2,FALSE)</f>
        <v>#N/A</v>
      </c>
      <c r="AX74" s="6" t="e">
        <f>VLOOKUP(AV74,$U$5:$AJ$104,$AX$2+7,FALSE)</f>
        <v>#N/A</v>
      </c>
      <c r="AY74" s="2" t="e">
        <f>VLOOKUP(AW74,$U$5:$AJ$104,$AX$2+11,FALSE)</f>
        <v>#N/A</v>
      </c>
      <c r="BA74" s="4">
        <v>70</v>
      </c>
      <c r="BB74" s="2" t="e">
        <f>VLOOKUP(BA74,$W$5:$AJ$104,$BC$2,FALSE)</f>
        <v>#N/A</v>
      </c>
      <c r="BC74" s="6" t="e">
        <f>VLOOKUP(BA74,$W$5:$AJ$104,$BC$2+5,FALSE)</f>
        <v>#N/A</v>
      </c>
      <c r="BD74" s="58" t="e">
        <f>VLOOKUP(BB74,$W$5:$AJ$104,$BC$2+10,FALSE)</f>
        <v>#N/A</v>
      </c>
      <c r="BE74" s="9"/>
      <c r="BF74" s="4">
        <v>70</v>
      </c>
      <c r="BG74" s="2" t="e">
        <f>VLOOKUP(BF74,$Y$5:$AJ$104,$BH$2,FALSE)</f>
        <v>#N/A</v>
      </c>
      <c r="BH74" s="6" t="e">
        <f>VLOOKUP(BF74,$Y$5:$AJ$104,$BH$2+3,FALSE)</f>
        <v>#N/A</v>
      </c>
      <c r="BI74" s="2" t="e">
        <f>VLOOKUP(BF74,$Y$5:$AJ$104,$BH$2+4,FALSE)</f>
        <v>#N/A</v>
      </c>
      <c r="BJ74" s="2" t="e">
        <f>VLOOKUP(BG74,$Y$5:$AJ$104,$BH$2+9,FALSE)</f>
        <v>#N/A</v>
      </c>
      <c r="BL74" s="4">
        <v>70</v>
      </c>
      <c r="BM74" s="2" t="e">
        <f>VLOOKUP(BL74,$AA$5:$AJ$104,$BN$2,FALSE)</f>
        <v>#N/A</v>
      </c>
      <c r="BN74" s="6" t="e">
        <f>VLOOKUP(BL74,$AA$5:$AJ$104,$BN$2+1,FALSE)</f>
        <v>#N/A</v>
      </c>
      <c r="BO74" s="2" t="e">
        <f>VLOOKUP(BM74,$AA$5:$AJ$104,$BN$2+8,FALSE)</f>
        <v>#N/A</v>
      </c>
      <c r="BQ74" s="2" t="e">
        <f>'Eclectic B'!CD74</f>
        <v>#N/A</v>
      </c>
      <c r="BR74" s="6" t="e">
        <f>'Eclectic B'!CE74</f>
        <v>#N/A</v>
      </c>
      <c r="BS74" s="103" t="e">
        <f>'Eclectic B'!CF74</f>
        <v>#N/A</v>
      </c>
    </row>
    <row r="75" spans="1:71">
      <c r="A75" s="10" t="str">
        <f>IF(ISBLANK(Players!F73),"",Players!F73)</f>
        <v/>
      </c>
      <c r="B75" s="10" t="str">
        <f>IF(ISBLANK(Players!G73),"",Players!G73)</f>
        <v/>
      </c>
      <c r="C75" s="10" t="str">
        <f>IF(ISBLANK(Players!I73),"",Players!I73)</f>
        <v/>
      </c>
      <c r="D75" s="69" t="str">
        <f>IF(ISNUMBER(C75),MIN((C75*Rules!$N$14/113)+(Rules!$N$13-Rules!$N$12),Rules!$N$37),"-")</f>
        <v>-</v>
      </c>
      <c r="E75" s="69" t="str">
        <f>IF(ISNUMBER(C75),    ROUND( (D75*Rules!$N$11) / 100,0),"-")</f>
        <v>-</v>
      </c>
      <c r="F75" s="36" t="str">
        <f>IF(AND(ISNUMBER(C75),C75&gt;=Rules!$M$17,C75&lt;=Rules!$N$17),"Y","N")</f>
        <v>N</v>
      </c>
      <c r="G75" s="137" t="str">
        <f>'Eclectic B'!M75</f>
        <v>-</v>
      </c>
      <c r="H75" s="137" t="str">
        <f>'Eclectic B'!W75</f>
        <v>-</v>
      </c>
      <c r="I75" s="137" t="str">
        <f>'Eclectic B'!AJ75</f>
        <v>-</v>
      </c>
      <c r="J75" s="137" t="str">
        <f>'Eclectic B'!AT75</f>
        <v>-</v>
      </c>
      <c r="K75" s="14" t="str">
        <f t="shared" si="19"/>
        <v>-</v>
      </c>
      <c r="L75" s="14" t="str">
        <f t="shared" si="20"/>
        <v>-</v>
      </c>
      <c r="M75" s="14" t="str">
        <f t="shared" si="21"/>
        <v>-</v>
      </c>
      <c r="N75" s="14" t="str">
        <f t="shared" si="22"/>
        <v>-</v>
      </c>
      <c r="O75" s="14" t="str">
        <f t="shared" si="23"/>
        <v>-</v>
      </c>
      <c r="P75" s="14" t="str">
        <f t="shared" si="24"/>
        <v>-</v>
      </c>
      <c r="Q75" s="14" t="e">
        <f>RANK($K75,$K$5:$K$104,1)+COUNTIF(K$5:K75,K75)-1</f>
        <v>#VALUE!</v>
      </c>
      <c r="R75" s="14" t="e">
        <f t="shared" si="25"/>
        <v>#VALUE!</v>
      </c>
      <c r="S75" s="14" t="e">
        <f>RANK($L75,$L$5:$L$104,1)+COUNTIF(L$5:L75,L75)-1</f>
        <v>#VALUE!</v>
      </c>
      <c r="T75" s="14" t="e">
        <f t="shared" si="26"/>
        <v>#VALUE!</v>
      </c>
      <c r="U75" s="14" t="e">
        <f>RANK($M75,$M$5:$M$104,1)+COUNTIF(M$5:M75,M75)-1</f>
        <v>#VALUE!</v>
      </c>
      <c r="V75" s="14" t="e">
        <f t="shared" si="27"/>
        <v>#VALUE!</v>
      </c>
      <c r="W75" s="14" t="e">
        <f>RANK($N75,$N$5:$N$104,1)+COUNTIF(N$5:N75,N75)-1</f>
        <v>#VALUE!</v>
      </c>
      <c r="X75" s="14" t="e">
        <f t="shared" si="28"/>
        <v>#VALUE!</v>
      </c>
      <c r="Y75" s="14" t="e">
        <f>RANK($O75,$O$5:$O$104,1)+COUNTIF(O$5:O75,O75)-1</f>
        <v>#VALUE!</v>
      </c>
      <c r="Z75" s="14" t="e">
        <f t="shared" si="29"/>
        <v>#VALUE!</v>
      </c>
      <c r="AA75" s="14" t="e">
        <f>RANK($P75,$P$5:$P$104,1)+COUNTIF(P$5:P75,P75)-1</f>
        <v>#VALUE!</v>
      </c>
      <c r="AB75" s="14" t="e">
        <f t="shared" si="30"/>
        <v>#VALUE!</v>
      </c>
      <c r="AC75" s="1" t="str">
        <f t="shared" si="31"/>
        <v xml:space="preserve"> </v>
      </c>
      <c r="AD75" s="1" t="str">
        <f t="shared" si="32"/>
        <v>-</v>
      </c>
      <c r="AE75" s="35" t="str">
        <f t="shared" si="18"/>
        <v>-</v>
      </c>
      <c r="AF75" s="35" t="str">
        <f t="shared" si="18"/>
        <v>-</v>
      </c>
      <c r="AG75" s="35" t="str">
        <f t="shared" si="18"/>
        <v>-</v>
      </c>
      <c r="AH75" s="35" t="str">
        <f t="shared" si="17"/>
        <v>-</v>
      </c>
      <c r="AI75" s="35" t="str">
        <f t="shared" si="17"/>
        <v>-</v>
      </c>
      <c r="AJ75" s="35" t="str">
        <f t="shared" si="17"/>
        <v>-</v>
      </c>
      <c r="AL75" s="4">
        <v>71</v>
      </c>
      <c r="AM75" s="2" t="e">
        <f>VLOOKUP(AL75,Q$5:$AJ$104,$AN$2,FALSE)</f>
        <v>#N/A</v>
      </c>
      <c r="AN75" s="6" t="e">
        <f>VLOOKUP(AL75,Q$5:$AJ$104,$AN$2+11,FALSE)</f>
        <v>#N/A</v>
      </c>
      <c r="AO75" s="2" t="e">
        <f t="shared" si="33"/>
        <v>#N/A</v>
      </c>
      <c r="AQ75" s="4">
        <v>71</v>
      </c>
      <c r="AR75" s="2" t="e">
        <f>VLOOKUP(AQ75,$S$5:$AJ$104,$AS$2,FALSE)</f>
        <v>#N/A</v>
      </c>
      <c r="AS75" s="6" t="e">
        <f>VLOOKUP(AQ75,$S$5:$AJ$104,$AS$2+9,FALSE)</f>
        <v>#N/A</v>
      </c>
      <c r="AT75" s="2" t="e">
        <f>VLOOKUP(AR75,$S$5:$AJ$104,$AS$2+12,FALSE)</f>
        <v>#N/A</v>
      </c>
      <c r="AU75" s="9"/>
      <c r="AV75" s="4">
        <v>71</v>
      </c>
      <c r="AW75" s="2" t="e">
        <f>VLOOKUP(AV75,$U$5:$AJ$104,$AX$2,FALSE)</f>
        <v>#N/A</v>
      </c>
      <c r="AX75" s="6" t="e">
        <f>VLOOKUP(AV75,$U$5:$AJ$104,$AX$2+7,FALSE)</f>
        <v>#N/A</v>
      </c>
      <c r="AY75" s="2" t="e">
        <f>VLOOKUP(AW75,$U$5:$AJ$104,$AX$2+11,FALSE)</f>
        <v>#N/A</v>
      </c>
      <c r="BA75" s="4">
        <v>71</v>
      </c>
      <c r="BB75" s="2" t="e">
        <f>VLOOKUP(BA75,$W$5:$AJ$104,$BC$2,FALSE)</f>
        <v>#N/A</v>
      </c>
      <c r="BC75" s="6" t="e">
        <f>VLOOKUP(BA75,$W$5:$AJ$104,$BC$2+5,FALSE)</f>
        <v>#N/A</v>
      </c>
      <c r="BD75" s="58" t="e">
        <f>VLOOKUP(BB75,$W$5:$AJ$104,$BC$2+10,FALSE)</f>
        <v>#N/A</v>
      </c>
      <c r="BE75" s="9"/>
      <c r="BF75" s="4">
        <v>71</v>
      </c>
      <c r="BG75" s="2" t="e">
        <f>VLOOKUP(BF75,$Y$5:$AJ$104,$BH$2,FALSE)</f>
        <v>#N/A</v>
      </c>
      <c r="BH75" s="6" t="e">
        <f>VLOOKUP(BF75,$Y$5:$AJ$104,$BH$2+3,FALSE)</f>
        <v>#N/A</v>
      </c>
      <c r="BI75" s="2" t="e">
        <f>VLOOKUP(BF75,$Y$5:$AJ$104,$BH$2+4,FALSE)</f>
        <v>#N/A</v>
      </c>
      <c r="BJ75" s="2" t="e">
        <f>VLOOKUP(BG75,$Y$5:$AJ$104,$BH$2+9,FALSE)</f>
        <v>#N/A</v>
      </c>
      <c r="BL75" s="4">
        <v>71</v>
      </c>
      <c r="BM75" s="2" t="e">
        <f>VLOOKUP(BL75,$AA$5:$AJ$104,$BN$2,FALSE)</f>
        <v>#N/A</v>
      </c>
      <c r="BN75" s="6" t="e">
        <f>VLOOKUP(BL75,$AA$5:$AJ$104,$BN$2+1,FALSE)</f>
        <v>#N/A</v>
      </c>
      <c r="BO75" s="2" t="e">
        <f>VLOOKUP(BM75,$AA$5:$AJ$104,$BN$2+8,FALSE)</f>
        <v>#N/A</v>
      </c>
      <c r="BQ75" s="2" t="e">
        <f>'Eclectic B'!CD75</f>
        <v>#N/A</v>
      </c>
      <c r="BR75" s="6" t="e">
        <f>'Eclectic B'!CE75</f>
        <v>#N/A</v>
      </c>
      <c r="BS75" s="103" t="e">
        <f>'Eclectic B'!CF75</f>
        <v>#N/A</v>
      </c>
    </row>
    <row r="76" spans="1:71">
      <c r="A76" s="10" t="str">
        <f>IF(ISBLANK(Players!F74),"",Players!F74)</f>
        <v/>
      </c>
      <c r="B76" s="10" t="str">
        <f>IF(ISBLANK(Players!G74),"",Players!G74)</f>
        <v/>
      </c>
      <c r="C76" s="10" t="str">
        <f>IF(ISBLANK(Players!I74),"",Players!I74)</f>
        <v/>
      </c>
      <c r="D76" s="69" t="str">
        <f>IF(ISNUMBER(C76),MIN((C76*Rules!$N$14/113)+(Rules!$N$13-Rules!$N$12),Rules!$N$37),"-")</f>
        <v>-</v>
      </c>
      <c r="E76" s="69" t="str">
        <f>IF(ISNUMBER(C76),    ROUND( (D76*Rules!$N$11) / 100,0),"-")</f>
        <v>-</v>
      </c>
      <c r="F76" s="36" t="str">
        <f>IF(AND(ISNUMBER(C76),C76&gt;=Rules!$M$17,C76&lt;=Rules!$N$17),"Y","N")</f>
        <v>N</v>
      </c>
      <c r="G76" s="137" t="str">
        <f>'Eclectic B'!M76</f>
        <v>-</v>
      </c>
      <c r="H76" s="137" t="str">
        <f>'Eclectic B'!W76</f>
        <v>-</v>
      </c>
      <c r="I76" s="137" t="str">
        <f>'Eclectic B'!AJ76</f>
        <v>-</v>
      </c>
      <c r="J76" s="137" t="str">
        <f>'Eclectic B'!AT76</f>
        <v>-</v>
      </c>
      <c r="K76" s="14" t="str">
        <f t="shared" si="19"/>
        <v>-</v>
      </c>
      <c r="L76" s="14" t="str">
        <f t="shared" si="20"/>
        <v>-</v>
      </c>
      <c r="M76" s="14" t="str">
        <f t="shared" si="21"/>
        <v>-</v>
      </c>
      <c r="N76" s="14" t="str">
        <f t="shared" si="22"/>
        <v>-</v>
      </c>
      <c r="O76" s="14" t="str">
        <f t="shared" si="23"/>
        <v>-</v>
      </c>
      <c r="P76" s="14" t="str">
        <f t="shared" si="24"/>
        <v>-</v>
      </c>
      <c r="Q76" s="14" t="e">
        <f>RANK($K76,$K$5:$K$104,1)+COUNTIF(K$5:K76,K76)-1</f>
        <v>#VALUE!</v>
      </c>
      <c r="R76" s="14" t="e">
        <f t="shared" si="25"/>
        <v>#VALUE!</v>
      </c>
      <c r="S76" s="14" t="e">
        <f>RANK($L76,$L$5:$L$104,1)+COUNTIF(L$5:L76,L76)-1</f>
        <v>#VALUE!</v>
      </c>
      <c r="T76" s="14" t="e">
        <f t="shared" si="26"/>
        <v>#VALUE!</v>
      </c>
      <c r="U76" s="14" t="e">
        <f>RANK($M76,$M$5:$M$104,1)+COUNTIF(M$5:M76,M76)-1</f>
        <v>#VALUE!</v>
      </c>
      <c r="V76" s="14" t="e">
        <f t="shared" si="27"/>
        <v>#VALUE!</v>
      </c>
      <c r="W76" s="14" t="e">
        <f>RANK($N76,$N$5:$N$104,1)+COUNTIF(N$5:N76,N76)-1</f>
        <v>#VALUE!</v>
      </c>
      <c r="X76" s="14" t="e">
        <f t="shared" si="28"/>
        <v>#VALUE!</v>
      </c>
      <c r="Y76" s="14" t="e">
        <f>RANK($O76,$O$5:$O$104,1)+COUNTIF(O$5:O76,O76)-1</f>
        <v>#VALUE!</v>
      </c>
      <c r="Z76" s="14" t="e">
        <f t="shared" si="29"/>
        <v>#VALUE!</v>
      </c>
      <c r="AA76" s="14" t="e">
        <f>RANK($P76,$P$5:$P$104,1)+COUNTIF(P$5:P76,P76)-1</f>
        <v>#VALUE!</v>
      </c>
      <c r="AB76" s="14" t="e">
        <f t="shared" si="30"/>
        <v>#VALUE!</v>
      </c>
      <c r="AC76" s="1" t="str">
        <f t="shared" si="31"/>
        <v xml:space="preserve"> </v>
      </c>
      <c r="AD76" s="1" t="str">
        <f t="shared" si="32"/>
        <v>-</v>
      </c>
      <c r="AE76" s="35" t="str">
        <f t="shared" si="18"/>
        <v>-</v>
      </c>
      <c r="AF76" s="35" t="str">
        <f t="shared" si="18"/>
        <v>-</v>
      </c>
      <c r="AG76" s="35" t="str">
        <f t="shared" si="18"/>
        <v>-</v>
      </c>
      <c r="AH76" s="35" t="str">
        <f t="shared" si="17"/>
        <v>-</v>
      </c>
      <c r="AI76" s="35" t="str">
        <f t="shared" si="17"/>
        <v>-</v>
      </c>
      <c r="AJ76" s="35" t="str">
        <f t="shared" si="17"/>
        <v>-</v>
      </c>
      <c r="AL76" s="4">
        <v>72</v>
      </c>
      <c r="AM76" s="2" t="e">
        <f>VLOOKUP(AL76,Q$5:$AJ$104,$AN$2,FALSE)</f>
        <v>#N/A</v>
      </c>
      <c r="AN76" s="6" t="e">
        <f>VLOOKUP(AL76,Q$5:$AJ$104,$AN$2+11,FALSE)</f>
        <v>#N/A</v>
      </c>
      <c r="AO76" s="2" t="e">
        <f t="shared" si="33"/>
        <v>#N/A</v>
      </c>
      <c r="AQ76" s="4">
        <v>72</v>
      </c>
      <c r="AR76" s="2" t="e">
        <f>VLOOKUP(AQ76,$S$5:$AJ$104,$AS$2,FALSE)</f>
        <v>#N/A</v>
      </c>
      <c r="AS76" s="6" t="e">
        <f>VLOOKUP(AQ76,$S$5:$AJ$104,$AS$2+9,FALSE)</f>
        <v>#N/A</v>
      </c>
      <c r="AT76" s="2" t="e">
        <f>VLOOKUP(AR76,$S$5:$AJ$104,$AS$2+12,FALSE)</f>
        <v>#N/A</v>
      </c>
      <c r="AU76" s="9"/>
      <c r="AV76" s="4">
        <v>72</v>
      </c>
      <c r="AW76" s="2" t="e">
        <f>VLOOKUP(AV76,$U$5:$AJ$104,$AX$2,FALSE)</f>
        <v>#N/A</v>
      </c>
      <c r="AX76" s="6" t="e">
        <f>VLOOKUP(AV76,$U$5:$AJ$104,$AX$2+7,FALSE)</f>
        <v>#N/A</v>
      </c>
      <c r="AY76" s="2" t="e">
        <f>VLOOKUP(AW76,$U$5:$AJ$104,$AX$2+11,FALSE)</f>
        <v>#N/A</v>
      </c>
      <c r="BA76" s="4">
        <v>72</v>
      </c>
      <c r="BB76" s="2" t="e">
        <f>VLOOKUP(BA76,$W$5:$AJ$104,$BC$2,FALSE)</f>
        <v>#N/A</v>
      </c>
      <c r="BC76" s="6" t="e">
        <f>VLOOKUP(BA76,$W$5:$AJ$104,$BC$2+5,FALSE)</f>
        <v>#N/A</v>
      </c>
      <c r="BD76" s="58" t="e">
        <f>VLOOKUP(BB76,$W$5:$AJ$104,$BC$2+10,FALSE)</f>
        <v>#N/A</v>
      </c>
      <c r="BE76" s="9"/>
      <c r="BF76" s="4">
        <v>72</v>
      </c>
      <c r="BG76" s="2" t="e">
        <f>VLOOKUP(BF76,$Y$5:$AJ$104,$BH$2,FALSE)</f>
        <v>#N/A</v>
      </c>
      <c r="BH76" s="6" t="e">
        <f>VLOOKUP(BF76,$Y$5:$AJ$104,$BH$2+3,FALSE)</f>
        <v>#N/A</v>
      </c>
      <c r="BI76" s="2" t="e">
        <f>VLOOKUP(BF76,$Y$5:$AJ$104,$BH$2+4,FALSE)</f>
        <v>#N/A</v>
      </c>
      <c r="BJ76" s="2" t="e">
        <f>VLOOKUP(BG76,$Y$5:$AJ$104,$BH$2+9,FALSE)</f>
        <v>#N/A</v>
      </c>
      <c r="BL76" s="4">
        <v>72</v>
      </c>
      <c r="BM76" s="2" t="e">
        <f>VLOOKUP(BL76,$AA$5:$AJ$104,$BN$2,FALSE)</f>
        <v>#N/A</v>
      </c>
      <c r="BN76" s="6" t="e">
        <f>VLOOKUP(BL76,$AA$5:$AJ$104,$BN$2+1,FALSE)</f>
        <v>#N/A</v>
      </c>
      <c r="BO76" s="2" t="e">
        <f>VLOOKUP(BM76,$AA$5:$AJ$104,$BN$2+8,FALSE)</f>
        <v>#N/A</v>
      </c>
      <c r="BQ76" s="2" t="e">
        <f>'Eclectic B'!CD76</f>
        <v>#N/A</v>
      </c>
      <c r="BR76" s="6" t="e">
        <f>'Eclectic B'!CE76</f>
        <v>#N/A</v>
      </c>
      <c r="BS76" s="103" t="e">
        <f>'Eclectic B'!CF76</f>
        <v>#N/A</v>
      </c>
    </row>
    <row r="77" spans="1:71">
      <c r="A77" s="10" t="str">
        <f>IF(ISBLANK(Players!F75),"",Players!F75)</f>
        <v/>
      </c>
      <c r="B77" s="10" t="str">
        <f>IF(ISBLANK(Players!G75),"",Players!G75)</f>
        <v/>
      </c>
      <c r="C77" s="10" t="str">
        <f>IF(ISBLANK(Players!I75),"",Players!I75)</f>
        <v/>
      </c>
      <c r="D77" s="69" t="str">
        <f>IF(ISNUMBER(C77),MIN((C77*Rules!$N$14/113)+(Rules!$N$13-Rules!$N$12),Rules!$N$37),"-")</f>
        <v>-</v>
      </c>
      <c r="E77" s="69" t="str">
        <f>IF(ISNUMBER(C77),    ROUND( (D77*Rules!$N$11) / 100,0),"-")</f>
        <v>-</v>
      </c>
      <c r="F77" s="36" t="str">
        <f>IF(AND(ISNUMBER(C77),C77&gt;=Rules!$M$17,C77&lt;=Rules!$N$17),"Y","N")</f>
        <v>N</v>
      </c>
      <c r="G77" s="137" t="str">
        <f>'Eclectic B'!M77</f>
        <v>-</v>
      </c>
      <c r="H77" s="137" t="str">
        <f>'Eclectic B'!W77</f>
        <v>-</v>
      </c>
      <c r="I77" s="137" t="str">
        <f>'Eclectic B'!AJ77</f>
        <v>-</v>
      </c>
      <c r="J77" s="137" t="str">
        <f>'Eclectic B'!AT77</f>
        <v>-</v>
      </c>
      <c r="K77" s="14" t="str">
        <f t="shared" si="19"/>
        <v>-</v>
      </c>
      <c r="L77" s="14" t="str">
        <f t="shared" si="20"/>
        <v>-</v>
      </c>
      <c r="M77" s="14" t="str">
        <f t="shared" si="21"/>
        <v>-</v>
      </c>
      <c r="N77" s="14" t="str">
        <f t="shared" si="22"/>
        <v>-</v>
      </c>
      <c r="O77" s="14" t="str">
        <f t="shared" si="23"/>
        <v>-</v>
      </c>
      <c r="P77" s="14" t="str">
        <f t="shared" si="24"/>
        <v>-</v>
      </c>
      <c r="Q77" s="14" t="e">
        <f>RANK($K77,$K$5:$K$104,1)+COUNTIF(K$5:K77,K77)-1</f>
        <v>#VALUE!</v>
      </c>
      <c r="R77" s="14" t="e">
        <f t="shared" si="25"/>
        <v>#VALUE!</v>
      </c>
      <c r="S77" s="14" t="e">
        <f>RANK($L77,$L$5:$L$104,1)+COUNTIF(L$5:L77,L77)-1</f>
        <v>#VALUE!</v>
      </c>
      <c r="T77" s="14" t="e">
        <f t="shared" si="26"/>
        <v>#VALUE!</v>
      </c>
      <c r="U77" s="14" t="e">
        <f>RANK($M77,$M$5:$M$104,1)+COUNTIF(M$5:M77,M77)-1</f>
        <v>#VALUE!</v>
      </c>
      <c r="V77" s="14" t="e">
        <f t="shared" si="27"/>
        <v>#VALUE!</v>
      </c>
      <c r="W77" s="14" t="e">
        <f>RANK($N77,$N$5:$N$104,1)+COUNTIF(N$5:N77,N77)-1</f>
        <v>#VALUE!</v>
      </c>
      <c r="X77" s="14" t="e">
        <f t="shared" si="28"/>
        <v>#VALUE!</v>
      </c>
      <c r="Y77" s="14" t="e">
        <f>RANK($O77,$O$5:$O$104,1)+COUNTIF(O$5:O77,O77)-1</f>
        <v>#VALUE!</v>
      </c>
      <c r="Z77" s="14" t="e">
        <f t="shared" si="29"/>
        <v>#VALUE!</v>
      </c>
      <c r="AA77" s="14" t="e">
        <f>RANK($P77,$P$5:$P$104,1)+COUNTIF(P$5:P77,P77)-1</f>
        <v>#VALUE!</v>
      </c>
      <c r="AB77" s="14" t="e">
        <f t="shared" si="30"/>
        <v>#VALUE!</v>
      </c>
      <c r="AC77" s="1" t="str">
        <f t="shared" si="31"/>
        <v xml:space="preserve"> </v>
      </c>
      <c r="AD77" s="1" t="str">
        <f t="shared" si="32"/>
        <v>-</v>
      </c>
      <c r="AE77" s="35" t="str">
        <f t="shared" si="18"/>
        <v>-</v>
      </c>
      <c r="AF77" s="35" t="str">
        <f t="shared" si="18"/>
        <v>-</v>
      </c>
      <c r="AG77" s="35" t="str">
        <f t="shared" si="18"/>
        <v>-</v>
      </c>
      <c r="AH77" s="35" t="str">
        <f t="shared" si="17"/>
        <v>-</v>
      </c>
      <c r="AI77" s="35" t="str">
        <f t="shared" si="17"/>
        <v>-</v>
      </c>
      <c r="AJ77" s="35" t="str">
        <f t="shared" si="17"/>
        <v>-</v>
      </c>
      <c r="AL77" s="4">
        <v>73</v>
      </c>
      <c r="AM77" s="2" t="e">
        <f>VLOOKUP(AL77,Q$5:$AJ$104,$AN$2,FALSE)</f>
        <v>#N/A</v>
      </c>
      <c r="AN77" s="6" t="e">
        <f>VLOOKUP(AL77,Q$5:$AJ$104,$AN$2+11,FALSE)</f>
        <v>#N/A</v>
      </c>
      <c r="AO77" s="2" t="e">
        <f t="shared" si="33"/>
        <v>#N/A</v>
      </c>
      <c r="AQ77" s="4">
        <v>73</v>
      </c>
      <c r="AR77" s="2" t="e">
        <f>VLOOKUP(AQ77,$S$5:$AJ$104,$AS$2,FALSE)</f>
        <v>#N/A</v>
      </c>
      <c r="AS77" s="6" t="e">
        <f>VLOOKUP(AQ77,$S$5:$AJ$104,$AS$2+9,FALSE)</f>
        <v>#N/A</v>
      </c>
      <c r="AT77" s="2" t="e">
        <f>VLOOKUP(AR77,$S$5:$AJ$104,$AS$2+12,FALSE)</f>
        <v>#N/A</v>
      </c>
      <c r="AU77" s="9"/>
      <c r="AV77" s="4">
        <v>73</v>
      </c>
      <c r="AW77" s="2" t="e">
        <f>VLOOKUP(AV77,$U$5:$AJ$104,$AX$2,FALSE)</f>
        <v>#N/A</v>
      </c>
      <c r="AX77" s="6" t="e">
        <f>VLOOKUP(AV77,$U$5:$AJ$104,$AX$2+7,FALSE)</f>
        <v>#N/A</v>
      </c>
      <c r="AY77" s="2" t="e">
        <f>VLOOKUP(AW77,$U$5:$AJ$104,$AX$2+11,FALSE)</f>
        <v>#N/A</v>
      </c>
      <c r="BA77" s="4">
        <v>73</v>
      </c>
      <c r="BB77" s="2" t="e">
        <f>VLOOKUP(BA77,$W$5:$AJ$104,$BC$2,FALSE)</f>
        <v>#N/A</v>
      </c>
      <c r="BC77" s="6" t="e">
        <f>VLOOKUP(BA77,$W$5:$AJ$104,$BC$2+5,FALSE)</f>
        <v>#N/A</v>
      </c>
      <c r="BD77" s="58" t="e">
        <f>VLOOKUP(BB77,$W$5:$AJ$104,$BC$2+10,FALSE)</f>
        <v>#N/A</v>
      </c>
      <c r="BE77" s="9"/>
      <c r="BF77" s="4">
        <v>73</v>
      </c>
      <c r="BG77" s="2" t="e">
        <f>VLOOKUP(BF77,$Y$5:$AJ$104,$BH$2,FALSE)</f>
        <v>#N/A</v>
      </c>
      <c r="BH77" s="6" t="e">
        <f>VLOOKUP(BF77,$Y$5:$AJ$104,$BH$2+3,FALSE)</f>
        <v>#N/A</v>
      </c>
      <c r="BI77" s="2" t="e">
        <f>VLOOKUP(BF77,$Y$5:$AJ$104,$BH$2+4,FALSE)</f>
        <v>#N/A</v>
      </c>
      <c r="BJ77" s="2" t="e">
        <f>VLOOKUP(BG77,$Y$5:$AJ$104,$BH$2+9,FALSE)</f>
        <v>#N/A</v>
      </c>
      <c r="BL77" s="4">
        <v>73</v>
      </c>
      <c r="BM77" s="2" t="e">
        <f>VLOOKUP(BL77,$AA$5:$AJ$104,$BN$2,FALSE)</f>
        <v>#N/A</v>
      </c>
      <c r="BN77" s="6" t="e">
        <f>VLOOKUP(BL77,$AA$5:$AJ$104,$BN$2+1,FALSE)</f>
        <v>#N/A</v>
      </c>
      <c r="BO77" s="2" t="e">
        <f>VLOOKUP(BM77,$AA$5:$AJ$104,$BN$2+8,FALSE)</f>
        <v>#N/A</v>
      </c>
      <c r="BQ77" s="2" t="e">
        <f>'Eclectic B'!CD77</f>
        <v>#N/A</v>
      </c>
      <c r="BR77" s="6" t="e">
        <f>'Eclectic B'!CE77</f>
        <v>#N/A</v>
      </c>
      <c r="BS77" s="103" t="e">
        <f>'Eclectic B'!CF77</f>
        <v>#N/A</v>
      </c>
    </row>
    <row r="78" spans="1:71">
      <c r="A78" s="10" t="str">
        <f>IF(ISBLANK(Players!F76),"",Players!F76)</f>
        <v/>
      </c>
      <c r="B78" s="10" t="str">
        <f>IF(ISBLANK(Players!G76),"",Players!G76)</f>
        <v/>
      </c>
      <c r="C78" s="10" t="str">
        <f>IF(ISBLANK(Players!I76),"",Players!I76)</f>
        <v/>
      </c>
      <c r="D78" s="69" t="str">
        <f>IF(ISNUMBER(C78),MIN((C78*Rules!$N$14/113)+(Rules!$N$13-Rules!$N$12),Rules!$N$37),"-")</f>
        <v>-</v>
      </c>
      <c r="E78" s="69" t="str">
        <f>IF(ISNUMBER(C78),    ROUND( (D78*Rules!$N$11) / 100,0),"-")</f>
        <v>-</v>
      </c>
      <c r="F78" s="36" t="str">
        <f>IF(AND(ISNUMBER(C78),C78&gt;=Rules!$M$17,C78&lt;=Rules!$N$17),"Y","N")</f>
        <v>N</v>
      </c>
      <c r="G78" s="137" t="str">
        <f>'Eclectic B'!M78</f>
        <v>-</v>
      </c>
      <c r="H78" s="137" t="str">
        <f>'Eclectic B'!W78</f>
        <v>-</v>
      </c>
      <c r="I78" s="137" t="str">
        <f>'Eclectic B'!AJ78</f>
        <v>-</v>
      </c>
      <c r="J78" s="137" t="str">
        <f>'Eclectic B'!AT78</f>
        <v>-</v>
      </c>
      <c r="K78" s="14" t="str">
        <f t="shared" si="19"/>
        <v>-</v>
      </c>
      <c r="L78" s="14" t="str">
        <f t="shared" si="20"/>
        <v>-</v>
      </c>
      <c r="M78" s="14" t="str">
        <f t="shared" si="21"/>
        <v>-</v>
      </c>
      <c r="N78" s="14" t="str">
        <f t="shared" si="22"/>
        <v>-</v>
      </c>
      <c r="O78" s="14" t="str">
        <f t="shared" si="23"/>
        <v>-</v>
      </c>
      <c r="P78" s="14" t="str">
        <f t="shared" si="24"/>
        <v>-</v>
      </c>
      <c r="Q78" s="14" t="e">
        <f>RANK($K78,$K$5:$K$104,1)+COUNTIF(K$5:K78,K78)-1</f>
        <v>#VALUE!</v>
      </c>
      <c r="R78" s="14" t="e">
        <f t="shared" si="25"/>
        <v>#VALUE!</v>
      </c>
      <c r="S78" s="14" t="e">
        <f>RANK($L78,$L$5:$L$104,1)+COUNTIF(L$5:L78,L78)-1</f>
        <v>#VALUE!</v>
      </c>
      <c r="T78" s="14" t="e">
        <f t="shared" si="26"/>
        <v>#VALUE!</v>
      </c>
      <c r="U78" s="14" t="e">
        <f>RANK($M78,$M$5:$M$104,1)+COUNTIF(M$5:M78,M78)-1</f>
        <v>#VALUE!</v>
      </c>
      <c r="V78" s="14" t="e">
        <f t="shared" si="27"/>
        <v>#VALUE!</v>
      </c>
      <c r="W78" s="14" t="e">
        <f>RANK($N78,$N$5:$N$104,1)+COUNTIF(N$5:N78,N78)-1</f>
        <v>#VALUE!</v>
      </c>
      <c r="X78" s="14" t="e">
        <f t="shared" si="28"/>
        <v>#VALUE!</v>
      </c>
      <c r="Y78" s="14" t="e">
        <f>RANK($O78,$O$5:$O$104,1)+COUNTIF(O$5:O78,O78)-1</f>
        <v>#VALUE!</v>
      </c>
      <c r="Z78" s="14" t="e">
        <f t="shared" si="29"/>
        <v>#VALUE!</v>
      </c>
      <c r="AA78" s="14" t="e">
        <f>RANK($P78,$P$5:$P$104,1)+COUNTIF(P$5:P78,P78)-1</f>
        <v>#VALUE!</v>
      </c>
      <c r="AB78" s="14" t="e">
        <f t="shared" si="30"/>
        <v>#VALUE!</v>
      </c>
      <c r="AC78" s="1" t="str">
        <f t="shared" si="31"/>
        <v xml:space="preserve"> </v>
      </c>
      <c r="AD78" s="1" t="str">
        <f t="shared" si="32"/>
        <v>-</v>
      </c>
      <c r="AE78" s="35" t="str">
        <f t="shared" si="18"/>
        <v>-</v>
      </c>
      <c r="AF78" s="35" t="str">
        <f t="shared" si="18"/>
        <v>-</v>
      </c>
      <c r="AG78" s="35" t="str">
        <f t="shared" si="18"/>
        <v>-</v>
      </c>
      <c r="AH78" s="35" t="str">
        <f t="shared" si="17"/>
        <v>-</v>
      </c>
      <c r="AI78" s="35" t="str">
        <f t="shared" si="17"/>
        <v>-</v>
      </c>
      <c r="AJ78" s="35" t="str">
        <f t="shared" si="17"/>
        <v>-</v>
      </c>
      <c r="AL78" s="4">
        <v>74</v>
      </c>
      <c r="AM78" s="2" t="e">
        <f>VLOOKUP(AL78,Q$5:$AJ$104,$AN$2,FALSE)</f>
        <v>#N/A</v>
      </c>
      <c r="AN78" s="6" t="e">
        <f>VLOOKUP(AL78,Q$5:$AJ$104,$AN$2+11,FALSE)</f>
        <v>#N/A</v>
      </c>
      <c r="AO78" s="2" t="e">
        <f t="shared" si="33"/>
        <v>#N/A</v>
      </c>
      <c r="AQ78" s="4">
        <v>74</v>
      </c>
      <c r="AR78" s="2" t="e">
        <f>VLOOKUP(AQ78,$S$5:$AJ$104,$AS$2,FALSE)</f>
        <v>#N/A</v>
      </c>
      <c r="AS78" s="6" t="e">
        <f>VLOOKUP(AQ78,$S$5:$AJ$104,$AS$2+9,FALSE)</f>
        <v>#N/A</v>
      </c>
      <c r="AT78" s="2" t="e">
        <f>VLOOKUP(AR78,$S$5:$AJ$104,$AS$2+12,FALSE)</f>
        <v>#N/A</v>
      </c>
      <c r="AU78" s="9"/>
      <c r="AV78" s="4">
        <v>74</v>
      </c>
      <c r="AW78" s="2" t="e">
        <f>VLOOKUP(AV78,$U$5:$AJ$104,$AX$2,FALSE)</f>
        <v>#N/A</v>
      </c>
      <c r="AX78" s="6" t="e">
        <f>VLOOKUP(AV78,$U$5:$AJ$104,$AX$2+7,FALSE)</f>
        <v>#N/A</v>
      </c>
      <c r="AY78" s="2" t="e">
        <f>VLOOKUP(AW78,$U$5:$AJ$104,$AX$2+11,FALSE)</f>
        <v>#N/A</v>
      </c>
      <c r="BA78" s="4">
        <v>74</v>
      </c>
      <c r="BB78" s="2" t="e">
        <f>VLOOKUP(BA78,$W$5:$AJ$104,$BC$2,FALSE)</f>
        <v>#N/A</v>
      </c>
      <c r="BC78" s="6" t="e">
        <f>VLOOKUP(BA78,$W$5:$AJ$104,$BC$2+5,FALSE)</f>
        <v>#N/A</v>
      </c>
      <c r="BD78" s="58" t="e">
        <f>VLOOKUP(BB78,$W$5:$AJ$104,$BC$2+10,FALSE)</f>
        <v>#N/A</v>
      </c>
      <c r="BE78" s="9"/>
      <c r="BF78" s="4">
        <v>74</v>
      </c>
      <c r="BG78" s="2" t="e">
        <f>VLOOKUP(BF78,$Y$5:$AJ$104,$BH$2,FALSE)</f>
        <v>#N/A</v>
      </c>
      <c r="BH78" s="6" t="e">
        <f>VLOOKUP(BF78,$Y$5:$AJ$104,$BH$2+3,FALSE)</f>
        <v>#N/A</v>
      </c>
      <c r="BI78" s="2" t="e">
        <f>VLOOKUP(BF78,$Y$5:$AJ$104,$BH$2+4,FALSE)</f>
        <v>#N/A</v>
      </c>
      <c r="BJ78" s="2" t="e">
        <f>VLOOKUP(BG78,$Y$5:$AJ$104,$BH$2+9,FALSE)</f>
        <v>#N/A</v>
      </c>
      <c r="BL78" s="4">
        <v>74</v>
      </c>
      <c r="BM78" s="2" t="e">
        <f>VLOOKUP(BL78,$AA$5:$AJ$104,$BN$2,FALSE)</f>
        <v>#N/A</v>
      </c>
      <c r="BN78" s="6" t="e">
        <f>VLOOKUP(BL78,$AA$5:$AJ$104,$BN$2+1,FALSE)</f>
        <v>#N/A</v>
      </c>
      <c r="BO78" s="2" t="e">
        <f>VLOOKUP(BM78,$AA$5:$AJ$104,$BN$2+8,FALSE)</f>
        <v>#N/A</v>
      </c>
      <c r="BQ78" s="2" t="e">
        <f>'Eclectic B'!CD78</f>
        <v>#N/A</v>
      </c>
      <c r="BR78" s="6" t="e">
        <f>'Eclectic B'!CE78</f>
        <v>#N/A</v>
      </c>
      <c r="BS78" s="103" t="e">
        <f>'Eclectic B'!CF78</f>
        <v>#N/A</v>
      </c>
    </row>
    <row r="79" spans="1:71">
      <c r="A79" s="10" t="str">
        <f>IF(ISBLANK(Players!F77),"",Players!F77)</f>
        <v/>
      </c>
      <c r="B79" s="10" t="str">
        <f>IF(ISBLANK(Players!G77),"",Players!G77)</f>
        <v/>
      </c>
      <c r="C79" s="10" t="str">
        <f>IF(ISBLANK(Players!I77),"",Players!I77)</f>
        <v/>
      </c>
      <c r="D79" s="69" t="str">
        <f>IF(ISNUMBER(C79),MIN((C79*Rules!$N$14/113)+(Rules!$N$13-Rules!$N$12),Rules!$N$37),"-")</f>
        <v>-</v>
      </c>
      <c r="E79" s="69" t="str">
        <f>IF(ISNUMBER(C79),    ROUND( (D79*Rules!$N$11) / 100,0),"-")</f>
        <v>-</v>
      </c>
      <c r="F79" s="36" t="str">
        <f>IF(AND(ISNUMBER(C79),C79&gt;=Rules!$M$17,C79&lt;=Rules!$N$17),"Y","N")</f>
        <v>N</v>
      </c>
      <c r="G79" s="137" t="str">
        <f>'Eclectic B'!M79</f>
        <v>-</v>
      </c>
      <c r="H79" s="137" t="str">
        <f>'Eclectic B'!W79</f>
        <v>-</v>
      </c>
      <c r="I79" s="137" t="str">
        <f>'Eclectic B'!AJ79</f>
        <v>-</v>
      </c>
      <c r="J79" s="137" t="str">
        <f>'Eclectic B'!AT79</f>
        <v>-</v>
      </c>
      <c r="K79" s="14" t="str">
        <f t="shared" si="19"/>
        <v>-</v>
      </c>
      <c r="L79" s="14" t="str">
        <f t="shared" si="20"/>
        <v>-</v>
      </c>
      <c r="M79" s="14" t="str">
        <f t="shared" si="21"/>
        <v>-</v>
      </c>
      <c r="N79" s="14" t="str">
        <f t="shared" si="22"/>
        <v>-</v>
      </c>
      <c r="O79" s="14" t="str">
        <f t="shared" si="23"/>
        <v>-</v>
      </c>
      <c r="P79" s="14" t="str">
        <f t="shared" si="24"/>
        <v>-</v>
      </c>
      <c r="Q79" s="14" t="e">
        <f>RANK($K79,$K$5:$K$104,1)+COUNTIF(K$5:K79,K79)-1</f>
        <v>#VALUE!</v>
      </c>
      <c r="R79" s="14" t="e">
        <f t="shared" si="25"/>
        <v>#VALUE!</v>
      </c>
      <c r="S79" s="14" t="e">
        <f>RANK($L79,$L$5:$L$104,1)+COUNTIF(L$5:L79,L79)-1</f>
        <v>#VALUE!</v>
      </c>
      <c r="T79" s="14" t="e">
        <f t="shared" si="26"/>
        <v>#VALUE!</v>
      </c>
      <c r="U79" s="14" t="e">
        <f>RANK($M79,$M$5:$M$104,1)+COUNTIF(M$5:M79,M79)-1</f>
        <v>#VALUE!</v>
      </c>
      <c r="V79" s="14" t="e">
        <f t="shared" si="27"/>
        <v>#VALUE!</v>
      </c>
      <c r="W79" s="14" t="e">
        <f>RANK($N79,$N$5:$N$104,1)+COUNTIF(N$5:N79,N79)-1</f>
        <v>#VALUE!</v>
      </c>
      <c r="X79" s="14" t="e">
        <f t="shared" si="28"/>
        <v>#VALUE!</v>
      </c>
      <c r="Y79" s="14" t="e">
        <f>RANK($O79,$O$5:$O$104,1)+COUNTIF(O$5:O79,O79)-1</f>
        <v>#VALUE!</v>
      </c>
      <c r="Z79" s="14" t="e">
        <f t="shared" si="29"/>
        <v>#VALUE!</v>
      </c>
      <c r="AA79" s="14" t="e">
        <f>RANK($P79,$P$5:$P$104,1)+COUNTIF(P$5:P79,P79)-1</f>
        <v>#VALUE!</v>
      </c>
      <c r="AB79" s="14" t="e">
        <f t="shared" si="30"/>
        <v>#VALUE!</v>
      </c>
      <c r="AC79" s="1" t="str">
        <f t="shared" si="31"/>
        <v xml:space="preserve"> </v>
      </c>
      <c r="AD79" s="1" t="str">
        <f t="shared" si="32"/>
        <v>-</v>
      </c>
      <c r="AE79" s="35" t="str">
        <f t="shared" si="18"/>
        <v>-</v>
      </c>
      <c r="AF79" s="35" t="str">
        <f t="shared" si="18"/>
        <v>-</v>
      </c>
      <c r="AG79" s="35" t="str">
        <f t="shared" si="18"/>
        <v>-</v>
      </c>
      <c r="AH79" s="35" t="str">
        <f t="shared" si="17"/>
        <v>-</v>
      </c>
      <c r="AI79" s="35" t="str">
        <f t="shared" si="17"/>
        <v>-</v>
      </c>
      <c r="AJ79" s="35" t="str">
        <f t="shared" si="17"/>
        <v>-</v>
      </c>
      <c r="AL79" s="4">
        <v>75</v>
      </c>
      <c r="AM79" s="2" t="e">
        <f>VLOOKUP(AL79,Q$5:$AJ$104,$AN$2,FALSE)</f>
        <v>#N/A</v>
      </c>
      <c r="AN79" s="6" t="e">
        <f>VLOOKUP(AL79,Q$5:$AJ$104,$AN$2+11,FALSE)</f>
        <v>#N/A</v>
      </c>
      <c r="AO79" s="2" t="e">
        <f t="shared" si="33"/>
        <v>#N/A</v>
      </c>
      <c r="AQ79" s="4">
        <v>75</v>
      </c>
      <c r="AR79" s="2" t="e">
        <f>VLOOKUP(AQ79,$S$5:$AJ$104,$AS$2,FALSE)</f>
        <v>#N/A</v>
      </c>
      <c r="AS79" s="6" t="e">
        <f>VLOOKUP(AQ79,$S$5:$AJ$104,$AS$2+9,FALSE)</f>
        <v>#N/A</v>
      </c>
      <c r="AT79" s="2" t="e">
        <f>VLOOKUP(AR79,$S$5:$AJ$104,$AS$2+12,FALSE)</f>
        <v>#N/A</v>
      </c>
      <c r="AU79" s="9"/>
      <c r="AV79" s="4">
        <v>75</v>
      </c>
      <c r="AW79" s="2" t="e">
        <f>VLOOKUP(AV79,$U$5:$AJ$104,$AX$2,FALSE)</f>
        <v>#N/A</v>
      </c>
      <c r="AX79" s="6" t="e">
        <f>VLOOKUP(AV79,$U$5:$AJ$104,$AX$2+7,FALSE)</f>
        <v>#N/A</v>
      </c>
      <c r="AY79" s="2" t="e">
        <f>VLOOKUP(AW79,$U$5:$AJ$104,$AX$2+11,FALSE)</f>
        <v>#N/A</v>
      </c>
      <c r="BA79" s="4">
        <v>75</v>
      </c>
      <c r="BB79" s="2" t="e">
        <f>VLOOKUP(BA79,$W$5:$AJ$104,$BC$2,FALSE)</f>
        <v>#N/A</v>
      </c>
      <c r="BC79" s="6" t="e">
        <f>VLOOKUP(BA79,$W$5:$AJ$104,$BC$2+5,FALSE)</f>
        <v>#N/A</v>
      </c>
      <c r="BD79" s="58" t="e">
        <f>VLOOKUP(BB79,$W$5:$AJ$104,$BC$2+10,FALSE)</f>
        <v>#N/A</v>
      </c>
      <c r="BE79" s="9"/>
      <c r="BF79" s="4">
        <v>75</v>
      </c>
      <c r="BG79" s="2" t="e">
        <f>VLOOKUP(BF79,$Y$5:$AJ$104,$BH$2,FALSE)</f>
        <v>#N/A</v>
      </c>
      <c r="BH79" s="6" t="e">
        <f>VLOOKUP(BF79,$Y$5:$AJ$104,$BH$2+3,FALSE)</f>
        <v>#N/A</v>
      </c>
      <c r="BI79" s="2" t="e">
        <f>VLOOKUP(BF79,$Y$5:$AJ$104,$BH$2+4,FALSE)</f>
        <v>#N/A</v>
      </c>
      <c r="BJ79" s="2" t="e">
        <f>VLOOKUP(BG79,$Y$5:$AJ$104,$BH$2+9,FALSE)</f>
        <v>#N/A</v>
      </c>
      <c r="BL79" s="4">
        <v>75</v>
      </c>
      <c r="BM79" s="2" t="e">
        <f>VLOOKUP(BL79,$AA$5:$AJ$104,$BN$2,FALSE)</f>
        <v>#N/A</v>
      </c>
      <c r="BN79" s="6" t="e">
        <f>VLOOKUP(BL79,$AA$5:$AJ$104,$BN$2+1,FALSE)</f>
        <v>#N/A</v>
      </c>
      <c r="BO79" s="2" t="e">
        <f>VLOOKUP(BM79,$AA$5:$AJ$104,$BN$2+8,FALSE)</f>
        <v>#N/A</v>
      </c>
      <c r="BQ79" s="2" t="e">
        <f>'Eclectic B'!CD79</f>
        <v>#N/A</v>
      </c>
      <c r="BR79" s="6" t="e">
        <f>'Eclectic B'!CE79</f>
        <v>#N/A</v>
      </c>
      <c r="BS79" s="103" t="e">
        <f>'Eclectic B'!CF79</f>
        <v>#N/A</v>
      </c>
    </row>
    <row r="80" spans="1:71">
      <c r="A80" s="10" t="str">
        <f>IF(ISBLANK(Players!F78),"",Players!F78)</f>
        <v/>
      </c>
      <c r="B80" s="10" t="str">
        <f>IF(ISBLANK(Players!G78),"",Players!G78)</f>
        <v/>
      </c>
      <c r="C80" s="10" t="str">
        <f>IF(ISBLANK(Players!I78),"",Players!I78)</f>
        <v/>
      </c>
      <c r="D80" s="69" t="str">
        <f>IF(ISNUMBER(C80),MIN((C80*Rules!$N$14/113)+(Rules!$N$13-Rules!$N$12),Rules!$N$37),"-")</f>
        <v>-</v>
      </c>
      <c r="E80" s="69" t="str">
        <f>IF(ISNUMBER(C80),    ROUND( (D80*Rules!$N$11) / 100,0),"-")</f>
        <v>-</v>
      </c>
      <c r="F80" s="36" t="str">
        <f>IF(AND(ISNUMBER(C80),C80&gt;=Rules!$M$17,C80&lt;=Rules!$N$17),"Y","N")</f>
        <v>N</v>
      </c>
      <c r="G80" s="137" t="str">
        <f>'Eclectic B'!M80</f>
        <v>-</v>
      </c>
      <c r="H80" s="137" t="str">
        <f>'Eclectic B'!W80</f>
        <v>-</v>
      </c>
      <c r="I80" s="137" t="str">
        <f>'Eclectic B'!AJ80</f>
        <v>-</v>
      </c>
      <c r="J80" s="137" t="str">
        <f>'Eclectic B'!AT80</f>
        <v>-</v>
      </c>
      <c r="K80" s="14" t="str">
        <f t="shared" si="19"/>
        <v>-</v>
      </c>
      <c r="L80" s="14" t="str">
        <f t="shared" si="20"/>
        <v>-</v>
      </c>
      <c r="M80" s="14" t="str">
        <f t="shared" si="21"/>
        <v>-</v>
      </c>
      <c r="N80" s="14" t="str">
        <f t="shared" si="22"/>
        <v>-</v>
      </c>
      <c r="O80" s="14" t="str">
        <f t="shared" si="23"/>
        <v>-</v>
      </c>
      <c r="P80" s="14" t="str">
        <f t="shared" si="24"/>
        <v>-</v>
      </c>
      <c r="Q80" s="14" t="e">
        <f>RANK($K80,$K$5:$K$104,1)+COUNTIF(K$5:K80,K80)-1</f>
        <v>#VALUE!</v>
      </c>
      <c r="R80" s="14" t="e">
        <f t="shared" si="25"/>
        <v>#VALUE!</v>
      </c>
      <c r="S80" s="14" t="e">
        <f>RANK($L80,$L$5:$L$104,1)+COUNTIF(L$5:L80,L80)-1</f>
        <v>#VALUE!</v>
      </c>
      <c r="T80" s="14" t="e">
        <f t="shared" si="26"/>
        <v>#VALUE!</v>
      </c>
      <c r="U80" s="14" t="e">
        <f>RANK($M80,$M$5:$M$104,1)+COUNTIF(M$5:M80,M80)-1</f>
        <v>#VALUE!</v>
      </c>
      <c r="V80" s="14" t="e">
        <f t="shared" si="27"/>
        <v>#VALUE!</v>
      </c>
      <c r="W80" s="14" t="e">
        <f>RANK($N80,$N$5:$N$104,1)+COUNTIF(N$5:N80,N80)-1</f>
        <v>#VALUE!</v>
      </c>
      <c r="X80" s="14" t="e">
        <f t="shared" si="28"/>
        <v>#VALUE!</v>
      </c>
      <c r="Y80" s="14" t="e">
        <f>RANK($O80,$O$5:$O$104,1)+COUNTIF(O$5:O80,O80)-1</f>
        <v>#VALUE!</v>
      </c>
      <c r="Z80" s="14" t="e">
        <f t="shared" si="29"/>
        <v>#VALUE!</v>
      </c>
      <c r="AA80" s="14" t="e">
        <f>RANK($P80,$P$5:$P$104,1)+COUNTIF(P$5:P80,P80)-1</f>
        <v>#VALUE!</v>
      </c>
      <c r="AB80" s="14" t="e">
        <f t="shared" si="30"/>
        <v>#VALUE!</v>
      </c>
      <c r="AC80" s="1" t="str">
        <f t="shared" si="31"/>
        <v xml:space="preserve"> </v>
      </c>
      <c r="AD80" s="1" t="str">
        <f t="shared" si="32"/>
        <v>-</v>
      </c>
      <c r="AE80" s="35" t="str">
        <f t="shared" si="18"/>
        <v>-</v>
      </c>
      <c r="AF80" s="35" t="str">
        <f t="shared" si="18"/>
        <v>-</v>
      </c>
      <c r="AG80" s="35" t="str">
        <f t="shared" si="18"/>
        <v>-</v>
      </c>
      <c r="AH80" s="35" t="str">
        <f t="shared" si="17"/>
        <v>-</v>
      </c>
      <c r="AI80" s="35" t="str">
        <f t="shared" si="17"/>
        <v>-</v>
      </c>
      <c r="AJ80" s="35" t="str">
        <f t="shared" si="17"/>
        <v>-</v>
      </c>
      <c r="AL80" s="4">
        <v>76</v>
      </c>
      <c r="AM80" s="2" t="e">
        <f>VLOOKUP(AL80,Q$5:$AJ$104,$AN$2,FALSE)</f>
        <v>#N/A</v>
      </c>
      <c r="AN80" s="6" t="e">
        <f>VLOOKUP(AL80,Q$5:$AJ$104,$AN$2+11,FALSE)</f>
        <v>#N/A</v>
      </c>
      <c r="AO80" s="2" t="e">
        <f t="shared" si="33"/>
        <v>#N/A</v>
      </c>
      <c r="AQ80" s="4">
        <v>76</v>
      </c>
      <c r="AR80" s="2" t="e">
        <f>VLOOKUP(AQ80,$S$5:$AJ$104,$AS$2,FALSE)</f>
        <v>#N/A</v>
      </c>
      <c r="AS80" s="6" t="e">
        <f>VLOOKUP(AQ80,$S$5:$AJ$104,$AS$2+9,FALSE)</f>
        <v>#N/A</v>
      </c>
      <c r="AT80" s="2" t="e">
        <f>VLOOKUP(AR80,$S$5:$AJ$104,$AS$2+12,FALSE)</f>
        <v>#N/A</v>
      </c>
      <c r="AU80" s="9"/>
      <c r="AV80" s="4">
        <v>76</v>
      </c>
      <c r="AW80" s="2" t="e">
        <f>VLOOKUP(AV80,$U$5:$AJ$104,$AX$2,FALSE)</f>
        <v>#N/A</v>
      </c>
      <c r="AX80" s="6" t="e">
        <f>VLOOKUP(AV80,$U$5:$AJ$104,$AX$2+7,FALSE)</f>
        <v>#N/A</v>
      </c>
      <c r="AY80" s="2" t="e">
        <f>VLOOKUP(AW80,$U$5:$AJ$104,$AX$2+11,FALSE)</f>
        <v>#N/A</v>
      </c>
      <c r="BA80" s="4">
        <v>76</v>
      </c>
      <c r="BB80" s="2" t="e">
        <f>VLOOKUP(BA80,$W$5:$AJ$104,$BC$2,FALSE)</f>
        <v>#N/A</v>
      </c>
      <c r="BC80" s="6" t="e">
        <f>VLOOKUP(BA80,$W$5:$AJ$104,$BC$2+5,FALSE)</f>
        <v>#N/A</v>
      </c>
      <c r="BD80" s="58" t="e">
        <f>VLOOKUP(BB80,$W$5:$AJ$104,$BC$2+10,FALSE)</f>
        <v>#N/A</v>
      </c>
      <c r="BE80" s="9"/>
      <c r="BF80" s="4">
        <v>76</v>
      </c>
      <c r="BG80" s="2" t="e">
        <f>VLOOKUP(BF80,$Y$5:$AJ$104,$BH$2,FALSE)</f>
        <v>#N/A</v>
      </c>
      <c r="BH80" s="6" t="e">
        <f>VLOOKUP(BF80,$Y$5:$AJ$104,$BH$2+3,FALSE)</f>
        <v>#N/A</v>
      </c>
      <c r="BI80" s="2" t="e">
        <f>VLOOKUP(BF80,$Y$5:$AJ$104,$BH$2+4,FALSE)</f>
        <v>#N/A</v>
      </c>
      <c r="BJ80" s="2" t="e">
        <f>VLOOKUP(BG80,$Y$5:$AJ$104,$BH$2+9,FALSE)</f>
        <v>#N/A</v>
      </c>
      <c r="BL80" s="4">
        <v>76</v>
      </c>
      <c r="BM80" s="2" t="e">
        <f>VLOOKUP(BL80,$AA$5:$AJ$104,$BN$2,FALSE)</f>
        <v>#N/A</v>
      </c>
      <c r="BN80" s="6" t="e">
        <f>VLOOKUP(BL80,$AA$5:$AJ$104,$BN$2+1,FALSE)</f>
        <v>#N/A</v>
      </c>
      <c r="BO80" s="2" t="e">
        <f>VLOOKUP(BM80,$AA$5:$AJ$104,$BN$2+8,FALSE)</f>
        <v>#N/A</v>
      </c>
      <c r="BQ80" s="2" t="e">
        <f>'Eclectic B'!CD80</f>
        <v>#N/A</v>
      </c>
      <c r="BR80" s="6" t="e">
        <f>'Eclectic B'!CE80</f>
        <v>#N/A</v>
      </c>
      <c r="BS80" s="103" t="e">
        <f>'Eclectic B'!CF80</f>
        <v>#N/A</v>
      </c>
    </row>
    <row r="81" spans="1:71">
      <c r="A81" s="10" t="str">
        <f>IF(ISBLANK(Players!F79),"",Players!F79)</f>
        <v/>
      </c>
      <c r="B81" s="10" t="str">
        <f>IF(ISBLANK(Players!G79),"",Players!G79)</f>
        <v/>
      </c>
      <c r="C81" s="10" t="str">
        <f>IF(ISBLANK(Players!I79),"",Players!I79)</f>
        <v/>
      </c>
      <c r="D81" s="69" t="str">
        <f>IF(ISNUMBER(C81),MIN((C81*Rules!$N$14/113)+(Rules!$N$13-Rules!$N$12),Rules!$N$37),"-")</f>
        <v>-</v>
      </c>
      <c r="E81" s="69" t="str">
        <f>IF(ISNUMBER(C81),    ROUND( (D81*Rules!$N$11) / 100,0),"-")</f>
        <v>-</v>
      </c>
      <c r="F81" s="36" t="str">
        <f>IF(AND(ISNUMBER(C81),C81&gt;=Rules!$M$17,C81&lt;=Rules!$N$17),"Y","N")</f>
        <v>N</v>
      </c>
      <c r="G81" s="137" t="str">
        <f>'Eclectic B'!M81</f>
        <v>-</v>
      </c>
      <c r="H81" s="137" t="str">
        <f>'Eclectic B'!W81</f>
        <v>-</v>
      </c>
      <c r="I81" s="137" t="str">
        <f>'Eclectic B'!AJ81</f>
        <v>-</v>
      </c>
      <c r="J81" s="137" t="str">
        <f>'Eclectic B'!AT81</f>
        <v>-</v>
      </c>
      <c r="K81" s="14" t="str">
        <f t="shared" si="19"/>
        <v>-</v>
      </c>
      <c r="L81" s="14" t="str">
        <f t="shared" si="20"/>
        <v>-</v>
      </c>
      <c r="M81" s="14" t="str">
        <f t="shared" si="21"/>
        <v>-</v>
      </c>
      <c r="N81" s="14" t="str">
        <f t="shared" si="22"/>
        <v>-</v>
      </c>
      <c r="O81" s="14" t="str">
        <f t="shared" si="23"/>
        <v>-</v>
      </c>
      <c r="P81" s="14" t="str">
        <f t="shared" si="24"/>
        <v>-</v>
      </c>
      <c r="Q81" s="14" t="e">
        <f>RANK($K81,$K$5:$K$104,1)+COUNTIF(K$5:K81,K81)-1</f>
        <v>#VALUE!</v>
      </c>
      <c r="R81" s="14" t="e">
        <f t="shared" si="25"/>
        <v>#VALUE!</v>
      </c>
      <c r="S81" s="14" t="e">
        <f>RANK($L81,$L$5:$L$104,1)+COUNTIF(L$5:L81,L81)-1</f>
        <v>#VALUE!</v>
      </c>
      <c r="T81" s="14" t="e">
        <f t="shared" si="26"/>
        <v>#VALUE!</v>
      </c>
      <c r="U81" s="14" t="e">
        <f>RANK($M81,$M$5:$M$104,1)+COUNTIF(M$5:M81,M81)-1</f>
        <v>#VALUE!</v>
      </c>
      <c r="V81" s="14" t="e">
        <f t="shared" si="27"/>
        <v>#VALUE!</v>
      </c>
      <c r="W81" s="14" t="e">
        <f>RANK($N81,$N$5:$N$104,1)+COUNTIF(N$5:N81,N81)-1</f>
        <v>#VALUE!</v>
      </c>
      <c r="X81" s="14" t="e">
        <f t="shared" si="28"/>
        <v>#VALUE!</v>
      </c>
      <c r="Y81" s="14" t="e">
        <f>RANK($O81,$O$5:$O$104,1)+COUNTIF(O$5:O81,O81)-1</f>
        <v>#VALUE!</v>
      </c>
      <c r="Z81" s="14" t="e">
        <f t="shared" si="29"/>
        <v>#VALUE!</v>
      </c>
      <c r="AA81" s="14" t="e">
        <f>RANK($P81,$P$5:$P$104,1)+COUNTIF(P$5:P81,P81)-1</f>
        <v>#VALUE!</v>
      </c>
      <c r="AB81" s="14" t="e">
        <f t="shared" si="30"/>
        <v>#VALUE!</v>
      </c>
      <c r="AC81" s="1" t="str">
        <f t="shared" si="31"/>
        <v xml:space="preserve"> </v>
      </c>
      <c r="AD81" s="1" t="str">
        <f t="shared" si="32"/>
        <v>-</v>
      </c>
      <c r="AE81" s="35" t="str">
        <f t="shared" si="18"/>
        <v>-</v>
      </c>
      <c r="AF81" s="35" t="str">
        <f t="shared" si="18"/>
        <v>-</v>
      </c>
      <c r="AG81" s="35" t="str">
        <f t="shared" si="18"/>
        <v>-</v>
      </c>
      <c r="AH81" s="35" t="str">
        <f t="shared" si="17"/>
        <v>-</v>
      </c>
      <c r="AI81" s="35" t="str">
        <f t="shared" si="17"/>
        <v>-</v>
      </c>
      <c r="AJ81" s="35" t="str">
        <f t="shared" si="17"/>
        <v>-</v>
      </c>
      <c r="AL81" s="4">
        <v>77</v>
      </c>
      <c r="AM81" s="2" t="e">
        <f>VLOOKUP(AL81,Q$5:$AJ$104,$AN$2,FALSE)</f>
        <v>#N/A</v>
      </c>
      <c r="AN81" s="6" t="e">
        <f>VLOOKUP(AL81,Q$5:$AJ$104,$AN$2+11,FALSE)</f>
        <v>#N/A</v>
      </c>
      <c r="AO81" s="2" t="e">
        <f t="shared" si="33"/>
        <v>#N/A</v>
      </c>
      <c r="AQ81" s="4">
        <v>77</v>
      </c>
      <c r="AR81" s="2" t="e">
        <f>VLOOKUP(AQ81,$S$5:$AJ$104,$AS$2,FALSE)</f>
        <v>#N/A</v>
      </c>
      <c r="AS81" s="6" t="e">
        <f>VLOOKUP(AQ81,$S$5:$AJ$104,$AS$2+9,FALSE)</f>
        <v>#N/A</v>
      </c>
      <c r="AT81" s="2" t="e">
        <f>VLOOKUP(AR81,$S$5:$AJ$104,$AS$2+12,FALSE)</f>
        <v>#N/A</v>
      </c>
      <c r="AU81" s="9"/>
      <c r="AV81" s="4">
        <v>77</v>
      </c>
      <c r="AW81" s="2" t="e">
        <f>VLOOKUP(AV81,$U$5:$AJ$104,$AX$2,FALSE)</f>
        <v>#N/A</v>
      </c>
      <c r="AX81" s="6" t="e">
        <f>VLOOKUP(AV81,$U$5:$AJ$104,$AX$2+7,FALSE)</f>
        <v>#N/A</v>
      </c>
      <c r="AY81" s="2" t="e">
        <f>VLOOKUP(AW81,$U$5:$AJ$104,$AX$2+11,FALSE)</f>
        <v>#N/A</v>
      </c>
      <c r="BA81" s="4">
        <v>77</v>
      </c>
      <c r="BB81" s="2" t="e">
        <f>VLOOKUP(BA81,$W$5:$AJ$104,$BC$2,FALSE)</f>
        <v>#N/A</v>
      </c>
      <c r="BC81" s="6" t="e">
        <f>VLOOKUP(BA81,$W$5:$AJ$104,$BC$2+5,FALSE)</f>
        <v>#N/A</v>
      </c>
      <c r="BD81" s="58" t="e">
        <f>VLOOKUP(BB81,$W$5:$AJ$104,$BC$2+10,FALSE)</f>
        <v>#N/A</v>
      </c>
      <c r="BE81" s="9"/>
      <c r="BF81" s="4">
        <v>77</v>
      </c>
      <c r="BG81" s="2" t="e">
        <f>VLOOKUP(BF81,$Y$5:$AJ$104,$BH$2,FALSE)</f>
        <v>#N/A</v>
      </c>
      <c r="BH81" s="6" t="e">
        <f>VLOOKUP(BF81,$Y$5:$AJ$104,$BH$2+3,FALSE)</f>
        <v>#N/A</v>
      </c>
      <c r="BI81" s="2" t="e">
        <f>VLOOKUP(BF81,$Y$5:$AJ$104,$BH$2+4,FALSE)</f>
        <v>#N/A</v>
      </c>
      <c r="BJ81" s="2" t="e">
        <f>VLOOKUP(BG81,$Y$5:$AJ$104,$BH$2+9,FALSE)</f>
        <v>#N/A</v>
      </c>
      <c r="BL81" s="4">
        <v>77</v>
      </c>
      <c r="BM81" s="2" t="e">
        <f>VLOOKUP(BL81,$AA$5:$AJ$104,$BN$2,FALSE)</f>
        <v>#N/A</v>
      </c>
      <c r="BN81" s="6" t="e">
        <f>VLOOKUP(BL81,$AA$5:$AJ$104,$BN$2+1,FALSE)</f>
        <v>#N/A</v>
      </c>
      <c r="BO81" s="2" t="e">
        <f>VLOOKUP(BM81,$AA$5:$AJ$104,$BN$2+8,FALSE)</f>
        <v>#N/A</v>
      </c>
      <c r="BQ81" s="2" t="e">
        <f>'Eclectic B'!CD81</f>
        <v>#N/A</v>
      </c>
      <c r="BR81" s="6" t="e">
        <f>'Eclectic B'!CE81</f>
        <v>#N/A</v>
      </c>
      <c r="BS81" s="103" t="e">
        <f>'Eclectic B'!CF81</f>
        <v>#N/A</v>
      </c>
    </row>
    <row r="82" spans="1:71">
      <c r="A82" s="10" t="str">
        <f>IF(ISBLANK(Players!F80),"",Players!F80)</f>
        <v/>
      </c>
      <c r="B82" s="10" t="str">
        <f>IF(ISBLANK(Players!G80),"",Players!G80)</f>
        <v/>
      </c>
      <c r="C82" s="10" t="str">
        <f>IF(ISBLANK(Players!I80),"",Players!I80)</f>
        <v/>
      </c>
      <c r="D82" s="69" t="str">
        <f>IF(ISNUMBER(C82),MIN((C82*Rules!$N$14/113)+(Rules!$N$13-Rules!$N$12),Rules!$N$37),"-")</f>
        <v>-</v>
      </c>
      <c r="E82" s="69" t="str">
        <f>IF(ISNUMBER(C82),    ROUND( (D82*Rules!$N$11) / 100,0),"-")</f>
        <v>-</v>
      </c>
      <c r="F82" s="36" t="str">
        <f>IF(AND(ISNUMBER(C82),C82&gt;=Rules!$M$17,C82&lt;=Rules!$N$17),"Y","N")</f>
        <v>N</v>
      </c>
      <c r="G82" s="137" t="str">
        <f>'Eclectic B'!M82</f>
        <v>-</v>
      </c>
      <c r="H82" s="137" t="str">
        <f>'Eclectic B'!W82</f>
        <v>-</v>
      </c>
      <c r="I82" s="137" t="str">
        <f>'Eclectic B'!AJ82</f>
        <v>-</v>
      </c>
      <c r="J82" s="137" t="str">
        <f>'Eclectic B'!AT82</f>
        <v>-</v>
      </c>
      <c r="K82" s="14" t="str">
        <f t="shared" si="19"/>
        <v>-</v>
      </c>
      <c r="L82" s="14" t="str">
        <f t="shared" si="20"/>
        <v>-</v>
      </c>
      <c r="M82" s="14" t="str">
        <f t="shared" si="21"/>
        <v>-</v>
      </c>
      <c r="N82" s="14" t="str">
        <f t="shared" si="22"/>
        <v>-</v>
      </c>
      <c r="O82" s="14" t="str">
        <f t="shared" si="23"/>
        <v>-</v>
      </c>
      <c r="P82" s="14" t="str">
        <f t="shared" si="24"/>
        <v>-</v>
      </c>
      <c r="Q82" s="14" t="e">
        <f>RANK($K82,$K$5:$K$104,1)+COUNTIF(K$5:K82,K82)-1</f>
        <v>#VALUE!</v>
      </c>
      <c r="R82" s="14" t="e">
        <f t="shared" si="25"/>
        <v>#VALUE!</v>
      </c>
      <c r="S82" s="14" t="e">
        <f>RANK($L82,$L$5:$L$104,1)+COUNTIF(L$5:L82,L82)-1</f>
        <v>#VALUE!</v>
      </c>
      <c r="T82" s="14" t="e">
        <f t="shared" si="26"/>
        <v>#VALUE!</v>
      </c>
      <c r="U82" s="14" t="e">
        <f>RANK($M82,$M$5:$M$104,1)+COUNTIF(M$5:M82,M82)-1</f>
        <v>#VALUE!</v>
      </c>
      <c r="V82" s="14" t="e">
        <f t="shared" si="27"/>
        <v>#VALUE!</v>
      </c>
      <c r="W82" s="14" t="e">
        <f>RANK($N82,$N$5:$N$104,1)+COUNTIF(N$5:N82,N82)-1</f>
        <v>#VALUE!</v>
      </c>
      <c r="X82" s="14" t="e">
        <f t="shared" si="28"/>
        <v>#VALUE!</v>
      </c>
      <c r="Y82" s="14" t="e">
        <f>RANK($O82,$O$5:$O$104,1)+COUNTIF(O$5:O82,O82)-1</f>
        <v>#VALUE!</v>
      </c>
      <c r="Z82" s="14" t="e">
        <f t="shared" si="29"/>
        <v>#VALUE!</v>
      </c>
      <c r="AA82" s="14" t="e">
        <f>RANK($P82,$P$5:$P$104,1)+COUNTIF(P$5:P82,P82)-1</f>
        <v>#VALUE!</v>
      </c>
      <c r="AB82" s="14" t="e">
        <f t="shared" si="30"/>
        <v>#VALUE!</v>
      </c>
      <c r="AC82" s="1" t="str">
        <f t="shared" si="31"/>
        <v xml:space="preserve"> </v>
      </c>
      <c r="AD82" s="1" t="str">
        <f t="shared" si="32"/>
        <v>-</v>
      </c>
      <c r="AE82" s="35" t="str">
        <f t="shared" si="18"/>
        <v>-</v>
      </c>
      <c r="AF82" s="35" t="str">
        <f t="shared" si="18"/>
        <v>-</v>
      </c>
      <c r="AG82" s="35" t="str">
        <f t="shared" si="18"/>
        <v>-</v>
      </c>
      <c r="AH82" s="35" t="str">
        <f t="shared" si="17"/>
        <v>-</v>
      </c>
      <c r="AI82" s="35" t="str">
        <f t="shared" si="17"/>
        <v>-</v>
      </c>
      <c r="AJ82" s="35" t="str">
        <f t="shared" si="17"/>
        <v>-</v>
      </c>
      <c r="AL82" s="4">
        <v>78</v>
      </c>
      <c r="AM82" s="2" t="e">
        <f>VLOOKUP(AL82,Q$5:$AJ$104,$AN$2,FALSE)</f>
        <v>#N/A</v>
      </c>
      <c r="AN82" s="6" t="e">
        <f>VLOOKUP(AL82,Q$5:$AJ$104,$AN$2+11,FALSE)</f>
        <v>#N/A</v>
      </c>
      <c r="AO82" s="2" t="e">
        <f t="shared" si="33"/>
        <v>#N/A</v>
      </c>
      <c r="AQ82" s="4">
        <v>78</v>
      </c>
      <c r="AR82" s="2" t="e">
        <f>VLOOKUP(AQ82,$S$5:$AJ$104,$AS$2,FALSE)</f>
        <v>#N/A</v>
      </c>
      <c r="AS82" s="6" t="e">
        <f>VLOOKUP(AQ82,$S$5:$AJ$104,$AS$2+9,FALSE)</f>
        <v>#N/A</v>
      </c>
      <c r="AT82" s="2" t="e">
        <f>VLOOKUP(AR82,$S$5:$AJ$104,$AS$2+12,FALSE)</f>
        <v>#N/A</v>
      </c>
      <c r="AU82" s="9"/>
      <c r="AV82" s="4">
        <v>78</v>
      </c>
      <c r="AW82" s="2" t="e">
        <f>VLOOKUP(AV82,$U$5:$AJ$104,$AX$2,FALSE)</f>
        <v>#N/A</v>
      </c>
      <c r="AX82" s="6" t="e">
        <f>VLOOKUP(AV82,$U$5:$AJ$104,$AX$2+7,FALSE)</f>
        <v>#N/A</v>
      </c>
      <c r="AY82" s="2" t="e">
        <f>VLOOKUP(AW82,$U$5:$AJ$104,$AX$2+11,FALSE)</f>
        <v>#N/A</v>
      </c>
      <c r="BA82" s="4">
        <v>78</v>
      </c>
      <c r="BB82" s="2" t="e">
        <f>VLOOKUP(BA82,$W$5:$AJ$104,$BC$2,FALSE)</f>
        <v>#N/A</v>
      </c>
      <c r="BC82" s="6" t="e">
        <f>VLOOKUP(BA82,$W$5:$AJ$104,$BC$2+5,FALSE)</f>
        <v>#N/A</v>
      </c>
      <c r="BD82" s="58" t="e">
        <f>VLOOKUP(BB82,$W$5:$AJ$104,$BC$2+10,FALSE)</f>
        <v>#N/A</v>
      </c>
      <c r="BE82" s="9"/>
      <c r="BF82" s="4">
        <v>78</v>
      </c>
      <c r="BG82" s="2" t="e">
        <f>VLOOKUP(BF82,$Y$5:$AJ$104,$BH$2,FALSE)</f>
        <v>#N/A</v>
      </c>
      <c r="BH82" s="6" t="e">
        <f>VLOOKUP(BF82,$Y$5:$AJ$104,$BH$2+3,FALSE)</f>
        <v>#N/A</v>
      </c>
      <c r="BI82" s="2" t="e">
        <f>VLOOKUP(BF82,$Y$5:$AJ$104,$BH$2+4,FALSE)</f>
        <v>#N/A</v>
      </c>
      <c r="BJ82" s="2" t="e">
        <f>VLOOKUP(BG82,$Y$5:$AJ$104,$BH$2+9,FALSE)</f>
        <v>#N/A</v>
      </c>
      <c r="BL82" s="4">
        <v>78</v>
      </c>
      <c r="BM82" s="2" t="e">
        <f>VLOOKUP(BL82,$AA$5:$AJ$104,$BN$2,FALSE)</f>
        <v>#N/A</v>
      </c>
      <c r="BN82" s="6" t="e">
        <f>VLOOKUP(BL82,$AA$5:$AJ$104,$BN$2+1,FALSE)</f>
        <v>#N/A</v>
      </c>
      <c r="BO82" s="2" t="e">
        <f>VLOOKUP(BM82,$AA$5:$AJ$104,$BN$2+8,FALSE)</f>
        <v>#N/A</v>
      </c>
      <c r="BQ82" s="2" t="e">
        <f>'Eclectic B'!CD82</f>
        <v>#N/A</v>
      </c>
      <c r="BR82" s="6" t="e">
        <f>'Eclectic B'!CE82</f>
        <v>#N/A</v>
      </c>
      <c r="BS82" s="103" t="e">
        <f>'Eclectic B'!CF82</f>
        <v>#N/A</v>
      </c>
    </row>
    <row r="83" spans="1:71">
      <c r="A83" s="10" t="str">
        <f>IF(ISBLANK(Players!F81),"",Players!F81)</f>
        <v/>
      </c>
      <c r="B83" s="10" t="str">
        <f>IF(ISBLANK(Players!G81),"",Players!G81)</f>
        <v/>
      </c>
      <c r="C83" s="10" t="str">
        <f>IF(ISBLANK(Players!I81),"",Players!I81)</f>
        <v/>
      </c>
      <c r="D83" s="69" t="str">
        <f>IF(ISNUMBER(C83),MIN((C83*Rules!$N$14/113)+(Rules!$N$13-Rules!$N$12),Rules!$N$37),"-")</f>
        <v>-</v>
      </c>
      <c r="E83" s="69" t="str">
        <f>IF(ISNUMBER(C83),    ROUND( (D83*Rules!$N$11) / 100,0),"-")</f>
        <v>-</v>
      </c>
      <c r="F83" s="36" t="str">
        <f>IF(AND(ISNUMBER(C83),C83&gt;=Rules!$M$17,C83&lt;=Rules!$N$17),"Y","N")</f>
        <v>N</v>
      </c>
      <c r="G83" s="137" t="str">
        <f>'Eclectic B'!M83</f>
        <v>-</v>
      </c>
      <c r="H83" s="137" t="str">
        <f>'Eclectic B'!W83</f>
        <v>-</v>
      </c>
      <c r="I83" s="137" t="str">
        <f>'Eclectic B'!AJ83</f>
        <v>-</v>
      </c>
      <c r="J83" s="137" t="str">
        <f>'Eclectic B'!AT83</f>
        <v>-</v>
      </c>
      <c r="K83" s="14" t="str">
        <f t="shared" si="19"/>
        <v>-</v>
      </c>
      <c r="L83" s="14" t="str">
        <f t="shared" si="20"/>
        <v>-</v>
      </c>
      <c r="M83" s="14" t="str">
        <f t="shared" si="21"/>
        <v>-</v>
      </c>
      <c r="N83" s="14" t="str">
        <f t="shared" si="22"/>
        <v>-</v>
      </c>
      <c r="O83" s="14" t="str">
        <f t="shared" si="23"/>
        <v>-</v>
      </c>
      <c r="P83" s="14" t="str">
        <f t="shared" si="24"/>
        <v>-</v>
      </c>
      <c r="Q83" s="14" t="e">
        <f>RANK($K83,$K$5:$K$104,1)+COUNTIF(K$5:K83,K83)-1</f>
        <v>#VALUE!</v>
      </c>
      <c r="R83" s="14" t="e">
        <f t="shared" si="25"/>
        <v>#VALUE!</v>
      </c>
      <c r="S83" s="14" t="e">
        <f>RANK($L83,$L$5:$L$104,1)+COUNTIF(L$5:L83,L83)-1</f>
        <v>#VALUE!</v>
      </c>
      <c r="T83" s="14" t="e">
        <f t="shared" si="26"/>
        <v>#VALUE!</v>
      </c>
      <c r="U83" s="14" t="e">
        <f>RANK($M83,$M$5:$M$104,1)+COUNTIF(M$5:M83,M83)-1</f>
        <v>#VALUE!</v>
      </c>
      <c r="V83" s="14" t="e">
        <f t="shared" si="27"/>
        <v>#VALUE!</v>
      </c>
      <c r="W83" s="14" t="e">
        <f>RANK($N83,$N$5:$N$104,1)+COUNTIF(N$5:N83,N83)-1</f>
        <v>#VALUE!</v>
      </c>
      <c r="X83" s="14" t="e">
        <f t="shared" si="28"/>
        <v>#VALUE!</v>
      </c>
      <c r="Y83" s="14" t="e">
        <f>RANK($O83,$O$5:$O$104,1)+COUNTIF(O$5:O83,O83)-1</f>
        <v>#VALUE!</v>
      </c>
      <c r="Z83" s="14" t="e">
        <f t="shared" si="29"/>
        <v>#VALUE!</v>
      </c>
      <c r="AA83" s="14" t="e">
        <f>RANK($P83,$P$5:$P$104,1)+COUNTIF(P$5:P83,P83)-1</f>
        <v>#VALUE!</v>
      </c>
      <c r="AB83" s="14" t="e">
        <f t="shared" si="30"/>
        <v>#VALUE!</v>
      </c>
      <c r="AC83" s="1" t="str">
        <f t="shared" si="31"/>
        <v xml:space="preserve"> </v>
      </c>
      <c r="AD83" s="1" t="str">
        <f t="shared" si="32"/>
        <v>-</v>
      </c>
      <c r="AE83" s="35" t="str">
        <f t="shared" si="18"/>
        <v>-</v>
      </c>
      <c r="AF83" s="35" t="str">
        <f t="shared" si="18"/>
        <v>-</v>
      </c>
      <c r="AG83" s="35" t="str">
        <f t="shared" si="18"/>
        <v>-</v>
      </c>
      <c r="AH83" s="35" t="str">
        <f t="shared" si="17"/>
        <v>-</v>
      </c>
      <c r="AI83" s="35" t="str">
        <f t="shared" si="17"/>
        <v>-</v>
      </c>
      <c r="AJ83" s="35" t="str">
        <f t="shared" si="17"/>
        <v>-</v>
      </c>
      <c r="AL83" s="4">
        <v>79</v>
      </c>
      <c r="AM83" s="2" t="e">
        <f>VLOOKUP(AL83,Q$5:$AJ$104,$AN$2,FALSE)</f>
        <v>#N/A</v>
      </c>
      <c r="AN83" s="6" t="e">
        <f>VLOOKUP(AL83,Q$5:$AJ$104,$AN$2+11,FALSE)</f>
        <v>#N/A</v>
      </c>
      <c r="AO83" s="2" t="e">
        <f t="shared" si="33"/>
        <v>#N/A</v>
      </c>
      <c r="AQ83" s="4">
        <v>79</v>
      </c>
      <c r="AR83" s="2" t="e">
        <f>VLOOKUP(AQ83,$S$5:$AJ$104,$AS$2,FALSE)</f>
        <v>#N/A</v>
      </c>
      <c r="AS83" s="6" t="e">
        <f>VLOOKUP(AQ83,$S$5:$AJ$104,$AS$2+9,FALSE)</f>
        <v>#N/A</v>
      </c>
      <c r="AT83" s="2" t="e">
        <f>VLOOKUP(AR83,$S$5:$AJ$104,$AS$2+12,FALSE)</f>
        <v>#N/A</v>
      </c>
      <c r="AU83" s="9"/>
      <c r="AV83" s="4">
        <v>79</v>
      </c>
      <c r="AW83" s="2" t="e">
        <f>VLOOKUP(AV83,$U$5:$AJ$104,$AX$2,FALSE)</f>
        <v>#N/A</v>
      </c>
      <c r="AX83" s="6" t="e">
        <f>VLOOKUP(AV83,$U$5:$AJ$104,$AX$2+7,FALSE)</f>
        <v>#N/A</v>
      </c>
      <c r="AY83" s="2" t="e">
        <f>VLOOKUP(AW83,$U$5:$AJ$104,$AX$2+11,FALSE)</f>
        <v>#N/A</v>
      </c>
      <c r="BA83" s="4">
        <v>79</v>
      </c>
      <c r="BB83" s="2" t="e">
        <f>VLOOKUP(BA83,$W$5:$AJ$104,$BC$2,FALSE)</f>
        <v>#N/A</v>
      </c>
      <c r="BC83" s="6" t="e">
        <f>VLOOKUP(BA83,$W$5:$AJ$104,$BC$2+5,FALSE)</f>
        <v>#N/A</v>
      </c>
      <c r="BD83" s="58" t="e">
        <f>VLOOKUP(BB83,$W$5:$AJ$104,$BC$2+10,FALSE)</f>
        <v>#N/A</v>
      </c>
      <c r="BE83" s="9"/>
      <c r="BF83" s="4">
        <v>79</v>
      </c>
      <c r="BG83" s="2" t="e">
        <f>VLOOKUP(BF83,$Y$5:$AJ$104,$BH$2,FALSE)</f>
        <v>#N/A</v>
      </c>
      <c r="BH83" s="6" t="e">
        <f>VLOOKUP(BF83,$Y$5:$AJ$104,$BH$2+3,FALSE)</f>
        <v>#N/A</v>
      </c>
      <c r="BI83" s="2" t="e">
        <f>VLOOKUP(BF83,$Y$5:$AJ$104,$BH$2+4,FALSE)</f>
        <v>#N/A</v>
      </c>
      <c r="BJ83" s="2" t="e">
        <f>VLOOKUP(BG83,$Y$5:$AJ$104,$BH$2+9,FALSE)</f>
        <v>#N/A</v>
      </c>
      <c r="BL83" s="4">
        <v>79</v>
      </c>
      <c r="BM83" s="2" t="e">
        <f>VLOOKUP(BL83,$AA$5:$AJ$104,$BN$2,FALSE)</f>
        <v>#N/A</v>
      </c>
      <c r="BN83" s="6" t="e">
        <f>VLOOKUP(BL83,$AA$5:$AJ$104,$BN$2+1,FALSE)</f>
        <v>#N/A</v>
      </c>
      <c r="BO83" s="2" t="e">
        <f>VLOOKUP(BM83,$AA$5:$AJ$104,$BN$2+8,FALSE)</f>
        <v>#N/A</v>
      </c>
      <c r="BQ83" s="2" t="e">
        <f>'Eclectic B'!CD83</f>
        <v>#N/A</v>
      </c>
      <c r="BR83" s="6" t="e">
        <f>'Eclectic B'!CE83</f>
        <v>#N/A</v>
      </c>
      <c r="BS83" s="103" t="e">
        <f>'Eclectic B'!CF83</f>
        <v>#N/A</v>
      </c>
    </row>
    <row r="84" spans="1:71">
      <c r="A84" s="10" t="str">
        <f>IF(ISBLANK(Players!F82),"",Players!F82)</f>
        <v/>
      </c>
      <c r="B84" s="10" t="str">
        <f>IF(ISBLANK(Players!G82),"",Players!G82)</f>
        <v/>
      </c>
      <c r="C84" s="10" t="str">
        <f>IF(ISBLANK(Players!I82),"",Players!I82)</f>
        <v/>
      </c>
      <c r="D84" s="69" t="str">
        <f>IF(ISNUMBER(C84),MIN((C84*Rules!$N$14/113)+(Rules!$N$13-Rules!$N$12),Rules!$N$37),"-")</f>
        <v>-</v>
      </c>
      <c r="E84" s="69" t="str">
        <f>IF(ISNUMBER(C84),    ROUND( (D84*Rules!$N$11) / 100,0),"-")</f>
        <v>-</v>
      </c>
      <c r="F84" s="36" t="str">
        <f>IF(AND(ISNUMBER(C84),C84&gt;=Rules!$M$17,C84&lt;=Rules!$N$17),"Y","N")</f>
        <v>N</v>
      </c>
      <c r="G84" s="137" t="str">
        <f>'Eclectic B'!M84</f>
        <v>-</v>
      </c>
      <c r="H84" s="137" t="str">
        <f>'Eclectic B'!W84</f>
        <v>-</v>
      </c>
      <c r="I84" s="137" t="str">
        <f>'Eclectic B'!AJ84</f>
        <v>-</v>
      </c>
      <c r="J84" s="137" t="str">
        <f>'Eclectic B'!AT84</f>
        <v>-</v>
      </c>
      <c r="K84" s="14" t="str">
        <f t="shared" si="19"/>
        <v>-</v>
      </c>
      <c r="L84" s="14" t="str">
        <f t="shared" si="20"/>
        <v>-</v>
      </c>
      <c r="M84" s="14" t="str">
        <f t="shared" si="21"/>
        <v>-</v>
      </c>
      <c r="N84" s="14" t="str">
        <f t="shared" si="22"/>
        <v>-</v>
      </c>
      <c r="O84" s="14" t="str">
        <f t="shared" si="23"/>
        <v>-</v>
      </c>
      <c r="P84" s="14" t="str">
        <f t="shared" si="24"/>
        <v>-</v>
      </c>
      <c r="Q84" s="14" t="e">
        <f>RANK($K84,$K$5:$K$104,1)+COUNTIF(K$5:K84,K84)-1</f>
        <v>#VALUE!</v>
      </c>
      <c r="R84" s="14" t="e">
        <f t="shared" si="25"/>
        <v>#VALUE!</v>
      </c>
      <c r="S84" s="14" t="e">
        <f>RANK($L84,$L$5:$L$104,1)+COUNTIF(L$5:L84,L84)-1</f>
        <v>#VALUE!</v>
      </c>
      <c r="T84" s="14" t="e">
        <f t="shared" si="26"/>
        <v>#VALUE!</v>
      </c>
      <c r="U84" s="14" t="e">
        <f>RANK($M84,$M$5:$M$104,1)+COUNTIF(M$5:M84,M84)-1</f>
        <v>#VALUE!</v>
      </c>
      <c r="V84" s="14" t="e">
        <f t="shared" si="27"/>
        <v>#VALUE!</v>
      </c>
      <c r="W84" s="14" t="e">
        <f>RANK($N84,$N$5:$N$104,1)+COUNTIF(N$5:N84,N84)-1</f>
        <v>#VALUE!</v>
      </c>
      <c r="X84" s="14" t="e">
        <f t="shared" si="28"/>
        <v>#VALUE!</v>
      </c>
      <c r="Y84" s="14" t="e">
        <f>RANK($O84,$O$5:$O$104,1)+COUNTIF(O$5:O84,O84)-1</f>
        <v>#VALUE!</v>
      </c>
      <c r="Z84" s="14" t="e">
        <f t="shared" si="29"/>
        <v>#VALUE!</v>
      </c>
      <c r="AA84" s="14" t="e">
        <f>RANK($P84,$P$5:$P$104,1)+COUNTIF(P$5:P84,P84)-1</f>
        <v>#VALUE!</v>
      </c>
      <c r="AB84" s="14" t="e">
        <f t="shared" si="30"/>
        <v>#VALUE!</v>
      </c>
      <c r="AC84" s="1" t="str">
        <f t="shared" si="31"/>
        <v xml:space="preserve"> </v>
      </c>
      <c r="AD84" s="1" t="str">
        <f t="shared" si="32"/>
        <v>-</v>
      </c>
      <c r="AE84" s="35" t="str">
        <f t="shared" si="18"/>
        <v>-</v>
      </c>
      <c r="AF84" s="35" t="str">
        <f t="shared" si="18"/>
        <v>-</v>
      </c>
      <c r="AG84" s="35" t="str">
        <f t="shared" si="18"/>
        <v>-</v>
      </c>
      <c r="AH84" s="35" t="str">
        <f t="shared" si="17"/>
        <v>-</v>
      </c>
      <c r="AI84" s="35" t="str">
        <f t="shared" si="17"/>
        <v>-</v>
      </c>
      <c r="AJ84" s="35" t="str">
        <f t="shared" si="17"/>
        <v>-</v>
      </c>
      <c r="AL84" s="4">
        <v>80</v>
      </c>
      <c r="AM84" s="2" t="e">
        <f>VLOOKUP(AL84,Q$5:$AJ$104,$AN$2,FALSE)</f>
        <v>#N/A</v>
      </c>
      <c r="AN84" s="6" t="e">
        <f>VLOOKUP(AL84,Q$5:$AJ$104,$AN$2+11,FALSE)</f>
        <v>#N/A</v>
      </c>
      <c r="AO84" s="2" t="e">
        <f t="shared" si="33"/>
        <v>#N/A</v>
      </c>
      <c r="AQ84" s="4">
        <v>80</v>
      </c>
      <c r="AR84" s="2" t="e">
        <f>VLOOKUP(AQ84,$S$5:$AJ$104,$AS$2,FALSE)</f>
        <v>#N/A</v>
      </c>
      <c r="AS84" s="6" t="e">
        <f>VLOOKUP(AQ84,$S$5:$AJ$104,$AS$2+9,FALSE)</f>
        <v>#N/A</v>
      </c>
      <c r="AT84" s="2" t="e">
        <f>VLOOKUP(AR84,$S$5:$AJ$104,$AS$2+12,FALSE)</f>
        <v>#N/A</v>
      </c>
      <c r="AU84" s="9"/>
      <c r="AV84" s="4">
        <v>80</v>
      </c>
      <c r="AW84" s="2" t="e">
        <f>VLOOKUP(AV84,$U$5:$AJ$104,$AX$2,FALSE)</f>
        <v>#N/A</v>
      </c>
      <c r="AX84" s="6" t="e">
        <f>VLOOKUP(AV84,$U$5:$AJ$104,$AX$2+7,FALSE)</f>
        <v>#N/A</v>
      </c>
      <c r="AY84" s="2" t="e">
        <f>VLOOKUP(AW84,$U$5:$AJ$104,$AX$2+11,FALSE)</f>
        <v>#N/A</v>
      </c>
      <c r="BA84" s="4">
        <v>80</v>
      </c>
      <c r="BB84" s="2" t="e">
        <f>VLOOKUP(BA84,$W$5:$AJ$104,$BC$2,FALSE)</f>
        <v>#N/A</v>
      </c>
      <c r="BC84" s="6" t="e">
        <f>VLOOKUP(BA84,$W$5:$AJ$104,$BC$2+5,FALSE)</f>
        <v>#N/A</v>
      </c>
      <c r="BD84" s="58" t="e">
        <f>VLOOKUP(BB84,$W$5:$AJ$104,$BC$2+10,FALSE)</f>
        <v>#N/A</v>
      </c>
      <c r="BE84" s="9"/>
      <c r="BF84" s="4">
        <v>80</v>
      </c>
      <c r="BG84" s="2" t="e">
        <f>VLOOKUP(BF84,$Y$5:$AJ$104,$BH$2,FALSE)</f>
        <v>#N/A</v>
      </c>
      <c r="BH84" s="6" t="e">
        <f>VLOOKUP(BF84,$Y$5:$AJ$104,$BH$2+3,FALSE)</f>
        <v>#N/A</v>
      </c>
      <c r="BI84" s="2" t="e">
        <f>VLOOKUP(BF84,$Y$5:$AJ$104,$BH$2+4,FALSE)</f>
        <v>#N/A</v>
      </c>
      <c r="BJ84" s="2" t="e">
        <f>VLOOKUP(BG84,$Y$5:$AJ$104,$BH$2+9,FALSE)</f>
        <v>#N/A</v>
      </c>
      <c r="BL84" s="4">
        <v>80</v>
      </c>
      <c r="BM84" s="2" t="e">
        <f>VLOOKUP(BL84,$AA$5:$AJ$104,$BN$2,FALSE)</f>
        <v>#N/A</v>
      </c>
      <c r="BN84" s="6" t="e">
        <f>VLOOKUP(BL84,$AA$5:$AJ$104,$BN$2+1,FALSE)</f>
        <v>#N/A</v>
      </c>
      <c r="BO84" s="2" t="e">
        <f>VLOOKUP(BM84,$AA$5:$AJ$104,$BN$2+8,FALSE)</f>
        <v>#N/A</v>
      </c>
      <c r="BQ84" s="2" t="e">
        <f>'Eclectic B'!CD84</f>
        <v>#N/A</v>
      </c>
      <c r="BR84" s="6" t="e">
        <f>'Eclectic B'!CE84</f>
        <v>#N/A</v>
      </c>
      <c r="BS84" s="103" t="e">
        <f>'Eclectic B'!CF84</f>
        <v>#N/A</v>
      </c>
    </row>
    <row r="85" spans="1:71">
      <c r="A85" s="10" t="str">
        <f>IF(ISBLANK(Players!F83),"",Players!F83)</f>
        <v/>
      </c>
      <c r="B85" s="10" t="str">
        <f>IF(ISBLANK(Players!G83),"",Players!G83)</f>
        <v/>
      </c>
      <c r="C85" s="10" t="str">
        <f>IF(ISBLANK(Players!I83),"",Players!I83)</f>
        <v/>
      </c>
      <c r="D85" s="69" t="str">
        <f>IF(ISNUMBER(C85),MIN((C85*Rules!$N$14/113)+(Rules!$N$13-Rules!$N$12),Rules!$N$37),"-")</f>
        <v>-</v>
      </c>
      <c r="E85" s="69" t="str">
        <f>IF(ISNUMBER(C85),    ROUND( (D85*Rules!$N$11) / 100,0),"-")</f>
        <v>-</v>
      </c>
      <c r="F85" s="36" t="str">
        <f>IF(AND(ISNUMBER(C85),C85&gt;=Rules!$M$17,C85&lt;=Rules!$N$17),"Y","N")</f>
        <v>N</v>
      </c>
      <c r="G85" s="137" t="str">
        <f>'Eclectic B'!M85</f>
        <v>-</v>
      </c>
      <c r="H85" s="137" t="str">
        <f>'Eclectic B'!W85</f>
        <v>-</v>
      </c>
      <c r="I85" s="137" t="str">
        <f>'Eclectic B'!AJ85</f>
        <v>-</v>
      </c>
      <c r="J85" s="137" t="str">
        <f>'Eclectic B'!AT85</f>
        <v>-</v>
      </c>
      <c r="K85" s="14" t="str">
        <f t="shared" si="19"/>
        <v>-</v>
      </c>
      <c r="L85" s="14" t="str">
        <f t="shared" si="20"/>
        <v>-</v>
      </c>
      <c r="M85" s="14" t="str">
        <f t="shared" si="21"/>
        <v>-</v>
      </c>
      <c r="N85" s="14" t="str">
        <f t="shared" si="22"/>
        <v>-</v>
      </c>
      <c r="O85" s="14" t="str">
        <f t="shared" si="23"/>
        <v>-</v>
      </c>
      <c r="P85" s="14" t="str">
        <f t="shared" si="24"/>
        <v>-</v>
      </c>
      <c r="Q85" s="14" t="e">
        <f>RANK($K85,$K$5:$K$104,1)+COUNTIF(K$5:K85,K85)-1</f>
        <v>#VALUE!</v>
      </c>
      <c r="R85" s="14" t="e">
        <f t="shared" si="25"/>
        <v>#VALUE!</v>
      </c>
      <c r="S85" s="14" t="e">
        <f>RANK($L85,$L$5:$L$104,1)+COUNTIF(L$5:L85,L85)-1</f>
        <v>#VALUE!</v>
      </c>
      <c r="T85" s="14" t="e">
        <f t="shared" si="26"/>
        <v>#VALUE!</v>
      </c>
      <c r="U85" s="14" t="e">
        <f>RANK($M85,$M$5:$M$104,1)+COUNTIF(M$5:M85,M85)-1</f>
        <v>#VALUE!</v>
      </c>
      <c r="V85" s="14" t="e">
        <f t="shared" si="27"/>
        <v>#VALUE!</v>
      </c>
      <c r="W85" s="14" t="e">
        <f>RANK($N85,$N$5:$N$104,1)+COUNTIF(N$5:N85,N85)-1</f>
        <v>#VALUE!</v>
      </c>
      <c r="X85" s="14" t="e">
        <f t="shared" si="28"/>
        <v>#VALUE!</v>
      </c>
      <c r="Y85" s="14" t="e">
        <f>RANK($O85,$O$5:$O$104,1)+COUNTIF(O$5:O85,O85)-1</f>
        <v>#VALUE!</v>
      </c>
      <c r="Z85" s="14" t="e">
        <f t="shared" si="29"/>
        <v>#VALUE!</v>
      </c>
      <c r="AA85" s="14" t="e">
        <f>RANK($P85,$P$5:$P$104,1)+COUNTIF(P$5:P85,P85)-1</f>
        <v>#VALUE!</v>
      </c>
      <c r="AB85" s="14" t="e">
        <f t="shared" si="30"/>
        <v>#VALUE!</v>
      </c>
      <c r="AC85" s="1" t="str">
        <f t="shared" si="31"/>
        <v xml:space="preserve"> </v>
      </c>
      <c r="AD85" s="1" t="str">
        <f t="shared" si="32"/>
        <v>-</v>
      </c>
      <c r="AE85" s="35" t="str">
        <f t="shared" si="18"/>
        <v>-</v>
      </c>
      <c r="AF85" s="35" t="str">
        <f t="shared" si="18"/>
        <v>-</v>
      </c>
      <c r="AG85" s="35" t="str">
        <f t="shared" si="18"/>
        <v>-</v>
      </c>
      <c r="AH85" s="35" t="str">
        <f t="shared" si="17"/>
        <v>-</v>
      </c>
      <c r="AI85" s="35" t="str">
        <f t="shared" si="17"/>
        <v>-</v>
      </c>
      <c r="AJ85" s="35" t="str">
        <f t="shared" si="17"/>
        <v>-</v>
      </c>
      <c r="AL85" s="4">
        <v>81</v>
      </c>
      <c r="AM85" s="2" t="e">
        <f>VLOOKUP(AL85,Q$5:$AJ$104,$AN$2,FALSE)</f>
        <v>#N/A</v>
      </c>
      <c r="AN85" s="6" t="e">
        <f>VLOOKUP(AL85,Q$5:$AJ$104,$AN$2+11,FALSE)</f>
        <v>#N/A</v>
      </c>
      <c r="AO85" s="2" t="e">
        <f t="shared" si="33"/>
        <v>#N/A</v>
      </c>
      <c r="AQ85" s="4">
        <v>81</v>
      </c>
      <c r="AR85" s="2" t="e">
        <f>VLOOKUP(AQ85,$S$5:$AJ$104,$AS$2,FALSE)</f>
        <v>#N/A</v>
      </c>
      <c r="AS85" s="6" t="e">
        <f>VLOOKUP(AQ85,$S$5:$AJ$104,$AS$2+9,FALSE)</f>
        <v>#N/A</v>
      </c>
      <c r="AT85" s="2" t="e">
        <f>VLOOKUP(AR85,$S$5:$AJ$104,$AS$2+12,FALSE)</f>
        <v>#N/A</v>
      </c>
      <c r="AU85" s="9"/>
      <c r="AV85" s="4">
        <v>81</v>
      </c>
      <c r="AW85" s="2" t="e">
        <f>VLOOKUP(AV85,$U$5:$AJ$104,$AX$2,FALSE)</f>
        <v>#N/A</v>
      </c>
      <c r="AX85" s="6" t="e">
        <f>VLOOKUP(AV85,$U$5:$AJ$104,$AX$2+7,FALSE)</f>
        <v>#N/A</v>
      </c>
      <c r="AY85" s="2" t="e">
        <f>VLOOKUP(AW85,$U$5:$AJ$104,$AX$2+11,FALSE)</f>
        <v>#N/A</v>
      </c>
      <c r="BA85" s="4">
        <v>81</v>
      </c>
      <c r="BB85" s="2" t="e">
        <f>VLOOKUP(BA85,$W$5:$AJ$104,$BC$2,FALSE)</f>
        <v>#N/A</v>
      </c>
      <c r="BC85" s="6" t="e">
        <f>VLOOKUP(BA85,$W$5:$AJ$104,$BC$2+5,FALSE)</f>
        <v>#N/A</v>
      </c>
      <c r="BD85" s="58" t="e">
        <f>VLOOKUP(BB85,$W$5:$AJ$104,$BC$2+10,FALSE)</f>
        <v>#N/A</v>
      </c>
      <c r="BE85" s="9"/>
      <c r="BF85" s="4">
        <v>81</v>
      </c>
      <c r="BG85" s="2" t="e">
        <f>VLOOKUP(BF85,$Y$5:$AJ$104,$BH$2,FALSE)</f>
        <v>#N/A</v>
      </c>
      <c r="BH85" s="6" t="e">
        <f>VLOOKUP(BF85,$Y$5:$AJ$104,$BH$2+3,FALSE)</f>
        <v>#N/A</v>
      </c>
      <c r="BI85" s="2" t="e">
        <f>VLOOKUP(BF85,$Y$5:$AJ$104,$BH$2+4,FALSE)</f>
        <v>#N/A</v>
      </c>
      <c r="BJ85" s="2" t="e">
        <f>VLOOKUP(BG85,$Y$5:$AJ$104,$BH$2+9,FALSE)</f>
        <v>#N/A</v>
      </c>
      <c r="BL85" s="4">
        <v>81</v>
      </c>
      <c r="BM85" s="2" t="e">
        <f>VLOOKUP(BL85,$AA$5:$AJ$104,$BN$2,FALSE)</f>
        <v>#N/A</v>
      </c>
      <c r="BN85" s="6" t="e">
        <f>VLOOKUP(BL85,$AA$5:$AJ$104,$BN$2+1,FALSE)</f>
        <v>#N/A</v>
      </c>
      <c r="BO85" s="2" t="e">
        <f>VLOOKUP(BM85,$AA$5:$AJ$104,$BN$2+8,FALSE)</f>
        <v>#N/A</v>
      </c>
      <c r="BQ85" s="2" t="e">
        <f>'Eclectic B'!CD85</f>
        <v>#N/A</v>
      </c>
      <c r="BR85" s="6" t="e">
        <f>'Eclectic B'!CE85</f>
        <v>#N/A</v>
      </c>
      <c r="BS85" s="103" t="e">
        <f>'Eclectic B'!CF85</f>
        <v>#N/A</v>
      </c>
    </row>
    <row r="86" spans="1:71">
      <c r="A86" s="10" t="str">
        <f>IF(ISBLANK(Players!F84),"",Players!F84)</f>
        <v/>
      </c>
      <c r="B86" s="10" t="str">
        <f>IF(ISBLANK(Players!G84),"",Players!G84)</f>
        <v/>
      </c>
      <c r="C86" s="10" t="str">
        <f>IF(ISBLANK(Players!I84),"",Players!I84)</f>
        <v/>
      </c>
      <c r="D86" s="69" t="str">
        <f>IF(ISNUMBER(C86),MIN((C86*Rules!$N$14/113)+(Rules!$N$13-Rules!$N$12),Rules!$N$37),"-")</f>
        <v>-</v>
      </c>
      <c r="E86" s="69" t="str">
        <f>IF(ISNUMBER(C86),    ROUND( (D86*Rules!$N$11) / 100,0),"-")</f>
        <v>-</v>
      </c>
      <c r="F86" s="36" t="str">
        <f>IF(AND(ISNUMBER(C86),C86&gt;=Rules!$M$17,C86&lt;=Rules!$N$17),"Y","N")</f>
        <v>N</v>
      </c>
      <c r="G86" s="137" t="str">
        <f>'Eclectic B'!M86</f>
        <v>-</v>
      </c>
      <c r="H86" s="137" t="str">
        <f>'Eclectic B'!W86</f>
        <v>-</v>
      </c>
      <c r="I86" s="137" t="str">
        <f>'Eclectic B'!AJ86</f>
        <v>-</v>
      </c>
      <c r="J86" s="137" t="str">
        <f>'Eclectic B'!AT86</f>
        <v>-</v>
      </c>
      <c r="K86" s="14" t="str">
        <f t="shared" si="19"/>
        <v>-</v>
      </c>
      <c r="L86" s="14" t="str">
        <f t="shared" si="20"/>
        <v>-</v>
      </c>
      <c r="M86" s="14" t="str">
        <f t="shared" si="21"/>
        <v>-</v>
      </c>
      <c r="N86" s="14" t="str">
        <f t="shared" si="22"/>
        <v>-</v>
      </c>
      <c r="O86" s="14" t="str">
        <f t="shared" si="23"/>
        <v>-</v>
      </c>
      <c r="P86" s="14" t="str">
        <f t="shared" si="24"/>
        <v>-</v>
      </c>
      <c r="Q86" s="14" t="e">
        <f>RANK($K86,$K$5:$K$104,1)+COUNTIF(K$5:K86,K86)-1</f>
        <v>#VALUE!</v>
      </c>
      <c r="R86" s="14" t="e">
        <f t="shared" si="25"/>
        <v>#VALUE!</v>
      </c>
      <c r="S86" s="14" t="e">
        <f>RANK($L86,$L$5:$L$104,1)+COUNTIF(L$5:L86,L86)-1</f>
        <v>#VALUE!</v>
      </c>
      <c r="T86" s="14" t="e">
        <f t="shared" si="26"/>
        <v>#VALUE!</v>
      </c>
      <c r="U86" s="14" t="e">
        <f>RANK($M86,$M$5:$M$104,1)+COUNTIF(M$5:M86,M86)-1</f>
        <v>#VALUE!</v>
      </c>
      <c r="V86" s="14" t="e">
        <f t="shared" si="27"/>
        <v>#VALUE!</v>
      </c>
      <c r="W86" s="14" t="e">
        <f>RANK($N86,$N$5:$N$104,1)+COUNTIF(N$5:N86,N86)-1</f>
        <v>#VALUE!</v>
      </c>
      <c r="X86" s="14" t="e">
        <f t="shared" si="28"/>
        <v>#VALUE!</v>
      </c>
      <c r="Y86" s="14" t="e">
        <f>RANK($O86,$O$5:$O$104,1)+COUNTIF(O$5:O86,O86)-1</f>
        <v>#VALUE!</v>
      </c>
      <c r="Z86" s="14" t="e">
        <f t="shared" si="29"/>
        <v>#VALUE!</v>
      </c>
      <c r="AA86" s="14" t="e">
        <f>RANK($P86,$P$5:$P$104,1)+COUNTIF(P$5:P86,P86)-1</f>
        <v>#VALUE!</v>
      </c>
      <c r="AB86" s="14" t="e">
        <f t="shared" si="30"/>
        <v>#VALUE!</v>
      </c>
      <c r="AC86" s="1" t="str">
        <f t="shared" si="31"/>
        <v xml:space="preserve"> </v>
      </c>
      <c r="AD86" s="1" t="str">
        <f t="shared" si="32"/>
        <v>-</v>
      </c>
      <c r="AE86" s="35" t="str">
        <f t="shared" si="18"/>
        <v>-</v>
      </c>
      <c r="AF86" s="35" t="str">
        <f t="shared" si="18"/>
        <v>-</v>
      </c>
      <c r="AG86" s="35" t="str">
        <f t="shared" si="18"/>
        <v>-</v>
      </c>
      <c r="AH86" s="35" t="str">
        <f t="shared" si="17"/>
        <v>-</v>
      </c>
      <c r="AI86" s="35" t="str">
        <f t="shared" si="17"/>
        <v>-</v>
      </c>
      <c r="AJ86" s="35" t="str">
        <f t="shared" si="17"/>
        <v>-</v>
      </c>
      <c r="AL86" s="4">
        <v>82</v>
      </c>
      <c r="AM86" s="2" t="e">
        <f>VLOOKUP(AL86,Q$5:$AJ$104,$AN$2,FALSE)</f>
        <v>#N/A</v>
      </c>
      <c r="AN86" s="6" t="e">
        <f>VLOOKUP(AL86,Q$5:$AJ$104,$AN$2+11,FALSE)</f>
        <v>#N/A</v>
      </c>
      <c r="AO86" s="2" t="e">
        <f t="shared" si="33"/>
        <v>#N/A</v>
      </c>
      <c r="AQ86" s="4">
        <v>82</v>
      </c>
      <c r="AR86" s="2" t="e">
        <f>VLOOKUP(AQ86,$S$5:$AJ$104,$AS$2,FALSE)</f>
        <v>#N/A</v>
      </c>
      <c r="AS86" s="6" t="e">
        <f>VLOOKUP(AQ86,$S$5:$AJ$104,$AS$2+9,FALSE)</f>
        <v>#N/A</v>
      </c>
      <c r="AT86" s="2" t="e">
        <f>VLOOKUP(AR86,$S$5:$AJ$104,$AS$2+12,FALSE)</f>
        <v>#N/A</v>
      </c>
      <c r="AU86" s="9"/>
      <c r="AV86" s="4">
        <v>82</v>
      </c>
      <c r="AW86" s="2" t="e">
        <f>VLOOKUP(AV86,$U$5:$AJ$104,$AX$2,FALSE)</f>
        <v>#N/A</v>
      </c>
      <c r="AX86" s="6" t="e">
        <f>VLOOKUP(AV86,$U$5:$AJ$104,$AX$2+7,FALSE)</f>
        <v>#N/A</v>
      </c>
      <c r="AY86" s="2" t="e">
        <f>VLOOKUP(AW86,$U$5:$AJ$104,$AX$2+11,FALSE)</f>
        <v>#N/A</v>
      </c>
      <c r="BA86" s="4">
        <v>82</v>
      </c>
      <c r="BB86" s="2" t="e">
        <f>VLOOKUP(BA86,$W$5:$AJ$104,$BC$2,FALSE)</f>
        <v>#N/A</v>
      </c>
      <c r="BC86" s="6" t="e">
        <f>VLOOKUP(BA86,$W$5:$AJ$104,$BC$2+5,FALSE)</f>
        <v>#N/A</v>
      </c>
      <c r="BD86" s="58" t="e">
        <f>VLOOKUP(BB86,$W$5:$AJ$104,$BC$2+10,FALSE)</f>
        <v>#N/A</v>
      </c>
      <c r="BE86" s="9"/>
      <c r="BF86" s="4">
        <v>82</v>
      </c>
      <c r="BG86" s="2" t="e">
        <f>VLOOKUP(BF86,$Y$5:$AJ$104,$BH$2,FALSE)</f>
        <v>#N/A</v>
      </c>
      <c r="BH86" s="6" t="e">
        <f>VLOOKUP(BF86,$Y$5:$AJ$104,$BH$2+3,FALSE)</f>
        <v>#N/A</v>
      </c>
      <c r="BI86" s="2" t="e">
        <f>VLOOKUP(BF86,$Y$5:$AJ$104,$BH$2+4,FALSE)</f>
        <v>#N/A</v>
      </c>
      <c r="BJ86" s="2" t="e">
        <f>VLOOKUP(BG86,$Y$5:$AJ$104,$BH$2+9,FALSE)</f>
        <v>#N/A</v>
      </c>
      <c r="BL86" s="4">
        <v>82</v>
      </c>
      <c r="BM86" s="2" t="e">
        <f>VLOOKUP(BL86,$AA$5:$AJ$104,$BN$2,FALSE)</f>
        <v>#N/A</v>
      </c>
      <c r="BN86" s="6" t="e">
        <f>VLOOKUP(BL86,$AA$5:$AJ$104,$BN$2+1,FALSE)</f>
        <v>#N/A</v>
      </c>
      <c r="BO86" s="2" t="e">
        <f>VLOOKUP(BM86,$AA$5:$AJ$104,$BN$2+8,FALSE)</f>
        <v>#N/A</v>
      </c>
      <c r="BQ86" s="2" t="e">
        <f>'Eclectic B'!CD86</f>
        <v>#N/A</v>
      </c>
      <c r="BR86" s="6" t="e">
        <f>'Eclectic B'!CE86</f>
        <v>#N/A</v>
      </c>
      <c r="BS86" s="103" t="e">
        <f>'Eclectic B'!CF86</f>
        <v>#N/A</v>
      </c>
    </row>
    <row r="87" spans="1:71">
      <c r="A87" s="10" t="str">
        <f>IF(ISBLANK(Players!F85),"",Players!F85)</f>
        <v/>
      </c>
      <c r="B87" s="10" t="str">
        <f>IF(ISBLANK(Players!G85),"",Players!G85)</f>
        <v/>
      </c>
      <c r="C87" s="10" t="str">
        <f>IF(ISBLANK(Players!I85),"",Players!I85)</f>
        <v/>
      </c>
      <c r="D87" s="69" t="str">
        <f>IF(ISNUMBER(C87),MIN((C87*Rules!$N$14/113)+(Rules!$N$13-Rules!$N$12),Rules!$N$37),"-")</f>
        <v>-</v>
      </c>
      <c r="E87" s="69" t="str">
        <f>IF(ISNUMBER(C87),    ROUND( (D87*Rules!$N$11) / 100,0),"-")</f>
        <v>-</v>
      </c>
      <c r="F87" s="36" t="str">
        <f>IF(AND(ISNUMBER(C87),C87&gt;=Rules!$M$17,C87&lt;=Rules!$N$17),"Y","N")</f>
        <v>N</v>
      </c>
      <c r="G87" s="137" t="str">
        <f>'Eclectic B'!M87</f>
        <v>-</v>
      </c>
      <c r="H87" s="137" t="str">
        <f>'Eclectic B'!W87</f>
        <v>-</v>
      </c>
      <c r="I87" s="137" t="str">
        <f>'Eclectic B'!AJ87</f>
        <v>-</v>
      </c>
      <c r="J87" s="137" t="str">
        <f>'Eclectic B'!AT87</f>
        <v>-</v>
      </c>
      <c r="K87" s="14" t="str">
        <f t="shared" si="19"/>
        <v>-</v>
      </c>
      <c r="L87" s="14" t="str">
        <f t="shared" si="20"/>
        <v>-</v>
      </c>
      <c r="M87" s="14" t="str">
        <f t="shared" si="21"/>
        <v>-</v>
      </c>
      <c r="N87" s="14" t="str">
        <f t="shared" si="22"/>
        <v>-</v>
      </c>
      <c r="O87" s="14" t="str">
        <f t="shared" si="23"/>
        <v>-</v>
      </c>
      <c r="P87" s="14" t="str">
        <f t="shared" si="24"/>
        <v>-</v>
      </c>
      <c r="Q87" s="14" t="e">
        <f>RANK($K87,$K$5:$K$104,1)+COUNTIF(K$5:K87,K87)-1</f>
        <v>#VALUE!</v>
      </c>
      <c r="R87" s="14" t="e">
        <f t="shared" si="25"/>
        <v>#VALUE!</v>
      </c>
      <c r="S87" s="14" t="e">
        <f>RANK($L87,$L$5:$L$104,1)+COUNTIF(L$5:L87,L87)-1</f>
        <v>#VALUE!</v>
      </c>
      <c r="T87" s="14" t="e">
        <f t="shared" si="26"/>
        <v>#VALUE!</v>
      </c>
      <c r="U87" s="14" t="e">
        <f>RANK($M87,$M$5:$M$104,1)+COUNTIF(M$5:M87,M87)-1</f>
        <v>#VALUE!</v>
      </c>
      <c r="V87" s="14" t="e">
        <f t="shared" si="27"/>
        <v>#VALUE!</v>
      </c>
      <c r="W87" s="14" t="e">
        <f>RANK($N87,$N$5:$N$104,1)+COUNTIF(N$5:N87,N87)-1</f>
        <v>#VALUE!</v>
      </c>
      <c r="X87" s="14" t="e">
        <f t="shared" si="28"/>
        <v>#VALUE!</v>
      </c>
      <c r="Y87" s="14" t="e">
        <f>RANK($O87,$O$5:$O$104,1)+COUNTIF(O$5:O87,O87)-1</f>
        <v>#VALUE!</v>
      </c>
      <c r="Z87" s="14" t="e">
        <f t="shared" si="29"/>
        <v>#VALUE!</v>
      </c>
      <c r="AA87" s="14" t="e">
        <f>RANK($P87,$P$5:$P$104,1)+COUNTIF(P$5:P87,P87)-1</f>
        <v>#VALUE!</v>
      </c>
      <c r="AB87" s="14" t="e">
        <f t="shared" si="30"/>
        <v>#VALUE!</v>
      </c>
      <c r="AC87" s="1" t="str">
        <f t="shared" si="31"/>
        <v xml:space="preserve"> </v>
      </c>
      <c r="AD87" s="1" t="str">
        <f t="shared" si="32"/>
        <v>-</v>
      </c>
      <c r="AE87" s="35" t="str">
        <f t="shared" si="18"/>
        <v>-</v>
      </c>
      <c r="AF87" s="35" t="str">
        <f t="shared" si="18"/>
        <v>-</v>
      </c>
      <c r="AG87" s="35" t="str">
        <f t="shared" si="18"/>
        <v>-</v>
      </c>
      <c r="AH87" s="35" t="str">
        <f t="shared" si="17"/>
        <v>-</v>
      </c>
      <c r="AI87" s="35" t="str">
        <f t="shared" si="17"/>
        <v>-</v>
      </c>
      <c r="AJ87" s="35" t="str">
        <f t="shared" si="17"/>
        <v>-</v>
      </c>
      <c r="AL87" s="4">
        <v>83</v>
      </c>
      <c r="AM87" s="2" t="e">
        <f>VLOOKUP(AL87,Q$5:$AJ$104,$AN$2,FALSE)</f>
        <v>#N/A</v>
      </c>
      <c r="AN87" s="6" t="e">
        <f>VLOOKUP(AL87,Q$5:$AJ$104,$AN$2+11,FALSE)</f>
        <v>#N/A</v>
      </c>
      <c r="AO87" s="2" t="e">
        <f t="shared" si="33"/>
        <v>#N/A</v>
      </c>
      <c r="AQ87" s="4">
        <v>83</v>
      </c>
      <c r="AR87" s="2" t="e">
        <f>VLOOKUP(AQ87,$S$5:$AJ$104,$AS$2,FALSE)</f>
        <v>#N/A</v>
      </c>
      <c r="AS87" s="6" t="e">
        <f>VLOOKUP(AQ87,$S$5:$AJ$104,$AS$2+9,FALSE)</f>
        <v>#N/A</v>
      </c>
      <c r="AT87" s="2" t="e">
        <f>VLOOKUP(AR87,$S$5:$AJ$104,$AS$2+12,FALSE)</f>
        <v>#N/A</v>
      </c>
      <c r="AU87" s="9"/>
      <c r="AV87" s="4">
        <v>83</v>
      </c>
      <c r="AW87" s="2" t="e">
        <f>VLOOKUP(AV87,$U$5:$AJ$104,$AX$2,FALSE)</f>
        <v>#N/A</v>
      </c>
      <c r="AX87" s="6" t="e">
        <f>VLOOKUP(AV87,$U$5:$AJ$104,$AX$2+7,FALSE)</f>
        <v>#N/A</v>
      </c>
      <c r="AY87" s="2" t="e">
        <f>VLOOKUP(AW87,$U$5:$AJ$104,$AX$2+11,FALSE)</f>
        <v>#N/A</v>
      </c>
      <c r="BA87" s="4">
        <v>83</v>
      </c>
      <c r="BB87" s="2" t="e">
        <f>VLOOKUP(BA87,$W$5:$AJ$104,$BC$2,FALSE)</f>
        <v>#N/A</v>
      </c>
      <c r="BC87" s="6" t="e">
        <f>VLOOKUP(BA87,$W$5:$AJ$104,$BC$2+5,FALSE)</f>
        <v>#N/A</v>
      </c>
      <c r="BD87" s="58" t="e">
        <f>VLOOKUP(BB87,$W$5:$AJ$104,$BC$2+10,FALSE)</f>
        <v>#N/A</v>
      </c>
      <c r="BE87" s="9"/>
      <c r="BF87" s="4">
        <v>83</v>
      </c>
      <c r="BG87" s="2" t="e">
        <f>VLOOKUP(BF87,$Y$5:$AJ$104,$BH$2,FALSE)</f>
        <v>#N/A</v>
      </c>
      <c r="BH87" s="6" t="e">
        <f>VLOOKUP(BF87,$Y$5:$AJ$104,$BH$2+3,FALSE)</f>
        <v>#N/A</v>
      </c>
      <c r="BI87" s="2" t="e">
        <f>VLOOKUP(BF87,$Y$5:$AJ$104,$BH$2+4,FALSE)</f>
        <v>#N/A</v>
      </c>
      <c r="BJ87" s="2" t="e">
        <f>VLOOKUP(BG87,$Y$5:$AJ$104,$BH$2+9,FALSE)</f>
        <v>#N/A</v>
      </c>
      <c r="BL87" s="4">
        <v>83</v>
      </c>
      <c r="BM87" s="2" t="e">
        <f>VLOOKUP(BL87,$AA$5:$AJ$104,$BN$2,FALSE)</f>
        <v>#N/A</v>
      </c>
      <c r="BN87" s="6" t="e">
        <f>VLOOKUP(BL87,$AA$5:$AJ$104,$BN$2+1,FALSE)</f>
        <v>#N/A</v>
      </c>
      <c r="BO87" s="2" t="e">
        <f>VLOOKUP(BM87,$AA$5:$AJ$104,$BN$2+8,FALSE)</f>
        <v>#N/A</v>
      </c>
      <c r="BQ87" s="2" t="e">
        <f>'Eclectic B'!CD87</f>
        <v>#N/A</v>
      </c>
      <c r="BR87" s="6" t="e">
        <f>'Eclectic B'!CE87</f>
        <v>#N/A</v>
      </c>
      <c r="BS87" s="103" t="e">
        <f>'Eclectic B'!CF87</f>
        <v>#N/A</v>
      </c>
    </row>
    <row r="88" spans="1:71">
      <c r="A88" s="10" t="str">
        <f>IF(ISBLANK(Players!F86),"",Players!F86)</f>
        <v/>
      </c>
      <c r="B88" s="10" t="str">
        <f>IF(ISBLANK(Players!G86),"",Players!G86)</f>
        <v/>
      </c>
      <c r="C88" s="10" t="str">
        <f>IF(ISBLANK(Players!I86),"",Players!I86)</f>
        <v/>
      </c>
      <c r="D88" s="69" t="str">
        <f>IF(ISNUMBER(C88),MIN((C88*Rules!$N$14/113)+(Rules!$N$13-Rules!$N$12),Rules!$N$37),"-")</f>
        <v>-</v>
      </c>
      <c r="E88" s="69" t="str">
        <f>IF(ISNUMBER(C88),    ROUND( (D88*Rules!$N$11) / 100,0),"-")</f>
        <v>-</v>
      </c>
      <c r="F88" s="36" t="str">
        <f>IF(AND(ISNUMBER(C88),C88&gt;=Rules!$M$17,C88&lt;=Rules!$N$17),"Y","N")</f>
        <v>N</v>
      </c>
      <c r="G88" s="137" t="str">
        <f>'Eclectic B'!M88</f>
        <v>-</v>
      </c>
      <c r="H88" s="137" t="str">
        <f>'Eclectic B'!W88</f>
        <v>-</v>
      </c>
      <c r="I88" s="137" t="str">
        <f>'Eclectic B'!AJ88</f>
        <v>-</v>
      </c>
      <c r="J88" s="137" t="str">
        <f>'Eclectic B'!AT88</f>
        <v>-</v>
      </c>
      <c r="K88" s="14" t="str">
        <f t="shared" si="19"/>
        <v>-</v>
      </c>
      <c r="L88" s="14" t="str">
        <f t="shared" si="20"/>
        <v>-</v>
      </c>
      <c r="M88" s="14" t="str">
        <f t="shared" si="21"/>
        <v>-</v>
      </c>
      <c r="N88" s="14" t="str">
        <f t="shared" si="22"/>
        <v>-</v>
      </c>
      <c r="O88" s="14" t="str">
        <f t="shared" si="23"/>
        <v>-</v>
      </c>
      <c r="P88" s="14" t="str">
        <f t="shared" si="24"/>
        <v>-</v>
      </c>
      <c r="Q88" s="14" t="e">
        <f>RANK($K88,$K$5:$K$104,1)+COUNTIF(K$5:K88,K88)-1</f>
        <v>#VALUE!</v>
      </c>
      <c r="R88" s="14" t="e">
        <f t="shared" si="25"/>
        <v>#VALUE!</v>
      </c>
      <c r="S88" s="14" t="e">
        <f>RANK($L88,$L$5:$L$104,1)+COUNTIF(L$5:L88,L88)-1</f>
        <v>#VALUE!</v>
      </c>
      <c r="T88" s="14" t="e">
        <f t="shared" si="26"/>
        <v>#VALUE!</v>
      </c>
      <c r="U88" s="14" t="e">
        <f>RANK($M88,$M$5:$M$104,1)+COUNTIF(M$5:M88,M88)-1</f>
        <v>#VALUE!</v>
      </c>
      <c r="V88" s="14" t="e">
        <f t="shared" si="27"/>
        <v>#VALUE!</v>
      </c>
      <c r="W88" s="14" t="e">
        <f>RANK($N88,$N$5:$N$104,1)+COUNTIF(N$5:N88,N88)-1</f>
        <v>#VALUE!</v>
      </c>
      <c r="X88" s="14" t="e">
        <f t="shared" si="28"/>
        <v>#VALUE!</v>
      </c>
      <c r="Y88" s="14" t="e">
        <f>RANK($O88,$O$5:$O$104,1)+COUNTIF(O$5:O88,O88)-1</f>
        <v>#VALUE!</v>
      </c>
      <c r="Z88" s="14" t="e">
        <f t="shared" si="29"/>
        <v>#VALUE!</v>
      </c>
      <c r="AA88" s="14" t="e">
        <f>RANK($P88,$P$5:$P$104,1)+COUNTIF(P$5:P88,P88)-1</f>
        <v>#VALUE!</v>
      </c>
      <c r="AB88" s="14" t="e">
        <f t="shared" si="30"/>
        <v>#VALUE!</v>
      </c>
      <c r="AC88" s="1" t="str">
        <f t="shared" si="31"/>
        <v xml:space="preserve"> </v>
      </c>
      <c r="AD88" s="1" t="str">
        <f t="shared" si="32"/>
        <v>-</v>
      </c>
      <c r="AE88" s="35" t="str">
        <f t="shared" si="18"/>
        <v>-</v>
      </c>
      <c r="AF88" s="35" t="str">
        <f t="shared" si="18"/>
        <v>-</v>
      </c>
      <c r="AG88" s="35" t="str">
        <f t="shared" si="18"/>
        <v>-</v>
      </c>
      <c r="AH88" s="35" t="str">
        <f t="shared" si="17"/>
        <v>-</v>
      </c>
      <c r="AI88" s="35" t="str">
        <f t="shared" si="17"/>
        <v>-</v>
      </c>
      <c r="AJ88" s="35" t="str">
        <f t="shared" si="17"/>
        <v>-</v>
      </c>
      <c r="AL88" s="4">
        <v>84</v>
      </c>
      <c r="AM88" s="2" t="e">
        <f>VLOOKUP(AL88,Q$5:$AJ$104,$AN$2,FALSE)</f>
        <v>#N/A</v>
      </c>
      <c r="AN88" s="6" t="e">
        <f>VLOOKUP(AL88,Q$5:$AJ$104,$AN$2+11,FALSE)</f>
        <v>#N/A</v>
      </c>
      <c r="AO88" s="2" t="e">
        <f t="shared" si="33"/>
        <v>#N/A</v>
      </c>
      <c r="AQ88" s="4">
        <v>84</v>
      </c>
      <c r="AR88" s="2" t="e">
        <f>VLOOKUP(AQ88,$S$5:$AJ$104,$AS$2,FALSE)</f>
        <v>#N/A</v>
      </c>
      <c r="AS88" s="6" t="e">
        <f>VLOOKUP(AQ88,$S$5:$AJ$104,$AS$2+9,FALSE)</f>
        <v>#N/A</v>
      </c>
      <c r="AT88" s="2" t="e">
        <f>VLOOKUP(AR88,$S$5:$AJ$104,$AS$2+12,FALSE)</f>
        <v>#N/A</v>
      </c>
      <c r="AU88" s="9"/>
      <c r="AV88" s="4">
        <v>84</v>
      </c>
      <c r="AW88" s="2" t="e">
        <f>VLOOKUP(AV88,$U$5:$AJ$104,$AX$2,FALSE)</f>
        <v>#N/A</v>
      </c>
      <c r="AX88" s="6" t="e">
        <f>VLOOKUP(AV88,$U$5:$AJ$104,$AX$2+7,FALSE)</f>
        <v>#N/A</v>
      </c>
      <c r="AY88" s="2" t="e">
        <f>VLOOKUP(AW88,$U$5:$AJ$104,$AX$2+11,FALSE)</f>
        <v>#N/A</v>
      </c>
      <c r="BA88" s="4">
        <v>84</v>
      </c>
      <c r="BB88" s="2" t="e">
        <f>VLOOKUP(BA88,$W$5:$AJ$104,$BC$2,FALSE)</f>
        <v>#N/A</v>
      </c>
      <c r="BC88" s="6" t="e">
        <f>VLOOKUP(BA88,$W$5:$AJ$104,$BC$2+5,FALSE)</f>
        <v>#N/A</v>
      </c>
      <c r="BD88" s="58" t="e">
        <f>VLOOKUP(BB88,$W$5:$AJ$104,$BC$2+10,FALSE)</f>
        <v>#N/A</v>
      </c>
      <c r="BE88" s="9"/>
      <c r="BF88" s="4">
        <v>84</v>
      </c>
      <c r="BG88" s="2" t="e">
        <f>VLOOKUP(BF88,$Y$5:$AJ$104,$BH$2,FALSE)</f>
        <v>#N/A</v>
      </c>
      <c r="BH88" s="6" t="e">
        <f>VLOOKUP(BF88,$Y$5:$AJ$104,$BH$2+3,FALSE)</f>
        <v>#N/A</v>
      </c>
      <c r="BI88" s="2" t="e">
        <f>VLOOKUP(BF88,$Y$5:$AJ$104,$BH$2+4,FALSE)</f>
        <v>#N/A</v>
      </c>
      <c r="BJ88" s="2" t="e">
        <f>VLOOKUP(BG88,$Y$5:$AJ$104,$BH$2+9,FALSE)</f>
        <v>#N/A</v>
      </c>
      <c r="BL88" s="4">
        <v>84</v>
      </c>
      <c r="BM88" s="2" t="e">
        <f>VLOOKUP(BL88,$AA$5:$AJ$104,$BN$2,FALSE)</f>
        <v>#N/A</v>
      </c>
      <c r="BN88" s="6" t="e">
        <f>VLOOKUP(BL88,$AA$5:$AJ$104,$BN$2+1,FALSE)</f>
        <v>#N/A</v>
      </c>
      <c r="BO88" s="2" t="e">
        <f>VLOOKUP(BM88,$AA$5:$AJ$104,$BN$2+8,FALSE)</f>
        <v>#N/A</v>
      </c>
      <c r="BQ88" s="2" t="e">
        <f>'Eclectic B'!CD88</f>
        <v>#N/A</v>
      </c>
      <c r="BR88" s="6" t="e">
        <f>'Eclectic B'!CE88</f>
        <v>#N/A</v>
      </c>
      <c r="BS88" s="103" t="e">
        <f>'Eclectic B'!CF88</f>
        <v>#N/A</v>
      </c>
    </row>
    <row r="89" spans="1:71">
      <c r="A89" s="10" t="str">
        <f>IF(ISBLANK(Players!F87),"",Players!F87)</f>
        <v/>
      </c>
      <c r="B89" s="10" t="str">
        <f>IF(ISBLANK(Players!G87),"",Players!G87)</f>
        <v/>
      </c>
      <c r="C89" s="10" t="str">
        <f>IF(ISBLANK(Players!I87),"",Players!I87)</f>
        <v/>
      </c>
      <c r="D89" s="69" t="str">
        <f>IF(ISNUMBER(C89),MIN((C89*Rules!$N$14/113)+(Rules!$N$13-Rules!$N$12),Rules!$N$37),"-")</f>
        <v>-</v>
      </c>
      <c r="E89" s="69" t="str">
        <f>IF(ISNUMBER(C89),    ROUND( (D89*Rules!$N$11) / 100,0),"-")</f>
        <v>-</v>
      </c>
      <c r="F89" s="36" t="str">
        <f>IF(AND(ISNUMBER(C89),C89&gt;=Rules!$M$17,C89&lt;=Rules!$N$17),"Y","N")</f>
        <v>N</v>
      </c>
      <c r="G89" s="137" t="str">
        <f>'Eclectic B'!M89</f>
        <v>-</v>
      </c>
      <c r="H89" s="137" t="str">
        <f>'Eclectic B'!W89</f>
        <v>-</v>
      </c>
      <c r="I89" s="137" t="str">
        <f>'Eclectic B'!AJ89</f>
        <v>-</v>
      </c>
      <c r="J89" s="137" t="str">
        <f>'Eclectic B'!AT89</f>
        <v>-</v>
      </c>
      <c r="K89" s="14" t="str">
        <f t="shared" si="19"/>
        <v>-</v>
      </c>
      <c r="L89" s="14" t="str">
        <f t="shared" si="20"/>
        <v>-</v>
      </c>
      <c r="M89" s="14" t="str">
        <f t="shared" si="21"/>
        <v>-</v>
      </c>
      <c r="N89" s="14" t="str">
        <f t="shared" si="22"/>
        <v>-</v>
      </c>
      <c r="O89" s="14" t="str">
        <f t="shared" si="23"/>
        <v>-</v>
      </c>
      <c r="P89" s="14" t="str">
        <f t="shared" si="24"/>
        <v>-</v>
      </c>
      <c r="Q89" s="14" t="e">
        <f>RANK($K89,$K$5:$K$104,1)+COUNTIF(K$5:K89,K89)-1</f>
        <v>#VALUE!</v>
      </c>
      <c r="R89" s="14" t="e">
        <f t="shared" si="25"/>
        <v>#VALUE!</v>
      </c>
      <c r="S89" s="14" t="e">
        <f>RANK($L89,$L$5:$L$104,1)+COUNTIF(L$5:L89,L89)-1</f>
        <v>#VALUE!</v>
      </c>
      <c r="T89" s="14" t="e">
        <f t="shared" si="26"/>
        <v>#VALUE!</v>
      </c>
      <c r="U89" s="14" t="e">
        <f>RANK($M89,$M$5:$M$104,1)+COUNTIF(M$5:M89,M89)-1</f>
        <v>#VALUE!</v>
      </c>
      <c r="V89" s="14" t="e">
        <f t="shared" si="27"/>
        <v>#VALUE!</v>
      </c>
      <c r="W89" s="14" t="e">
        <f>RANK($N89,$N$5:$N$104,1)+COUNTIF(N$5:N89,N89)-1</f>
        <v>#VALUE!</v>
      </c>
      <c r="X89" s="14" t="e">
        <f t="shared" si="28"/>
        <v>#VALUE!</v>
      </c>
      <c r="Y89" s="14" t="e">
        <f>RANK($O89,$O$5:$O$104,1)+COUNTIF(O$5:O89,O89)-1</f>
        <v>#VALUE!</v>
      </c>
      <c r="Z89" s="14" t="e">
        <f t="shared" si="29"/>
        <v>#VALUE!</v>
      </c>
      <c r="AA89" s="14" t="e">
        <f>RANK($P89,$P$5:$P$104,1)+COUNTIF(P$5:P89,P89)-1</f>
        <v>#VALUE!</v>
      </c>
      <c r="AB89" s="14" t="e">
        <f t="shared" si="30"/>
        <v>#VALUE!</v>
      </c>
      <c r="AC89" s="1" t="str">
        <f t="shared" si="31"/>
        <v xml:space="preserve"> </v>
      </c>
      <c r="AD89" s="1" t="str">
        <f t="shared" si="32"/>
        <v>-</v>
      </c>
      <c r="AE89" s="35" t="str">
        <f t="shared" si="18"/>
        <v>-</v>
      </c>
      <c r="AF89" s="35" t="str">
        <f t="shared" si="18"/>
        <v>-</v>
      </c>
      <c r="AG89" s="35" t="str">
        <f t="shared" si="18"/>
        <v>-</v>
      </c>
      <c r="AH89" s="35" t="str">
        <f t="shared" si="17"/>
        <v>-</v>
      </c>
      <c r="AI89" s="35" t="str">
        <f t="shared" si="17"/>
        <v>-</v>
      </c>
      <c r="AJ89" s="35" t="str">
        <f t="shared" si="17"/>
        <v>-</v>
      </c>
      <c r="AL89" s="4">
        <v>85</v>
      </c>
      <c r="AM89" s="2" t="e">
        <f>VLOOKUP(AL89,Q$5:$AJ$104,$AN$2,FALSE)</f>
        <v>#N/A</v>
      </c>
      <c r="AN89" s="6" t="e">
        <f>VLOOKUP(AL89,Q$5:$AJ$104,$AN$2+11,FALSE)</f>
        <v>#N/A</v>
      </c>
      <c r="AO89" s="2" t="e">
        <f t="shared" si="33"/>
        <v>#N/A</v>
      </c>
      <c r="AQ89" s="4">
        <v>85</v>
      </c>
      <c r="AR89" s="2" t="e">
        <f>VLOOKUP(AQ89,$S$5:$AJ$104,$AS$2,FALSE)</f>
        <v>#N/A</v>
      </c>
      <c r="AS89" s="6" t="e">
        <f>VLOOKUP(AQ89,$S$5:$AJ$104,$AS$2+9,FALSE)</f>
        <v>#N/A</v>
      </c>
      <c r="AT89" s="2" t="e">
        <f>VLOOKUP(AR89,$S$5:$AJ$104,$AS$2+12,FALSE)</f>
        <v>#N/A</v>
      </c>
      <c r="AU89" s="9"/>
      <c r="AV89" s="4">
        <v>85</v>
      </c>
      <c r="AW89" s="2" t="e">
        <f>VLOOKUP(AV89,$U$5:$AJ$104,$AX$2,FALSE)</f>
        <v>#N/A</v>
      </c>
      <c r="AX89" s="6" t="e">
        <f>VLOOKUP(AV89,$U$5:$AJ$104,$AX$2+7,FALSE)</f>
        <v>#N/A</v>
      </c>
      <c r="AY89" s="2" t="e">
        <f>VLOOKUP(AW89,$U$5:$AJ$104,$AX$2+11,FALSE)</f>
        <v>#N/A</v>
      </c>
      <c r="BA89" s="4">
        <v>85</v>
      </c>
      <c r="BB89" s="2" t="e">
        <f>VLOOKUP(BA89,$W$5:$AJ$104,$BC$2,FALSE)</f>
        <v>#N/A</v>
      </c>
      <c r="BC89" s="6" t="e">
        <f>VLOOKUP(BA89,$W$5:$AJ$104,$BC$2+5,FALSE)</f>
        <v>#N/A</v>
      </c>
      <c r="BD89" s="58" t="e">
        <f>VLOOKUP(BB89,$W$5:$AJ$104,$BC$2+10,FALSE)</f>
        <v>#N/A</v>
      </c>
      <c r="BE89" s="9"/>
      <c r="BF89" s="4">
        <v>85</v>
      </c>
      <c r="BG89" s="2" t="e">
        <f>VLOOKUP(BF89,$Y$5:$AJ$104,$BH$2,FALSE)</f>
        <v>#N/A</v>
      </c>
      <c r="BH89" s="6" t="e">
        <f>VLOOKUP(BF89,$Y$5:$AJ$104,$BH$2+3,FALSE)</f>
        <v>#N/A</v>
      </c>
      <c r="BI89" s="2" t="e">
        <f>VLOOKUP(BF89,$Y$5:$AJ$104,$BH$2+4,FALSE)</f>
        <v>#N/A</v>
      </c>
      <c r="BJ89" s="2" t="e">
        <f>VLOOKUP(BG89,$Y$5:$AJ$104,$BH$2+9,FALSE)</f>
        <v>#N/A</v>
      </c>
      <c r="BL89" s="4">
        <v>85</v>
      </c>
      <c r="BM89" s="2" t="e">
        <f>VLOOKUP(BL89,$AA$5:$AJ$104,$BN$2,FALSE)</f>
        <v>#N/A</v>
      </c>
      <c r="BN89" s="6" t="e">
        <f>VLOOKUP(BL89,$AA$5:$AJ$104,$BN$2+1,FALSE)</f>
        <v>#N/A</v>
      </c>
      <c r="BO89" s="2" t="e">
        <f>VLOOKUP(BM89,$AA$5:$AJ$104,$BN$2+8,FALSE)</f>
        <v>#N/A</v>
      </c>
      <c r="BQ89" s="2" t="e">
        <f>'Eclectic B'!CD89</f>
        <v>#N/A</v>
      </c>
      <c r="BR89" s="6" t="e">
        <f>'Eclectic B'!CE89</f>
        <v>#N/A</v>
      </c>
      <c r="BS89" s="103" t="e">
        <f>'Eclectic B'!CF89</f>
        <v>#N/A</v>
      </c>
    </row>
    <row r="90" spans="1:71">
      <c r="A90" s="10" t="str">
        <f>IF(ISBLANK(Players!F88),"",Players!F88)</f>
        <v/>
      </c>
      <c r="B90" s="10" t="str">
        <f>IF(ISBLANK(Players!G88),"",Players!G88)</f>
        <v/>
      </c>
      <c r="C90" s="10" t="str">
        <f>IF(ISBLANK(Players!I88),"",Players!I88)</f>
        <v/>
      </c>
      <c r="D90" s="69" t="str">
        <f>IF(ISNUMBER(C90),MIN((C90*Rules!$N$14/113)+(Rules!$N$13-Rules!$N$12),Rules!$N$37),"-")</f>
        <v>-</v>
      </c>
      <c r="E90" s="69" t="str">
        <f>IF(ISNUMBER(C90),    ROUND( (D90*Rules!$N$11) / 100,0),"-")</f>
        <v>-</v>
      </c>
      <c r="F90" s="36" t="str">
        <f>IF(AND(ISNUMBER(C90),C90&gt;=Rules!$M$17,C90&lt;=Rules!$N$17),"Y","N")</f>
        <v>N</v>
      </c>
      <c r="G90" s="137" t="str">
        <f>'Eclectic B'!M90</f>
        <v>-</v>
      </c>
      <c r="H90" s="137" t="str">
        <f>'Eclectic B'!W90</f>
        <v>-</v>
      </c>
      <c r="I90" s="137" t="str">
        <f>'Eclectic B'!AJ90</f>
        <v>-</v>
      </c>
      <c r="J90" s="137" t="str">
        <f>'Eclectic B'!AT90</f>
        <v>-</v>
      </c>
      <c r="K90" s="14" t="str">
        <f t="shared" si="19"/>
        <v>-</v>
      </c>
      <c r="L90" s="14" t="str">
        <f t="shared" si="20"/>
        <v>-</v>
      </c>
      <c r="M90" s="14" t="str">
        <f t="shared" si="21"/>
        <v>-</v>
      </c>
      <c r="N90" s="14" t="str">
        <f t="shared" si="22"/>
        <v>-</v>
      </c>
      <c r="O90" s="14" t="str">
        <f t="shared" si="23"/>
        <v>-</v>
      </c>
      <c r="P90" s="14" t="str">
        <f t="shared" si="24"/>
        <v>-</v>
      </c>
      <c r="Q90" s="14" t="e">
        <f>RANK($K90,$K$5:$K$104,1)+COUNTIF(K$5:K90,K90)-1</f>
        <v>#VALUE!</v>
      </c>
      <c r="R90" s="14" t="e">
        <f t="shared" si="25"/>
        <v>#VALUE!</v>
      </c>
      <c r="S90" s="14" t="e">
        <f>RANK($L90,$L$5:$L$104,1)+COUNTIF(L$5:L90,L90)-1</f>
        <v>#VALUE!</v>
      </c>
      <c r="T90" s="14" t="e">
        <f t="shared" si="26"/>
        <v>#VALUE!</v>
      </c>
      <c r="U90" s="14" t="e">
        <f>RANK($M90,$M$5:$M$104,1)+COUNTIF(M$5:M90,M90)-1</f>
        <v>#VALUE!</v>
      </c>
      <c r="V90" s="14" t="e">
        <f t="shared" si="27"/>
        <v>#VALUE!</v>
      </c>
      <c r="W90" s="14" t="e">
        <f>RANK($N90,$N$5:$N$104,1)+COUNTIF(N$5:N90,N90)-1</f>
        <v>#VALUE!</v>
      </c>
      <c r="X90" s="14" t="e">
        <f t="shared" si="28"/>
        <v>#VALUE!</v>
      </c>
      <c r="Y90" s="14" t="e">
        <f>RANK($O90,$O$5:$O$104,1)+COUNTIF(O$5:O90,O90)-1</f>
        <v>#VALUE!</v>
      </c>
      <c r="Z90" s="14" t="e">
        <f t="shared" si="29"/>
        <v>#VALUE!</v>
      </c>
      <c r="AA90" s="14" t="e">
        <f>RANK($P90,$P$5:$P$104,1)+COUNTIF(P$5:P90,P90)-1</f>
        <v>#VALUE!</v>
      </c>
      <c r="AB90" s="14" t="e">
        <f t="shared" si="30"/>
        <v>#VALUE!</v>
      </c>
      <c r="AC90" s="1" t="str">
        <f t="shared" si="31"/>
        <v xml:space="preserve"> </v>
      </c>
      <c r="AD90" s="1" t="str">
        <f t="shared" si="32"/>
        <v>-</v>
      </c>
      <c r="AE90" s="35" t="str">
        <f t="shared" si="18"/>
        <v>-</v>
      </c>
      <c r="AF90" s="35" t="str">
        <f t="shared" si="18"/>
        <v>-</v>
      </c>
      <c r="AG90" s="35" t="str">
        <f t="shared" si="18"/>
        <v>-</v>
      </c>
      <c r="AH90" s="35" t="str">
        <f t="shared" si="17"/>
        <v>-</v>
      </c>
      <c r="AI90" s="35" t="str">
        <f t="shared" si="17"/>
        <v>-</v>
      </c>
      <c r="AJ90" s="35" t="str">
        <f t="shared" si="17"/>
        <v>-</v>
      </c>
      <c r="AL90" s="4">
        <v>86</v>
      </c>
      <c r="AM90" s="2" t="e">
        <f>VLOOKUP(AL90,Q$5:$AJ$104,$AN$2,FALSE)</f>
        <v>#N/A</v>
      </c>
      <c r="AN90" s="6" t="e">
        <f>VLOOKUP(AL90,Q$5:$AJ$104,$AN$2+11,FALSE)</f>
        <v>#N/A</v>
      </c>
      <c r="AO90" s="2" t="e">
        <f t="shared" si="33"/>
        <v>#N/A</v>
      </c>
      <c r="AQ90" s="4">
        <v>86</v>
      </c>
      <c r="AR90" s="2" t="e">
        <f>VLOOKUP(AQ90,$S$5:$AJ$104,$AS$2,FALSE)</f>
        <v>#N/A</v>
      </c>
      <c r="AS90" s="6" t="e">
        <f>VLOOKUP(AQ90,$S$5:$AJ$104,$AS$2+9,FALSE)</f>
        <v>#N/A</v>
      </c>
      <c r="AT90" s="2" t="e">
        <f>VLOOKUP(AR90,$S$5:$AJ$104,$AS$2+12,FALSE)</f>
        <v>#N/A</v>
      </c>
      <c r="AU90" s="9"/>
      <c r="AV90" s="4">
        <v>86</v>
      </c>
      <c r="AW90" s="2" t="e">
        <f>VLOOKUP(AV90,$U$5:$AJ$104,$AX$2,FALSE)</f>
        <v>#N/A</v>
      </c>
      <c r="AX90" s="6" t="e">
        <f>VLOOKUP(AV90,$U$5:$AJ$104,$AX$2+7,FALSE)</f>
        <v>#N/A</v>
      </c>
      <c r="AY90" s="2" t="e">
        <f>VLOOKUP(AW90,$U$5:$AJ$104,$AX$2+11,FALSE)</f>
        <v>#N/A</v>
      </c>
      <c r="BA90" s="4">
        <v>86</v>
      </c>
      <c r="BB90" s="2" t="e">
        <f>VLOOKUP(BA90,$W$5:$AJ$104,$BC$2,FALSE)</f>
        <v>#N/A</v>
      </c>
      <c r="BC90" s="6" t="e">
        <f>VLOOKUP(BA90,$W$5:$AJ$104,$BC$2+5,FALSE)</f>
        <v>#N/A</v>
      </c>
      <c r="BD90" s="58" t="e">
        <f>VLOOKUP(BB90,$W$5:$AJ$104,$BC$2+10,FALSE)</f>
        <v>#N/A</v>
      </c>
      <c r="BE90" s="9"/>
      <c r="BF90" s="4">
        <v>86</v>
      </c>
      <c r="BG90" s="2" t="e">
        <f>VLOOKUP(BF90,$Y$5:$AJ$104,$BH$2,FALSE)</f>
        <v>#N/A</v>
      </c>
      <c r="BH90" s="6" t="e">
        <f>VLOOKUP(BF90,$Y$5:$AJ$104,$BH$2+3,FALSE)</f>
        <v>#N/A</v>
      </c>
      <c r="BI90" s="2" t="e">
        <f>VLOOKUP(BF90,$Y$5:$AJ$104,$BH$2+4,FALSE)</f>
        <v>#N/A</v>
      </c>
      <c r="BJ90" s="2" t="e">
        <f>VLOOKUP(BG90,$Y$5:$AJ$104,$BH$2+9,FALSE)</f>
        <v>#N/A</v>
      </c>
      <c r="BL90" s="4">
        <v>86</v>
      </c>
      <c r="BM90" s="2" t="e">
        <f>VLOOKUP(BL90,$AA$5:$AJ$104,$BN$2,FALSE)</f>
        <v>#N/A</v>
      </c>
      <c r="BN90" s="6" t="e">
        <f>VLOOKUP(BL90,$AA$5:$AJ$104,$BN$2+1,FALSE)</f>
        <v>#N/A</v>
      </c>
      <c r="BO90" s="2" t="e">
        <f>VLOOKUP(BM90,$AA$5:$AJ$104,$BN$2+8,FALSE)</f>
        <v>#N/A</v>
      </c>
      <c r="BQ90" s="2" t="e">
        <f>'Eclectic B'!CD90</f>
        <v>#N/A</v>
      </c>
      <c r="BR90" s="6" t="e">
        <f>'Eclectic B'!CE90</f>
        <v>#N/A</v>
      </c>
      <c r="BS90" s="103" t="e">
        <f>'Eclectic B'!CF90</f>
        <v>#N/A</v>
      </c>
    </row>
    <row r="91" spans="1:71">
      <c r="A91" s="10" t="str">
        <f>IF(ISBLANK(Players!F89),"",Players!F89)</f>
        <v/>
      </c>
      <c r="B91" s="10" t="str">
        <f>IF(ISBLANK(Players!G89),"",Players!G89)</f>
        <v/>
      </c>
      <c r="C91" s="10" t="str">
        <f>IF(ISBLANK(Players!I89),"",Players!I89)</f>
        <v/>
      </c>
      <c r="D91" s="69" t="str">
        <f>IF(ISNUMBER(C91),MIN((C91*Rules!$N$14/113)+(Rules!$N$13-Rules!$N$12),Rules!$N$37),"-")</f>
        <v>-</v>
      </c>
      <c r="E91" s="69" t="str">
        <f>IF(ISNUMBER(C91),    ROUND( (D91*Rules!$N$11) / 100,0),"-")</f>
        <v>-</v>
      </c>
      <c r="F91" s="36" t="str">
        <f>IF(AND(ISNUMBER(C91),C91&gt;=Rules!$M$17,C91&lt;=Rules!$N$17),"Y","N")</f>
        <v>N</v>
      </c>
      <c r="G91" s="137" t="str">
        <f>'Eclectic B'!M91</f>
        <v>-</v>
      </c>
      <c r="H91" s="137" t="str">
        <f>'Eclectic B'!W91</f>
        <v>-</v>
      </c>
      <c r="I91" s="137" t="str">
        <f>'Eclectic B'!AJ91</f>
        <v>-</v>
      </c>
      <c r="J91" s="137" t="str">
        <f>'Eclectic B'!AT91</f>
        <v>-</v>
      </c>
      <c r="K91" s="14" t="str">
        <f t="shared" si="19"/>
        <v>-</v>
      </c>
      <c r="L91" s="14" t="str">
        <f t="shared" si="20"/>
        <v>-</v>
      </c>
      <c r="M91" s="14" t="str">
        <f t="shared" si="21"/>
        <v>-</v>
      </c>
      <c r="N91" s="14" t="str">
        <f t="shared" si="22"/>
        <v>-</v>
      </c>
      <c r="O91" s="14" t="str">
        <f t="shared" si="23"/>
        <v>-</v>
      </c>
      <c r="P91" s="14" t="str">
        <f t="shared" si="24"/>
        <v>-</v>
      </c>
      <c r="Q91" s="14" t="e">
        <f>RANK($K91,$K$5:$K$104,1)+COUNTIF(K$5:K91,K91)-1</f>
        <v>#VALUE!</v>
      </c>
      <c r="R91" s="14" t="e">
        <f t="shared" si="25"/>
        <v>#VALUE!</v>
      </c>
      <c r="S91" s="14" t="e">
        <f>RANK($L91,$L$5:$L$104,1)+COUNTIF(L$5:L91,L91)-1</f>
        <v>#VALUE!</v>
      </c>
      <c r="T91" s="14" t="e">
        <f t="shared" si="26"/>
        <v>#VALUE!</v>
      </c>
      <c r="U91" s="14" t="e">
        <f>RANK($M91,$M$5:$M$104,1)+COUNTIF(M$5:M91,M91)-1</f>
        <v>#VALUE!</v>
      </c>
      <c r="V91" s="14" t="e">
        <f t="shared" si="27"/>
        <v>#VALUE!</v>
      </c>
      <c r="W91" s="14" t="e">
        <f>RANK($N91,$N$5:$N$104,1)+COUNTIF(N$5:N91,N91)-1</f>
        <v>#VALUE!</v>
      </c>
      <c r="X91" s="14" t="e">
        <f t="shared" si="28"/>
        <v>#VALUE!</v>
      </c>
      <c r="Y91" s="14" t="e">
        <f>RANK($O91,$O$5:$O$104,1)+COUNTIF(O$5:O91,O91)-1</f>
        <v>#VALUE!</v>
      </c>
      <c r="Z91" s="14" t="e">
        <f t="shared" si="29"/>
        <v>#VALUE!</v>
      </c>
      <c r="AA91" s="14" t="e">
        <f>RANK($P91,$P$5:$P$104,1)+COUNTIF(P$5:P91,P91)-1</f>
        <v>#VALUE!</v>
      </c>
      <c r="AB91" s="14" t="e">
        <f t="shared" si="30"/>
        <v>#VALUE!</v>
      </c>
      <c r="AC91" s="1" t="str">
        <f t="shared" si="31"/>
        <v xml:space="preserve"> </v>
      </c>
      <c r="AD91" s="1" t="str">
        <f t="shared" si="32"/>
        <v>-</v>
      </c>
      <c r="AE91" s="35" t="str">
        <f t="shared" si="18"/>
        <v>-</v>
      </c>
      <c r="AF91" s="35" t="str">
        <f t="shared" si="18"/>
        <v>-</v>
      </c>
      <c r="AG91" s="35" t="str">
        <f t="shared" si="18"/>
        <v>-</v>
      </c>
      <c r="AH91" s="35" t="str">
        <f t="shared" si="17"/>
        <v>-</v>
      </c>
      <c r="AI91" s="35" t="str">
        <f t="shared" si="17"/>
        <v>-</v>
      </c>
      <c r="AJ91" s="35" t="str">
        <f t="shared" si="17"/>
        <v>-</v>
      </c>
      <c r="AL91" s="4">
        <v>87</v>
      </c>
      <c r="AM91" s="2" t="e">
        <f>VLOOKUP(AL91,Q$5:$AJ$104,$AN$2,FALSE)</f>
        <v>#N/A</v>
      </c>
      <c r="AN91" s="6" t="e">
        <f>VLOOKUP(AL91,Q$5:$AJ$104,$AN$2+11,FALSE)</f>
        <v>#N/A</v>
      </c>
      <c r="AO91" s="2" t="e">
        <f t="shared" si="33"/>
        <v>#N/A</v>
      </c>
      <c r="AQ91" s="4">
        <v>87</v>
      </c>
      <c r="AR91" s="2" t="e">
        <f>VLOOKUP(AQ91,$S$5:$AJ$104,$AS$2,FALSE)</f>
        <v>#N/A</v>
      </c>
      <c r="AS91" s="6" t="e">
        <f>VLOOKUP(AQ91,$S$5:$AJ$104,$AS$2+9,FALSE)</f>
        <v>#N/A</v>
      </c>
      <c r="AT91" s="2" t="e">
        <f>VLOOKUP(AR91,$S$5:$AJ$104,$AS$2+12,FALSE)</f>
        <v>#N/A</v>
      </c>
      <c r="AU91" s="9"/>
      <c r="AV91" s="4">
        <v>87</v>
      </c>
      <c r="AW91" s="2" t="e">
        <f>VLOOKUP(AV91,$U$5:$AJ$104,$AX$2,FALSE)</f>
        <v>#N/A</v>
      </c>
      <c r="AX91" s="6" t="e">
        <f>VLOOKUP(AV91,$U$5:$AJ$104,$AX$2+7,FALSE)</f>
        <v>#N/A</v>
      </c>
      <c r="AY91" s="2" t="e">
        <f>VLOOKUP(AW91,$U$5:$AJ$104,$AX$2+11,FALSE)</f>
        <v>#N/A</v>
      </c>
      <c r="BA91" s="4">
        <v>87</v>
      </c>
      <c r="BB91" s="2" t="e">
        <f>VLOOKUP(BA91,$W$5:$AJ$104,$BC$2,FALSE)</f>
        <v>#N/A</v>
      </c>
      <c r="BC91" s="6" t="e">
        <f>VLOOKUP(BA91,$W$5:$AJ$104,$BC$2+5,FALSE)</f>
        <v>#N/A</v>
      </c>
      <c r="BD91" s="58" t="e">
        <f>VLOOKUP(BB91,$W$5:$AJ$104,$BC$2+10,FALSE)</f>
        <v>#N/A</v>
      </c>
      <c r="BE91" s="9"/>
      <c r="BF91" s="4">
        <v>87</v>
      </c>
      <c r="BG91" s="2" t="e">
        <f>VLOOKUP(BF91,$Y$5:$AJ$104,$BH$2,FALSE)</f>
        <v>#N/A</v>
      </c>
      <c r="BH91" s="6" t="e">
        <f>VLOOKUP(BF91,$Y$5:$AJ$104,$BH$2+3,FALSE)</f>
        <v>#N/A</v>
      </c>
      <c r="BI91" s="2" t="e">
        <f>VLOOKUP(BF91,$Y$5:$AJ$104,$BH$2+4,FALSE)</f>
        <v>#N/A</v>
      </c>
      <c r="BJ91" s="2" t="e">
        <f>VLOOKUP(BG91,$Y$5:$AJ$104,$BH$2+9,FALSE)</f>
        <v>#N/A</v>
      </c>
      <c r="BL91" s="4">
        <v>87</v>
      </c>
      <c r="BM91" s="2" t="e">
        <f>VLOOKUP(BL91,$AA$5:$AJ$104,$BN$2,FALSE)</f>
        <v>#N/A</v>
      </c>
      <c r="BN91" s="6" t="e">
        <f>VLOOKUP(BL91,$AA$5:$AJ$104,$BN$2+1,FALSE)</f>
        <v>#N/A</v>
      </c>
      <c r="BO91" s="2" t="e">
        <f>VLOOKUP(BM91,$AA$5:$AJ$104,$BN$2+8,FALSE)</f>
        <v>#N/A</v>
      </c>
      <c r="BQ91" s="2" t="e">
        <f>'Eclectic B'!CD91</f>
        <v>#N/A</v>
      </c>
      <c r="BR91" s="6" t="e">
        <f>'Eclectic B'!CE91</f>
        <v>#N/A</v>
      </c>
      <c r="BS91" s="103" t="e">
        <f>'Eclectic B'!CF91</f>
        <v>#N/A</v>
      </c>
    </row>
    <row r="92" spans="1:71">
      <c r="A92" s="10" t="str">
        <f>IF(ISBLANK(Players!F90),"",Players!F90)</f>
        <v/>
      </c>
      <c r="B92" s="10" t="str">
        <f>IF(ISBLANK(Players!G90),"",Players!G90)</f>
        <v/>
      </c>
      <c r="C92" s="10" t="str">
        <f>IF(ISBLANK(Players!I90),"",Players!I90)</f>
        <v/>
      </c>
      <c r="D92" s="69" t="str">
        <f>IF(ISNUMBER(C92),MIN((C92*Rules!$N$14/113)+(Rules!$N$13-Rules!$N$12),Rules!$N$37),"-")</f>
        <v>-</v>
      </c>
      <c r="E92" s="69" t="str">
        <f>IF(ISNUMBER(C92),    ROUND( (D92*Rules!$N$11) / 100,0),"-")</f>
        <v>-</v>
      </c>
      <c r="F92" s="36" t="str">
        <f>IF(AND(ISNUMBER(C92),C92&gt;=Rules!$M$17,C92&lt;=Rules!$N$17),"Y","N")</f>
        <v>N</v>
      </c>
      <c r="G92" s="137" t="str">
        <f>'Eclectic B'!M92</f>
        <v>-</v>
      </c>
      <c r="H92" s="137" t="str">
        <f>'Eclectic B'!W92</f>
        <v>-</v>
      </c>
      <c r="I92" s="137" t="str">
        <f>'Eclectic B'!AJ92</f>
        <v>-</v>
      </c>
      <c r="J92" s="137" t="str">
        <f>'Eclectic B'!AT92</f>
        <v>-</v>
      </c>
      <c r="K92" s="14" t="str">
        <f t="shared" si="19"/>
        <v>-</v>
      </c>
      <c r="L92" s="14" t="str">
        <f t="shared" si="20"/>
        <v>-</v>
      </c>
      <c r="M92" s="14" t="str">
        <f t="shared" si="21"/>
        <v>-</v>
      </c>
      <c r="N92" s="14" t="str">
        <f t="shared" si="22"/>
        <v>-</v>
      </c>
      <c r="O92" s="14" t="str">
        <f t="shared" si="23"/>
        <v>-</v>
      </c>
      <c r="P92" s="14" t="str">
        <f t="shared" si="24"/>
        <v>-</v>
      </c>
      <c r="Q92" s="14" t="e">
        <f>RANK($K92,$K$5:$K$104,1)+COUNTIF(K$5:K92,K92)-1</f>
        <v>#VALUE!</v>
      </c>
      <c r="R92" s="14" t="e">
        <f t="shared" si="25"/>
        <v>#VALUE!</v>
      </c>
      <c r="S92" s="14" t="e">
        <f>RANK($L92,$L$5:$L$104,1)+COUNTIF(L$5:L92,L92)-1</f>
        <v>#VALUE!</v>
      </c>
      <c r="T92" s="14" t="e">
        <f t="shared" si="26"/>
        <v>#VALUE!</v>
      </c>
      <c r="U92" s="14" t="e">
        <f>RANK($M92,$M$5:$M$104,1)+COUNTIF(M$5:M92,M92)-1</f>
        <v>#VALUE!</v>
      </c>
      <c r="V92" s="14" t="e">
        <f t="shared" si="27"/>
        <v>#VALUE!</v>
      </c>
      <c r="W92" s="14" t="e">
        <f>RANK($N92,$N$5:$N$104,1)+COUNTIF(N$5:N92,N92)-1</f>
        <v>#VALUE!</v>
      </c>
      <c r="X92" s="14" t="e">
        <f t="shared" si="28"/>
        <v>#VALUE!</v>
      </c>
      <c r="Y92" s="14" t="e">
        <f>RANK($O92,$O$5:$O$104,1)+COUNTIF(O$5:O92,O92)-1</f>
        <v>#VALUE!</v>
      </c>
      <c r="Z92" s="14" t="e">
        <f t="shared" si="29"/>
        <v>#VALUE!</v>
      </c>
      <c r="AA92" s="14" t="e">
        <f>RANK($P92,$P$5:$P$104,1)+COUNTIF(P$5:P92,P92)-1</f>
        <v>#VALUE!</v>
      </c>
      <c r="AB92" s="14" t="e">
        <f t="shared" si="30"/>
        <v>#VALUE!</v>
      </c>
      <c r="AC92" s="1" t="str">
        <f t="shared" si="31"/>
        <v xml:space="preserve"> </v>
      </c>
      <c r="AD92" s="1" t="str">
        <f t="shared" si="32"/>
        <v>-</v>
      </c>
      <c r="AE92" s="35" t="str">
        <f t="shared" si="18"/>
        <v>-</v>
      </c>
      <c r="AF92" s="35" t="str">
        <f t="shared" si="18"/>
        <v>-</v>
      </c>
      <c r="AG92" s="35" t="str">
        <f t="shared" si="18"/>
        <v>-</v>
      </c>
      <c r="AH92" s="35" t="str">
        <f t="shared" si="17"/>
        <v>-</v>
      </c>
      <c r="AI92" s="35" t="str">
        <f t="shared" si="17"/>
        <v>-</v>
      </c>
      <c r="AJ92" s="35" t="str">
        <f t="shared" si="17"/>
        <v>-</v>
      </c>
      <c r="AL92" s="4">
        <v>88</v>
      </c>
      <c r="AM92" s="2" t="e">
        <f>VLOOKUP(AL92,Q$5:$AJ$104,$AN$2,FALSE)</f>
        <v>#N/A</v>
      </c>
      <c r="AN92" s="6" t="e">
        <f>VLOOKUP(AL92,Q$5:$AJ$104,$AN$2+11,FALSE)</f>
        <v>#N/A</v>
      </c>
      <c r="AO92" s="2" t="e">
        <f t="shared" si="33"/>
        <v>#N/A</v>
      </c>
      <c r="AQ92" s="4">
        <v>88</v>
      </c>
      <c r="AR92" s="2" t="e">
        <f>VLOOKUP(AQ92,$S$5:$AJ$104,$AS$2,FALSE)</f>
        <v>#N/A</v>
      </c>
      <c r="AS92" s="6" t="e">
        <f>VLOOKUP(AQ92,$S$5:$AJ$104,$AS$2+9,FALSE)</f>
        <v>#N/A</v>
      </c>
      <c r="AT92" s="2" t="e">
        <f>VLOOKUP(AR92,$S$5:$AJ$104,$AS$2+12,FALSE)</f>
        <v>#N/A</v>
      </c>
      <c r="AU92" s="9"/>
      <c r="AV92" s="4">
        <v>88</v>
      </c>
      <c r="AW92" s="2" t="e">
        <f>VLOOKUP(AV92,$U$5:$AJ$104,$AX$2,FALSE)</f>
        <v>#N/A</v>
      </c>
      <c r="AX92" s="6" t="e">
        <f>VLOOKUP(AV92,$U$5:$AJ$104,$AX$2+7,FALSE)</f>
        <v>#N/A</v>
      </c>
      <c r="AY92" s="2" t="e">
        <f>VLOOKUP(AW92,$U$5:$AJ$104,$AX$2+11,FALSE)</f>
        <v>#N/A</v>
      </c>
      <c r="BA92" s="4">
        <v>88</v>
      </c>
      <c r="BB92" s="2" t="e">
        <f>VLOOKUP(BA92,$W$5:$AJ$104,$BC$2,FALSE)</f>
        <v>#N/A</v>
      </c>
      <c r="BC92" s="6" t="e">
        <f>VLOOKUP(BA92,$W$5:$AJ$104,$BC$2+5,FALSE)</f>
        <v>#N/A</v>
      </c>
      <c r="BD92" s="58" t="e">
        <f>VLOOKUP(BB92,$W$5:$AJ$104,$BC$2+10,FALSE)</f>
        <v>#N/A</v>
      </c>
      <c r="BE92" s="9"/>
      <c r="BF92" s="4">
        <v>88</v>
      </c>
      <c r="BG92" s="2" t="e">
        <f>VLOOKUP(BF92,$Y$5:$AJ$104,$BH$2,FALSE)</f>
        <v>#N/A</v>
      </c>
      <c r="BH92" s="6" t="e">
        <f>VLOOKUP(BF92,$Y$5:$AJ$104,$BH$2+3,FALSE)</f>
        <v>#N/A</v>
      </c>
      <c r="BI92" s="2" t="e">
        <f>VLOOKUP(BF92,$Y$5:$AJ$104,$BH$2+4,FALSE)</f>
        <v>#N/A</v>
      </c>
      <c r="BJ92" s="2" t="e">
        <f>VLOOKUP(BG92,$Y$5:$AJ$104,$BH$2+9,FALSE)</f>
        <v>#N/A</v>
      </c>
      <c r="BL92" s="4">
        <v>88</v>
      </c>
      <c r="BM92" s="2" t="e">
        <f>VLOOKUP(BL92,$AA$5:$AJ$104,$BN$2,FALSE)</f>
        <v>#N/A</v>
      </c>
      <c r="BN92" s="6" t="e">
        <f>VLOOKUP(BL92,$AA$5:$AJ$104,$BN$2+1,FALSE)</f>
        <v>#N/A</v>
      </c>
      <c r="BO92" s="2" t="e">
        <f>VLOOKUP(BM92,$AA$5:$AJ$104,$BN$2+8,FALSE)</f>
        <v>#N/A</v>
      </c>
      <c r="BQ92" s="2" t="e">
        <f>'Eclectic B'!CD92</f>
        <v>#N/A</v>
      </c>
      <c r="BR92" s="6" t="e">
        <f>'Eclectic B'!CE92</f>
        <v>#N/A</v>
      </c>
      <c r="BS92" s="103" t="e">
        <f>'Eclectic B'!CF92</f>
        <v>#N/A</v>
      </c>
    </row>
    <row r="93" spans="1:71">
      <c r="A93" s="10" t="str">
        <f>IF(ISBLANK(Players!F91),"",Players!F91)</f>
        <v/>
      </c>
      <c r="B93" s="10" t="str">
        <f>IF(ISBLANK(Players!G91),"",Players!G91)</f>
        <v/>
      </c>
      <c r="C93" s="10" t="str">
        <f>IF(ISBLANK(Players!I91),"",Players!I91)</f>
        <v/>
      </c>
      <c r="D93" s="69" t="str">
        <f>IF(ISNUMBER(C93),MIN((C93*Rules!$N$14/113)+(Rules!$N$13-Rules!$N$12),Rules!$N$37),"-")</f>
        <v>-</v>
      </c>
      <c r="E93" s="69" t="str">
        <f>IF(ISNUMBER(C93),    ROUND( (D93*Rules!$N$11) / 100,0),"-")</f>
        <v>-</v>
      </c>
      <c r="F93" s="36" t="str">
        <f>IF(AND(ISNUMBER(C93),C93&gt;=Rules!$M$17,C93&lt;=Rules!$N$17),"Y","N")</f>
        <v>N</v>
      </c>
      <c r="G93" s="137" t="str">
        <f>'Eclectic B'!M93</f>
        <v>-</v>
      </c>
      <c r="H93" s="137" t="str">
        <f>'Eclectic B'!W93</f>
        <v>-</v>
      </c>
      <c r="I93" s="137" t="str">
        <f>'Eclectic B'!AJ93</f>
        <v>-</v>
      </c>
      <c r="J93" s="137" t="str">
        <f>'Eclectic B'!AT93</f>
        <v>-</v>
      </c>
      <c r="K93" s="14" t="str">
        <f t="shared" si="19"/>
        <v>-</v>
      </c>
      <c r="L93" s="14" t="str">
        <f t="shared" si="20"/>
        <v>-</v>
      </c>
      <c r="M93" s="14" t="str">
        <f t="shared" si="21"/>
        <v>-</v>
      </c>
      <c r="N93" s="14" t="str">
        <f t="shared" si="22"/>
        <v>-</v>
      </c>
      <c r="O93" s="14" t="str">
        <f t="shared" si="23"/>
        <v>-</v>
      </c>
      <c r="P93" s="14" t="str">
        <f t="shared" si="24"/>
        <v>-</v>
      </c>
      <c r="Q93" s="14" t="e">
        <f>RANK($K93,$K$5:$K$104,1)+COUNTIF(K$5:K93,K93)-1</f>
        <v>#VALUE!</v>
      </c>
      <c r="R93" s="14" t="e">
        <f t="shared" si="25"/>
        <v>#VALUE!</v>
      </c>
      <c r="S93" s="14" t="e">
        <f>RANK($L93,$L$5:$L$104,1)+COUNTIF(L$5:L93,L93)-1</f>
        <v>#VALUE!</v>
      </c>
      <c r="T93" s="14" t="e">
        <f t="shared" si="26"/>
        <v>#VALUE!</v>
      </c>
      <c r="U93" s="14" t="e">
        <f>RANK($M93,$M$5:$M$104,1)+COUNTIF(M$5:M93,M93)-1</f>
        <v>#VALUE!</v>
      </c>
      <c r="V93" s="14" t="e">
        <f t="shared" si="27"/>
        <v>#VALUE!</v>
      </c>
      <c r="W93" s="14" t="e">
        <f>RANK($N93,$N$5:$N$104,1)+COUNTIF(N$5:N93,N93)-1</f>
        <v>#VALUE!</v>
      </c>
      <c r="X93" s="14" t="e">
        <f t="shared" si="28"/>
        <v>#VALUE!</v>
      </c>
      <c r="Y93" s="14" t="e">
        <f>RANK($O93,$O$5:$O$104,1)+COUNTIF(O$5:O93,O93)-1</f>
        <v>#VALUE!</v>
      </c>
      <c r="Z93" s="14" t="e">
        <f t="shared" si="29"/>
        <v>#VALUE!</v>
      </c>
      <c r="AA93" s="14" t="e">
        <f>RANK($P93,$P$5:$P$104,1)+COUNTIF(P$5:P93,P93)-1</f>
        <v>#VALUE!</v>
      </c>
      <c r="AB93" s="14" t="e">
        <f t="shared" si="30"/>
        <v>#VALUE!</v>
      </c>
      <c r="AC93" s="1" t="str">
        <f t="shared" si="31"/>
        <v xml:space="preserve"> </v>
      </c>
      <c r="AD93" s="1" t="str">
        <f t="shared" si="32"/>
        <v>-</v>
      </c>
      <c r="AE93" s="35" t="str">
        <f t="shared" si="18"/>
        <v>-</v>
      </c>
      <c r="AF93" s="35" t="str">
        <f t="shared" si="18"/>
        <v>-</v>
      </c>
      <c r="AG93" s="35" t="str">
        <f t="shared" si="18"/>
        <v>-</v>
      </c>
      <c r="AH93" s="35" t="str">
        <f t="shared" si="17"/>
        <v>-</v>
      </c>
      <c r="AI93" s="35" t="str">
        <f t="shared" si="17"/>
        <v>-</v>
      </c>
      <c r="AJ93" s="35" t="str">
        <f t="shared" si="17"/>
        <v>-</v>
      </c>
      <c r="AL93" s="4">
        <v>89</v>
      </c>
      <c r="AM93" s="2" t="e">
        <f>VLOOKUP(AL93,Q$5:$AJ$104,$AN$2,FALSE)</f>
        <v>#N/A</v>
      </c>
      <c r="AN93" s="6" t="e">
        <f>VLOOKUP(AL93,Q$5:$AJ$104,$AN$2+11,FALSE)</f>
        <v>#N/A</v>
      </c>
      <c r="AO93" s="2" t="e">
        <f t="shared" si="33"/>
        <v>#N/A</v>
      </c>
      <c r="AQ93" s="4">
        <v>89</v>
      </c>
      <c r="AR93" s="2" t="e">
        <f>VLOOKUP(AQ93,$S$5:$AJ$104,$AS$2,FALSE)</f>
        <v>#N/A</v>
      </c>
      <c r="AS93" s="6" t="e">
        <f>VLOOKUP(AQ93,$S$5:$AJ$104,$AS$2+9,FALSE)</f>
        <v>#N/A</v>
      </c>
      <c r="AT93" s="2" t="e">
        <f>VLOOKUP(AR93,$S$5:$AJ$104,$AS$2+12,FALSE)</f>
        <v>#N/A</v>
      </c>
      <c r="AU93" s="9"/>
      <c r="AV93" s="4">
        <v>89</v>
      </c>
      <c r="AW93" s="2" t="e">
        <f>VLOOKUP(AV93,$U$5:$AJ$104,$AX$2,FALSE)</f>
        <v>#N/A</v>
      </c>
      <c r="AX93" s="6" t="e">
        <f>VLOOKUP(AV93,$U$5:$AJ$104,$AX$2+7,FALSE)</f>
        <v>#N/A</v>
      </c>
      <c r="AY93" s="2" t="e">
        <f>VLOOKUP(AW93,$U$5:$AJ$104,$AX$2+11,FALSE)</f>
        <v>#N/A</v>
      </c>
      <c r="BA93" s="4">
        <v>89</v>
      </c>
      <c r="BB93" s="2" t="e">
        <f>VLOOKUP(BA93,$W$5:$AJ$104,$BC$2,FALSE)</f>
        <v>#N/A</v>
      </c>
      <c r="BC93" s="6" t="e">
        <f>VLOOKUP(BA93,$W$5:$AJ$104,$BC$2+5,FALSE)</f>
        <v>#N/A</v>
      </c>
      <c r="BD93" s="58" t="e">
        <f>VLOOKUP(BB93,$W$5:$AJ$104,$BC$2+10,FALSE)</f>
        <v>#N/A</v>
      </c>
      <c r="BE93" s="9"/>
      <c r="BF93" s="4">
        <v>89</v>
      </c>
      <c r="BG93" s="2" t="e">
        <f>VLOOKUP(BF93,$Y$5:$AJ$104,$BH$2,FALSE)</f>
        <v>#N/A</v>
      </c>
      <c r="BH93" s="6" t="e">
        <f>VLOOKUP(BF93,$Y$5:$AJ$104,$BH$2+3,FALSE)</f>
        <v>#N/A</v>
      </c>
      <c r="BI93" s="2" t="e">
        <f>VLOOKUP(BF93,$Y$5:$AJ$104,$BH$2+4,FALSE)</f>
        <v>#N/A</v>
      </c>
      <c r="BJ93" s="2" t="e">
        <f>VLOOKUP(BG93,$Y$5:$AJ$104,$BH$2+9,FALSE)</f>
        <v>#N/A</v>
      </c>
      <c r="BL93" s="4">
        <v>89</v>
      </c>
      <c r="BM93" s="2" t="e">
        <f>VLOOKUP(BL93,$AA$5:$AJ$104,$BN$2,FALSE)</f>
        <v>#N/A</v>
      </c>
      <c r="BN93" s="6" t="e">
        <f>VLOOKUP(BL93,$AA$5:$AJ$104,$BN$2+1,FALSE)</f>
        <v>#N/A</v>
      </c>
      <c r="BO93" s="2" t="e">
        <f>VLOOKUP(BM93,$AA$5:$AJ$104,$BN$2+8,FALSE)</f>
        <v>#N/A</v>
      </c>
      <c r="BQ93" s="2" t="e">
        <f>'Eclectic B'!CD93</f>
        <v>#N/A</v>
      </c>
      <c r="BR93" s="6" t="e">
        <f>'Eclectic B'!CE93</f>
        <v>#N/A</v>
      </c>
      <c r="BS93" s="103" t="e">
        <f>'Eclectic B'!CF93</f>
        <v>#N/A</v>
      </c>
    </row>
    <row r="94" spans="1:71">
      <c r="A94" s="10" t="str">
        <f>IF(ISBLANK(Players!F92),"",Players!F92)</f>
        <v/>
      </c>
      <c r="B94" s="10" t="str">
        <f>IF(ISBLANK(Players!G92),"",Players!G92)</f>
        <v/>
      </c>
      <c r="C94" s="10" t="str">
        <f>IF(ISBLANK(Players!I92),"",Players!I92)</f>
        <v/>
      </c>
      <c r="D94" s="69" t="str">
        <f>IF(ISNUMBER(C94),MIN((C94*Rules!$N$14/113)+(Rules!$N$13-Rules!$N$12),Rules!$N$37),"-")</f>
        <v>-</v>
      </c>
      <c r="E94" s="69" t="str">
        <f>IF(ISNUMBER(C94),    ROUND( (D94*Rules!$N$11) / 100,0),"-")</f>
        <v>-</v>
      </c>
      <c r="F94" s="36" t="str">
        <f>IF(AND(ISNUMBER(C94),C94&gt;=Rules!$M$17,C94&lt;=Rules!$N$17),"Y","N")</f>
        <v>N</v>
      </c>
      <c r="G94" s="137" t="str">
        <f>'Eclectic B'!M94</f>
        <v>-</v>
      </c>
      <c r="H94" s="137" t="str">
        <f>'Eclectic B'!W94</f>
        <v>-</v>
      </c>
      <c r="I94" s="137" t="str">
        <f>'Eclectic B'!AJ94</f>
        <v>-</v>
      </c>
      <c r="J94" s="137" t="str">
        <f>'Eclectic B'!AT94</f>
        <v>-</v>
      </c>
      <c r="K94" s="14" t="str">
        <f t="shared" si="19"/>
        <v>-</v>
      </c>
      <c r="L94" s="14" t="str">
        <f t="shared" si="20"/>
        <v>-</v>
      </c>
      <c r="M94" s="14" t="str">
        <f t="shared" si="21"/>
        <v>-</v>
      </c>
      <c r="N94" s="14" t="str">
        <f t="shared" si="22"/>
        <v>-</v>
      </c>
      <c r="O94" s="14" t="str">
        <f t="shared" si="23"/>
        <v>-</v>
      </c>
      <c r="P94" s="14" t="str">
        <f t="shared" si="24"/>
        <v>-</v>
      </c>
      <c r="Q94" s="14" t="e">
        <f>RANK($K94,$K$5:$K$104,1)+COUNTIF(K$5:K94,K94)-1</f>
        <v>#VALUE!</v>
      </c>
      <c r="R94" s="14" t="e">
        <f t="shared" si="25"/>
        <v>#VALUE!</v>
      </c>
      <c r="S94" s="14" t="e">
        <f>RANK($L94,$L$5:$L$104,1)+COUNTIF(L$5:L94,L94)-1</f>
        <v>#VALUE!</v>
      </c>
      <c r="T94" s="14" t="e">
        <f t="shared" si="26"/>
        <v>#VALUE!</v>
      </c>
      <c r="U94" s="14" t="e">
        <f>RANK($M94,$M$5:$M$104,1)+COUNTIF(M$5:M94,M94)-1</f>
        <v>#VALUE!</v>
      </c>
      <c r="V94" s="14" t="e">
        <f t="shared" si="27"/>
        <v>#VALUE!</v>
      </c>
      <c r="W94" s="14" t="e">
        <f>RANK($N94,$N$5:$N$104,1)+COUNTIF(N$5:N94,N94)-1</f>
        <v>#VALUE!</v>
      </c>
      <c r="X94" s="14" t="e">
        <f t="shared" si="28"/>
        <v>#VALUE!</v>
      </c>
      <c r="Y94" s="14" t="e">
        <f>RANK($O94,$O$5:$O$104,1)+COUNTIF(O$5:O94,O94)-1</f>
        <v>#VALUE!</v>
      </c>
      <c r="Z94" s="14" t="e">
        <f t="shared" si="29"/>
        <v>#VALUE!</v>
      </c>
      <c r="AA94" s="14" t="e">
        <f>RANK($P94,$P$5:$P$104,1)+COUNTIF(P$5:P94,P94)-1</f>
        <v>#VALUE!</v>
      </c>
      <c r="AB94" s="14" t="e">
        <f t="shared" si="30"/>
        <v>#VALUE!</v>
      </c>
      <c r="AC94" s="1" t="str">
        <f t="shared" si="31"/>
        <v xml:space="preserve"> </v>
      </c>
      <c r="AD94" s="1" t="str">
        <f t="shared" si="32"/>
        <v>-</v>
      </c>
      <c r="AE94" s="35" t="str">
        <f t="shared" si="18"/>
        <v>-</v>
      </c>
      <c r="AF94" s="35" t="str">
        <f t="shared" si="18"/>
        <v>-</v>
      </c>
      <c r="AG94" s="35" t="str">
        <f t="shared" si="18"/>
        <v>-</v>
      </c>
      <c r="AH94" s="35" t="str">
        <f t="shared" si="17"/>
        <v>-</v>
      </c>
      <c r="AI94" s="35" t="str">
        <f t="shared" si="17"/>
        <v>-</v>
      </c>
      <c r="AJ94" s="35" t="str">
        <f t="shared" si="17"/>
        <v>-</v>
      </c>
      <c r="AL94" s="4">
        <v>90</v>
      </c>
      <c r="AM94" s="2" t="e">
        <f>VLOOKUP(AL94,Q$5:$AJ$104,$AN$2,FALSE)</f>
        <v>#N/A</v>
      </c>
      <c r="AN94" s="6" t="e">
        <f>VLOOKUP(AL94,Q$5:$AJ$104,$AN$2+11,FALSE)</f>
        <v>#N/A</v>
      </c>
      <c r="AO94" s="2" t="e">
        <f t="shared" si="33"/>
        <v>#N/A</v>
      </c>
      <c r="AQ94" s="4">
        <v>90</v>
      </c>
      <c r="AR94" s="2" t="e">
        <f>VLOOKUP(AQ94,$S$5:$AJ$104,$AS$2,FALSE)</f>
        <v>#N/A</v>
      </c>
      <c r="AS94" s="6" t="e">
        <f>VLOOKUP(AQ94,$S$5:$AJ$104,$AS$2+9,FALSE)</f>
        <v>#N/A</v>
      </c>
      <c r="AT94" s="2" t="e">
        <f>VLOOKUP(AR94,$S$5:$AJ$104,$AS$2+12,FALSE)</f>
        <v>#N/A</v>
      </c>
      <c r="AU94" s="9"/>
      <c r="AV94" s="4">
        <v>90</v>
      </c>
      <c r="AW94" s="2" t="e">
        <f>VLOOKUP(AV94,$U$5:$AJ$104,$AX$2,FALSE)</f>
        <v>#N/A</v>
      </c>
      <c r="AX94" s="6" t="e">
        <f>VLOOKUP(AV94,$U$5:$AJ$104,$AX$2+7,FALSE)</f>
        <v>#N/A</v>
      </c>
      <c r="AY94" s="2" t="e">
        <f>VLOOKUP(AW94,$U$5:$AJ$104,$AX$2+11,FALSE)</f>
        <v>#N/A</v>
      </c>
      <c r="BA94" s="4">
        <v>90</v>
      </c>
      <c r="BB94" s="2" t="e">
        <f>VLOOKUP(BA94,$W$5:$AJ$104,$BC$2,FALSE)</f>
        <v>#N/A</v>
      </c>
      <c r="BC94" s="6" t="e">
        <f>VLOOKUP(BA94,$W$5:$AJ$104,$BC$2+5,FALSE)</f>
        <v>#N/A</v>
      </c>
      <c r="BD94" s="58" t="e">
        <f>VLOOKUP(BB94,$W$5:$AJ$104,$BC$2+10,FALSE)</f>
        <v>#N/A</v>
      </c>
      <c r="BE94" s="9"/>
      <c r="BF94" s="4">
        <v>90</v>
      </c>
      <c r="BG94" s="2" t="e">
        <f>VLOOKUP(BF94,$Y$5:$AJ$104,$BH$2,FALSE)</f>
        <v>#N/A</v>
      </c>
      <c r="BH94" s="6" t="e">
        <f>VLOOKUP(BF94,$Y$5:$AJ$104,$BH$2+3,FALSE)</f>
        <v>#N/A</v>
      </c>
      <c r="BI94" s="2" t="e">
        <f>VLOOKUP(BF94,$Y$5:$AJ$104,$BH$2+4,FALSE)</f>
        <v>#N/A</v>
      </c>
      <c r="BJ94" s="2" t="e">
        <f>VLOOKUP(BG94,$Y$5:$AJ$104,$BH$2+9,FALSE)</f>
        <v>#N/A</v>
      </c>
      <c r="BL94" s="4">
        <v>90</v>
      </c>
      <c r="BM94" s="2" t="e">
        <f>VLOOKUP(BL94,$AA$5:$AJ$104,$BN$2,FALSE)</f>
        <v>#N/A</v>
      </c>
      <c r="BN94" s="6" t="e">
        <f>VLOOKUP(BL94,$AA$5:$AJ$104,$BN$2+1,FALSE)</f>
        <v>#N/A</v>
      </c>
      <c r="BO94" s="2" t="e">
        <f>VLOOKUP(BM94,$AA$5:$AJ$104,$BN$2+8,FALSE)</f>
        <v>#N/A</v>
      </c>
      <c r="BQ94" s="2" t="e">
        <f>'Eclectic B'!CD94</f>
        <v>#N/A</v>
      </c>
      <c r="BR94" s="6" t="e">
        <f>'Eclectic B'!CE94</f>
        <v>#N/A</v>
      </c>
      <c r="BS94" s="103" t="e">
        <f>'Eclectic B'!CF94</f>
        <v>#N/A</v>
      </c>
    </row>
    <row r="95" spans="1:71">
      <c r="A95" s="10" t="str">
        <f>IF(ISBLANK(Players!F93),"",Players!F93)</f>
        <v/>
      </c>
      <c r="B95" s="10" t="str">
        <f>IF(ISBLANK(Players!G93),"",Players!G93)</f>
        <v/>
      </c>
      <c r="C95" s="10" t="str">
        <f>IF(ISBLANK(Players!I93),"",Players!I93)</f>
        <v/>
      </c>
      <c r="D95" s="69" t="str">
        <f>IF(ISNUMBER(C95),MIN((C95*Rules!$N$14/113)+(Rules!$N$13-Rules!$N$12),Rules!$N$37),"-")</f>
        <v>-</v>
      </c>
      <c r="E95" s="69" t="str">
        <f>IF(ISNUMBER(C95),    ROUND( (D95*Rules!$N$11) / 100,0),"-")</f>
        <v>-</v>
      </c>
      <c r="F95" s="36" t="str">
        <f>IF(AND(ISNUMBER(C95),C95&gt;=Rules!$M$17,C95&lt;=Rules!$N$17),"Y","N")</f>
        <v>N</v>
      </c>
      <c r="G95" s="137" t="str">
        <f>'Eclectic B'!M95</f>
        <v>-</v>
      </c>
      <c r="H95" s="137" t="str">
        <f>'Eclectic B'!W95</f>
        <v>-</v>
      </c>
      <c r="I95" s="137" t="str">
        <f>'Eclectic B'!AJ95</f>
        <v>-</v>
      </c>
      <c r="J95" s="137" t="str">
        <f>'Eclectic B'!AT95</f>
        <v>-</v>
      </c>
      <c r="K95" s="14" t="str">
        <f t="shared" si="19"/>
        <v>-</v>
      </c>
      <c r="L95" s="14" t="str">
        <f t="shared" si="20"/>
        <v>-</v>
      </c>
      <c r="M95" s="14" t="str">
        <f t="shared" si="21"/>
        <v>-</v>
      </c>
      <c r="N95" s="14" t="str">
        <f t="shared" si="22"/>
        <v>-</v>
      </c>
      <c r="O95" s="14" t="str">
        <f t="shared" si="23"/>
        <v>-</v>
      </c>
      <c r="P95" s="14" t="str">
        <f t="shared" si="24"/>
        <v>-</v>
      </c>
      <c r="Q95" s="14" t="e">
        <f>RANK($K95,$K$5:$K$104,1)+COUNTIF(K$5:K95,K95)-1</f>
        <v>#VALUE!</v>
      </c>
      <c r="R95" s="14" t="e">
        <f t="shared" si="25"/>
        <v>#VALUE!</v>
      </c>
      <c r="S95" s="14" t="e">
        <f>RANK($L95,$L$5:$L$104,1)+COUNTIF(L$5:L95,L95)-1</f>
        <v>#VALUE!</v>
      </c>
      <c r="T95" s="14" t="e">
        <f t="shared" si="26"/>
        <v>#VALUE!</v>
      </c>
      <c r="U95" s="14" t="e">
        <f>RANK($M95,$M$5:$M$104,1)+COUNTIF(M$5:M95,M95)-1</f>
        <v>#VALUE!</v>
      </c>
      <c r="V95" s="14" t="e">
        <f t="shared" si="27"/>
        <v>#VALUE!</v>
      </c>
      <c r="W95" s="14" t="e">
        <f>RANK($N95,$N$5:$N$104,1)+COUNTIF(N$5:N95,N95)-1</f>
        <v>#VALUE!</v>
      </c>
      <c r="X95" s="14" t="e">
        <f t="shared" si="28"/>
        <v>#VALUE!</v>
      </c>
      <c r="Y95" s="14" t="e">
        <f>RANK($O95,$O$5:$O$104,1)+COUNTIF(O$5:O95,O95)-1</f>
        <v>#VALUE!</v>
      </c>
      <c r="Z95" s="14" t="e">
        <f t="shared" si="29"/>
        <v>#VALUE!</v>
      </c>
      <c r="AA95" s="14" t="e">
        <f>RANK($P95,$P$5:$P$104,1)+COUNTIF(P$5:P95,P95)-1</f>
        <v>#VALUE!</v>
      </c>
      <c r="AB95" s="14" t="e">
        <f t="shared" si="30"/>
        <v>#VALUE!</v>
      </c>
      <c r="AC95" s="1" t="str">
        <f t="shared" si="31"/>
        <v xml:space="preserve"> </v>
      </c>
      <c r="AD95" s="1" t="str">
        <f t="shared" si="32"/>
        <v>-</v>
      </c>
      <c r="AE95" s="35" t="str">
        <f t="shared" si="18"/>
        <v>-</v>
      </c>
      <c r="AF95" s="35" t="str">
        <f t="shared" si="18"/>
        <v>-</v>
      </c>
      <c r="AG95" s="35" t="str">
        <f t="shared" si="18"/>
        <v>-</v>
      </c>
      <c r="AH95" s="35" t="str">
        <f t="shared" si="17"/>
        <v>-</v>
      </c>
      <c r="AI95" s="35" t="str">
        <f t="shared" si="17"/>
        <v>-</v>
      </c>
      <c r="AJ95" s="35" t="str">
        <f t="shared" si="17"/>
        <v>-</v>
      </c>
      <c r="AL95" s="4">
        <v>91</v>
      </c>
      <c r="AM95" s="2" t="e">
        <f>VLOOKUP(AL95,Q$5:$AJ$104,$AN$2,FALSE)</f>
        <v>#N/A</v>
      </c>
      <c r="AN95" s="6" t="e">
        <f>VLOOKUP(AL95,Q$5:$AJ$104,$AN$2+11,FALSE)</f>
        <v>#N/A</v>
      </c>
      <c r="AO95" s="2" t="e">
        <f t="shared" si="33"/>
        <v>#N/A</v>
      </c>
      <c r="AQ95" s="4">
        <v>91</v>
      </c>
      <c r="AR95" s="2" t="e">
        <f>VLOOKUP(AQ95,$S$5:$AJ$104,$AS$2,FALSE)</f>
        <v>#N/A</v>
      </c>
      <c r="AS95" s="6" t="e">
        <f>VLOOKUP(AQ95,$S$5:$AJ$104,$AS$2+9,FALSE)</f>
        <v>#N/A</v>
      </c>
      <c r="AT95" s="2" t="e">
        <f>VLOOKUP(AR95,$S$5:$AJ$104,$AS$2+12,FALSE)</f>
        <v>#N/A</v>
      </c>
      <c r="AU95" s="9"/>
      <c r="AV95" s="4">
        <v>91</v>
      </c>
      <c r="AW95" s="2" t="e">
        <f>VLOOKUP(AV95,$U$5:$AJ$104,$AX$2,FALSE)</f>
        <v>#N/A</v>
      </c>
      <c r="AX95" s="6" t="e">
        <f>VLOOKUP(AV95,$U$5:$AJ$104,$AX$2+7,FALSE)</f>
        <v>#N/A</v>
      </c>
      <c r="AY95" s="2" t="e">
        <f>VLOOKUP(AW95,$U$5:$AJ$104,$AX$2+11,FALSE)</f>
        <v>#N/A</v>
      </c>
      <c r="BA95" s="4">
        <v>91</v>
      </c>
      <c r="BB95" s="2" t="e">
        <f>VLOOKUP(BA95,$W$5:$AJ$104,$BC$2,FALSE)</f>
        <v>#N/A</v>
      </c>
      <c r="BC95" s="6" t="e">
        <f>VLOOKUP(BA95,$W$5:$AJ$104,$BC$2+5,FALSE)</f>
        <v>#N/A</v>
      </c>
      <c r="BD95" s="58" t="e">
        <f>VLOOKUP(BB95,$W$5:$AJ$104,$BC$2+10,FALSE)</f>
        <v>#N/A</v>
      </c>
      <c r="BE95" s="9"/>
      <c r="BF95" s="4">
        <v>91</v>
      </c>
      <c r="BG95" s="2" t="e">
        <f>VLOOKUP(BF95,$Y$5:$AJ$104,$BH$2,FALSE)</f>
        <v>#N/A</v>
      </c>
      <c r="BH95" s="6" t="e">
        <f>VLOOKUP(BF95,$Y$5:$AJ$104,$BH$2+3,FALSE)</f>
        <v>#N/A</v>
      </c>
      <c r="BI95" s="2" t="e">
        <f>VLOOKUP(BF95,$Y$5:$AJ$104,$BH$2+4,FALSE)</f>
        <v>#N/A</v>
      </c>
      <c r="BJ95" s="2" t="e">
        <f>VLOOKUP(BG95,$Y$5:$AJ$104,$BH$2+9,FALSE)</f>
        <v>#N/A</v>
      </c>
      <c r="BL95" s="4">
        <v>91</v>
      </c>
      <c r="BM95" s="2" t="e">
        <f>VLOOKUP(BL95,$AA$5:$AJ$104,$BN$2,FALSE)</f>
        <v>#N/A</v>
      </c>
      <c r="BN95" s="6" t="e">
        <f>VLOOKUP(BL95,$AA$5:$AJ$104,$BN$2+1,FALSE)</f>
        <v>#N/A</v>
      </c>
      <c r="BO95" s="2" t="e">
        <f>VLOOKUP(BM95,$AA$5:$AJ$104,$BN$2+8,FALSE)</f>
        <v>#N/A</v>
      </c>
      <c r="BQ95" s="2" t="e">
        <f>'Eclectic B'!CD95</f>
        <v>#N/A</v>
      </c>
      <c r="BR95" s="6" t="e">
        <f>'Eclectic B'!CE95</f>
        <v>#N/A</v>
      </c>
      <c r="BS95" s="103" t="e">
        <f>'Eclectic B'!CF95</f>
        <v>#N/A</v>
      </c>
    </row>
    <row r="96" spans="1:71">
      <c r="A96" s="10" t="str">
        <f>IF(ISBLANK(Players!F94),"",Players!F94)</f>
        <v/>
      </c>
      <c r="B96" s="10" t="str">
        <f>IF(ISBLANK(Players!G94),"",Players!G94)</f>
        <v/>
      </c>
      <c r="C96" s="10" t="str">
        <f>IF(ISBLANK(Players!I94),"",Players!I94)</f>
        <v/>
      </c>
      <c r="D96" s="69" t="str">
        <f>IF(ISNUMBER(C96),MIN((C96*Rules!$N$14/113)+(Rules!$N$13-Rules!$N$12),Rules!$N$37),"-")</f>
        <v>-</v>
      </c>
      <c r="E96" s="69" t="str">
        <f>IF(ISNUMBER(C96),    ROUND( (D96*Rules!$N$11) / 100,0),"-")</f>
        <v>-</v>
      </c>
      <c r="F96" s="36" t="str">
        <f>IF(AND(ISNUMBER(C96),C96&gt;=Rules!$M$17,C96&lt;=Rules!$N$17),"Y","N")</f>
        <v>N</v>
      </c>
      <c r="G96" s="137" t="str">
        <f>'Eclectic B'!M96</f>
        <v>-</v>
      </c>
      <c r="H96" s="137" t="str">
        <f>'Eclectic B'!W96</f>
        <v>-</v>
      </c>
      <c r="I96" s="137" t="str">
        <f>'Eclectic B'!AJ96</f>
        <v>-</v>
      </c>
      <c r="J96" s="137" t="str">
        <f>'Eclectic B'!AT96</f>
        <v>-</v>
      </c>
      <c r="K96" s="14" t="str">
        <f t="shared" si="19"/>
        <v>-</v>
      </c>
      <c r="L96" s="14" t="str">
        <f t="shared" si="20"/>
        <v>-</v>
      </c>
      <c r="M96" s="14" t="str">
        <f t="shared" si="21"/>
        <v>-</v>
      </c>
      <c r="N96" s="14" t="str">
        <f t="shared" si="22"/>
        <v>-</v>
      </c>
      <c r="O96" s="14" t="str">
        <f t="shared" si="23"/>
        <v>-</v>
      </c>
      <c r="P96" s="14" t="str">
        <f t="shared" si="24"/>
        <v>-</v>
      </c>
      <c r="Q96" s="14" t="e">
        <f>RANK($K96,$K$5:$K$104,1)+COUNTIF(K$5:K96,K96)-1</f>
        <v>#VALUE!</v>
      </c>
      <c r="R96" s="14" t="e">
        <f t="shared" si="25"/>
        <v>#VALUE!</v>
      </c>
      <c r="S96" s="14" t="e">
        <f>RANK($L96,$L$5:$L$104,1)+COUNTIF(L$5:L96,L96)-1</f>
        <v>#VALUE!</v>
      </c>
      <c r="T96" s="14" t="e">
        <f t="shared" si="26"/>
        <v>#VALUE!</v>
      </c>
      <c r="U96" s="14" t="e">
        <f>RANK($M96,$M$5:$M$104,1)+COUNTIF(M$5:M96,M96)-1</f>
        <v>#VALUE!</v>
      </c>
      <c r="V96" s="14" t="e">
        <f t="shared" si="27"/>
        <v>#VALUE!</v>
      </c>
      <c r="W96" s="14" t="e">
        <f>RANK($N96,$N$5:$N$104,1)+COUNTIF(N$5:N96,N96)-1</f>
        <v>#VALUE!</v>
      </c>
      <c r="X96" s="14" t="e">
        <f t="shared" si="28"/>
        <v>#VALUE!</v>
      </c>
      <c r="Y96" s="14" t="e">
        <f>RANK($O96,$O$5:$O$104,1)+COUNTIF(O$5:O96,O96)-1</f>
        <v>#VALUE!</v>
      </c>
      <c r="Z96" s="14" t="e">
        <f t="shared" si="29"/>
        <v>#VALUE!</v>
      </c>
      <c r="AA96" s="14" t="e">
        <f>RANK($P96,$P$5:$P$104,1)+COUNTIF(P$5:P96,P96)-1</f>
        <v>#VALUE!</v>
      </c>
      <c r="AB96" s="14" t="e">
        <f t="shared" si="30"/>
        <v>#VALUE!</v>
      </c>
      <c r="AC96" s="1" t="str">
        <f t="shared" si="31"/>
        <v xml:space="preserve"> </v>
      </c>
      <c r="AD96" s="1" t="str">
        <f t="shared" si="32"/>
        <v>-</v>
      </c>
      <c r="AE96" s="35" t="str">
        <f t="shared" si="18"/>
        <v>-</v>
      </c>
      <c r="AF96" s="35" t="str">
        <f t="shared" si="18"/>
        <v>-</v>
      </c>
      <c r="AG96" s="35" t="str">
        <f t="shared" si="18"/>
        <v>-</v>
      </c>
      <c r="AH96" s="35" t="str">
        <f t="shared" si="17"/>
        <v>-</v>
      </c>
      <c r="AI96" s="35" t="str">
        <f t="shared" si="17"/>
        <v>-</v>
      </c>
      <c r="AJ96" s="35" t="str">
        <f t="shared" si="17"/>
        <v>-</v>
      </c>
      <c r="AL96" s="4">
        <v>92</v>
      </c>
      <c r="AM96" s="2" t="e">
        <f>VLOOKUP(AL96,Q$5:$AJ$104,$AN$2,FALSE)</f>
        <v>#N/A</v>
      </c>
      <c r="AN96" s="6" t="e">
        <f>VLOOKUP(AL96,Q$5:$AJ$104,$AN$2+11,FALSE)</f>
        <v>#N/A</v>
      </c>
      <c r="AO96" s="2" t="e">
        <f t="shared" si="33"/>
        <v>#N/A</v>
      </c>
      <c r="AQ96" s="4">
        <v>92</v>
      </c>
      <c r="AR96" s="2" t="e">
        <f>VLOOKUP(AQ96,$S$5:$AJ$104,$AS$2,FALSE)</f>
        <v>#N/A</v>
      </c>
      <c r="AS96" s="6" t="e">
        <f>VLOOKUP(AQ96,$S$5:$AJ$104,$AS$2+9,FALSE)</f>
        <v>#N/A</v>
      </c>
      <c r="AT96" s="2" t="e">
        <f>VLOOKUP(AR96,$S$5:$AJ$104,$AS$2+12,FALSE)</f>
        <v>#N/A</v>
      </c>
      <c r="AU96" s="9"/>
      <c r="AV96" s="4">
        <v>92</v>
      </c>
      <c r="AW96" s="2" t="e">
        <f>VLOOKUP(AV96,$U$5:$AJ$104,$AX$2,FALSE)</f>
        <v>#N/A</v>
      </c>
      <c r="AX96" s="6" t="e">
        <f>VLOOKUP(AV96,$U$5:$AJ$104,$AX$2+7,FALSE)</f>
        <v>#N/A</v>
      </c>
      <c r="AY96" s="2" t="e">
        <f>VLOOKUP(AW96,$U$5:$AJ$104,$AX$2+11,FALSE)</f>
        <v>#N/A</v>
      </c>
      <c r="BA96" s="4">
        <v>92</v>
      </c>
      <c r="BB96" s="2" t="e">
        <f>VLOOKUP(BA96,$W$5:$AJ$104,$BC$2,FALSE)</f>
        <v>#N/A</v>
      </c>
      <c r="BC96" s="6" t="e">
        <f>VLOOKUP(BA96,$W$5:$AJ$104,$BC$2+5,FALSE)</f>
        <v>#N/A</v>
      </c>
      <c r="BD96" s="58" t="e">
        <f>VLOOKUP(BB96,$W$5:$AJ$104,$BC$2+10,FALSE)</f>
        <v>#N/A</v>
      </c>
      <c r="BE96" s="9"/>
      <c r="BF96" s="4">
        <v>92</v>
      </c>
      <c r="BG96" s="2" t="e">
        <f>VLOOKUP(BF96,$Y$5:$AJ$104,$BH$2,FALSE)</f>
        <v>#N/A</v>
      </c>
      <c r="BH96" s="6" t="e">
        <f>VLOOKUP(BF96,$Y$5:$AJ$104,$BH$2+3,FALSE)</f>
        <v>#N/A</v>
      </c>
      <c r="BI96" s="2" t="e">
        <f>VLOOKUP(BF96,$Y$5:$AJ$104,$BH$2+4,FALSE)</f>
        <v>#N/A</v>
      </c>
      <c r="BJ96" s="2" t="e">
        <f>VLOOKUP(BG96,$Y$5:$AJ$104,$BH$2+9,FALSE)</f>
        <v>#N/A</v>
      </c>
      <c r="BL96" s="4">
        <v>92</v>
      </c>
      <c r="BM96" s="2" t="e">
        <f>VLOOKUP(BL96,$AA$5:$AJ$104,$BN$2,FALSE)</f>
        <v>#N/A</v>
      </c>
      <c r="BN96" s="6" t="e">
        <f>VLOOKUP(BL96,$AA$5:$AJ$104,$BN$2+1,FALSE)</f>
        <v>#N/A</v>
      </c>
      <c r="BO96" s="2" t="e">
        <f>VLOOKUP(BM96,$AA$5:$AJ$104,$BN$2+8,FALSE)</f>
        <v>#N/A</v>
      </c>
      <c r="BQ96" s="2" t="e">
        <f>'Eclectic B'!CD96</f>
        <v>#N/A</v>
      </c>
      <c r="BR96" s="6" t="e">
        <f>'Eclectic B'!CE96</f>
        <v>#N/A</v>
      </c>
      <c r="BS96" s="103" t="e">
        <f>'Eclectic B'!CF96</f>
        <v>#N/A</v>
      </c>
    </row>
    <row r="97" spans="1:71">
      <c r="A97" s="10" t="str">
        <f>IF(ISBLANK(Players!F95),"",Players!F95)</f>
        <v/>
      </c>
      <c r="B97" s="10" t="str">
        <f>IF(ISBLANK(Players!G95),"",Players!G95)</f>
        <v/>
      </c>
      <c r="C97" s="10" t="str">
        <f>IF(ISBLANK(Players!I95),"",Players!I95)</f>
        <v/>
      </c>
      <c r="D97" s="69" t="str">
        <f>IF(ISNUMBER(C97),MIN((C97*Rules!$N$14/113)+(Rules!$N$13-Rules!$N$12),Rules!$N$37),"-")</f>
        <v>-</v>
      </c>
      <c r="E97" s="69" t="str">
        <f>IF(ISNUMBER(C97),    ROUND( (D97*Rules!$N$11) / 100,0),"-")</f>
        <v>-</v>
      </c>
      <c r="F97" s="36" t="str">
        <f>IF(AND(ISNUMBER(C97),C97&gt;=Rules!$M$17,C97&lt;=Rules!$N$17),"Y","N")</f>
        <v>N</v>
      </c>
      <c r="G97" s="137" t="str">
        <f>'Eclectic B'!M97</f>
        <v>-</v>
      </c>
      <c r="H97" s="137" t="str">
        <f>'Eclectic B'!W97</f>
        <v>-</v>
      </c>
      <c r="I97" s="137" t="str">
        <f>'Eclectic B'!AJ97</f>
        <v>-</v>
      </c>
      <c r="J97" s="137" t="str">
        <f>'Eclectic B'!AT97</f>
        <v>-</v>
      </c>
      <c r="K97" s="14" t="str">
        <f t="shared" si="19"/>
        <v>-</v>
      </c>
      <c r="L97" s="14" t="str">
        <f t="shared" si="20"/>
        <v>-</v>
      </c>
      <c r="M97" s="14" t="str">
        <f t="shared" si="21"/>
        <v>-</v>
      </c>
      <c r="N97" s="14" t="str">
        <f t="shared" si="22"/>
        <v>-</v>
      </c>
      <c r="O97" s="14" t="str">
        <f t="shared" si="23"/>
        <v>-</v>
      </c>
      <c r="P97" s="14" t="str">
        <f t="shared" si="24"/>
        <v>-</v>
      </c>
      <c r="Q97" s="14" t="e">
        <f>RANK($K97,$K$5:$K$104,1)+COUNTIF(K$5:K97,K97)-1</f>
        <v>#VALUE!</v>
      </c>
      <c r="R97" s="14" t="e">
        <f t="shared" si="25"/>
        <v>#VALUE!</v>
      </c>
      <c r="S97" s="14" t="e">
        <f>RANK($L97,$L$5:$L$104,1)+COUNTIF(L$5:L97,L97)-1</f>
        <v>#VALUE!</v>
      </c>
      <c r="T97" s="14" t="e">
        <f t="shared" si="26"/>
        <v>#VALUE!</v>
      </c>
      <c r="U97" s="14" t="e">
        <f>RANK($M97,$M$5:$M$104,1)+COUNTIF(M$5:M97,M97)-1</f>
        <v>#VALUE!</v>
      </c>
      <c r="V97" s="14" t="e">
        <f t="shared" si="27"/>
        <v>#VALUE!</v>
      </c>
      <c r="W97" s="14" t="e">
        <f>RANK($N97,$N$5:$N$104,1)+COUNTIF(N$5:N97,N97)-1</f>
        <v>#VALUE!</v>
      </c>
      <c r="X97" s="14" t="e">
        <f t="shared" si="28"/>
        <v>#VALUE!</v>
      </c>
      <c r="Y97" s="14" t="e">
        <f>RANK($O97,$O$5:$O$104,1)+COUNTIF(O$5:O97,O97)-1</f>
        <v>#VALUE!</v>
      </c>
      <c r="Z97" s="14" t="e">
        <f t="shared" si="29"/>
        <v>#VALUE!</v>
      </c>
      <c r="AA97" s="14" t="e">
        <f>RANK($P97,$P$5:$P$104,1)+COUNTIF(P$5:P97,P97)-1</f>
        <v>#VALUE!</v>
      </c>
      <c r="AB97" s="14" t="e">
        <f t="shared" si="30"/>
        <v>#VALUE!</v>
      </c>
      <c r="AC97" s="1" t="str">
        <f t="shared" si="31"/>
        <v xml:space="preserve"> </v>
      </c>
      <c r="AD97" s="1" t="str">
        <f t="shared" si="32"/>
        <v>-</v>
      </c>
      <c r="AE97" s="35" t="str">
        <f t="shared" si="18"/>
        <v>-</v>
      </c>
      <c r="AF97" s="35" t="str">
        <f t="shared" si="18"/>
        <v>-</v>
      </c>
      <c r="AG97" s="35" t="str">
        <f t="shared" si="18"/>
        <v>-</v>
      </c>
      <c r="AH97" s="35" t="str">
        <f t="shared" si="17"/>
        <v>-</v>
      </c>
      <c r="AI97" s="35" t="str">
        <f t="shared" si="17"/>
        <v>-</v>
      </c>
      <c r="AJ97" s="35" t="str">
        <f t="shared" si="17"/>
        <v>-</v>
      </c>
      <c r="AL97" s="4">
        <v>93</v>
      </c>
      <c r="AM97" s="2" t="e">
        <f>VLOOKUP(AL97,Q$5:$AJ$104,$AN$2,FALSE)</f>
        <v>#N/A</v>
      </c>
      <c r="AN97" s="6" t="e">
        <f>VLOOKUP(AL97,Q$5:$AJ$104,$AN$2+11,FALSE)</f>
        <v>#N/A</v>
      </c>
      <c r="AO97" s="2" t="e">
        <f t="shared" si="33"/>
        <v>#N/A</v>
      </c>
      <c r="AQ97" s="4">
        <v>93</v>
      </c>
      <c r="AR97" s="2" t="e">
        <f>VLOOKUP(AQ97,$S$5:$AJ$104,$AS$2,FALSE)</f>
        <v>#N/A</v>
      </c>
      <c r="AS97" s="6" t="e">
        <f>VLOOKUP(AQ97,$S$5:$AJ$104,$AS$2+9,FALSE)</f>
        <v>#N/A</v>
      </c>
      <c r="AT97" s="2" t="e">
        <f>VLOOKUP(AR97,$S$5:$AJ$104,$AS$2+12,FALSE)</f>
        <v>#N/A</v>
      </c>
      <c r="AU97" s="9"/>
      <c r="AV97" s="4">
        <v>93</v>
      </c>
      <c r="AW97" s="2" t="e">
        <f>VLOOKUP(AV97,$U$5:$AJ$104,$AX$2,FALSE)</f>
        <v>#N/A</v>
      </c>
      <c r="AX97" s="6" t="e">
        <f>VLOOKUP(AV97,$U$5:$AJ$104,$AX$2+7,FALSE)</f>
        <v>#N/A</v>
      </c>
      <c r="AY97" s="2" t="e">
        <f>VLOOKUP(AW97,$U$5:$AJ$104,$AX$2+11,FALSE)</f>
        <v>#N/A</v>
      </c>
      <c r="BA97" s="4">
        <v>93</v>
      </c>
      <c r="BB97" s="2" t="e">
        <f>VLOOKUP(BA97,$W$5:$AJ$104,$BC$2,FALSE)</f>
        <v>#N/A</v>
      </c>
      <c r="BC97" s="6" t="e">
        <f>VLOOKUP(BA97,$W$5:$AJ$104,$BC$2+5,FALSE)</f>
        <v>#N/A</v>
      </c>
      <c r="BD97" s="58" t="e">
        <f>VLOOKUP(BB97,$W$5:$AJ$104,$BC$2+10,FALSE)</f>
        <v>#N/A</v>
      </c>
      <c r="BE97" s="9"/>
      <c r="BF97" s="4">
        <v>93</v>
      </c>
      <c r="BG97" s="2" t="e">
        <f>VLOOKUP(BF97,$Y$5:$AJ$104,$BH$2,FALSE)</f>
        <v>#N/A</v>
      </c>
      <c r="BH97" s="6" t="e">
        <f>VLOOKUP(BF97,$Y$5:$AJ$104,$BH$2+3,FALSE)</f>
        <v>#N/A</v>
      </c>
      <c r="BI97" s="2" t="e">
        <f>VLOOKUP(BF97,$Y$5:$AJ$104,$BH$2+4,FALSE)</f>
        <v>#N/A</v>
      </c>
      <c r="BJ97" s="2" t="e">
        <f>VLOOKUP(BG97,$Y$5:$AJ$104,$BH$2+9,FALSE)</f>
        <v>#N/A</v>
      </c>
      <c r="BL97" s="4">
        <v>93</v>
      </c>
      <c r="BM97" s="2" t="e">
        <f>VLOOKUP(BL97,$AA$5:$AJ$104,$BN$2,FALSE)</f>
        <v>#N/A</v>
      </c>
      <c r="BN97" s="6" t="e">
        <f>VLOOKUP(BL97,$AA$5:$AJ$104,$BN$2+1,FALSE)</f>
        <v>#N/A</v>
      </c>
      <c r="BO97" s="2" t="e">
        <f>VLOOKUP(BM97,$AA$5:$AJ$104,$BN$2+8,FALSE)</f>
        <v>#N/A</v>
      </c>
      <c r="BQ97" s="2" t="e">
        <f>'Eclectic B'!CD97</f>
        <v>#N/A</v>
      </c>
      <c r="BR97" s="6" t="e">
        <f>'Eclectic B'!CE97</f>
        <v>#N/A</v>
      </c>
      <c r="BS97" s="103" t="e">
        <f>'Eclectic B'!CF97</f>
        <v>#N/A</v>
      </c>
    </row>
    <row r="98" spans="1:71">
      <c r="A98" s="10" t="str">
        <f>IF(ISBLANK(Players!F96),"",Players!F96)</f>
        <v/>
      </c>
      <c r="B98" s="10" t="str">
        <f>IF(ISBLANK(Players!G96),"",Players!G96)</f>
        <v/>
      </c>
      <c r="C98" s="10" t="str">
        <f>IF(ISBLANK(Players!I96),"",Players!I96)</f>
        <v/>
      </c>
      <c r="D98" s="69" t="str">
        <f>IF(ISNUMBER(C98),MIN((C98*Rules!$N$14/113)+(Rules!$N$13-Rules!$N$12),Rules!$N$37),"-")</f>
        <v>-</v>
      </c>
      <c r="E98" s="69" t="str">
        <f>IF(ISNUMBER(C98),    ROUND( (D98*Rules!$N$11) / 100,0),"-")</f>
        <v>-</v>
      </c>
      <c r="F98" s="36" t="str">
        <f>IF(AND(ISNUMBER(C98),C98&gt;=Rules!$M$17,C98&lt;=Rules!$N$17),"Y","N")</f>
        <v>N</v>
      </c>
      <c r="G98" s="137" t="str">
        <f>'Eclectic B'!M98</f>
        <v>-</v>
      </c>
      <c r="H98" s="137" t="str">
        <f>'Eclectic B'!W98</f>
        <v>-</v>
      </c>
      <c r="I98" s="137" t="str">
        <f>'Eclectic B'!AJ98</f>
        <v>-</v>
      </c>
      <c r="J98" s="137" t="str">
        <f>'Eclectic B'!AT98</f>
        <v>-</v>
      </c>
      <c r="K98" s="14" t="str">
        <f t="shared" si="19"/>
        <v>-</v>
      </c>
      <c r="L98" s="14" t="str">
        <f t="shared" si="20"/>
        <v>-</v>
      </c>
      <c r="M98" s="14" t="str">
        <f t="shared" si="21"/>
        <v>-</v>
      </c>
      <c r="N98" s="14" t="str">
        <f t="shared" si="22"/>
        <v>-</v>
      </c>
      <c r="O98" s="14" t="str">
        <f t="shared" si="23"/>
        <v>-</v>
      </c>
      <c r="P98" s="14" t="str">
        <f t="shared" si="24"/>
        <v>-</v>
      </c>
      <c r="Q98" s="14" t="e">
        <f>RANK($K98,$K$5:$K$104,1)+COUNTIF(K$5:K98,K98)-1</f>
        <v>#VALUE!</v>
      </c>
      <c r="R98" s="14" t="e">
        <f t="shared" si="25"/>
        <v>#VALUE!</v>
      </c>
      <c r="S98" s="14" t="e">
        <f>RANK($L98,$L$5:$L$104,1)+COUNTIF(L$5:L98,L98)-1</f>
        <v>#VALUE!</v>
      </c>
      <c r="T98" s="14" t="e">
        <f t="shared" si="26"/>
        <v>#VALUE!</v>
      </c>
      <c r="U98" s="14" t="e">
        <f>RANK($M98,$M$5:$M$104,1)+COUNTIF(M$5:M98,M98)-1</f>
        <v>#VALUE!</v>
      </c>
      <c r="V98" s="14" t="e">
        <f t="shared" si="27"/>
        <v>#VALUE!</v>
      </c>
      <c r="W98" s="14" t="e">
        <f>RANK($N98,$N$5:$N$104,1)+COUNTIF(N$5:N98,N98)-1</f>
        <v>#VALUE!</v>
      </c>
      <c r="X98" s="14" t="e">
        <f t="shared" si="28"/>
        <v>#VALUE!</v>
      </c>
      <c r="Y98" s="14" t="e">
        <f>RANK($O98,$O$5:$O$104,1)+COUNTIF(O$5:O98,O98)-1</f>
        <v>#VALUE!</v>
      </c>
      <c r="Z98" s="14" t="e">
        <f t="shared" si="29"/>
        <v>#VALUE!</v>
      </c>
      <c r="AA98" s="14" t="e">
        <f>RANK($P98,$P$5:$P$104,1)+COUNTIF(P$5:P98,P98)-1</f>
        <v>#VALUE!</v>
      </c>
      <c r="AB98" s="14" t="e">
        <f t="shared" si="30"/>
        <v>#VALUE!</v>
      </c>
      <c r="AC98" s="1" t="str">
        <f t="shared" si="31"/>
        <v xml:space="preserve"> </v>
      </c>
      <c r="AD98" s="1" t="str">
        <f t="shared" si="32"/>
        <v>-</v>
      </c>
      <c r="AE98" s="35" t="str">
        <f t="shared" si="18"/>
        <v>-</v>
      </c>
      <c r="AF98" s="35" t="str">
        <f t="shared" si="18"/>
        <v>-</v>
      </c>
      <c r="AG98" s="35" t="str">
        <f t="shared" si="18"/>
        <v>-</v>
      </c>
      <c r="AH98" s="35" t="str">
        <f t="shared" si="17"/>
        <v>-</v>
      </c>
      <c r="AI98" s="35" t="str">
        <f t="shared" si="17"/>
        <v>-</v>
      </c>
      <c r="AJ98" s="35" t="str">
        <f t="shared" si="17"/>
        <v>-</v>
      </c>
      <c r="AL98" s="4">
        <v>94</v>
      </c>
      <c r="AM98" s="2" t="e">
        <f>VLOOKUP(AL98,Q$5:$AJ$104,$AN$2,FALSE)</f>
        <v>#N/A</v>
      </c>
      <c r="AN98" s="6" t="e">
        <f>VLOOKUP(AL98,Q$5:$AJ$104,$AN$2+11,FALSE)</f>
        <v>#N/A</v>
      </c>
      <c r="AO98" s="2" t="e">
        <f t="shared" si="33"/>
        <v>#N/A</v>
      </c>
      <c r="AQ98" s="4">
        <v>94</v>
      </c>
      <c r="AR98" s="2" t="e">
        <f>VLOOKUP(AQ98,$S$5:$AJ$104,$AS$2,FALSE)</f>
        <v>#N/A</v>
      </c>
      <c r="AS98" s="6" t="e">
        <f>VLOOKUP(AQ98,$S$5:$AJ$104,$AS$2+9,FALSE)</f>
        <v>#N/A</v>
      </c>
      <c r="AT98" s="2" t="e">
        <f>VLOOKUP(AR98,$S$5:$AJ$104,$AS$2+12,FALSE)</f>
        <v>#N/A</v>
      </c>
      <c r="AU98" s="9"/>
      <c r="AV98" s="4">
        <v>94</v>
      </c>
      <c r="AW98" s="2" t="e">
        <f>VLOOKUP(AV98,$U$5:$AJ$104,$AX$2,FALSE)</f>
        <v>#N/A</v>
      </c>
      <c r="AX98" s="6" t="e">
        <f>VLOOKUP(AV98,$U$5:$AJ$104,$AX$2+7,FALSE)</f>
        <v>#N/A</v>
      </c>
      <c r="AY98" s="2" t="e">
        <f>VLOOKUP(AW98,$U$5:$AJ$104,$AX$2+11,FALSE)</f>
        <v>#N/A</v>
      </c>
      <c r="BA98" s="4">
        <v>94</v>
      </c>
      <c r="BB98" s="2" t="e">
        <f>VLOOKUP(BA98,$W$5:$AJ$104,$BC$2,FALSE)</f>
        <v>#N/A</v>
      </c>
      <c r="BC98" s="6" t="e">
        <f>VLOOKUP(BA98,$W$5:$AJ$104,$BC$2+5,FALSE)</f>
        <v>#N/A</v>
      </c>
      <c r="BD98" s="58" t="e">
        <f>VLOOKUP(BB98,$W$5:$AJ$104,$BC$2+10,FALSE)</f>
        <v>#N/A</v>
      </c>
      <c r="BE98" s="9"/>
      <c r="BF98" s="4">
        <v>94</v>
      </c>
      <c r="BG98" s="2" t="e">
        <f>VLOOKUP(BF98,$Y$5:$AJ$104,$BH$2,FALSE)</f>
        <v>#N/A</v>
      </c>
      <c r="BH98" s="6" t="e">
        <f>VLOOKUP(BF98,$Y$5:$AJ$104,$BH$2+3,FALSE)</f>
        <v>#N/A</v>
      </c>
      <c r="BI98" s="2" t="e">
        <f>VLOOKUP(BF98,$Y$5:$AJ$104,$BH$2+4,FALSE)</f>
        <v>#N/A</v>
      </c>
      <c r="BJ98" s="2" t="e">
        <f>VLOOKUP(BG98,$Y$5:$AJ$104,$BH$2+9,FALSE)</f>
        <v>#N/A</v>
      </c>
      <c r="BL98" s="4">
        <v>94</v>
      </c>
      <c r="BM98" s="2" t="e">
        <f>VLOOKUP(BL98,$AA$5:$AJ$104,$BN$2,FALSE)</f>
        <v>#N/A</v>
      </c>
      <c r="BN98" s="6" t="e">
        <f>VLOOKUP(BL98,$AA$5:$AJ$104,$BN$2+1,FALSE)</f>
        <v>#N/A</v>
      </c>
      <c r="BO98" s="2" t="e">
        <f>VLOOKUP(BM98,$AA$5:$AJ$104,$BN$2+8,FALSE)</f>
        <v>#N/A</v>
      </c>
      <c r="BQ98" s="2" t="e">
        <f>'Eclectic B'!CD98</f>
        <v>#N/A</v>
      </c>
      <c r="BR98" s="6" t="e">
        <f>'Eclectic B'!CE98</f>
        <v>#N/A</v>
      </c>
      <c r="BS98" s="103" t="e">
        <f>'Eclectic B'!CF98</f>
        <v>#N/A</v>
      </c>
    </row>
    <row r="99" spans="1:71">
      <c r="A99" s="10" t="str">
        <f>IF(ISBLANK(Players!F97),"",Players!F97)</f>
        <v/>
      </c>
      <c r="B99" s="10" t="str">
        <f>IF(ISBLANK(Players!G97),"",Players!G97)</f>
        <v/>
      </c>
      <c r="C99" s="10" t="str">
        <f>IF(ISBLANK(Players!I97),"",Players!I97)</f>
        <v/>
      </c>
      <c r="D99" s="69" t="str">
        <f>IF(ISNUMBER(C99),MIN((C99*Rules!$N$14/113)+(Rules!$N$13-Rules!$N$12),Rules!$N$37),"-")</f>
        <v>-</v>
      </c>
      <c r="E99" s="69" t="str">
        <f>IF(ISNUMBER(C99),    ROUND( (D99*Rules!$N$11) / 100,0),"-")</f>
        <v>-</v>
      </c>
      <c r="F99" s="36" t="str">
        <f>IF(AND(ISNUMBER(C99),C99&gt;=Rules!$M$17,C99&lt;=Rules!$N$17),"Y","N")</f>
        <v>N</v>
      </c>
      <c r="G99" s="137" t="str">
        <f>'Eclectic B'!M99</f>
        <v>-</v>
      </c>
      <c r="H99" s="137" t="str">
        <f>'Eclectic B'!W99</f>
        <v>-</v>
      </c>
      <c r="I99" s="137" t="str">
        <f>'Eclectic B'!AJ99</f>
        <v>-</v>
      </c>
      <c r="J99" s="137" t="str">
        <f>'Eclectic B'!AT99</f>
        <v>-</v>
      </c>
      <c r="K99" s="14" t="str">
        <f t="shared" si="19"/>
        <v>-</v>
      </c>
      <c r="L99" s="14" t="str">
        <f t="shared" si="20"/>
        <v>-</v>
      </c>
      <c r="M99" s="14" t="str">
        <f t="shared" si="21"/>
        <v>-</v>
      </c>
      <c r="N99" s="14" t="str">
        <f t="shared" si="22"/>
        <v>-</v>
      </c>
      <c r="O99" s="14" t="str">
        <f t="shared" si="23"/>
        <v>-</v>
      </c>
      <c r="P99" s="14" t="str">
        <f t="shared" si="24"/>
        <v>-</v>
      </c>
      <c r="Q99" s="14" t="e">
        <f>RANK($K99,$K$5:$K$104,1)+COUNTIF(K$5:K99,K99)-1</f>
        <v>#VALUE!</v>
      </c>
      <c r="R99" s="14" t="e">
        <f t="shared" si="25"/>
        <v>#VALUE!</v>
      </c>
      <c r="S99" s="14" t="e">
        <f>RANK($L99,$L$5:$L$104,1)+COUNTIF(L$5:L99,L99)-1</f>
        <v>#VALUE!</v>
      </c>
      <c r="T99" s="14" t="e">
        <f t="shared" si="26"/>
        <v>#VALUE!</v>
      </c>
      <c r="U99" s="14" t="e">
        <f>RANK($M99,$M$5:$M$104,1)+COUNTIF(M$5:M99,M99)-1</f>
        <v>#VALUE!</v>
      </c>
      <c r="V99" s="14" t="e">
        <f t="shared" si="27"/>
        <v>#VALUE!</v>
      </c>
      <c r="W99" s="14" t="e">
        <f>RANK($N99,$N$5:$N$104,1)+COUNTIF(N$5:N99,N99)-1</f>
        <v>#VALUE!</v>
      </c>
      <c r="X99" s="14" t="e">
        <f t="shared" si="28"/>
        <v>#VALUE!</v>
      </c>
      <c r="Y99" s="14" t="e">
        <f>RANK($O99,$O$5:$O$104,1)+COUNTIF(O$5:O99,O99)-1</f>
        <v>#VALUE!</v>
      </c>
      <c r="Z99" s="14" t="e">
        <f t="shared" si="29"/>
        <v>#VALUE!</v>
      </c>
      <c r="AA99" s="14" t="e">
        <f>RANK($P99,$P$5:$P$104,1)+COUNTIF(P$5:P99,P99)-1</f>
        <v>#VALUE!</v>
      </c>
      <c r="AB99" s="14" t="e">
        <f t="shared" si="30"/>
        <v>#VALUE!</v>
      </c>
      <c r="AC99" s="1" t="str">
        <f t="shared" si="31"/>
        <v xml:space="preserve"> </v>
      </c>
      <c r="AD99" s="1" t="str">
        <f t="shared" si="32"/>
        <v>-</v>
      </c>
      <c r="AE99" s="35" t="str">
        <f t="shared" si="18"/>
        <v>-</v>
      </c>
      <c r="AF99" s="35" t="str">
        <f t="shared" si="18"/>
        <v>-</v>
      </c>
      <c r="AG99" s="35" t="str">
        <f t="shared" si="18"/>
        <v>-</v>
      </c>
      <c r="AH99" s="35" t="str">
        <f t="shared" si="17"/>
        <v>-</v>
      </c>
      <c r="AI99" s="35" t="str">
        <f t="shared" si="17"/>
        <v>-</v>
      </c>
      <c r="AJ99" s="35" t="str">
        <f t="shared" si="17"/>
        <v>-</v>
      </c>
      <c r="AL99" s="4">
        <v>95</v>
      </c>
      <c r="AM99" s="2" t="e">
        <f>VLOOKUP(AL99,Q$5:$AJ$104,$AN$2,FALSE)</f>
        <v>#N/A</v>
      </c>
      <c r="AN99" s="6" t="e">
        <f>VLOOKUP(AL99,Q$5:$AJ$104,$AN$2+11,FALSE)</f>
        <v>#N/A</v>
      </c>
      <c r="AO99" s="2" t="e">
        <f t="shared" si="33"/>
        <v>#N/A</v>
      </c>
      <c r="AQ99" s="4">
        <v>95</v>
      </c>
      <c r="AR99" s="2" t="e">
        <f>VLOOKUP(AQ99,$S$5:$AJ$104,$AS$2,FALSE)</f>
        <v>#N/A</v>
      </c>
      <c r="AS99" s="6" t="e">
        <f>VLOOKUP(AQ99,$S$5:$AJ$104,$AS$2+9,FALSE)</f>
        <v>#N/A</v>
      </c>
      <c r="AT99" s="2" t="e">
        <f>VLOOKUP(AR99,$S$5:$AJ$104,$AS$2+12,FALSE)</f>
        <v>#N/A</v>
      </c>
      <c r="AV99" s="4">
        <v>95</v>
      </c>
      <c r="AW99" s="2" t="e">
        <f>VLOOKUP(AV99,$U$5:$AJ$104,$AX$2,FALSE)</f>
        <v>#N/A</v>
      </c>
      <c r="AX99" s="6" t="e">
        <f>VLOOKUP(AV99,$U$5:$AJ$104,$AX$2+7,FALSE)</f>
        <v>#N/A</v>
      </c>
      <c r="AY99" s="2" t="e">
        <f>VLOOKUP(AW99,$U$5:$AJ$104,$AX$2+11,FALSE)</f>
        <v>#N/A</v>
      </c>
      <c r="BA99" s="4">
        <v>95</v>
      </c>
      <c r="BB99" s="2" t="e">
        <f>VLOOKUP(BA99,$W$5:$AJ$104,$BC$2,FALSE)</f>
        <v>#N/A</v>
      </c>
      <c r="BC99" s="6" t="e">
        <f>VLOOKUP(BA99,$W$5:$AJ$104,$BC$2+5,FALSE)</f>
        <v>#N/A</v>
      </c>
      <c r="BD99" s="58" t="e">
        <f>VLOOKUP(BB99,$W$5:$AJ$104,$BC$2+10,FALSE)</f>
        <v>#N/A</v>
      </c>
      <c r="BF99" s="4">
        <v>95</v>
      </c>
      <c r="BG99" s="2" t="e">
        <f>VLOOKUP(BF99,$Y$5:$AJ$104,$BH$2,FALSE)</f>
        <v>#N/A</v>
      </c>
      <c r="BH99" s="6" t="e">
        <f>VLOOKUP(BF99,$Y$5:$AJ$104,$BH$2+3,FALSE)</f>
        <v>#N/A</v>
      </c>
      <c r="BI99" s="2" t="e">
        <f>VLOOKUP(BF99,$Y$5:$AJ$104,$BH$2+4,FALSE)</f>
        <v>#N/A</v>
      </c>
      <c r="BJ99" s="2" t="e">
        <f>VLOOKUP(BG99,$Y$5:$AJ$104,$BH$2+9,FALSE)</f>
        <v>#N/A</v>
      </c>
      <c r="BL99" s="4">
        <v>95</v>
      </c>
      <c r="BM99" s="2" t="e">
        <f>VLOOKUP(BL99,$AA$5:$AJ$104,$BN$2,FALSE)</f>
        <v>#N/A</v>
      </c>
      <c r="BN99" s="6" t="e">
        <f>VLOOKUP(BL99,$AA$5:$AJ$104,$BN$2+1,FALSE)</f>
        <v>#N/A</v>
      </c>
      <c r="BO99" s="2" t="e">
        <f>VLOOKUP(BM99,$AA$5:$AJ$104,$BN$2+8,FALSE)</f>
        <v>#N/A</v>
      </c>
      <c r="BQ99" s="2" t="e">
        <f>'Eclectic B'!CD99</f>
        <v>#N/A</v>
      </c>
      <c r="BR99" s="6" t="e">
        <f>'Eclectic B'!CE99</f>
        <v>#N/A</v>
      </c>
      <c r="BS99" s="103" t="e">
        <f>'Eclectic B'!CF99</f>
        <v>#N/A</v>
      </c>
    </row>
    <row r="100" spans="1:71">
      <c r="A100" s="10" t="str">
        <f>IF(ISBLANK(Players!F98),"",Players!F98)</f>
        <v/>
      </c>
      <c r="B100" s="10" t="str">
        <f>IF(ISBLANK(Players!G98),"",Players!G98)</f>
        <v/>
      </c>
      <c r="C100" s="10" t="str">
        <f>IF(ISBLANK(Players!I98),"",Players!I98)</f>
        <v/>
      </c>
      <c r="D100" s="69" t="str">
        <f>IF(ISNUMBER(C100),MIN((C100*Rules!$N$14/113)+(Rules!$N$13-Rules!$N$12),Rules!$N$37),"-")</f>
        <v>-</v>
      </c>
      <c r="E100" s="69" t="str">
        <f>IF(ISNUMBER(C100),    ROUND( (D100*Rules!$N$11) / 100,0),"-")</f>
        <v>-</v>
      </c>
      <c r="F100" s="36" t="str">
        <f>IF(AND(ISNUMBER(C100),C100&gt;=Rules!$M$17,C100&lt;=Rules!$N$17),"Y","N")</f>
        <v>N</v>
      </c>
      <c r="G100" s="137" t="str">
        <f>'Eclectic B'!M100</f>
        <v>-</v>
      </c>
      <c r="H100" s="137" t="str">
        <f>'Eclectic B'!W100</f>
        <v>-</v>
      </c>
      <c r="I100" s="137" t="str">
        <f>'Eclectic B'!AJ100</f>
        <v>-</v>
      </c>
      <c r="J100" s="137" t="str">
        <f>'Eclectic B'!AT100</f>
        <v>-</v>
      </c>
      <c r="K100" s="14" t="str">
        <f t="shared" si="19"/>
        <v>-</v>
      </c>
      <c r="L100" s="14" t="str">
        <f t="shared" si="20"/>
        <v>-</v>
      </c>
      <c r="M100" s="14" t="str">
        <f t="shared" si="21"/>
        <v>-</v>
      </c>
      <c r="N100" s="14" t="str">
        <f t="shared" si="22"/>
        <v>-</v>
      </c>
      <c r="O100" s="14" t="str">
        <f t="shared" si="23"/>
        <v>-</v>
      </c>
      <c r="P100" s="14" t="str">
        <f t="shared" si="24"/>
        <v>-</v>
      </c>
      <c r="Q100" s="14" t="e">
        <f>RANK($K100,$K$5:$K$104,1)+COUNTIF(K$5:K100,K100)-1</f>
        <v>#VALUE!</v>
      </c>
      <c r="R100" s="14" t="e">
        <f t="shared" si="25"/>
        <v>#VALUE!</v>
      </c>
      <c r="S100" s="14" t="e">
        <f>RANK($L100,$L$5:$L$104,1)+COUNTIF(L$5:L100,L100)-1</f>
        <v>#VALUE!</v>
      </c>
      <c r="T100" s="14" t="e">
        <f t="shared" si="26"/>
        <v>#VALUE!</v>
      </c>
      <c r="U100" s="14" t="e">
        <f>RANK($M100,$M$5:$M$104,1)+COUNTIF(M$5:M100,M100)-1</f>
        <v>#VALUE!</v>
      </c>
      <c r="V100" s="14" t="e">
        <f t="shared" si="27"/>
        <v>#VALUE!</v>
      </c>
      <c r="W100" s="14" t="e">
        <f>RANK($N100,$N$5:$N$104,1)+COUNTIF(N$5:N100,N100)-1</f>
        <v>#VALUE!</v>
      </c>
      <c r="X100" s="14" t="e">
        <f t="shared" si="28"/>
        <v>#VALUE!</v>
      </c>
      <c r="Y100" s="14" t="e">
        <f>RANK($O100,$O$5:$O$104,1)+COUNTIF(O$5:O100,O100)-1</f>
        <v>#VALUE!</v>
      </c>
      <c r="Z100" s="14" t="e">
        <f t="shared" si="29"/>
        <v>#VALUE!</v>
      </c>
      <c r="AA100" s="14" t="e">
        <f>RANK($P100,$P$5:$P$104,1)+COUNTIF(P$5:P100,P100)-1</f>
        <v>#VALUE!</v>
      </c>
      <c r="AB100" s="14" t="e">
        <f t="shared" si="30"/>
        <v>#VALUE!</v>
      </c>
      <c r="AC100" s="1" t="str">
        <f t="shared" si="31"/>
        <v xml:space="preserve"> </v>
      </c>
      <c r="AD100" s="1" t="str">
        <f t="shared" si="32"/>
        <v>-</v>
      </c>
      <c r="AE100" s="35" t="str">
        <f t="shared" si="18"/>
        <v>-</v>
      </c>
      <c r="AF100" s="35" t="str">
        <f t="shared" si="18"/>
        <v>-</v>
      </c>
      <c r="AG100" s="35" t="str">
        <f t="shared" si="18"/>
        <v>-</v>
      </c>
      <c r="AH100" s="35" t="str">
        <f t="shared" si="17"/>
        <v>-</v>
      </c>
      <c r="AI100" s="35" t="str">
        <f t="shared" si="17"/>
        <v>-</v>
      </c>
      <c r="AJ100" s="35" t="str">
        <f t="shared" si="17"/>
        <v>-</v>
      </c>
      <c r="AL100" s="4">
        <v>96</v>
      </c>
      <c r="AM100" s="2" t="e">
        <f>VLOOKUP(AL100,Q$5:$AJ$104,$AN$2,FALSE)</f>
        <v>#N/A</v>
      </c>
      <c r="AN100" s="6" t="e">
        <f>VLOOKUP(AL100,Q$5:$AJ$104,$AN$2+11,FALSE)</f>
        <v>#N/A</v>
      </c>
      <c r="AO100" s="2" t="e">
        <f t="shared" si="33"/>
        <v>#N/A</v>
      </c>
      <c r="AQ100" s="4">
        <v>96</v>
      </c>
      <c r="AR100" s="2" t="e">
        <f>VLOOKUP(AQ100,$S$5:$AJ$104,$AS$2,FALSE)</f>
        <v>#N/A</v>
      </c>
      <c r="AS100" s="6" t="e">
        <f>VLOOKUP(AQ100,$S$5:$AJ$104,$AS$2+9,FALSE)</f>
        <v>#N/A</v>
      </c>
      <c r="AT100" s="2" t="e">
        <f>VLOOKUP(AR100,$S$5:$AJ$104,$AS$2+12,FALSE)</f>
        <v>#N/A</v>
      </c>
      <c r="AV100" s="4">
        <v>96</v>
      </c>
      <c r="AW100" s="2" t="e">
        <f>VLOOKUP(AV100,$U$5:$AJ$104,$AX$2,FALSE)</f>
        <v>#N/A</v>
      </c>
      <c r="AX100" s="6" t="e">
        <f>VLOOKUP(AV100,$U$5:$AJ$104,$AX$2+7,FALSE)</f>
        <v>#N/A</v>
      </c>
      <c r="AY100" s="2" t="e">
        <f>VLOOKUP(AW100,$U$5:$AJ$104,$AX$2+11,FALSE)</f>
        <v>#N/A</v>
      </c>
      <c r="BA100" s="4">
        <v>96</v>
      </c>
      <c r="BB100" s="2" t="e">
        <f>VLOOKUP(BA100,$W$5:$AJ$104,$BC$2,FALSE)</f>
        <v>#N/A</v>
      </c>
      <c r="BC100" s="6" t="e">
        <f>VLOOKUP(BA100,$W$5:$AJ$104,$BC$2+5,FALSE)</f>
        <v>#N/A</v>
      </c>
      <c r="BD100" s="58" t="e">
        <f>VLOOKUP(BB100,$W$5:$AJ$104,$BC$2+10,FALSE)</f>
        <v>#N/A</v>
      </c>
      <c r="BF100" s="4">
        <v>96</v>
      </c>
      <c r="BG100" s="2" t="e">
        <f>VLOOKUP(BF100,$Y$5:$AJ$104,$BH$2,FALSE)</f>
        <v>#N/A</v>
      </c>
      <c r="BH100" s="6" t="e">
        <f>VLOOKUP(BF100,$Y$5:$AJ$104,$BH$2+3,FALSE)</f>
        <v>#N/A</v>
      </c>
      <c r="BI100" s="2" t="e">
        <f>VLOOKUP(BF100,$Y$5:$AJ$104,$BH$2+4,FALSE)</f>
        <v>#N/A</v>
      </c>
      <c r="BJ100" s="2" t="e">
        <f>VLOOKUP(BG100,$Y$5:$AJ$104,$BH$2+9,FALSE)</f>
        <v>#N/A</v>
      </c>
      <c r="BL100" s="4">
        <v>96</v>
      </c>
      <c r="BM100" s="2" t="e">
        <f>VLOOKUP(BL100,$AA$5:$AJ$104,$BN$2,FALSE)</f>
        <v>#N/A</v>
      </c>
      <c r="BN100" s="6" t="e">
        <f>VLOOKUP(BL100,$AA$5:$AJ$104,$BN$2+1,FALSE)</f>
        <v>#N/A</v>
      </c>
      <c r="BO100" s="2" t="e">
        <f>VLOOKUP(BM100,$AA$5:$AJ$104,$BN$2+8,FALSE)</f>
        <v>#N/A</v>
      </c>
      <c r="BQ100" s="2" t="e">
        <f>'Eclectic B'!CD100</f>
        <v>#N/A</v>
      </c>
      <c r="BR100" s="6" t="e">
        <f>'Eclectic B'!CE100</f>
        <v>#N/A</v>
      </c>
      <c r="BS100" s="103" t="e">
        <f>'Eclectic B'!CF100</f>
        <v>#N/A</v>
      </c>
    </row>
    <row r="101" spans="1:71">
      <c r="A101" s="10" t="str">
        <f>IF(ISBLANK(Players!F99),"",Players!F99)</f>
        <v/>
      </c>
      <c r="B101" s="10" t="str">
        <f>IF(ISBLANK(Players!G99),"",Players!G99)</f>
        <v/>
      </c>
      <c r="C101" s="10" t="str">
        <f>IF(ISBLANK(Players!I99),"",Players!I99)</f>
        <v/>
      </c>
      <c r="D101" s="69" t="str">
        <f>IF(ISNUMBER(C101),MIN((C101*Rules!$N$14/113)+(Rules!$N$13-Rules!$N$12),Rules!$N$37),"-")</f>
        <v>-</v>
      </c>
      <c r="E101" s="69" t="str">
        <f>IF(ISNUMBER(C101),    ROUND( (D101*Rules!$N$11) / 100,0),"-")</f>
        <v>-</v>
      </c>
      <c r="F101" s="36" t="str">
        <f>IF(AND(ISNUMBER(C101),C101&gt;=Rules!$M$17,C101&lt;=Rules!$N$17),"Y","N")</f>
        <v>N</v>
      </c>
      <c r="G101" s="137" t="str">
        <f>'Eclectic B'!M101</f>
        <v>-</v>
      </c>
      <c r="H101" s="137" t="str">
        <f>'Eclectic B'!W101</f>
        <v>-</v>
      </c>
      <c r="I101" s="137" t="str">
        <f>'Eclectic B'!AJ101</f>
        <v>-</v>
      </c>
      <c r="J101" s="137" t="str">
        <f>'Eclectic B'!AT101</f>
        <v>-</v>
      </c>
      <c r="K101" s="14" t="str">
        <f t="shared" si="19"/>
        <v>-</v>
      </c>
      <c r="L101" s="14" t="str">
        <f t="shared" si="20"/>
        <v>-</v>
      </c>
      <c r="M101" s="14" t="str">
        <f t="shared" si="21"/>
        <v>-</v>
      </c>
      <c r="N101" s="14" t="str">
        <f t="shared" si="22"/>
        <v>-</v>
      </c>
      <c r="O101" s="14" t="str">
        <f t="shared" si="23"/>
        <v>-</v>
      </c>
      <c r="P101" s="14" t="str">
        <f t="shared" si="24"/>
        <v>-</v>
      </c>
      <c r="Q101" s="14" t="e">
        <f>RANK($K101,$K$5:$K$104,1)+COUNTIF(K$5:K101,K101)-1</f>
        <v>#VALUE!</v>
      </c>
      <c r="R101" s="14" t="e">
        <f t="shared" si="25"/>
        <v>#VALUE!</v>
      </c>
      <c r="S101" s="14" t="e">
        <f>RANK($L101,$L$5:$L$104,1)+COUNTIF(L$5:L101,L101)-1</f>
        <v>#VALUE!</v>
      </c>
      <c r="T101" s="14" t="e">
        <f t="shared" si="26"/>
        <v>#VALUE!</v>
      </c>
      <c r="U101" s="14" t="e">
        <f>RANK($M101,$M$5:$M$104,1)+COUNTIF(M$5:M101,M101)-1</f>
        <v>#VALUE!</v>
      </c>
      <c r="V101" s="14" t="e">
        <f t="shared" si="27"/>
        <v>#VALUE!</v>
      </c>
      <c r="W101" s="14" t="e">
        <f>RANK($N101,$N$5:$N$104,1)+COUNTIF(N$5:N101,N101)-1</f>
        <v>#VALUE!</v>
      </c>
      <c r="X101" s="14" t="e">
        <f t="shared" si="28"/>
        <v>#VALUE!</v>
      </c>
      <c r="Y101" s="14" t="e">
        <f>RANK($O101,$O$5:$O$104,1)+COUNTIF(O$5:O101,O101)-1</f>
        <v>#VALUE!</v>
      </c>
      <c r="Z101" s="14" t="e">
        <f t="shared" si="29"/>
        <v>#VALUE!</v>
      </c>
      <c r="AA101" s="14" t="e">
        <f>RANK($P101,$P$5:$P$104,1)+COUNTIF(P$5:P101,P101)-1</f>
        <v>#VALUE!</v>
      </c>
      <c r="AB101" s="14" t="e">
        <f t="shared" si="30"/>
        <v>#VALUE!</v>
      </c>
      <c r="AC101" s="1" t="str">
        <f t="shared" si="31"/>
        <v xml:space="preserve"> </v>
      </c>
      <c r="AD101" s="1" t="str">
        <f t="shared" si="32"/>
        <v>-</v>
      </c>
      <c r="AE101" s="35" t="str">
        <f t="shared" si="18"/>
        <v>-</v>
      </c>
      <c r="AF101" s="35" t="str">
        <f t="shared" si="18"/>
        <v>-</v>
      </c>
      <c r="AG101" s="35" t="str">
        <f t="shared" si="18"/>
        <v>-</v>
      </c>
      <c r="AH101" s="35" t="str">
        <f t="shared" si="17"/>
        <v>-</v>
      </c>
      <c r="AI101" s="35" t="str">
        <f t="shared" si="17"/>
        <v>-</v>
      </c>
      <c r="AJ101" s="35" t="str">
        <f t="shared" si="17"/>
        <v>-</v>
      </c>
      <c r="AL101" s="4">
        <v>97</v>
      </c>
      <c r="AM101" s="2" t="e">
        <f>VLOOKUP(AL101,Q$5:$AJ$104,$AN$2,FALSE)</f>
        <v>#N/A</v>
      </c>
      <c r="AN101" s="6" t="e">
        <f>VLOOKUP(AL101,Q$5:$AJ$104,$AN$2+11,FALSE)</f>
        <v>#N/A</v>
      </c>
      <c r="AO101" s="2" t="e">
        <f t="shared" si="33"/>
        <v>#N/A</v>
      </c>
      <c r="AQ101" s="4">
        <v>97</v>
      </c>
      <c r="AR101" s="2" t="e">
        <f>VLOOKUP(AQ101,$S$5:$AJ$104,$AS$2,FALSE)</f>
        <v>#N/A</v>
      </c>
      <c r="AS101" s="6" t="e">
        <f>VLOOKUP(AQ101,$S$5:$AJ$104,$AS$2+9,FALSE)</f>
        <v>#N/A</v>
      </c>
      <c r="AT101" s="2" t="e">
        <f>VLOOKUP(AR101,$S$5:$AJ$104,$AS$2+12,FALSE)</f>
        <v>#N/A</v>
      </c>
      <c r="AV101" s="4">
        <v>97</v>
      </c>
      <c r="AW101" s="2" t="e">
        <f>VLOOKUP(AV101,$U$5:$AJ$104,$AX$2,FALSE)</f>
        <v>#N/A</v>
      </c>
      <c r="AX101" s="6" t="e">
        <f>VLOOKUP(AV101,$U$5:$AJ$104,$AX$2+7,FALSE)</f>
        <v>#N/A</v>
      </c>
      <c r="AY101" s="2" t="e">
        <f>VLOOKUP(AW101,$U$5:$AJ$104,$AX$2+11,FALSE)</f>
        <v>#N/A</v>
      </c>
      <c r="BA101" s="4">
        <v>97</v>
      </c>
      <c r="BB101" s="2" t="e">
        <f>VLOOKUP(BA101,$W$5:$AJ$104,$BC$2,FALSE)</f>
        <v>#N/A</v>
      </c>
      <c r="BC101" s="6" t="e">
        <f>VLOOKUP(BA101,$W$5:$AJ$104,$BC$2+5,FALSE)</f>
        <v>#N/A</v>
      </c>
      <c r="BD101" s="58" t="e">
        <f>VLOOKUP(BB101,$W$5:$AJ$104,$BC$2+10,FALSE)</f>
        <v>#N/A</v>
      </c>
      <c r="BF101" s="4">
        <v>97</v>
      </c>
      <c r="BG101" s="2" t="e">
        <f>VLOOKUP(BF101,$Y$5:$AJ$104,$BH$2,FALSE)</f>
        <v>#N/A</v>
      </c>
      <c r="BH101" s="6" t="e">
        <f>VLOOKUP(BF101,$Y$5:$AJ$104,$BH$2+3,FALSE)</f>
        <v>#N/A</v>
      </c>
      <c r="BI101" s="2" t="e">
        <f>VLOOKUP(BF101,$Y$5:$AJ$104,$BH$2+4,FALSE)</f>
        <v>#N/A</v>
      </c>
      <c r="BJ101" s="2" t="e">
        <f>VLOOKUP(BG101,$Y$5:$AJ$104,$BH$2+9,FALSE)</f>
        <v>#N/A</v>
      </c>
      <c r="BL101" s="4">
        <v>97</v>
      </c>
      <c r="BM101" s="2" t="e">
        <f>VLOOKUP(BL101,$AA$5:$AJ$104,$BN$2,FALSE)</f>
        <v>#N/A</v>
      </c>
      <c r="BN101" s="6" t="e">
        <f>VLOOKUP(BL101,$AA$5:$AJ$104,$BN$2+1,FALSE)</f>
        <v>#N/A</v>
      </c>
      <c r="BO101" s="2" t="e">
        <f>VLOOKUP(BM101,$AA$5:$AJ$104,$BN$2+8,FALSE)</f>
        <v>#N/A</v>
      </c>
      <c r="BQ101" s="2" t="e">
        <f>'Eclectic B'!CD101</f>
        <v>#N/A</v>
      </c>
      <c r="BR101" s="6" t="e">
        <f>'Eclectic B'!CE101</f>
        <v>#N/A</v>
      </c>
      <c r="BS101" s="103" t="e">
        <f>'Eclectic B'!CF101</f>
        <v>#N/A</v>
      </c>
    </row>
    <row r="102" spans="1:71">
      <c r="A102" s="10" t="str">
        <f>IF(ISBLANK(Players!F100),"",Players!F100)</f>
        <v/>
      </c>
      <c r="B102" s="10" t="str">
        <f>IF(ISBLANK(Players!G100),"",Players!G100)</f>
        <v/>
      </c>
      <c r="C102" s="10" t="str">
        <f>IF(ISBLANK(Players!I100),"",Players!I100)</f>
        <v/>
      </c>
      <c r="D102" s="69" t="str">
        <f>IF(ISNUMBER(C102),MIN((C102*Rules!$N$14/113)+(Rules!$N$13-Rules!$N$12),Rules!$N$37),"-")</f>
        <v>-</v>
      </c>
      <c r="E102" s="69" t="str">
        <f>IF(ISNUMBER(C102),    ROUND( (D102*Rules!$N$11) / 100,0),"-")</f>
        <v>-</v>
      </c>
      <c r="F102" s="36" t="str">
        <f>IF(AND(ISNUMBER(C102),C102&gt;=Rules!$M$17,C102&lt;=Rules!$N$17),"Y","N")</f>
        <v>N</v>
      </c>
      <c r="G102" s="137" t="str">
        <f>'Eclectic B'!M102</f>
        <v>-</v>
      </c>
      <c r="H102" s="137" t="str">
        <f>'Eclectic B'!W102</f>
        <v>-</v>
      </c>
      <c r="I102" s="137" t="str">
        <f>'Eclectic B'!AJ102</f>
        <v>-</v>
      </c>
      <c r="J102" s="137" t="str">
        <f>'Eclectic B'!AT102</f>
        <v>-</v>
      </c>
      <c r="K102" s="14" t="str">
        <f t="shared" si="19"/>
        <v>-</v>
      </c>
      <c r="L102" s="14" t="str">
        <f t="shared" si="20"/>
        <v>-</v>
      </c>
      <c r="M102" s="14" t="str">
        <f t="shared" si="21"/>
        <v>-</v>
      </c>
      <c r="N102" s="14" t="str">
        <f t="shared" si="22"/>
        <v>-</v>
      </c>
      <c r="O102" s="14" t="str">
        <f t="shared" si="23"/>
        <v>-</v>
      </c>
      <c r="P102" s="14" t="str">
        <f t="shared" si="24"/>
        <v>-</v>
      </c>
      <c r="Q102" s="14" t="e">
        <f>RANK($K102,$K$5:$K$104,1)+COUNTIF(K$5:K102,K102)-1</f>
        <v>#VALUE!</v>
      </c>
      <c r="R102" s="14" t="e">
        <f t="shared" si="25"/>
        <v>#VALUE!</v>
      </c>
      <c r="S102" s="14" t="e">
        <f>RANK($L102,$L$5:$L$104,1)+COUNTIF(L$5:L102,L102)-1</f>
        <v>#VALUE!</v>
      </c>
      <c r="T102" s="14" t="e">
        <f t="shared" si="26"/>
        <v>#VALUE!</v>
      </c>
      <c r="U102" s="14" t="e">
        <f>RANK($M102,$M$5:$M$104,1)+COUNTIF(M$5:M102,M102)-1</f>
        <v>#VALUE!</v>
      </c>
      <c r="V102" s="14" t="e">
        <f t="shared" si="27"/>
        <v>#VALUE!</v>
      </c>
      <c r="W102" s="14" t="e">
        <f>RANK($N102,$N$5:$N$104,1)+COUNTIF(N$5:N102,N102)-1</f>
        <v>#VALUE!</v>
      </c>
      <c r="X102" s="14" t="e">
        <f t="shared" si="28"/>
        <v>#VALUE!</v>
      </c>
      <c r="Y102" s="14" t="e">
        <f>RANK($O102,$O$5:$O$104,1)+COUNTIF(O$5:O102,O102)-1</f>
        <v>#VALUE!</v>
      </c>
      <c r="Z102" s="14" t="e">
        <f t="shared" si="29"/>
        <v>#VALUE!</v>
      </c>
      <c r="AA102" s="14" t="e">
        <f>RANK($P102,$P$5:$P$104,1)+COUNTIF(P$5:P102,P102)-1</f>
        <v>#VALUE!</v>
      </c>
      <c r="AB102" s="14" t="e">
        <f t="shared" si="30"/>
        <v>#VALUE!</v>
      </c>
      <c r="AC102" s="1" t="str">
        <f t="shared" si="31"/>
        <v xml:space="preserve"> </v>
      </c>
      <c r="AD102" s="1" t="str">
        <f t="shared" si="32"/>
        <v>-</v>
      </c>
      <c r="AE102" s="35" t="str">
        <f t="shared" si="18"/>
        <v>-</v>
      </c>
      <c r="AF102" s="35" t="str">
        <f t="shared" si="18"/>
        <v>-</v>
      </c>
      <c r="AG102" s="35" t="str">
        <f t="shared" si="18"/>
        <v>-</v>
      </c>
      <c r="AH102" s="35" t="str">
        <f t="shared" si="17"/>
        <v>-</v>
      </c>
      <c r="AI102" s="35" t="str">
        <f t="shared" si="17"/>
        <v>-</v>
      </c>
      <c r="AJ102" s="35" t="str">
        <f t="shared" si="17"/>
        <v>-</v>
      </c>
      <c r="AL102" s="4">
        <v>98</v>
      </c>
      <c r="AM102" s="2" t="e">
        <f>VLOOKUP(AL102,Q$5:$AJ$104,$AN$2,FALSE)</f>
        <v>#N/A</v>
      </c>
      <c r="AN102" s="6" t="e">
        <f>VLOOKUP(AL102,Q$5:$AJ$104,$AN$2+11,FALSE)</f>
        <v>#N/A</v>
      </c>
      <c r="AO102" s="2" t="e">
        <f t="shared" si="33"/>
        <v>#N/A</v>
      </c>
      <c r="AQ102" s="4">
        <v>98</v>
      </c>
      <c r="AR102" s="2" t="e">
        <f>VLOOKUP(AQ102,$S$5:$AJ$104,$AS$2,FALSE)</f>
        <v>#N/A</v>
      </c>
      <c r="AS102" s="6" t="e">
        <f>VLOOKUP(AQ102,$S$5:$AJ$104,$AS$2+9,FALSE)</f>
        <v>#N/A</v>
      </c>
      <c r="AT102" s="2" t="e">
        <f>VLOOKUP(AR102,$S$5:$AJ$104,$AS$2+12,FALSE)</f>
        <v>#N/A</v>
      </c>
      <c r="AV102" s="4">
        <v>98</v>
      </c>
      <c r="AW102" s="2" t="e">
        <f>VLOOKUP(AV102,$U$5:$AJ$104,$AX$2,FALSE)</f>
        <v>#N/A</v>
      </c>
      <c r="AX102" s="6" t="e">
        <f>VLOOKUP(AV102,$U$5:$AJ$104,$AX$2+7,FALSE)</f>
        <v>#N/A</v>
      </c>
      <c r="AY102" s="2" t="e">
        <f>VLOOKUP(AW102,$U$5:$AJ$104,$AX$2+11,FALSE)</f>
        <v>#N/A</v>
      </c>
      <c r="BA102" s="4">
        <v>98</v>
      </c>
      <c r="BB102" s="2" t="e">
        <f>VLOOKUP(BA102,$W$5:$AJ$104,$BC$2,FALSE)</f>
        <v>#N/A</v>
      </c>
      <c r="BC102" s="6" t="e">
        <f>VLOOKUP(BA102,$W$5:$AJ$104,$BC$2+5,FALSE)</f>
        <v>#N/A</v>
      </c>
      <c r="BD102" s="58" t="e">
        <f>VLOOKUP(BB102,$W$5:$AJ$104,$BC$2+10,FALSE)</f>
        <v>#N/A</v>
      </c>
      <c r="BF102" s="4">
        <v>98</v>
      </c>
      <c r="BG102" s="2" t="e">
        <f>VLOOKUP(BF102,$Y$5:$AJ$104,$BH$2,FALSE)</f>
        <v>#N/A</v>
      </c>
      <c r="BH102" s="6" t="e">
        <f>VLOOKUP(BF102,$Y$5:$AJ$104,$BH$2+3,FALSE)</f>
        <v>#N/A</v>
      </c>
      <c r="BI102" s="2" t="e">
        <f>VLOOKUP(BF102,$Y$5:$AJ$104,$BH$2+4,FALSE)</f>
        <v>#N/A</v>
      </c>
      <c r="BJ102" s="2" t="e">
        <f>VLOOKUP(BG102,$Y$5:$AJ$104,$BH$2+9,FALSE)</f>
        <v>#N/A</v>
      </c>
      <c r="BL102" s="4">
        <v>98</v>
      </c>
      <c r="BM102" s="2" t="e">
        <f>VLOOKUP(BL102,$AA$5:$AJ$104,$BN$2,FALSE)</f>
        <v>#N/A</v>
      </c>
      <c r="BN102" s="6" t="e">
        <f>VLOOKUP(BL102,$AA$5:$AJ$104,$BN$2+1,FALSE)</f>
        <v>#N/A</v>
      </c>
      <c r="BO102" s="2" t="e">
        <f>VLOOKUP(BM102,$AA$5:$AJ$104,$BN$2+8,FALSE)</f>
        <v>#N/A</v>
      </c>
      <c r="BQ102" s="2" t="e">
        <f>'Eclectic B'!CD102</f>
        <v>#N/A</v>
      </c>
      <c r="BR102" s="6" t="e">
        <f>'Eclectic B'!CE102</f>
        <v>#N/A</v>
      </c>
      <c r="BS102" s="103" t="e">
        <f>'Eclectic B'!CF102</f>
        <v>#N/A</v>
      </c>
    </row>
    <row r="103" spans="1:71">
      <c r="A103" s="10" t="str">
        <f>IF(ISBLANK(Players!F101),"",Players!F101)</f>
        <v/>
      </c>
      <c r="B103" s="10" t="str">
        <f>IF(ISBLANK(Players!G101),"",Players!G101)</f>
        <v/>
      </c>
      <c r="C103" s="10" t="str">
        <f>IF(ISBLANK(Players!I101),"",Players!I101)</f>
        <v/>
      </c>
      <c r="D103" s="69" t="str">
        <f>IF(ISNUMBER(C103),MIN((C103*Rules!$N$14/113)+(Rules!$N$13-Rules!$N$12),Rules!$N$37),"-")</f>
        <v>-</v>
      </c>
      <c r="E103" s="69" t="str">
        <f>IF(ISNUMBER(C103),    ROUND( (D103*Rules!$N$11) / 100,0),"-")</f>
        <v>-</v>
      </c>
      <c r="F103" s="36" t="str">
        <f>IF(AND(ISNUMBER(C103),C103&gt;=Rules!$M$17,C103&lt;=Rules!$N$17),"Y","N")</f>
        <v>N</v>
      </c>
      <c r="G103" s="137" t="str">
        <f>'Eclectic B'!M103</f>
        <v>-</v>
      </c>
      <c r="H103" s="137" t="str">
        <f>'Eclectic B'!W103</f>
        <v>-</v>
      </c>
      <c r="I103" s="137" t="str">
        <f>'Eclectic B'!AJ103</f>
        <v>-</v>
      </c>
      <c r="J103" s="137" t="str">
        <f>'Eclectic B'!AT103</f>
        <v>-</v>
      </c>
      <c r="K103" s="14" t="str">
        <f t="shared" si="19"/>
        <v>-</v>
      </c>
      <c r="L103" s="14" t="str">
        <f t="shared" si="20"/>
        <v>-</v>
      </c>
      <c r="M103" s="14" t="str">
        <f t="shared" si="21"/>
        <v>-</v>
      </c>
      <c r="N103" s="14" t="str">
        <f t="shared" si="22"/>
        <v>-</v>
      </c>
      <c r="O103" s="14" t="str">
        <f t="shared" si="23"/>
        <v>-</v>
      </c>
      <c r="P103" s="14" t="str">
        <f t="shared" si="24"/>
        <v>-</v>
      </c>
      <c r="Q103" s="14" t="e">
        <f>RANK($K103,$K$5:$K$104,1)+COUNTIF(K$5:K103,K103)-1</f>
        <v>#VALUE!</v>
      </c>
      <c r="R103" s="14" t="e">
        <f t="shared" si="25"/>
        <v>#VALUE!</v>
      </c>
      <c r="S103" s="14" t="e">
        <f>RANK($L103,$L$5:$L$104,1)+COUNTIF(L$5:L103,L103)-1</f>
        <v>#VALUE!</v>
      </c>
      <c r="T103" s="14" t="e">
        <f t="shared" si="26"/>
        <v>#VALUE!</v>
      </c>
      <c r="U103" s="14" t="e">
        <f>RANK($M103,$M$5:$M$104,1)+COUNTIF(M$5:M103,M103)-1</f>
        <v>#VALUE!</v>
      </c>
      <c r="V103" s="14" t="e">
        <f t="shared" si="27"/>
        <v>#VALUE!</v>
      </c>
      <c r="W103" s="14" t="e">
        <f>RANK($N103,$N$5:$N$104,1)+COUNTIF(N$5:N103,N103)-1</f>
        <v>#VALUE!</v>
      </c>
      <c r="X103" s="14" t="e">
        <f t="shared" si="28"/>
        <v>#VALUE!</v>
      </c>
      <c r="Y103" s="14" t="e">
        <f>RANK($O103,$O$5:$O$104,1)+COUNTIF(O$5:O103,O103)-1</f>
        <v>#VALUE!</v>
      </c>
      <c r="Z103" s="14" t="e">
        <f t="shared" si="29"/>
        <v>#VALUE!</v>
      </c>
      <c r="AA103" s="14" t="e">
        <f>RANK($P103,$P$5:$P$104,1)+COUNTIF(P$5:P103,P103)-1</f>
        <v>#VALUE!</v>
      </c>
      <c r="AB103" s="14" t="e">
        <f t="shared" si="30"/>
        <v>#VALUE!</v>
      </c>
      <c r="AC103" s="1" t="str">
        <f t="shared" si="31"/>
        <v xml:space="preserve"> </v>
      </c>
      <c r="AD103" s="1" t="str">
        <f t="shared" si="32"/>
        <v>-</v>
      </c>
      <c r="AE103" s="35" t="str">
        <f t="shared" si="18"/>
        <v>-</v>
      </c>
      <c r="AF103" s="35" t="str">
        <f t="shared" si="18"/>
        <v>-</v>
      </c>
      <c r="AG103" s="35" t="str">
        <f t="shared" si="18"/>
        <v>-</v>
      </c>
      <c r="AH103" s="35" t="str">
        <f t="shared" si="17"/>
        <v>-</v>
      </c>
      <c r="AI103" s="35" t="str">
        <f t="shared" si="17"/>
        <v>-</v>
      </c>
      <c r="AJ103" s="35" t="str">
        <f t="shared" si="17"/>
        <v>-</v>
      </c>
      <c r="AL103" s="4">
        <v>99</v>
      </c>
      <c r="AM103" s="2" t="e">
        <f>VLOOKUP(AL103,Q$5:$AJ$104,$AN$2,FALSE)</f>
        <v>#N/A</v>
      </c>
      <c r="AN103" s="6" t="e">
        <f>VLOOKUP(AL103,Q$5:$AJ$104,$AN$2+11,FALSE)</f>
        <v>#N/A</v>
      </c>
      <c r="AO103" s="2" t="e">
        <f t="shared" si="33"/>
        <v>#N/A</v>
      </c>
      <c r="AQ103" s="4">
        <v>99</v>
      </c>
      <c r="AR103" s="2" t="e">
        <f>VLOOKUP(AQ103,$S$5:$AJ$104,$AS$2,FALSE)</f>
        <v>#N/A</v>
      </c>
      <c r="AS103" s="6" t="e">
        <f>VLOOKUP(AQ103,$S$5:$AJ$104,$AS$2+9,FALSE)</f>
        <v>#N/A</v>
      </c>
      <c r="AT103" s="2" t="e">
        <f>VLOOKUP(AR103,$S$5:$AJ$104,$AS$2+12,FALSE)</f>
        <v>#N/A</v>
      </c>
      <c r="AV103" s="4">
        <v>99</v>
      </c>
      <c r="AW103" s="2" t="e">
        <f>VLOOKUP(AV103,$U$5:$AJ$104,$AX$2,FALSE)</f>
        <v>#N/A</v>
      </c>
      <c r="AX103" s="6" t="e">
        <f>VLOOKUP(AV103,$U$5:$AJ$104,$AX$2+7,FALSE)</f>
        <v>#N/A</v>
      </c>
      <c r="AY103" s="2" t="e">
        <f>VLOOKUP(AW103,$U$5:$AJ$104,$AX$2+11,FALSE)</f>
        <v>#N/A</v>
      </c>
      <c r="BA103" s="4">
        <v>99</v>
      </c>
      <c r="BB103" s="2" t="e">
        <f>VLOOKUP(BA103,$W$5:$AJ$104,$BC$2,FALSE)</f>
        <v>#N/A</v>
      </c>
      <c r="BC103" s="6" t="e">
        <f>VLOOKUP(BA103,$W$5:$AJ$104,$BC$2+5,FALSE)</f>
        <v>#N/A</v>
      </c>
      <c r="BD103" s="58" t="e">
        <f>VLOOKUP(BB103,$W$5:$AJ$104,$BC$2+10,FALSE)</f>
        <v>#N/A</v>
      </c>
      <c r="BF103" s="4">
        <v>99</v>
      </c>
      <c r="BG103" s="2" t="e">
        <f>VLOOKUP(BF103,$Y$5:$AJ$104,$BH$2,FALSE)</f>
        <v>#N/A</v>
      </c>
      <c r="BH103" s="6"/>
      <c r="BI103" s="2"/>
      <c r="BJ103" s="2"/>
      <c r="BL103" s="4">
        <v>99</v>
      </c>
      <c r="BM103" s="2" t="e">
        <f>VLOOKUP(BL103,$AA$5:$AJ$104,$BN$2,FALSE)</f>
        <v>#N/A</v>
      </c>
      <c r="BN103" s="6" t="e">
        <f>VLOOKUP(BL103,$AA$5:$AJ$104,$BN$2+1,FALSE)</f>
        <v>#N/A</v>
      </c>
      <c r="BO103" s="2" t="e">
        <f>VLOOKUP(BM103,$AA$5:$AJ$104,$BN$2+8,FALSE)</f>
        <v>#N/A</v>
      </c>
      <c r="BQ103" s="2" t="e">
        <f>'Eclectic B'!CD103</f>
        <v>#N/A</v>
      </c>
      <c r="BR103" s="6" t="e">
        <f>'Eclectic B'!CE103</f>
        <v>#N/A</v>
      </c>
      <c r="BS103" s="103" t="e">
        <f>'Eclectic B'!CF103</f>
        <v>#N/A</v>
      </c>
    </row>
    <row r="104" spans="1:71">
      <c r="A104" s="10" t="str">
        <f>IF(ISBLANK(Players!F102),"",Players!F102)</f>
        <v/>
      </c>
      <c r="B104" s="10" t="str">
        <f>IF(ISBLANK(Players!G102),"",Players!G102)</f>
        <v/>
      </c>
      <c r="C104" s="10" t="str">
        <f>IF(ISBLANK(Players!I102),"",Players!I102)</f>
        <v/>
      </c>
      <c r="D104" s="69" t="str">
        <f>IF(ISNUMBER(C104),MIN((C104*Rules!$N$14/113)+(Rules!$N$13-Rules!$N$12),Rules!$N$37),"-")</f>
        <v>-</v>
      </c>
      <c r="E104" s="69" t="str">
        <f>IF(ISNUMBER(C104),    ROUND( (D104*Rules!$N$11) / 100,0),"-")</f>
        <v>-</v>
      </c>
      <c r="F104" s="36" t="str">
        <f>IF(AND(ISNUMBER(C104),C104&gt;=Rules!$M$17,C104&lt;=Rules!$N$17),"Y","N")</f>
        <v>N</v>
      </c>
      <c r="G104" s="137" t="str">
        <f>'Eclectic B'!M104</f>
        <v>-</v>
      </c>
      <c r="H104" s="137" t="str">
        <f>'Eclectic B'!W104</f>
        <v>-</v>
      </c>
      <c r="I104" s="137" t="str">
        <f>'Eclectic B'!AJ104</f>
        <v>-</v>
      </c>
      <c r="J104" s="137" t="str">
        <f>'Eclectic B'!AT104</f>
        <v>-</v>
      </c>
      <c r="K104" s="14" t="str">
        <f t="shared" si="19"/>
        <v>-</v>
      </c>
      <c r="L104" s="14" t="str">
        <f t="shared" si="20"/>
        <v>-</v>
      </c>
      <c r="M104" s="14" t="str">
        <f t="shared" si="21"/>
        <v>-</v>
      </c>
      <c r="N104" s="14" t="str">
        <f t="shared" si="22"/>
        <v>-</v>
      </c>
      <c r="O104" s="14" t="str">
        <f t="shared" si="23"/>
        <v>-</v>
      </c>
      <c r="P104" s="14" t="str">
        <f t="shared" si="24"/>
        <v>-</v>
      </c>
      <c r="Q104" s="14" t="e">
        <f>RANK($K104,$K$5:$K$104,1)+COUNTIF(K$5:K104,K104)-1</f>
        <v>#VALUE!</v>
      </c>
      <c r="R104" s="14" t="e">
        <f t="shared" si="25"/>
        <v>#VALUE!</v>
      </c>
      <c r="S104" s="14" t="e">
        <f>RANK($L104,$L$5:$L$104,1)+COUNTIF(L$5:L104,L104)-1</f>
        <v>#VALUE!</v>
      </c>
      <c r="T104" s="14" t="e">
        <f t="shared" si="26"/>
        <v>#VALUE!</v>
      </c>
      <c r="U104" s="14" t="e">
        <f>RANK($M104,$M$5:$M$104,1)+COUNTIF(M$5:M104,M104)-1</f>
        <v>#VALUE!</v>
      </c>
      <c r="V104" s="14" t="e">
        <f t="shared" si="27"/>
        <v>#VALUE!</v>
      </c>
      <c r="W104" s="14" t="e">
        <f>RANK($N104,$N$5:$N$104,1)+COUNTIF(N$5:N104,N104)-1</f>
        <v>#VALUE!</v>
      </c>
      <c r="X104" s="14" t="e">
        <f t="shared" si="28"/>
        <v>#VALUE!</v>
      </c>
      <c r="Y104" s="14" t="e">
        <f>RANK($O104,$O$5:$O$104,1)+COUNTIF(O$5:O104,O104)-1</f>
        <v>#VALUE!</v>
      </c>
      <c r="Z104" s="14" t="e">
        <f t="shared" si="29"/>
        <v>#VALUE!</v>
      </c>
      <c r="AA104" s="14" t="e">
        <f>RANK($P104,$P$5:$P$104,1)+COUNTIF(P$5:P104,P104)-1</f>
        <v>#VALUE!</v>
      </c>
      <c r="AB104" s="14" t="e">
        <f t="shared" si="30"/>
        <v>#VALUE!</v>
      </c>
      <c r="AC104" s="1" t="str">
        <f t="shared" si="31"/>
        <v xml:space="preserve"> </v>
      </c>
      <c r="AD104" s="1" t="str">
        <f t="shared" si="32"/>
        <v>-</v>
      </c>
      <c r="AE104" s="35" t="str">
        <f t="shared" si="18"/>
        <v>-</v>
      </c>
      <c r="AF104" s="35" t="str">
        <f t="shared" si="18"/>
        <v>-</v>
      </c>
      <c r="AG104" s="35" t="str">
        <f t="shared" si="18"/>
        <v>-</v>
      </c>
      <c r="AH104" s="35" t="str">
        <f t="shared" si="17"/>
        <v>-</v>
      </c>
      <c r="AI104" s="35" t="str">
        <f t="shared" si="17"/>
        <v>-</v>
      </c>
      <c r="AJ104" s="35" t="str">
        <f t="shared" si="17"/>
        <v>-</v>
      </c>
      <c r="AL104" s="4">
        <v>100</v>
      </c>
      <c r="AM104" s="2" t="e">
        <f>VLOOKUP(AL104,Q$5:$AJ$104,$AN$2,FALSE)</f>
        <v>#N/A</v>
      </c>
      <c r="AN104" s="6" t="e">
        <f>VLOOKUP(AL104,Q$5:$AJ$104,$AN$2+11,FALSE)</f>
        <v>#N/A</v>
      </c>
      <c r="AO104" s="2" t="e">
        <f t="shared" si="33"/>
        <v>#N/A</v>
      </c>
      <c r="AQ104" s="4">
        <v>100</v>
      </c>
      <c r="AR104" s="2" t="e">
        <f>VLOOKUP(AQ104,$S$5:$AJ$104,$AS$2,FALSE)</f>
        <v>#N/A</v>
      </c>
      <c r="AS104" s="6" t="e">
        <f>VLOOKUP(AQ104,$S$5:$AJ$104,$AS$2+9,FALSE)</f>
        <v>#N/A</v>
      </c>
      <c r="AT104" s="2" t="e">
        <f>VLOOKUP(AR104,$S$5:$AJ$104,$AS$2+12,FALSE)</f>
        <v>#N/A</v>
      </c>
      <c r="AV104" s="4">
        <v>100</v>
      </c>
      <c r="AW104" s="2" t="e">
        <f>VLOOKUP(AV104,$U$5:$AJ$104,$AX$2,FALSE)</f>
        <v>#N/A</v>
      </c>
      <c r="AX104" s="6" t="e">
        <f>VLOOKUP(AV104,$U$5:$AJ$104,$AX$2+7,FALSE)</f>
        <v>#N/A</v>
      </c>
      <c r="AY104" s="2" t="e">
        <f>VLOOKUP(AW104,$U$5:$AJ$104,$AX$2+11,FALSE)</f>
        <v>#N/A</v>
      </c>
      <c r="BA104" s="4">
        <v>100</v>
      </c>
      <c r="BB104" s="2" t="e">
        <f>VLOOKUP(BA104,$W$5:$AJ$104,$BC$2,FALSE)</f>
        <v>#N/A</v>
      </c>
      <c r="BC104" s="6" t="e">
        <f>VLOOKUP(BA104,$W$5:$AJ$104,$BC$2+5,FALSE)</f>
        <v>#N/A</v>
      </c>
      <c r="BD104" s="58" t="e">
        <f>VLOOKUP(BB104,$W$5:$AJ$104,$BC$2+10,FALSE)</f>
        <v>#N/A</v>
      </c>
      <c r="BF104" s="8">
        <v>100</v>
      </c>
      <c r="BG104" s="2" t="e">
        <f>VLOOKUP(BF104,$Y$5:$AJ$104,$BH$2,FALSE)</f>
        <v>#N/A</v>
      </c>
      <c r="BH104" s="6"/>
      <c r="BI104" s="2"/>
      <c r="BJ104" s="7"/>
      <c r="BL104" s="4">
        <v>100</v>
      </c>
      <c r="BM104" s="2" t="e">
        <f>VLOOKUP(BL104,$AA$5:$AJ$104,$BN$2,FALSE)</f>
        <v>#N/A</v>
      </c>
      <c r="BN104" s="6" t="e">
        <f>VLOOKUP(BL104,$AA$5:$AJ$104,$BN$2+1,FALSE)</f>
        <v>#N/A</v>
      </c>
      <c r="BO104" s="2" t="e">
        <f>VLOOKUP(BM104,$AA$5:$AJ$104,$BN$2+8,FALSE)</f>
        <v>#N/A</v>
      </c>
      <c r="BQ104" s="2" t="e">
        <f>'Eclectic B'!CD104</f>
        <v>#N/A</v>
      </c>
      <c r="BR104" s="6" t="e">
        <f>'Eclectic B'!CE104</f>
        <v>#N/A</v>
      </c>
      <c r="BS104" s="103" t="e">
        <f>'Eclectic B'!CF104</f>
        <v>#N/A</v>
      </c>
    </row>
    <row r="105" spans="1:71" ht="15" customHeight="1">
      <c r="BQ105" s="79"/>
      <c r="BR105" s="80"/>
      <c r="BS105" s="104"/>
    </row>
    <row r="106" spans="1:71" ht="15" customHeight="1">
      <c r="BQ106" s="79"/>
      <c r="BR106" s="80"/>
      <c r="BS106" s="104"/>
    </row>
    <row r="107" spans="1:71" ht="15" customHeight="1">
      <c r="BQ107" s="79"/>
      <c r="BR107" s="80"/>
      <c r="BS107" s="104"/>
    </row>
    <row r="108" spans="1:71" ht="15" customHeight="1">
      <c r="BQ108" s="79"/>
      <c r="BR108" s="80"/>
      <c r="BS108" s="104"/>
    </row>
    <row r="109" spans="1:71" ht="15" customHeight="1">
      <c r="BQ109" s="79"/>
      <c r="BR109" s="80"/>
      <c r="BS109" s="104"/>
    </row>
    <row r="110" spans="1:71" ht="15" customHeight="1">
      <c r="BQ110" s="79"/>
      <c r="BR110" s="80"/>
      <c r="BS110" s="104"/>
    </row>
    <row r="111" spans="1:71" ht="15" customHeight="1">
      <c r="BQ111" s="79"/>
      <c r="BR111" s="80"/>
      <c r="BS111" s="104"/>
    </row>
    <row r="112" spans="1:71" ht="15" customHeight="1">
      <c r="BQ112" s="79"/>
      <c r="BR112" s="80"/>
      <c r="BS112" s="104"/>
    </row>
    <row r="113" spans="69:71" ht="15" customHeight="1">
      <c r="BQ113" s="79"/>
      <c r="BR113" s="80"/>
      <c r="BS113" s="104"/>
    </row>
    <row r="114" spans="69:71" ht="15" customHeight="1">
      <c r="BQ114" s="79"/>
      <c r="BR114" s="80"/>
      <c r="BS114" s="104"/>
    </row>
    <row r="115" spans="69:71" ht="15" customHeight="1">
      <c r="BQ115" s="79"/>
      <c r="BR115" s="80"/>
      <c r="BS115" s="104"/>
    </row>
    <row r="116" spans="69:71" ht="15" customHeight="1">
      <c r="BQ116" s="79"/>
      <c r="BR116" s="80"/>
      <c r="BS116" s="104"/>
    </row>
    <row r="117" spans="69:71" ht="15" customHeight="1">
      <c r="BQ117" s="79"/>
      <c r="BR117" s="80"/>
      <c r="BS117" s="104"/>
    </row>
    <row r="118" spans="69:71" ht="15" customHeight="1">
      <c r="BQ118" s="79"/>
      <c r="BR118" s="80"/>
      <c r="BS118" s="104"/>
    </row>
    <row r="119" spans="69:71" ht="15" customHeight="1">
      <c r="BQ119" s="79"/>
      <c r="BR119" s="80"/>
      <c r="BS119" s="104"/>
    </row>
    <row r="120" spans="69:71" ht="15" customHeight="1">
      <c r="BQ120" s="79"/>
      <c r="BR120" s="80"/>
      <c r="BS120" s="104"/>
    </row>
    <row r="121" spans="69:71" ht="15" customHeight="1">
      <c r="BQ121" s="79"/>
      <c r="BR121" s="80"/>
      <c r="BS121" s="104"/>
    </row>
    <row r="122" spans="69:71" ht="15" customHeight="1">
      <c r="BQ122" s="79"/>
      <c r="BR122" s="80"/>
      <c r="BS122" s="104"/>
    </row>
    <row r="123" spans="69:71" ht="15" customHeight="1">
      <c r="BQ123" s="79"/>
      <c r="BR123" s="80"/>
      <c r="BS123" s="104"/>
    </row>
    <row r="124" spans="69:71" ht="15" customHeight="1">
      <c r="BQ124" s="79"/>
      <c r="BR124" s="80"/>
      <c r="BS124" s="104"/>
    </row>
    <row r="125" spans="69:71" ht="15" customHeight="1">
      <c r="BQ125" s="79"/>
      <c r="BR125" s="80"/>
      <c r="BS125" s="104"/>
    </row>
    <row r="126" spans="69:71" ht="15" customHeight="1">
      <c r="BQ126" s="79"/>
      <c r="BR126" s="80"/>
      <c r="BS126" s="104"/>
    </row>
    <row r="127" spans="69:71" ht="15" customHeight="1">
      <c r="BQ127" s="79"/>
      <c r="BR127" s="80"/>
      <c r="BS127" s="104"/>
    </row>
    <row r="128" spans="69:71" ht="15" customHeight="1">
      <c r="BQ128" s="79"/>
      <c r="BR128" s="80"/>
      <c r="BS128" s="104"/>
    </row>
    <row r="129" spans="69:71" ht="15" customHeight="1">
      <c r="BQ129" s="79"/>
      <c r="BR129" s="80"/>
      <c r="BS129" s="104"/>
    </row>
    <row r="130" spans="69:71" ht="15" customHeight="1">
      <c r="BQ130" s="79"/>
      <c r="BR130" s="80"/>
      <c r="BS130" s="104"/>
    </row>
    <row r="131" spans="69:71" ht="15" customHeight="1">
      <c r="BQ131" s="79"/>
      <c r="BR131" s="80"/>
      <c r="BS131" s="104"/>
    </row>
    <row r="132" spans="69:71" ht="15" customHeight="1">
      <c r="BQ132" s="79"/>
      <c r="BR132" s="80"/>
      <c r="BS132" s="104"/>
    </row>
    <row r="133" spans="69:71" ht="15" customHeight="1">
      <c r="BQ133" s="79"/>
      <c r="BR133" s="80"/>
      <c r="BS133" s="104"/>
    </row>
    <row r="134" spans="69:71" ht="15" customHeight="1">
      <c r="BQ134" s="79"/>
      <c r="BR134" s="80"/>
      <c r="BS134" s="104"/>
    </row>
    <row r="135" spans="69:71" ht="15" customHeight="1">
      <c r="BQ135" s="79"/>
      <c r="BR135" s="80"/>
      <c r="BS135" s="104"/>
    </row>
    <row r="136" spans="69:71" ht="15" customHeight="1">
      <c r="BQ136" s="79"/>
      <c r="BR136" s="80"/>
      <c r="BS136" s="104"/>
    </row>
    <row r="137" spans="69:71" ht="15" customHeight="1">
      <c r="BQ137" s="79"/>
      <c r="BR137" s="80"/>
      <c r="BS137" s="104"/>
    </row>
    <row r="138" spans="69:71" ht="15" customHeight="1">
      <c r="BQ138" s="79"/>
      <c r="BR138" s="80"/>
      <c r="BS138" s="104"/>
    </row>
    <row r="139" spans="69:71" ht="15" customHeight="1">
      <c r="BQ139" s="79"/>
      <c r="BR139" s="80"/>
      <c r="BS139" s="104"/>
    </row>
    <row r="140" spans="69:71" ht="15" customHeight="1">
      <c r="BQ140" s="79"/>
      <c r="BR140" s="80"/>
      <c r="BS140" s="104"/>
    </row>
    <row r="141" spans="69:71" ht="15" customHeight="1">
      <c r="BQ141" s="79"/>
      <c r="BR141" s="80"/>
      <c r="BS141" s="104"/>
    </row>
    <row r="142" spans="69:71" ht="15" customHeight="1">
      <c r="BQ142" s="79"/>
      <c r="BR142" s="80"/>
      <c r="BS142" s="104"/>
    </row>
    <row r="143" spans="69:71" ht="15" customHeight="1">
      <c r="BQ143" s="79"/>
      <c r="BR143" s="80"/>
      <c r="BS143" s="104"/>
    </row>
    <row r="144" spans="69:71" ht="15" customHeight="1">
      <c r="BQ144" s="79"/>
      <c r="BR144" s="80"/>
      <c r="BS144" s="104"/>
    </row>
    <row r="145" spans="69:71" ht="15" customHeight="1">
      <c r="BQ145" s="79"/>
      <c r="BR145" s="80"/>
      <c r="BS145" s="104"/>
    </row>
    <row r="146" spans="69:71" ht="15" customHeight="1">
      <c r="BQ146" s="79"/>
      <c r="BR146" s="80"/>
      <c r="BS146" s="104"/>
    </row>
    <row r="147" spans="69:71" ht="15" customHeight="1">
      <c r="BQ147" s="79"/>
      <c r="BR147" s="80"/>
      <c r="BS147" s="104"/>
    </row>
    <row r="148" spans="69:71" ht="15" customHeight="1">
      <c r="BQ148" s="79"/>
      <c r="BR148" s="80"/>
      <c r="BS148" s="104"/>
    </row>
    <row r="149" spans="69:71" ht="15" customHeight="1">
      <c r="BQ149" s="79"/>
      <c r="BR149" s="80"/>
      <c r="BS149" s="104"/>
    </row>
    <row r="150" spans="69:71" ht="15" customHeight="1">
      <c r="BQ150" s="79"/>
      <c r="BR150" s="80"/>
      <c r="BS150" s="104"/>
    </row>
    <row r="151" spans="69:71" ht="15" customHeight="1">
      <c r="BQ151" s="79"/>
      <c r="BR151" s="80"/>
      <c r="BS151" s="104"/>
    </row>
    <row r="152" spans="69:71" ht="15" customHeight="1">
      <c r="BQ152" s="79"/>
      <c r="BR152" s="80"/>
      <c r="BS152" s="104"/>
    </row>
    <row r="153" spans="69:71" ht="15" customHeight="1">
      <c r="BQ153" s="79"/>
      <c r="BR153" s="80"/>
      <c r="BS153" s="104"/>
    </row>
    <row r="154" spans="69:71" ht="15" customHeight="1">
      <c r="BQ154" s="79"/>
      <c r="BR154" s="80"/>
      <c r="BS154" s="104"/>
    </row>
    <row r="155" spans="69:71" ht="15" customHeight="1">
      <c r="BQ155" s="79"/>
      <c r="BR155" s="80"/>
      <c r="BS155" s="104"/>
    </row>
    <row r="156" spans="69:71" ht="15" customHeight="1">
      <c r="BQ156" s="79"/>
      <c r="BR156" s="80"/>
      <c r="BS156" s="104"/>
    </row>
    <row r="157" spans="69:71" ht="15" customHeight="1">
      <c r="BQ157" s="79"/>
      <c r="BR157" s="80"/>
      <c r="BS157" s="104"/>
    </row>
    <row r="158" spans="69:71" ht="15" customHeight="1">
      <c r="BQ158" s="79"/>
      <c r="BR158" s="80"/>
      <c r="BS158" s="104"/>
    </row>
    <row r="159" spans="69:71" ht="15" customHeight="1">
      <c r="BQ159" s="79"/>
      <c r="BR159" s="80"/>
      <c r="BS159" s="104"/>
    </row>
    <row r="160" spans="69:71" ht="15" customHeight="1">
      <c r="BQ160" s="79"/>
      <c r="BR160" s="80"/>
      <c r="BS160" s="104"/>
    </row>
    <row r="161" spans="69:71" ht="15" customHeight="1">
      <c r="BQ161" s="79"/>
      <c r="BR161" s="80"/>
      <c r="BS161" s="104"/>
    </row>
    <row r="162" spans="69:71" ht="15" customHeight="1">
      <c r="BQ162" s="79"/>
      <c r="BR162" s="80"/>
      <c r="BS162" s="104"/>
    </row>
    <row r="163" spans="69:71" ht="15" customHeight="1">
      <c r="BQ163" s="79"/>
      <c r="BR163" s="80"/>
      <c r="BS163" s="104"/>
    </row>
    <row r="164" spans="69:71" ht="15" customHeight="1">
      <c r="BQ164" s="79"/>
      <c r="BR164" s="80"/>
      <c r="BS164" s="104"/>
    </row>
    <row r="165" spans="69:71" ht="15" customHeight="1">
      <c r="BQ165" s="79"/>
      <c r="BR165" s="80"/>
      <c r="BS165" s="104"/>
    </row>
    <row r="166" spans="69:71" ht="15" customHeight="1">
      <c r="BQ166" s="79"/>
      <c r="BR166" s="80"/>
      <c r="BS166" s="104"/>
    </row>
    <row r="167" spans="69:71" ht="15" customHeight="1">
      <c r="BQ167" s="79"/>
      <c r="BR167" s="80"/>
      <c r="BS167" s="104"/>
    </row>
    <row r="168" spans="69:71" ht="15" customHeight="1">
      <c r="BQ168" s="79"/>
      <c r="BR168" s="80"/>
      <c r="BS168" s="104"/>
    </row>
    <row r="169" spans="69:71" ht="15" customHeight="1">
      <c r="BQ169" s="79"/>
      <c r="BR169" s="80"/>
      <c r="BS169" s="104"/>
    </row>
    <row r="170" spans="69:71" ht="15" customHeight="1">
      <c r="BQ170" s="79"/>
      <c r="BR170" s="80"/>
      <c r="BS170" s="104"/>
    </row>
    <row r="171" spans="69:71" ht="15" customHeight="1">
      <c r="BQ171" s="79"/>
      <c r="BR171" s="80"/>
      <c r="BS171" s="104"/>
    </row>
    <row r="172" spans="69:71" ht="15" customHeight="1">
      <c r="BQ172" s="79"/>
      <c r="BR172" s="80"/>
      <c r="BS172" s="104"/>
    </row>
    <row r="173" spans="69:71" ht="15" customHeight="1">
      <c r="BQ173" s="79"/>
      <c r="BR173" s="80"/>
      <c r="BS173" s="104"/>
    </row>
    <row r="174" spans="69:71" ht="15" customHeight="1">
      <c r="BQ174" s="79"/>
      <c r="BR174" s="80"/>
      <c r="BS174" s="104"/>
    </row>
    <row r="175" spans="69:71" ht="15" customHeight="1">
      <c r="BQ175" s="79"/>
      <c r="BR175" s="80"/>
      <c r="BS175" s="104"/>
    </row>
    <row r="176" spans="69:71" ht="15" customHeight="1">
      <c r="BQ176" s="79"/>
      <c r="BR176" s="80"/>
      <c r="BS176" s="104"/>
    </row>
    <row r="177" spans="69:71" ht="15" customHeight="1">
      <c r="BQ177" s="79"/>
      <c r="BR177" s="80"/>
      <c r="BS177" s="104"/>
    </row>
    <row r="178" spans="69:71" ht="15" customHeight="1">
      <c r="BQ178" s="79"/>
      <c r="BR178" s="80"/>
      <c r="BS178" s="104"/>
    </row>
    <row r="179" spans="69:71" ht="15" customHeight="1">
      <c r="BQ179" s="79"/>
      <c r="BR179" s="80"/>
      <c r="BS179" s="104"/>
    </row>
    <row r="180" spans="69:71" ht="15" customHeight="1">
      <c r="BQ180" s="79"/>
      <c r="BR180" s="80"/>
      <c r="BS180" s="104"/>
    </row>
    <row r="181" spans="69:71" ht="15" customHeight="1">
      <c r="BQ181" s="79"/>
      <c r="BR181" s="80"/>
      <c r="BS181" s="104"/>
    </row>
    <row r="182" spans="69:71" ht="15" customHeight="1">
      <c r="BQ182" s="79"/>
      <c r="BR182" s="80"/>
      <c r="BS182" s="104"/>
    </row>
    <row r="183" spans="69:71" ht="15" customHeight="1">
      <c r="BQ183" s="79"/>
      <c r="BR183" s="80"/>
      <c r="BS183" s="104"/>
    </row>
    <row r="184" spans="69:71" ht="15" customHeight="1">
      <c r="BQ184" s="79"/>
      <c r="BR184" s="80"/>
      <c r="BS184" s="104"/>
    </row>
    <row r="185" spans="69:71" ht="15" customHeight="1">
      <c r="BQ185" s="79"/>
      <c r="BR185" s="80"/>
      <c r="BS185" s="104"/>
    </row>
    <row r="186" spans="69:71" ht="15" customHeight="1">
      <c r="BQ186" s="79"/>
      <c r="BR186" s="80"/>
      <c r="BS186" s="104"/>
    </row>
    <row r="187" spans="69:71" ht="15" customHeight="1">
      <c r="BQ187" s="79"/>
      <c r="BR187" s="80"/>
      <c r="BS187" s="104"/>
    </row>
    <row r="188" spans="69:71" ht="15" customHeight="1">
      <c r="BQ188" s="79"/>
      <c r="BR188" s="80"/>
      <c r="BS188" s="104"/>
    </row>
    <row r="189" spans="69:71" ht="15" customHeight="1">
      <c r="BQ189" s="79"/>
      <c r="BR189" s="80"/>
      <c r="BS189" s="104"/>
    </row>
    <row r="190" spans="69:71" ht="15" customHeight="1">
      <c r="BQ190" s="79"/>
      <c r="BR190" s="80"/>
      <c r="BS190" s="104"/>
    </row>
    <row r="191" spans="69:71" ht="15" customHeight="1">
      <c r="BQ191" s="79"/>
      <c r="BR191" s="80"/>
      <c r="BS191" s="104"/>
    </row>
    <row r="192" spans="69:71" ht="15" customHeight="1">
      <c r="BQ192" s="79"/>
      <c r="BR192" s="80"/>
      <c r="BS192" s="104"/>
    </row>
    <row r="193" spans="69:71" ht="15" customHeight="1">
      <c r="BQ193" s="79"/>
      <c r="BR193" s="80"/>
      <c r="BS193" s="104"/>
    </row>
    <row r="194" spans="69:71" ht="15" customHeight="1">
      <c r="BQ194" s="79"/>
      <c r="BR194" s="80"/>
      <c r="BS194" s="104"/>
    </row>
    <row r="195" spans="69:71" ht="15" customHeight="1">
      <c r="BQ195" s="79"/>
      <c r="BR195" s="80"/>
      <c r="BS195" s="104"/>
    </row>
    <row r="196" spans="69:71" ht="15" customHeight="1">
      <c r="BQ196" s="79"/>
      <c r="BR196" s="80"/>
      <c r="BS196" s="104"/>
    </row>
    <row r="197" spans="69:71" ht="15" customHeight="1">
      <c r="BQ197" s="79"/>
      <c r="BR197" s="80"/>
      <c r="BS197" s="104"/>
    </row>
    <row r="198" spans="69:71" ht="15" customHeight="1">
      <c r="BQ198" s="79"/>
      <c r="BR198" s="80"/>
      <c r="BS198" s="104"/>
    </row>
    <row r="199" spans="69:71" ht="15" customHeight="1">
      <c r="BQ199" s="79"/>
      <c r="BR199" s="80"/>
      <c r="BS199" s="104"/>
    </row>
    <row r="200" spans="69:71" ht="15" customHeight="1">
      <c r="BQ200" s="79"/>
      <c r="BR200" s="80"/>
      <c r="BS200" s="104"/>
    </row>
    <row r="201" spans="69:71" ht="15" customHeight="1">
      <c r="BQ201" s="79"/>
      <c r="BR201" s="80"/>
      <c r="BS201" s="104"/>
    </row>
    <row r="202" spans="69:71" ht="15" customHeight="1">
      <c r="BQ202" s="79"/>
      <c r="BR202" s="80"/>
      <c r="BS202" s="104"/>
    </row>
    <row r="203" spans="69:71" ht="15" customHeight="1">
      <c r="BQ203" s="79"/>
      <c r="BR203" s="80"/>
      <c r="BS203" s="104"/>
    </row>
    <row r="204" spans="69:71" ht="15" customHeight="1">
      <c r="BQ204" s="79"/>
      <c r="BR204" s="80"/>
      <c r="BS204" s="104"/>
    </row>
    <row r="205" spans="69:71" ht="15" customHeight="1">
      <c r="BQ205" s="79"/>
      <c r="BR205" s="80"/>
      <c r="BS205" s="104"/>
    </row>
    <row r="206" spans="69:71" ht="15" customHeight="1">
      <c r="BQ206" s="79"/>
      <c r="BR206" s="80"/>
      <c r="BS206" s="104"/>
    </row>
    <row r="207" spans="69:71" ht="15" customHeight="1">
      <c r="BQ207" s="79"/>
      <c r="BR207" s="80"/>
      <c r="BS207" s="104"/>
    </row>
    <row r="208" spans="69:71" ht="15" customHeight="1">
      <c r="BQ208" s="79"/>
      <c r="BR208" s="80"/>
      <c r="BS208" s="104"/>
    </row>
    <row r="209" spans="69:71" ht="15" customHeight="1">
      <c r="BQ209" s="79"/>
      <c r="BR209" s="80"/>
      <c r="BS209" s="104"/>
    </row>
    <row r="210" spans="69:71" ht="15" customHeight="1">
      <c r="BQ210" s="79"/>
      <c r="BR210" s="80"/>
      <c r="BS210" s="104"/>
    </row>
    <row r="211" spans="69:71" ht="15" customHeight="1">
      <c r="BQ211" s="79"/>
      <c r="BR211" s="80"/>
      <c r="BS211" s="104"/>
    </row>
    <row r="212" spans="69:71" ht="15" customHeight="1">
      <c r="BQ212" s="79"/>
      <c r="BR212" s="80"/>
      <c r="BS212" s="104"/>
    </row>
    <row r="213" spans="69:71" ht="15" customHeight="1">
      <c r="BQ213" s="79"/>
      <c r="BR213" s="80"/>
      <c r="BS213" s="104"/>
    </row>
    <row r="214" spans="69:71" ht="15" customHeight="1">
      <c r="BQ214" s="79"/>
      <c r="BR214" s="80"/>
      <c r="BS214" s="104"/>
    </row>
    <row r="215" spans="69:71" ht="15" customHeight="1">
      <c r="BQ215" s="79"/>
      <c r="BR215" s="80"/>
      <c r="BS215" s="104"/>
    </row>
  </sheetData>
  <sheetProtection sort="0" autoFilter="0"/>
  <protectedRanges>
    <protectedRange sqref="A5:C104" name="Range2_1"/>
  </protectedRanges>
  <mergeCells count="9">
    <mergeCell ref="BQ1:BS1"/>
    <mergeCell ref="BQ3:BS3"/>
    <mergeCell ref="BQ2:BS2"/>
    <mergeCell ref="BM3:BO3"/>
    <mergeCell ref="AM3:AO3"/>
    <mergeCell ref="AR3:AT3"/>
    <mergeCell ref="AW3:AY3"/>
    <mergeCell ref="BB3:BD3"/>
    <mergeCell ref="BG3:BJ3"/>
  </mergeCells>
  <conditionalFormatting sqref="F1:F1048576">
    <cfRule type="cellIs" dxfId="23" priority="4" operator="equal">
      <formula>"N"</formula>
    </cfRule>
  </conditionalFormatting>
  <conditionalFormatting sqref="AL3 AP3:AQ3 AL4:AT104 BF4:BN4 BO4:BO104 AX4:BD104">
    <cfRule type="expression" dxfId="22" priority="30" stopIfTrue="1">
      <formula>ISNA(AL3)</formula>
    </cfRule>
  </conditionalFormatting>
  <conditionalFormatting sqref="AU3:AV104">
    <cfRule type="expression" dxfId="21" priority="7" stopIfTrue="1">
      <formula>ISNA(AU3)</formula>
    </cfRule>
  </conditionalFormatting>
  <conditionalFormatting sqref="AW4:AW104">
    <cfRule type="expression" dxfId="20" priority="26" stopIfTrue="1">
      <formula>ISNA(AW4)</formula>
    </cfRule>
  </conditionalFormatting>
  <conditionalFormatting sqref="AZ3:BA3">
    <cfRule type="expression" dxfId="19" priority="6" stopIfTrue="1">
      <formula>ISNA(AZ3)</formula>
    </cfRule>
  </conditionalFormatting>
  <conditionalFormatting sqref="BF3 BK3:BL3 BE3:BE104">
    <cfRule type="expression" dxfId="18" priority="28" stopIfTrue="1">
      <formula>ISNA(BE3)</formula>
    </cfRule>
  </conditionalFormatting>
  <conditionalFormatting sqref="BF5:BG104">
    <cfRule type="expression" dxfId="17" priority="17" stopIfTrue="1">
      <formula>ISNA(BF5)</formula>
    </cfRule>
  </conditionalFormatting>
  <conditionalFormatting sqref="BH5:BH102">
    <cfRule type="expression" dxfId="16" priority="19">
      <formula>#REF!="Can't Enter"</formula>
    </cfRule>
  </conditionalFormatting>
  <conditionalFormatting sqref="BH5:BN104">
    <cfRule type="expression" dxfId="15" priority="11" stopIfTrue="1">
      <formula>ISNA(BH5)</formula>
    </cfRule>
  </conditionalFormatting>
  <conditionalFormatting sqref="BN5:BN104">
    <cfRule type="expression" dxfId="14" priority="13">
      <formula>#REF!="Can't Enter"</formula>
    </cfRule>
  </conditionalFormatting>
  <conditionalFormatting sqref="BQ4:BS104">
    <cfRule type="expression" dxfId="13" priority="2" stopIfTrue="1">
      <formula>ISNA(BQ4)</formula>
    </cfRule>
  </conditionalFormatting>
  <conditionalFormatting sqref="BQ5:BQ104">
    <cfRule type="expression" dxfId="12" priority="1">
      <formula>BQ4=BQ5</formula>
    </cfRule>
  </conditionalFormatting>
  <pageMargins left="0.7" right="0.7" top="0.75" bottom="0.75" header="0.3" footer="0.3"/>
  <pageSetup paperSize="9" orientation="portrait" r:id="rId1"/>
  <ignoredErrors>
    <ignoredError xmlns:x16r3="http://schemas.microsoft.com/office/spreadsheetml/2018/08/main" xmlns:x16r5="http://schemas.microsoft.com/office/spreadsheetml/2020/10/main" sqref="K5:BS104" evalError="1" twoDigitTextYear="1" numberStoredAsText="1" formula="1" formulaRange="1" unlockedFormula="1" emptyCellReference="1" listDataValidation="1" calculatedColumn="1" x16r3:misleadingFormat="1" x16r5:outdatedDataTypes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66"/>
  </sheetPr>
  <dimension ref="A1:CF215"/>
  <sheetViews>
    <sheetView zoomScale="85" zoomScaleNormal="85" workbookViewId="0">
      <pane xSplit="10" ySplit="4" topLeftCell="AZ5" activePane="bottomRight" state="frozen"/>
      <selection pane="bottomRight" activeCell="BM5" sqref="BM5"/>
      <selection pane="bottomLeft" activeCell="A8" sqref="A8"/>
      <selection pane="topRight" activeCell="Q1" sqref="Q1"/>
    </sheetView>
  </sheetViews>
  <sheetFormatPr defaultColWidth="9.140625" defaultRowHeight="15" customHeight="1"/>
  <cols>
    <col min="1" max="1" width="8.7109375" style="44" bestFit="1" customWidth="1"/>
    <col min="2" max="2" width="14.28515625" style="44" bestFit="1" customWidth="1"/>
    <col min="3" max="3" width="5.7109375" style="134" bestFit="1" customWidth="1"/>
    <col min="4" max="4" width="6" style="127" bestFit="1" customWidth="1"/>
    <col min="5" max="5" width="8.28515625" style="127" bestFit="1" customWidth="1"/>
    <col min="6" max="6" width="4.42578125" style="3" customWidth="1"/>
    <col min="7" max="10" width="4.7109375" style="47" customWidth="1"/>
    <col min="11" max="11" width="6.7109375" style="130" customWidth="1"/>
    <col min="12" max="12" width="6.28515625" style="130" customWidth="1"/>
    <col min="13" max="13" width="5.5703125" style="130" customWidth="1"/>
    <col min="14" max="14" width="6.28515625" style="130" customWidth="1"/>
    <col min="15" max="16" width="7" style="130" customWidth="1"/>
    <col min="17" max="17" width="14.140625" style="109" hidden="1" customWidth="1"/>
    <col min="18" max="18" width="8.7109375" style="109" hidden="1" customWidth="1"/>
    <col min="19" max="28" width="6.7109375" style="109" hidden="1" customWidth="1"/>
    <col min="29" max="29" width="18.140625" style="56" hidden="1" customWidth="1"/>
    <col min="30" max="30" width="4" style="56" hidden="1" customWidth="1"/>
    <col min="31" max="34" width="5.7109375" style="56" hidden="1" customWidth="1"/>
    <col min="35" max="36" width="7" style="56" hidden="1" customWidth="1"/>
    <col min="37" max="37" width="2.5703125" style="76" hidden="1" customWidth="1"/>
    <col min="38" max="38" width="2.5703125" style="76" customWidth="1"/>
    <col min="39" max="39" width="4.140625" style="76" hidden="1" customWidth="1"/>
    <col min="40" max="40" width="4.7109375" style="76" customWidth="1"/>
    <col min="41" max="41" width="18.85546875" style="123" bestFit="1" customWidth="1"/>
    <col min="42" max="42" width="6.28515625" style="75" customWidth="1"/>
    <col min="43" max="43" width="2.28515625" style="76" customWidth="1"/>
    <col min="44" max="44" width="4.140625" style="76" hidden="1" customWidth="1"/>
    <col min="45" max="45" width="4.7109375" style="76" customWidth="1"/>
    <col min="46" max="46" width="18.85546875" style="76" bestFit="1" customWidth="1"/>
    <col min="47" max="47" width="4.7109375" style="76" customWidth="1"/>
    <col min="48" max="48" width="2.28515625" style="76" customWidth="1"/>
    <col min="49" max="49" width="4.140625" style="76" hidden="1" customWidth="1"/>
    <col min="50" max="50" width="4.7109375" style="76" customWidth="1"/>
    <col min="51" max="51" width="20.28515625" style="76" bestFit="1" customWidth="1"/>
    <col min="52" max="52" width="6.28515625" style="76" customWidth="1"/>
    <col min="53" max="53" width="2.42578125" style="76" customWidth="1"/>
    <col min="54" max="54" width="8.85546875" style="76" hidden="1" customWidth="1"/>
    <col min="55" max="55" width="4.7109375" style="76" customWidth="1"/>
    <col min="56" max="56" width="20.28515625" style="76" bestFit="1" customWidth="1"/>
    <col min="57" max="57" width="4.7109375" style="76" customWidth="1"/>
    <col min="58" max="58" width="3.140625" style="76" customWidth="1"/>
    <col min="59" max="59" width="8.85546875" style="76" hidden="1" customWidth="1"/>
    <col min="60" max="60" width="5.7109375" style="76" bestFit="1" customWidth="1"/>
    <col min="61" max="61" width="20.28515625" style="76" bestFit="1" customWidth="1"/>
    <col min="62" max="62" width="6.28515625" style="76" bestFit="1" customWidth="1"/>
    <col min="63" max="63" width="2.7109375" style="76" customWidth="1"/>
    <col min="64" max="64" width="8.85546875" style="56" hidden="1" customWidth="1"/>
    <col min="65" max="65" width="4.7109375" style="56" customWidth="1"/>
    <col min="66" max="66" width="24.7109375" style="56" bestFit="1" customWidth="1"/>
    <col min="67" max="67" width="6.42578125" style="56" customWidth="1"/>
    <col min="68" max="68" width="2.5703125" style="76" customWidth="1"/>
    <col min="69" max="69" width="5.7109375" style="76" bestFit="1" customWidth="1"/>
    <col min="70" max="70" width="19.42578125" style="76" bestFit="1" customWidth="1"/>
    <col min="71" max="71" width="5.7109375" style="76" bestFit="1" customWidth="1"/>
    <col min="72" max="76" width="8.85546875" style="76"/>
    <col min="77" max="84" width="8.85546875" style="5"/>
  </cols>
  <sheetData>
    <row r="1" spans="1:84" s="12" customFormat="1" ht="27" customHeight="1">
      <c r="A1" s="37"/>
      <c r="B1" s="38"/>
      <c r="C1" s="131"/>
      <c r="D1" s="101"/>
      <c r="E1" s="101"/>
      <c r="F1" s="28"/>
      <c r="G1" s="46"/>
      <c r="H1" s="37"/>
      <c r="I1" s="37"/>
      <c r="J1" s="37"/>
      <c r="K1" s="128"/>
      <c r="L1" s="128"/>
      <c r="M1" s="128"/>
      <c r="N1" s="128"/>
      <c r="O1" s="128"/>
      <c r="P1" s="128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90"/>
      <c r="AN1" s="90"/>
      <c r="AO1" s="110" t="s">
        <v>115</v>
      </c>
      <c r="AP1" s="88"/>
      <c r="AQ1" s="90"/>
      <c r="AR1" s="90"/>
      <c r="AS1" s="90"/>
      <c r="AT1" s="90"/>
      <c r="AU1" s="90"/>
      <c r="AV1" s="90"/>
      <c r="AW1" s="90"/>
      <c r="AX1" s="90"/>
      <c r="AY1" s="110" t="s">
        <v>115</v>
      </c>
      <c r="AZ1" s="90"/>
      <c r="BA1" s="90"/>
      <c r="BB1" s="90"/>
      <c r="BC1" s="90"/>
      <c r="BD1" s="90"/>
      <c r="BE1" s="90"/>
      <c r="BF1" s="90"/>
      <c r="BG1" s="90"/>
      <c r="BH1" s="90"/>
      <c r="BI1" s="110" t="s">
        <v>115</v>
      </c>
      <c r="BJ1" s="90"/>
      <c r="BK1" s="90"/>
      <c r="BL1" s="90"/>
      <c r="BM1" s="90"/>
      <c r="BN1" s="90"/>
      <c r="BO1" s="90"/>
      <c r="BP1" s="77"/>
      <c r="BQ1" s="169" t="s">
        <v>60</v>
      </c>
      <c r="BR1" s="170"/>
      <c r="BS1" s="170"/>
      <c r="BT1" s="77"/>
      <c r="BU1" s="77"/>
      <c r="BV1" s="77"/>
      <c r="BW1" s="77"/>
      <c r="BX1" s="77"/>
    </row>
    <row r="2" spans="1:84" s="12" customFormat="1" ht="27.75" hidden="1" customHeight="1">
      <c r="A2" s="37"/>
      <c r="B2" s="38"/>
      <c r="C2" s="131"/>
      <c r="D2" s="124"/>
      <c r="E2" s="124"/>
      <c r="F2" s="29"/>
      <c r="G2" s="37"/>
      <c r="H2" s="37"/>
      <c r="I2" s="37"/>
      <c r="J2" s="37"/>
      <c r="K2" s="128"/>
      <c r="L2" s="128"/>
      <c r="M2" s="128"/>
      <c r="N2" s="128"/>
      <c r="O2" s="128"/>
      <c r="P2" s="128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111">
        <v>2</v>
      </c>
      <c r="AP2" s="66"/>
      <c r="AQ2" s="77"/>
      <c r="AR2" s="77"/>
      <c r="AS2" s="77"/>
      <c r="AT2" s="77">
        <v>2</v>
      </c>
      <c r="AU2" s="77"/>
      <c r="AV2" s="77"/>
      <c r="AW2" s="77"/>
      <c r="AX2" s="77"/>
      <c r="AY2" s="77">
        <v>2</v>
      </c>
      <c r="AZ2" s="77"/>
      <c r="BA2" s="77"/>
      <c r="BB2" s="77"/>
      <c r="BC2" s="77"/>
      <c r="BD2" s="77">
        <v>2</v>
      </c>
      <c r="BE2" s="77"/>
      <c r="BF2" s="77"/>
      <c r="BG2" s="77"/>
      <c r="BH2" s="77"/>
      <c r="BI2" s="77">
        <v>2</v>
      </c>
      <c r="BJ2" s="77"/>
      <c r="BK2" s="77"/>
      <c r="BL2" s="77"/>
      <c r="BM2" s="77"/>
      <c r="BN2" s="77">
        <v>2</v>
      </c>
      <c r="BO2" s="77"/>
      <c r="BP2" s="77"/>
      <c r="BQ2" s="169"/>
      <c r="BR2" s="170"/>
      <c r="BS2" s="170"/>
      <c r="BT2" s="77"/>
      <c r="BU2" s="77"/>
      <c r="BV2" s="77"/>
      <c r="BW2" s="77"/>
      <c r="BX2" s="77"/>
    </row>
    <row r="3" spans="1:84" s="12" customFormat="1" ht="15" customHeight="1">
      <c r="A3" s="40"/>
      <c r="B3" s="40"/>
      <c r="C3" s="132"/>
      <c r="D3" s="101"/>
      <c r="E3" s="101"/>
      <c r="F3" s="28"/>
      <c r="G3" s="37"/>
      <c r="H3" s="37"/>
      <c r="I3" s="37"/>
      <c r="J3" s="37"/>
      <c r="K3" s="128"/>
      <c r="L3" s="128"/>
      <c r="M3" s="128"/>
      <c r="N3" s="128"/>
      <c r="O3" s="128"/>
      <c r="P3" s="128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77"/>
      <c r="AL3" s="77"/>
      <c r="AM3" s="90"/>
      <c r="AN3" s="175" t="s">
        <v>80</v>
      </c>
      <c r="AO3" s="176"/>
      <c r="AP3" s="177"/>
      <c r="AQ3" s="90"/>
      <c r="AR3" s="90"/>
      <c r="AS3" s="175" t="s">
        <v>81</v>
      </c>
      <c r="AT3" s="176"/>
      <c r="AU3" s="177"/>
      <c r="AV3" s="90"/>
      <c r="AW3" s="90"/>
      <c r="AX3" s="175" t="s">
        <v>82</v>
      </c>
      <c r="AY3" s="176"/>
      <c r="AZ3" s="177"/>
      <c r="BA3" s="90"/>
      <c r="BB3" s="90"/>
      <c r="BC3" s="175" t="s">
        <v>83</v>
      </c>
      <c r="BD3" s="176"/>
      <c r="BE3" s="177"/>
      <c r="BF3" s="90"/>
      <c r="BG3" s="90"/>
      <c r="BH3" s="175" t="s">
        <v>84</v>
      </c>
      <c r="BI3" s="176"/>
      <c r="BJ3" s="177"/>
      <c r="BK3" s="90"/>
      <c r="BL3" s="90"/>
      <c r="BM3" s="174" t="s">
        <v>85</v>
      </c>
      <c r="BN3" s="174"/>
      <c r="BO3" s="174"/>
      <c r="BP3" s="77"/>
      <c r="BQ3" s="171" t="s">
        <v>79</v>
      </c>
      <c r="BR3" s="167"/>
      <c r="BS3" s="172"/>
      <c r="BT3" s="77"/>
      <c r="BU3" s="77"/>
      <c r="BV3" s="77"/>
      <c r="BW3" s="77"/>
      <c r="BX3" s="77"/>
    </row>
    <row r="4" spans="1:84" s="23" customFormat="1" ht="31.15" customHeight="1">
      <c r="A4" s="42" t="s">
        <v>66</v>
      </c>
      <c r="B4" s="42" t="s">
        <v>86</v>
      </c>
      <c r="C4" s="133" t="s">
        <v>28</v>
      </c>
      <c r="D4" s="125" t="s">
        <v>67</v>
      </c>
      <c r="E4" s="125" t="s">
        <v>88</v>
      </c>
      <c r="F4" s="17" t="s">
        <v>89</v>
      </c>
      <c r="G4" s="42" t="s">
        <v>90</v>
      </c>
      <c r="H4" s="42" t="s">
        <v>91</v>
      </c>
      <c r="I4" s="42" t="s">
        <v>92</v>
      </c>
      <c r="J4" s="42" t="s">
        <v>93</v>
      </c>
      <c r="K4" s="129" t="s">
        <v>94</v>
      </c>
      <c r="L4" s="129" t="s">
        <v>95</v>
      </c>
      <c r="M4" s="129" t="s">
        <v>96</v>
      </c>
      <c r="N4" s="129" t="s">
        <v>97</v>
      </c>
      <c r="O4" s="129" t="s">
        <v>84</v>
      </c>
      <c r="P4" s="129" t="s">
        <v>85</v>
      </c>
      <c r="Q4" s="112" t="s">
        <v>98</v>
      </c>
      <c r="R4" s="112" t="s">
        <v>99</v>
      </c>
      <c r="S4" s="112" t="s">
        <v>100</v>
      </c>
      <c r="T4" s="112" t="s">
        <v>101</v>
      </c>
      <c r="U4" s="112" t="s">
        <v>102</v>
      </c>
      <c r="V4" s="112" t="s">
        <v>103</v>
      </c>
      <c r="W4" s="112" t="s">
        <v>104</v>
      </c>
      <c r="X4" s="112" t="s">
        <v>105</v>
      </c>
      <c r="Y4" s="112" t="s">
        <v>106</v>
      </c>
      <c r="Z4" s="112" t="s">
        <v>107</v>
      </c>
      <c r="AA4" s="112" t="s">
        <v>108</v>
      </c>
      <c r="AB4" s="112" t="s">
        <v>109</v>
      </c>
      <c r="AC4" s="107" t="s">
        <v>76</v>
      </c>
      <c r="AD4" s="107" t="s">
        <v>67</v>
      </c>
      <c r="AE4" s="113" t="s">
        <v>94</v>
      </c>
      <c r="AF4" s="113" t="s">
        <v>110</v>
      </c>
      <c r="AG4" s="113" t="s">
        <v>96</v>
      </c>
      <c r="AH4" s="113" t="s">
        <v>97</v>
      </c>
      <c r="AI4" s="113" t="s">
        <v>84</v>
      </c>
      <c r="AJ4" s="113" t="s">
        <v>85</v>
      </c>
      <c r="AK4" s="114"/>
      <c r="AL4" s="114"/>
      <c r="AM4" s="115"/>
      <c r="AN4" s="92" t="s">
        <v>77</v>
      </c>
      <c r="AO4" s="92" t="s">
        <v>66</v>
      </c>
      <c r="AP4" s="89" t="s">
        <v>111</v>
      </c>
      <c r="AQ4" s="116"/>
      <c r="AR4" s="115"/>
      <c r="AS4" s="92" t="s">
        <v>77</v>
      </c>
      <c r="AT4" s="92" t="s">
        <v>66</v>
      </c>
      <c r="AU4" s="92" t="s">
        <v>112</v>
      </c>
      <c r="AV4" s="117"/>
      <c r="AW4" s="118"/>
      <c r="AX4" s="91" t="s">
        <v>77</v>
      </c>
      <c r="AY4" s="91" t="s">
        <v>66</v>
      </c>
      <c r="AZ4" s="91" t="s">
        <v>111</v>
      </c>
      <c r="BA4" s="116"/>
      <c r="BB4" s="118"/>
      <c r="BC4" s="91" t="s">
        <v>77</v>
      </c>
      <c r="BD4" s="91" t="s">
        <v>66</v>
      </c>
      <c r="BE4" s="91" t="s">
        <v>112</v>
      </c>
      <c r="BF4" s="117"/>
      <c r="BG4" s="118"/>
      <c r="BH4" s="91" t="s">
        <v>77</v>
      </c>
      <c r="BI4" s="91" t="s">
        <v>66</v>
      </c>
      <c r="BJ4" s="91" t="s">
        <v>111</v>
      </c>
      <c r="BK4" s="116"/>
      <c r="BL4" s="118"/>
      <c r="BM4" s="92" t="s">
        <v>77</v>
      </c>
      <c r="BN4" s="92" t="s">
        <v>66</v>
      </c>
      <c r="BO4" s="92" t="s">
        <v>112</v>
      </c>
      <c r="BP4" s="114"/>
      <c r="BQ4" s="16" t="s">
        <v>77</v>
      </c>
      <c r="BR4" s="16" t="s">
        <v>66</v>
      </c>
      <c r="BS4" s="102" t="s">
        <v>73</v>
      </c>
      <c r="BT4" s="114"/>
      <c r="BU4" s="114"/>
      <c r="BV4" s="114"/>
      <c r="BW4" s="114"/>
      <c r="BX4" s="114"/>
      <c r="BY4" s="19"/>
      <c r="BZ4" s="19"/>
      <c r="CA4" s="19"/>
      <c r="CB4" s="19"/>
      <c r="CC4" s="19"/>
      <c r="CD4" s="19"/>
      <c r="CE4" s="19"/>
      <c r="CF4" s="19"/>
    </row>
    <row r="5" spans="1:84">
      <c r="A5" s="10" t="str">
        <f>IF(ISBLANK(Players!K3),"",Players!K3)</f>
        <v>SHAY</v>
      </c>
      <c r="B5" s="10" t="str">
        <f>IF(ISBLANK(Players!L3),"",Players!L3)</f>
        <v>BROEDELET</v>
      </c>
      <c r="C5" s="10">
        <f>IF(ISBLANK(Players!N3),"",Players!N3)</f>
        <v>25.4</v>
      </c>
      <c r="D5" s="126">
        <f>IF(ISNUMBER(C5),MIN((C5*Rules!$N$14/113)+(Rules!$N$13-Rules!$N$12),Rules!$N$37),"-")</f>
        <v>28.34778761061947</v>
      </c>
      <c r="E5" s="126">
        <f>IF(ISNUMBER(C5),    ROUND( (D5*Rules!$N$11) / 100,0),"-")</f>
        <v>28</v>
      </c>
      <c r="F5" s="36" t="str">
        <f>IF(AND(ISNUMBER(C5),C5&gt;=Rules!$M$24,C5&lt;=Rules!$N$24),"Y","N")</f>
        <v>Y</v>
      </c>
      <c r="G5" s="137">
        <f>'Eclectic C'!M5</f>
        <v>50</v>
      </c>
      <c r="H5" s="137">
        <f>'Eclectic C'!W5</f>
        <v>57</v>
      </c>
      <c r="I5" s="137">
        <f>'Eclectic C'!AJ5</f>
        <v>50</v>
      </c>
      <c r="J5" s="137">
        <f>'Eclectic C'!AT5</f>
        <v>53</v>
      </c>
      <c r="K5" s="14">
        <f>IF(AND(ISNUMBER(G5), ISNUMBER(H5)),G5+H5,"-")</f>
        <v>107</v>
      </c>
      <c r="L5" s="14">
        <f>IF(AND(ISNUMBER(G5), ISNUMBER(H5)),K5-E5,"-")</f>
        <v>79</v>
      </c>
      <c r="M5" s="14">
        <f>IF(AND(ISNUMBER(I5), ISNUMBER(J5)),I5+J5,"-")</f>
        <v>103</v>
      </c>
      <c r="N5" s="14">
        <f>IF(AND(ISNUMBER(I5), ISNUMBER(J5)),M5-E5,"-")</f>
        <v>75</v>
      </c>
      <c r="O5" s="14">
        <f>IF(AND(ISNUMBER(K5), ISNUMBER(M5)),K5+M5,"-")</f>
        <v>210</v>
      </c>
      <c r="P5" s="14">
        <f>IF(AND(ISNUMBER(L5), ISNUMBER(N5)),L5+N5,"-")</f>
        <v>154</v>
      </c>
      <c r="Q5" s="108">
        <f>RANK($K5,$K$5:$K$104,1)+COUNTIF(K$5:K5,K5)-1</f>
        <v>10</v>
      </c>
      <c r="R5" s="108">
        <f>RANK($K5,$K$5:$K$105,1)</f>
        <v>10</v>
      </c>
      <c r="S5" s="108">
        <f>RANK($L5,$L$5:$L$104,1)+COUNTIF(L$5:L5,L5)-1</f>
        <v>8</v>
      </c>
      <c r="T5" s="108">
        <f>RANK($L5,$L$5:$L$105,1)</f>
        <v>8</v>
      </c>
      <c r="U5" s="108">
        <f>RANK($M5,$M$5:$M$104,1)+COUNTIF(M$5:M5,M5)-1</f>
        <v>6</v>
      </c>
      <c r="V5" s="108">
        <f>RANK($M5,$M$5:$M$105,1)</f>
        <v>6</v>
      </c>
      <c r="W5" s="108">
        <f>RANK($N5,$N$5:$N$104,1)+COUNTIF(N$5:N5,N5)-1</f>
        <v>4</v>
      </c>
      <c r="X5" s="108">
        <f>RANK($N5,$N$5:$N$105,1)</f>
        <v>4</v>
      </c>
      <c r="Y5" s="108">
        <f>RANK($O5,$O$5:$O$104,1)+COUNTIF(O$5:O5,O5)-1</f>
        <v>10</v>
      </c>
      <c r="Z5" s="108">
        <f>RANK($O5,$O$5:$O$105,1)</f>
        <v>10</v>
      </c>
      <c r="AA5" s="108">
        <f>RANK($P5,$P$5:$P$104,1)+COUNTIF(P$5:P5,P5)-1</f>
        <v>6</v>
      </c>
      <c r="AB5" s="108">
        <f>RANK($P5,$P$5:$P$105,1)</f>
        <v>6</v>
      </c>
      <c r="AC5" s="59" t="str">
        <f>A5 &amp; " " &amp; B5</f>
        <v>SHAY BROEDELET</v>
      </c>
      <c r="AD5" s="59">
        <f>D5</f>
        <v>28.34778761061947</v>
      </c>
      <c r="AE5" s="119">
        <f t="shared" ref="AE5:AJ5" si="0">K5</f>
        <v>107</v>
      </c>
      <c r="AF5" s="119">
        <f t="shared" si="0"/>
        <v>79</v>
      </c>
      <c r="AG5" s="119">
        <f t="shared" si="0"/>
        <v>103</v>
      </c>
      <c r="AH5" s="119">
        <f t="shared" si="0"/>
        <v>75</v>
      </c>
      <c r="AI5" s="119">
        <f t="shared" si="0"/>
        <v>210</v>
      </c>
      <c r="AJ5" s="119">
        <f t="shared" si="0"/>
        <v>154</v>
      </c>
      <c r="AM5" s="120">
        <v>1</v>
      </c>
      <c r="AN5" s="58">
        <f>VLOOKUP(AM5,Q$5:$AJ$104,$AO$2,FALSE)</f>
        <v>1</v>
      </c>
      <c r="AO5" s="93" t="str">
        <f>VLOOKUP(AM5,Q$5:$AJ$104,$AO$2+11,FALSE)</f>
        <v>JANIS NEL</v>
      </c>
      <c r="AP5" s="58">
        <f>VLOOKUP(AN5,$Q$5:$AJ$104,$AO$2+13,FALSE)</f>
        <v>87</v>
      </c>
      <c r="AR5" s="120">
        <v>1</v>
      </c>
      <c r="AS5" s="58">
        <f>VLOOKUP(AR5,$S$5:$AJ$104,$AT$2,FALSE)</f>
        <v>1</v>
      </c>
      <c r="AT5" s="93" t="str">
        <f>VLOOKUP(AR5,$S$5:$AJ$104,$AT$2+9,FALSE)</f>
        <v>JANIS NEL</v>
      </c>
      <c r="AU5" s="58">
        <f>VLOOKUP(AS5,$S$5:$AJ$104,$AT$2+12,FALSE)</f>
        <v>67</v>
      </c>
      <c r="AW5" s="120">
        <v>1</v>
      </c>
      <c r="AX5" s="58">
        <f>VLOOKUP(AW5,$U$5:$AJ$104,$AY$2,FALSE)</f>
        <v>1</v>
      </c>
      <c r="AY5" s="93" t="str">
        <f>VLOOKUP(AW5,$U$5:$AJ$104,$AY$2+7,FALSE)</f>
        <v>GAIL SPEIRS</v>
      </c>
      <c r="AZ5" s="58">
        <f>VLOOKUP(AX5,$U$5:$AJ$104,$AY$2+11,FALSE)</f>
        <v>92</v>
      </c>
      <c r="BB5" s="120">
        <v>1</v>
      </c>
      <c r="BC5" s="58">
        <f>VLOOKUP(BB5,$W$5:$AJ$104,$BD$2,FALSE)</f>
        <v>1</v>
      </c>
      <c r="BD5" s="93" t="str">
        <f>VLOOKUP(BB5,$W$5:$AJ$104,$BD$2+5,FALSE)</f>
        <v>GAIL SPEIRS</v>
      </c>
      <c r="BE5" s="58">
        <f>VLOOKUP(BC5,$W$5:$AJ$104,$BD$2+10,FALSE)</f>
        <v>72</v>
      </c>
      <c r="BG5" s="120">
        <v>1</v>
      </c>
      <c r="BH5" s="58">
        <f>VLOOKUP(BG5,$Y$5:$AJ$104,$BI$2,FALSE)</f>
        <v>1</v>
      </c>
      <c r="BI5" s="93" t="str">
        <f>VLOOKUP(BG5,$Y$5:$AJ$104,$BI$2+3,FALSE)</f>
        <v>JANIS NEL</v>
      </c>
      <c r="BJ5" s="58">
        <f>VLOOKUP(BH5,$Y$5:$AJ$104,$BI$2+9,FALSE)</f>
        <v>182</v>
      </c>
      <c r="BL5" s="120">
        <v>1</v>
      </c>
      <c r="BM5" s="58">
        <f>VLOOKUP(BL5,$AA$5:$AJ$104,$BN$2,FALSE)</f>
        <v>1</v>
      </c>
      <c r="BN5" s="93" t="str">
        <f>VLOOKUP(BL5,$AA$5:$AJ$104,$BN$2+1,FALSE)</f>
        <v>JANIS NEL</v>
      </c>
      <c r="BO5" s="58">
        <f>VLOOKUP(BM5,$AA$5:$AJ$104,$BN$2+8,FALSE)</f>
        <v>142</v>
      </c>
      <c r="BQ5" s="2">
        <f>'Eclectic C'!CD5</f>
        <v>1</v>
      </c>
      <c r="BR5" s="6" t="str">
        <f>'Eclectic C'!CE5</f>
        <v>MELISSA PALMER</v>
      </c>
      <c r="BS5" s="103">
        <f>'Eclectic C'!CF5</f>
        <v>78</v>
      </c>
    </row>
    <row r="6" spans="1:84">
      <c r="A6" s="10" t="str">
        <f>IF(ISBLANK(Players!K4),"",Players!K4)</f>
        <v>PREM</v>
      </c>
      <c r="B6" s="10" t="str">
        <f>IF(ISBLANK(Players!L4),"",Players!L4)</f>
        <v>GOVENDER</v>
      </c>
      <c r="C6" s="10">
        <f>IF(ISBLANK(Players!N4),"",Players!N4)</f>
        <v>23.7</v>
      </c>
      <c r="D6" s="126">
        <f>IF(ISNUMBER(C6),MIN((C6*Rules!$N$14/113)+(Rules!$N$13-Rules!$N$12),Rules!$N$37),"-")</f>
        <v>26.497345132743366</v>
      </c>
      <c r="E6" s="126">
        <f>IF(ISNUMBER(C6),    ROUND( (D6*Rules!$N$11) / 100,0),"-")</f>
        <v>26</v>
      </c>
      <c r="F6" s="36" t="str">
        <f>IF(AND(ISNUMBER(C6),C6&gt;=Rules!$M$24,C6&lt;=Rules!$N$24),"Y","N")</f>
        <v>Y</v>
      </c>
      <c r="G6" s="137">
        <f>'Eclectic C'!M6</f>
        <v>46</v>
      </c>
      <c r="H6" s="137">
        <f>'Eclectic C'!W6</f>
        <v>53</v>
      </c>
      <c r="I6" s="137">
        <f>'Eclectic C'!AJ6</f>
        <v>54</v>
      </c>
      <c r="J6" s="137">
        <f>'Eclectic C'!AT6</f>
        <v>55</v>
      </c>
      <c r="K6" s="14">
        <f t="shared" ref="K6:K69" si="1">IF(AND(ISNUMBER(G6), ISNUMBER(H6)),G6+H6,"-")</f>
        <v>99</v>
      </c>
      <c r="L6" s="14">
        <f t="shared" ref="L6:L69" si="2">IF(AND(ISNUMBER(G6), ISNUMBER(H6)),K6-E6,"-")</f>
        <v>73</v>
      </c>
      <c r="M6" s="14">
        <f t="shared" ref="M6:M69" si="3">IF(AND(ISNUMBER(I6), ISNUMBER(J6)),I6+J6,"-")</f>
        <v>109</v>
      </c>
      <c r="N6" s="14">
        <f t="shared" ref="N6:N69" si="4">IF(AND(ISNUMBER(I6), ISNUMBER(J6)),M6-E6,"-")</f>
        <v>83</v>
      </c>
      <c r="O6" s="14">
        <f t="shared" ref="O6:O69" si="5">IF(AND(ISNUMBER(K6), ISNUMBER(M6)),K6+M6,"-")</f>
        <v>208</v>
      </c>
      <c r="P6" s="14">
        <f t="shared" ref="P6:P69" si="6">IF(AND(ISNUMBER(L6), ISNUMBER(N6)),L6+N6,"-")</f>
        <v>156</v>
      </c>
      <c r="Q6" s="108">
        <f>RANK($K6,$K$5:$K$104,1)+COUNTIF(K$5:K6,K6)-1</f>
        <v>6</v>
      </c>
      <c r="R6" s="108">
        <f t="shared" ref="R6:R69" si="7">RANK($K6,$K$5:$K$105,1)</f>
        <v>6</v>
      </c>
      <c r="S6" s="108">
        <f>RANK($L6,$L$5:$L$104,1)+COUNTIF(L$5:L6,L6)-1</f>
        <v>4</v>
      </c>
      <c r="T6" s="108">
        <f t="shared" ref="T6:T69" si="8">RANK($L6,$L$5:$L$105,1)</f>
        <v>4</v>
      </c>
      <c r="U6" s="108">
        <f>RANK($M6,$M$5:$M$104,1)+COUNTIF(M$5:M6,M6)-1</f>
        <v>10</v>
      </c>
      <c r="V6" s="108">
        <f t="shared" ref="V6:V69" si="9">RANK($M6,$M$5:$M$105,1)</f>
        <v>10</v>
      </c>
      <c r="W6" s="108">
        <f>RANK($N6,$N$5:$N$104,1)+COUNTIF(N$5:N6,N6)-1</f>
        <v>10</v>
      </c>
      <c r="X6" s="108">
        <f t="shared" ref="X6:X69" si="10">RANK($N6,$N$5:$N$105,1)</f>
        <v>10</v>
      </c>
      <c r="Y6" s="108">
        <f>RANK($O6,$O$5:$O$104,1)+COUNTIF(O$5:O6,O6)-1</f>
        <v>9</v>
      </c>
      <c r="Z6" s="108">
        <f t="shared" ref="Z6:Z69" si="11">RANK($O6,$O$5:$O$105,1)</f>
        <v>9</v>
      </c>
      <c r="AA6" s="108">
        <f>RANK($P6,$P$5:$P$104,1)+COUNTIF(P$5:P6,P6)-1</f>
        <v>9</v>
      </c>
      <c r="AB6" s="108">
        <f t="shared" ref="AB6:AB69" si="12">RANK($P6,$P$5:$P$105,1)</f>
        <v>9</v>
      </c>
      <c r="AC6" s="59" t="str">
        <f t="shared" ref="AC6:AC69" si="13">A6 &amp; " " &amp; B6</f>
        <v>PREM GOVENDER</v>
      </c>
      <c r="AD6" s="59">
        <f t="shared" ref="AD6:AD69" si="14">D6</f>
        <v>26.497345132743366</v>
      </c>
      <c r="AE6" s="119">
        <f t="shared" ref="AE6:AJ48" si="15">K6</f>
        <v>99</v>
      </c>
      <c r="AF6" s="119">
        <f t="shared" si="15"/>
        <v>73</v>
      </c>
      <c r="AG6" s="119">
        <f t="shared" si="15"/>
        <v>109</v>
      </c>
      <c r="AH6" s="119">
        <f t="shared" si="15"/>
        <v>83</v>
      </c>
      <c r="AI6" s="119">
        <f t="shared" si="15"/>
        <v>208</v>
      </c>
      <c r="AJ6" s="119">
        <f t="shared" si="15"/>
        <v>156</v>
      </c>
      <c r="AM6" s="120">
        <v>2</v>
      </c>
      <c r="AN6" s="58">
        <f>VLOOKUP(AM6,Q$5:$AJ$104,$AO$2,FALSE)</f>
        <v>2</v>
      </c>
      <c r="AO6" s="93" t="str">
        <f>VLOOKUP(AM6,Q$5:$AJ$104,$AO$2+11,FALSE)</f>
        <v>MELISSA PALMER</v>
      </c>
      <c r="AP6" s="58">
        <f t="shared" ref="AP6:AP69" si="16">VLOOKUP(AN6,$Q$5:$AJ$104,$AO$2+13,FALSE)</f>
        <v>90</v>
      </c>
      <c r="AR6" s="120">
        <v>2</v>
      </c>
      <c r="AS6" s="58">
        <f>VLOOKUP(AR6,$S$5:$AJ$104,$AT$2,FALSE)</f>
        <v>2</v>
      </c>
      <c r="AT6" s="93" t="str">
        <f>VLOOKUP(AR6,$S$5:$AJ$104,$AT$2+9,FALSE)</f>
        <v>MELISSA SAVIO</v>
      </c>
      <c r="AU6" s="58">
        <f>VLOOKUP(AS6,$S$5:$AJ$104,$AT$2+12,FALSE)</f>
        <v>68</v>
      </c>
      <c r="AW6" s="120">
        <v>2</v>
      </c>
      <c r="AX6" s="58">
        <f>VLOOKUP(AW6,$U$5:$AJ$104,$AY$2,FALSE)</f>
        <v>2</v>
      </c>
      <c r="AY6" s="93" t="str">
        <f>VLOOKUP(AW6,$U$5:$AJ$104,$AY$2+7,FALSE)</f>
        <v>KAREN STOTT</v>
      </c>
      <c r="AZ6" s="58">
        <f>VLOOKUP(AX6,$U$5:$AJ$104,$AY$2+11,FALSE)</f>
        <v>94</v>
      </c>
      <c r="BB6" s="120">
        <v>2</v>
      </c>
      <c r="BC6" s="58">
        <f>VLOOKUP(BB6,$W$5:$AJ$104,$BD$2,FALSE)</f>
        <v>2</v>
      </c>
      <c r="BD6" s="93" t="str">
        <f>VLOOKUP(BB6,$W$5:$AJ$104,$BD$2+5,FALSE)</f>
        <v>JUDY VAN DER VEEN</v>
      </c>
      <c r="BE6" s="58">
        <f>VLOOKUP(BC6,$W$5:$AJ$104,$BD$2+10,FALSE)</f>
        <v>73</v>
      </c>
      <c r="BG6" s="120">
        <v>2</v>
      </c>
      <c r="BH6" s="58">
        <f>VLOOKUP(BG6,$Y$5:$AJ$104,$BI$2,FALSE)</f>
        <v>2</v>
      </c>
      <c r="BI6" s="93" t="str">
        <f>VLOOKUP(BG6,$Y$5:$AJ$104,$BI$2+3,FALSE)</f>
        <v>KAREN STOTT</v>
      </c>
      <c r="BJ6" s="58">
        <f>VLOOKUP(BH6,$Y$5:$AJ$104,$BI$2+9,FALSE)</f>
        <v>187</v>
      </c>
      <c r="BL6" s="120">
        <v>2</v>
      </c>
      <c r="BM6" s="58">
        <f>VLOOKUP(BL6,$AA$5:$AJ$104,$BN$2,FALSE)</f>
        <v>2</v>
      </c>
      <c r="BN6" s="93" t="str">
        <f>VLOOKUP(BL6,$AA$5:$AJ$104,$BN$2+1,FALSE)</f>
        <v>MELISSA SAVIO</v>
      </c>
      <c r="BO6" s="58">
        <f>VLOOKUP(BM6,$AA$5:$AJ$104,$BN$2+8,FALSE)</f>
        <v>144</v>
      </c>
      <c r="BQ6" s="2">
        <f>'Eclectic C'!CD6</f>
        <v>2</v>
      </c>
      <c r="BR6" s="6" t="str">
        <f>'Eclectic C'!CE6</f>
        <v>GAIL SPEIRS</v>
      </c>
      <c r="BS6" s="103">
        <f>'Eclectic C'!CF6</f>
        <v>80</v>
      </c>
    </row>
    <row r="7" spans="1:84">
      <c r="A7" s="10" t="str">
        <f>IF(ISBLANK(Players!K5),"",Players!K5)</f>
        <v>RENE</v>
      </c>
      <c r="B7" s="10" t="str">
        <f>IF(ISBLANK(Players!L5),"",Players!L5)</f>
        <v>LADELL</v>
      </c>
      <c r="C7" s="10">
        <f>IF(ISBLANK(Players!N5),"",Players!N5)</f>
        <v>33</v>
      </c>
      <c r="D7" s="126">
        <f>IF(ISNUMBER(C7),MIN((C7*Rules!$N$14/113)+(Rules!$N$13-Rules!$N$12),Rules!$N$37),"-")</f>
        <v>36</v>
      </c>
      <c r="E7" s="126">
        <f>IF(ISNUMBER(C7),    ROUND( (D7*Rules!$N$11) / 100,0),"-")</f>
        <v>36</v>
      </c>
      <c r="F7" s="36" t="str">
        <f>IF(AND(ISNUMBER(C7),C7&gt;=Rules!$M$24,C7&lt;=Rules!$N$24),"Y","N")</f>
        <v>Y</v>
      </c>
      <c r="G7" s="137">
        <f>'Eclectic C'!M7</f>
        <v>56</v>
      </c>
      <c r="H7" s="137">
        <f>'Eclectic C'!W7</f>
        <v>59</v>
      </c>
      <c r="I7" s="137">
        <f>'Eclectic C'!AJ7</f>
        <v>53</v>
      </c>
      <c r="J7" s="137">
        <f>'Eclectic C'!AT7</f>
        <v>62</v>
      </c>
      <c r="K7" s="14">
        <f t="shared" si="1"/>
        <v>115</v>
      </c>
      <c r="L7" s="14">
        <f t="shared" si="2"/>
        <v>79</v>
      </c>
      <c r="M7" s="14">
        <f t="shared" si="3"/>
        <v>115</v>
      </c>
      <c r="N7" s="14">
        <f t="shared" si="4"/>
        <v>79</v>
      </c>
      <c r="O7" s="14">
        <f t="shared" si="5"/>
        <v>230</v>
      </c>
      <c r="P7" s="14">
        <f t="shared" si="6"/>
        <v>158</v>
      </c>
      <c r="Q7" s="108">
        <f>RANK($K7,$K$5:$K$104,1)+COUNTIF(K$5:K7,K7)-1</f>
        <v>11</v>
      </c>
      <c r="R7" s="108">
        <f t="shared" si="7"/>
        <v>11</v>
      </c>
      <c r="S7" s="108">
        <f>RANK($L7,$L$5:$L$104,1)+COUNTIF(L$5:L7,L7)-1</f>
        <v>9</v>
      </c>
      <c r="T7" s="108">
        <f t="shared" si="8"/>
        <v>8</v>
      </c>
      <c r="U7" s="108">
        <f>RANK($M7,$M$5:$M$104,1)+COUNTIF(M$5:M7,M7)-1</f>
        <v>11</v>
      </c>
      <c r="V7" s="108">
        <f t="shared" si="9"/>
        <v>11</v>
      </c>
      <c r="W7" s="108">
        <f>RANK($N7,$N$5:$N$104,1)+COUNTIF(N$5:N7,N7)-1</f>
        <v>8</v>
      </c>
      <c r="X7" s="108">
        <f t="shared" si="10"/>
        <v>8</v>
      </c>
      <c r="Y7" s="108">
        <f>RANK($O7,$O$5:$O$104,1)+COUNTIF(O$5:O7,O7)-1</f>
        <v>11</v>
      </c>
      <c r="Z7" s="108">
        <f t="shared" si="11"/>
        <v>11</v>
      </c>
      <c r="AA7" s="108">
        <f>RANK($P7,$P$5:$P$104,1)+COUNTIF(P$5:P7,P7)-1</f>
        <v>10</v>
      </c>
      <c r="AB7" s="108">
        <f t="shared" si="12"/>
        <v>10</v>
      </c>
      <c r="AC7" s="59" t="str">
        <f t="shared" si="13"/>
        <v>RENE LADELL</v>
      </c>
      <c r="AD7" s="59">
        <f t="shared" si="14"/>
        <v>36</v>
      </c>
      <c r="AE7" s="119">
        <f t="shared" si="15"/>
        <v>115</v>
      </c>
      <c r="AF7" s="119">
        <f t="shared" si="15"/>
        <v>79</v>
      </c>
      <c r="AG7" s="119">
        <f t="shared" si="15"/>
        <v>115</v>
      </c>
      <c r="AH7" s="119">
        <f t="shared" si="15"/>
        <v>79</v>
      </c>
      <c r="AI7" s="119">
        <f t="shared" si="15"/>
        <v>230</v>
      </c>
      <c r="AJ7" s="119">
        <f t="shared" si="15"/>
        <v>158</v>
      </c>
      <c r="AM7" s="120">
        <v>3</v>
      </c>
      <c r="AN7" s="58">
        <f>VLOOKUP(AM7,Q$5:$AJ$104,$AO$2,FALSE)</f>
        <v>3</v>
      </c>
      <c r="AO7" s="93" t="str">
        <f>VLOOKUP(AM7,Q$5:$AJ$104,$AO$2+11,FALSE)</f>
        <v>KAREN STOTT</v>
      </c>
      <c r="AP7" s="58">
        <f t="shared" si="16"/>
        <v>93</v>
      </c>
      <c r="AR7" s="120">
        <v>3</v>
      </c>
      <c r="AS7" s="58">
        <f>VLOOKUP(AR7,$S$5:$AJ$104,$AT$2,FALSE)</f>
        <v>3</v>
      </c>
      <c r="AT7" s="93" t="str">
        <f>VLOOKUP(AR7,$S$5:$AJ$104,$AT$2+9,FALSE)</f>
        <v>MELISSA PALMER</v>
      </c>
      <c r="AU7" s="58">
        <f>VLOOKUP(AS7,$S$5:$AJ$104,$AT$2+12,FALSE)</f>
        <v>70</v>
      </c>
      <c r="AW7" s="120">
        <v>3</v>
      </c>
      <c r="AX7" s="58">
        <f>VLOOKUP(AW7,$U$5:$AJ$104,$AY$2,FALSE)</f>
        <v>3</v>
      </c>
      <c r="AY7" s="93" t="str">
        <f>VLOOKUP(AW7,$U$5:$AJ$104,$AY$2+7,FALSE)</f>
        <v>JANIS NEL</v>
      </c>
      <c r="AZ7" s="58">
        <f>VLOOKUP(AX7,$U$5:$AJ$104,$AY$2+11,FALSE)</f>
        <v>95</v>
      </c>
      <c r="BB7" s="120">
        <v>3</v>
      </c>
      <c r="BC7" s="58">
        <f>VLOOKUP(BB7,$W$5:$AJ$104,$BD$2,FALSE)</f>
        <v>3</v>
      </c>
      <c r="BD7" s="93" t="str">
        <f>VLOOKUP(BB7,$W$5:$AJ$104,$BD$2+5,FALSE)</f>
        <v>KAREN STOTT</v>
      </c>
      <c r="BE7" s="58">
        <f>VLOOKUP(BC7,$W$5:$AJ$104,$BD$2+10,FALSE)</f>
        <v>74</v>
      </c>
      <c r="BG7" s="120">
        <v>3</v>
      </c>
      <c r="BH7" s="58">
        <f>VLOOKUP(BG7,$Y$5:$AJ$104,$BI$2,FALSE)</f>
        <v>3</v>
      </c>
      <c r="BI7" s="93" t="str">
        <f>VLOOKUP(BG7,$Y$5:$AJ$104,$BI$2+3,FALSE)</f>
        <v>JUDY VAN DER VEEN</v>
      </c>
      <c r="BJ7" s="58">
        <f>VLOOKUP(BH7,$Y$5:$AJ$104,$BI$2+9,FALSE)</f>
        <v>190</v>
      </c>
      <c r="BL7" s="120">
        <v>3</v>
      </c>
      <c r="BM7" s="58">
        <f>VLOOKUP(BL7,$AA$5:$AJ$104,$BN$2,FALSE)</f>
        <v>3</v>
      </c>
      <c r="BN7" s="93" t="str">
        <f>VLOOKUP(BL7,$AA$5:$AJ$104,$BN$2+1,FALSE)</f>
        <v>JUDY VAN DER VEEN</v>
      </c>
      <c r="BO7" s="58">
        <f>VLOOKUP(BM7,$AA$5:$AJ$104,$BN$2+8,FALSE)</f>
        <v>146</v>
      </c>
      <c r="BQ7" s="2">
        <f>'Eclectic C'!CD7</f>
        <v>3</v>
      </c>
      <c r="BR7" s="6" t="str">
        <f>'Eclectic C'!CE7</f>
        <v>JUDY VAN DER VEEN</v>
      </c>
      <c r="BS7" s="103">
        <f>'Eclectic C'!CF7</f>
        <v>80.5</v>
      </c>
    </row>
    <row r="8" spans="1:84">
      <c r="A8" s="10" t="str">
        <f>IF(ISBLANK(Players!K6),"",Players!K6)</f>
        <v>ANGELA</v>
      </c>
      <c r="B8" s="10" t="str">
        <f>IF(ISBLANK(Players!L6),"",Players!L6)</f>
        <v>MASEFIELD</v>
      </c>
      <c r="C8" s="10">
        <f>IF(ISBLANK(Players!N6),"",Players!N6)</f>
        <v>19.5</v>
      </c>
      <c r="D8" s="126">
        <f>IF(ISNUMBER(C8),MIN((C8*Rules!$N$14/113)+(Rules!$N$13-Rules!$N$12),Rules!$N$37),"-")</f>
        <v>21.925663716814164</v>
      </c>
      <c r="E8" s="126">
        <f>IF(ISNUMBER(C8),    ROUND( (D8*Rules!$N$11) / 100,0),"-")</f>
        <v>22</v>
      </c>
      <c r="F8" s="36" t="str">
        <f>IF(AND(ISNUMBER(C8),C8&gt;=Rules!$M$24,C8&lt;=Rules!$N$24),"Y","N")</f>
        <v>Y</v>
      </c>
      <c r="G8" s="137">
        <f>'Eclectic C'!M8</f>
        <v>47</v>
      </c>
      <c r="H8" s="137">
        <f>'Eclectic C'!W8</f>
        <v>54</v>
      </c>
      <c r="I8" s="137">
        <f>'Eclectic C'!AJ8</f>
        <v>55</v>
      </c>
      <c r="J8" s="137">
        <f>'Eclectic C'!AT8</f>
        <v>50</v>
      </c>
      <c r="K8" s="14">
        <f t="shared" si="1"/>
        <v>101</v>
      </c>
      <c r="L8" s="14">
        <f t="shared" si="2"/>
        <v>79</v>
      </c>
      <c r="M8" s="14">
        <f t="shared" si="3"/>
        <v>105</v>
      </c>
      <c r="N8" s="14">
        <f t="shared" si="4"/>
        <v>83</v>
      </c>
      <c r="O8" s="14">
        <f t="shared" si="5"/>
        <v>206</v>
      </c>
      <c r="P8" s="14">
        <f t="shared" si="6"/>
        <v>162</v>
      </c>
      <c r="Q8" s="108">
        <f>RANK($K8,$K$5:$K$104,1)+COUNTIF(K$5:K8,K8)-1</f>
        <v>7</v>
      </c>
      <c r="R8" s="108">
        <f t="shared" si="7"/>
        <v>7</v>
      </c>
      <c r="S8" s="108">
        <f>RANK($L8,$L$5:$L$104,1)+COUNTIF(L$5:L8,L8)-1</f>
        <v>10</v>
      </c>
      <c r="T8" s="108">
        <f t="shared" si="8"/>
        <v>8</v>
      </c>
      <c r="U8" s="108">
        <f>RANK($M8,$M$5:$M$104,1)+COUNTIF(M$5:M8,M8)-1</f>
        <v>9</v>
      </c>
      <c r="V8" s="108">
        <f t="shared" si="9"/>
        <v>9</v>
      </c>
      <c r="W8" s="108">
        <f>RANK($N8,$N$5:$N$104,1)+COUNTIF(N$5:N8,N8)-1</f>
        <v>11</v>
      </c>
      <c r="X8" s="108">
        <f t="shared" si="10"/>
        <v>10</v>
      </c>
      <c r="Y8" s="108">
        <f>RANK($O8,$O$5:$O$104,1)+COUNTIF(O$5:O8,O8)-1</f>
        <v>8</v>
      </c>
      <c r="Z8" s="108">
        <f t="shared" si="11"/>
        <v>8</v>
      </c>
      <c r="AA8" s="108">
        <f>RANK($P8,$P$5:$P$104,1)+COUNTIF(P$5:P8,P8)-1</f>
        <v>11</v>
      </c>
      <c r="AB8" s="108">
        <f t="shared" si="12"/>
        <v>11</v>
      </c>
      <c r="AC8" s="59" t="str">
        <f t="shared" si="13"/>
        <v>ANGELA MASEFIELD</v>
      </c>
      <c r="AD8" s="59">
        <f t="shared" si="14"/>
        <v>21.925663716814164</v>
      </c>
      <c r="AE8" s="119">
        <f t="shared" si="15"/>
        <v>101</v>
      </c>
      <c r="AF8" s="119">
        <f t="shared" si="15"/>
        <v>79</v>
      </c>
      <c r="AG8" s="119">
        <f t="shared" si="15"/>
        <v>105</v>
      </c>
      <c r="AH8" s="119">
        <f t="shared" si="15"/>
        <v>83</v>
      </c>
      <c r="AI8" s="119">
        <f t="shared" si="15"/>
        <v>206</v>
      </c>
      <c r="AJ8" s="119">
        <f t="shared" si="15"/>
        <v>162</v>
      </c>
      <c r="AM8" s="120">
        <v>4</v>
      </c>
      <c r="AN8" s="58">
        <f>VLOOKUP(AM8,Q$5:$AJ$104,$AO$2,FALSE)</f>
        <v>4</v>
      </c>
      <c r="AO8" s="93" t="str">
        <f>VLOOKUP(AM8,Q$5:$AJ$104,$AO$2+11,FALSE)</f>
        <v>MELISSA SAVIO</v>
      </c>
      <c r="AP8" s="58">
        <f t="shared" si="16"/>
        <v>95</v>
      </c>
      <c r="AR8" s="120">
        <v>4</v>
      </c>
      <c r="AS8" s="58">
        <f>VLOOKUP(AR8,$S$5:$AJ$104,$AT$2,FALSE)</f>
        <v>4</v>
      </c>
      <c r="AT8" s="93" t="str">
        <f>VLOOKUP(AR8,$S$5:$AJ$104,$AT$2+9,FALSE)</f>
        <v>PREM GOVENDER</v>
      </c>
      <c r="AU8" s="58">
        <f>VLOOKUP(AS8,$S$5:$AJ$104,$AT$2+12,FALSE)</f>
        <v>73</v>
      </c>
      <c r="AW8" s="120">
        <v>4</v>
      </c>
      <c r="AX8" s="58">
        <f>VLOOKUP(AW8,$U$5:$AJ$104,$AY$2,FALSE)</f>
        <v>3</v>
      </c>
      <c r="AY8" s="93" t="str">
        <f>VLOOKUP(AW8,$U$5:$AJ$104,$AY$2+7,FALSE)</f>
        <v>JUDY VAN DER VEEN</v>
      </c>
      <c r="AZ8" s="58">
        <f>VLOOKUP(AX8,$U$5:$AJ$104,$AY$2+11,FALSE)</f>
        <v>95</v>
      </c>
      <c r="BB8" s="120">
        <v>4</v>
      </c>
      <c r="BC8" s="58">
        <f>VLOOKUP(BB8,$W$5:$AJ$104,$BD$2,FALSE)</f>
        <v>4</v>
      </c>
      <c r="BD8" s="93" t="str">
        <f>VLOOKUP(BB8,$W$5:$AJ$104,$BD$2+5,FALSE)</f>
        <v>SHAY BROEDELET</v>
      </c>
      <c r="BE8" s="58">
        <v>75</v>
      </c>
      <c r="BG8" s="120">
        <v>4</v>
      </c>
      <c r="BH8" s="58">
        <f>VLOOKUP(BG8,$Y$5:$AJ$104,$BI$2,FALSE)</f>
        <v>4</v>
      </c>
      <c r="BI8" s="93" t="str">
        <f>VLOOKUP(BG8,$Y$5:$AJ$104,$BI$2+3,FALSE)</f>
        <v>MELISSA PALMER</v>
      </c>
      <c r="BJ8" s="58">
        <f>VLOOKUP(BH8,$Y$5:$AJ$104,$BI$2+9,FALSE)</f>
        <v>190.1</v>
      </c>
      <c r="BL8" s="120">
        <v>4</v>
      </c>
      <c r="BM8" s="58">
        <f>VLOOKUP(BL8,$AA$5:$AJ$104,$BN$2,FALSE)</f>
        <v>4</v>
      </c>
      <c r="BN8" s="93" t="str">
        <f>VLOOKUP(BL8,$AA$5:$AJ$104,$BN$2+1,FALSE)</f>
        <v>KAREN STOTT</v>
      </c>
      <c r="BO8" s="58">
        <f>VLOOKUP(BM8,$AA$5:$AJ$104,$BN$2+8,FALSE)</f>
        <v>147</v>
      </c>
      <c r="BQ8" s="2">
        <f>'Eclectic C'!CD8</f>
        <v>4</v>
      </c>
      <c r="BR8" s="6" t="str">
        <f>'Eclectic C'!CE8</f>
        <v>JANIS NEL</v>
      </c>
      <c r="BS8" s="103">
        <f>'Eclectic C'!CF8</f>
        <v>81</v>
      </c>
    </row>
    <row r="9" spans="1:84">
      <c r="A9" s="10" t="str">
        <f>IF(ISBLANK(Players!K7),"",Players!K7)</f>
        <v>FIFI</v>
      </c>
      <c r="B9" s="10" t="str">
        <f>IF(ISBLANK(Players!L7),"",Players!L7)</f>
        <v>NARAN</v>
      </c>
      <c r="C9" s="10">
        <f>IF(ISBLANK(Players!N7),"",Players!N7)</f>
        <v>22.5</v>
      </c>
      <c r="D9" s="126">
        <f>IF(ISNUMBER(C9),MIN((C9*Rules!$N$14/113)+(Rules!$N$13-Rules!$N$12),Rules!$N$37),"-")</f>
        <v>25.19115044247788</v>
      </c>
      <c r="E9" s="126">
        <f>IF(ISNUMBER(C9),    ROUND( (D9*Rules!$N$11) / 100,0),"-")</f>
        <v>25</v>
      </c>
      <c r="F9" s="36" t="str">
        <f>IF(AND(ISNUMBER(C9),C9&gt;=Rules!$M$24,C9&lt;=Rules!$N$24),"Y","N")</f>
        <v>Y</v>
      </c>
      <c r="G9" s="137">
        <f>'Eclectic C'!M9</f>
        <v>48</v>
      </c>
      <c r="H9" s="137">
        <f>'Eclectic C'!W9</f>
        <v>54</v>
      </c>
      <c r="I9" s="137">
        <f>'Eclectic C'!AJ9</f>
        <v>46</v>
      </c>
      <c r="J9" s="137">
        <f>'Eclectic C'!AT9</f>
        <v>57</v>
      </c>
      <c r="K9" s="14">
        <f t="shared" si="1"/>
        <v>102</v>
      </c>
      <c r="L9" s="14">
        <f t="shared" si="2"/>
        <v>77</v>
      </c>
      <c r="M9" s="14">
        <f t="shared" si="3"/>
        <v>103</v>
      </c>
      <c r="N9" s="14">
        <f t="shared" si="4"/>
        <v>78</v>
      </c>
      <c r="O9" s="14">
        <f t="shared" si="5"/>
        <v>205</v>
      </c>
      <c r="P9" s="14">
        <f t="shared" si="6"/>
        <v>155</v>
      </c>
      <c r="Q9" s="108">
        <f>RANK($K9,$K$5:$K$104,1)+COUNTIF(K$5:K9,K9)-1</f>
        <v>8</v>
      </c>
      <c r="R9" s="108">
        <f t="shared" si="7"/>
        <v>8</v>
      </c>
      <c r="S9" s="108">
        <f>RANK($L9,$L$5:$L$104,1)+COUNTIF(L$5:L9,L9)-1</f>
        <v>7</v>
      </c>
      <c r="T9" s="108">
        <f t="shared" si="8"/>
        <v>7</v>
      </c>
      <c r="U9" s="108">
        <f>RANK($M9,$M$5:$M$104,1)+COUNTIF(M$5:M9,M9)-1</f>
        <v>7</v>
      </c>
      <c r="V9" s="108">
        <f t="shared" si="9"/>
        <v>6</v>
      </c>
      <c r="W9" s="108">
        <f>RANK($N9,$N$5:$N$104,1)+COUNTIF(N$5:N9,N9)-1</f>
        <v>7</v>
      </c>
      <c r="X9" s="108">
        <f t="shared" si="10"/>
        <v>7</v>
      </c>
      <c r="Y9" s="108">
        <f>RANK($O9,$O$5:$O$104,1)+COUNTIF(O$5:O9,O9)-1</f>
        <v>7</v>
      </c>
      <c r="Z9" s="108">
        <f t="shared" si="11"/>
        <v>7</v>
      </c>
      <c r="AA9" s="108">
        <f>RANK($P9,$P$5:$P$104,1)+COUNTIF(P$5:P9,P9)-1</f>
        <v>7</v>
      </c>
      <c r="AB9" s="108">
        <f t="shared" si="12"/>
        <v>7</v>
      </c>
      <c r="AC9" s="59" t="str">
        <f t="shared" si="13"/>
        <v>FIFI NARAN</v>
      </c>
      <c r="AD9" s="59">
        <f t="shared" si="14"/>
        <v>25.19115044247788</v>
      </c>
      <c r="AE9" s="119">
        <f t="shared" si="15"/>
        <v>102</v>
      </c>
      <c r="AF9" s="119">
        <f t="shared" si="15"/>
        <v>77</v>
      </c>
      <c r="AG9" s="119">
        <f t="shared" si="15"/>
        <v>103</v>
      </c>
      <c r="AH9" s="119">
        <f t="shared" si="15"/>
        <v>78</v>
      </c>
      <c r="AI9" s="119">
        <f t="shared" si="15"/>
        <v>205</v>
      </c>
      <c r="AJ9" s="119">
        <f t="shared" si="15"/>
        <v>155</v>
      </c>
      <c r="AM9" s="120">
        <v>5</v>
      </c>
      <c r="AN9" s="58">
        <f>VLOOKUP(AM9,Q$5:$AJ$104,$AO$2,FALSE)</f>
        <v>4</v>
      </c>
      <c r="AO9" s="93" t="str">
        <f>VLOOKUP(AM9,Q$5:$AJ$104,$AO$2+11,FALSE)</f>
        <v>JUDY VAN DER VEEN</v>
      </c>
      <c r="AP9" s="58">
        <f t="shared" si="16"/>
        <v>95</v>
      </c>
      <c r="AR9" s="120">
        <v>5</v>
      </c>
      <c r="AS9" s="58">
        <f>VLOOKUP(AR9,$S$5:$AJ$104,$AT$2,FALSE)</f>
        <v>4</v>
      </c>
      <c r="AT9" s="93" t="str">
        <f>VLOOKUP(AR9,$S$5:$AJ$104,$AT$2+9,FALSE)</f>
        <v>KAREN STOTT</v>
      </c>
      <c r="AU9" s="58">
        <f>VLOOKUP(AS9,$S$5:$AJ$104,$AT$2+12,FALSE)</f>
        <v>73</v>
      </c>
      <c r="AW9" s="120">
        <v>5</v>
      </c>
      <c r="AX9" s="58">
        <f>VLOOKUP(AW9,$U$5:$AJ$104,$AY$2,FALSE)</f>
        <v>5</v>
      </c>
      <c r="AY9" s="93" t="str">
        <f>VLOOKUP(AW9,$U$5:$AJ$104,$AY$2+7,FALSE)</f>
        <v>MELISSA PALMER</v>
      </c>
      <c r="AZ9" s="58">
        <f>VLOOKUP(AX9,$U$5:$AJ$104,$AY$2+11,FALSE)</f>
        <v>100.1</v>
      </c>
      <c r="BB9" s="120">
        <v>5</v>
      </c>
      <c r="BC9" s="58">
        <f>VLOOKUP(BB9,$W$5:$AJ$104,$BD$2,FALSE)</f>
        <v>4</v>
      </c>
      <c r="BD9" s="93" t="str">
        <f>VLOOKUP(BB9,$W$5:$AJ$104,$BD$2+5,FALSE)</f>
        <v>JANIS NEL</v>
      </c>
      <c r="BE9" s="58">
        <f>VLOOKUP(BC9,$W$5:$AJ$104,$BD$2+10,FALSE)</f>
        <v>75</v>
      </c>
      <c r="BG9" s="120">
        <v>5</v>
      </c>
      <c r="BH9" s="58">
        <f>VLOOKUP(BG9,$Y$5:$AJ$104,$BI$2,FALSE)</f>
        <v>5</v>
      </c>
      <c r="BI9" s="93" t="str">
        <f>VLOOKUP(BG9,$Y$5:$AJ$104,$BI$2+3,FALSE)</f>
        <v>GAIL SPEIRS</v>
      </c>
      <c r="BJ9" s="58">
        <f>VLOOKUP(BH9,$Y$5:$AJ$104,$BI$2+9,FALSE)</f>
        <v>195</v>
      </c>
      <c r="BL9" s="120">
        <v>5</v>
      </c>
      <c r="BM9" s="58">
        <f>VLOOKUP(BL9,$AA$5:$AJ$104,$BN$2,FALSE)</f>
        <v>5</v>
      </c>
      <c r="BN9" s="93" t="str">
        <f>VLOOKUP(BL9,$AA$5:$AJ$104,$BN$2+1,FALSE)</f>
        <v>MELISSA PALMER</v>
      </c>
      <c r="BO9" s="58">
        <f>VLOOKUP(BM9,$AA$5:$AJ$104,$BN$2+8,FALSE)</f>
        <v>150.1</v>
      </c>
      <c r="BQ9" s="2">
        <f>'Eclectic C'!CD9</f>
        <v>5</v>
      </c>
      <c r="BR9" s="6" t="str">
        <f>'Eclectic C'!CE9</f>
        <v>KAREN STOTT</v>
      </c>
      <c r="BS9" s="103">
        <f>'Eclectic C'!CF9</f>
        <v>82</v>
      </c>
    </row>
    <row r="10" spans="1:84">
      <c r="A10" s="10" t="str">
        <f>IF(ISBLANK(Players!K8),"",Players!K8)</f>
        <v>JANIS</v>
      </c>
      <c r="B10" s="10" t="str">
        <f>IF(ISBLANK(Players!L8),"",Players!L8)</f>
        <v>NEL</v>
      </c>
      <c r="C10" s="10">
        <f>IF(ISBLANK(Players!N8),"",Players!N8)</f>
        <v>18</v>
      </c>
      <c r="D10" s="126">
        <f>IF(ISNUMBER(C10),MIN((C10*Rules!$N$14/113)+(Rules!$N$13-Rules!$N$12),Rules!$N$37),"-")</f>
        <v>20.292920353982304</v>
      </c>
      <c r="E10" s="126">
        <f>IF(ISNUMBER(C10),    ROUND( (D10*Rules!$N$11) / 100,0),"-")</f>
        <v>20</v>
      </c>
      <c r="F10" s="36" t="str">
        <f>IF(AND(ISNUMBER(C10),C10&gt;=Rules!$M$24,C10&lt;=Rules!$N$24),"Y","N")</f>
        <v>Y</v>
      </c>
      <c r="G10" s="137">
        <f>'Eclectic C'!M10</f>
        <v>44</v>
      </c>
      <c r="H10" s="137">
        <f>'Eclectic C'!W10</f>
        <v>43</v>
      </c>
      <c r="I10" s="137">
        <f>'Eclectic C'!AJ10</f>
        <v>47</v>
      </c>
      <c r="J10" s="137">
        <f>'Eclectic C'!AT10</f>
        <v>48</v>
      </c>
      <c r="K10" s="14">
        <f t="shared" si="1"/>
        <v>87</v>
      </c>
      <c r="L10" s="14">
        <f t="shared" si="2"/>
        <v>67</v>
      </c>
      <c r="M10" s="14">
        <f t="shared" si="3"/>
        <v>95</v>
      </c>
      <c r="N10" s="14">
        <f t="shared" si="4"/>
        <v>75</v>
      </c>
      <c r="O10" s="14">
        <f t="shared" si="5"/>
        <v>182</v>
      </c>
      <c r="P10" s="14">
        <f t="shared" si="6"/>
        <v>142</v>
      </c>
      <c r="Q10" s="108">
        <f>RANK($K10,$K$5:$K$104,1)+COUNTIF(K$5:K10,K10)-1</f>
        <v>1</v>
      </c>
      <c r="R10" s="108">
        <f t="shared" si="7"/>
        <v>1</v>
      </c>
      <c r="S10" s="108">
        <f>RANK($L10,$L$5:$L$104,1)+COUNTIF(L$5:L10,L10)-1</f>
        <v>1</v>
      </c>
      <c r="T10" s="108">
        <f t="shared" si="8"/>
        <v>1</v>
      </c>
      <c r="U10" s="108">
        <f>RANK($M10,$M$5:$M$104,1)+COUNTIF(M$5:M10,M10)-1</f>
        <v>3</v>
      </c>
      <c r="V10" s="108">
        <f t="shared" si="9"/>
        <v>3</v>
      </c>
      <c r="W10" s="108">
        <f>RANK($N10,$N$5:$N$104,1)+COUNTIF(N$5:N10,N10)-1</f>
        <v>5</v>
      </c>
      <c r="X10" s="108">
        <f t="shared" si="10"/>
        <v>4</v>
      </c>
      <c r="Y10" s="108">
        <f>RANK($O10,$O$5:$O$104,1)+COUNTIF(O$5:O10,O10)-1</f>
        <v>1</v>
      </c>
      <c r="Z10" s="108">
        <f t="shared" si="11"/>
        <v>1</v>
      </c>
      <c r="AA10" s="108">
        <f>RANK($P10,$P$5:$P$104,1)+COUNTIF(P$5:P10,P10)-1</f>
        <v>1</v>
      </c>
      <c r="AB10" s="108">
        <f t="shared" si="12"/>
        <v>1</v>
      </c>
      <c r="AC10" s="59" t="str">
        <f t="shared" si="13"/>
        <v>JANIS NEL</v>
      </c>
      <c r="AD10" s="59">
        <f t="shared" si="14"/>
        <v>20.292920353982304</v>
      </c>
      <c r="AE10" s="119">
        <f t="shared" si="15"/>
        <v>87</v>
      </c>
      <c r="AF10" s="119">
        <f t="shared" si="15"/>
        <v>67</v>
      </c>
      <c r="AG10" s="119">
        <f t="shared" si="15"/>
        <v>95</v>
      </c>
      <c r="AH10" s="119">
        <f t="shared" si="15"/>
        <v>75</v>
      </c>
      <c r="AI10" s="119">
        <f t="shared" si="15"/>
        <v>182</v>
      </c>
      <c r="AJ10" s="119">
        <f t="shared" si="15"/>
        <v>142</v>
      </c>
      <c r="AM10" s="120">
        <v>6</v>
      </c>
      <c r="AN10" s="58">
        <f>VLOOKUP(AM10,Q$5:$AJ$104,$AO$2,FALSE)</f>
        <v>6</v>
      </c>
      <c r="AO10" s="93" t="str">
        <f>VLOOKUP(AM10,Q$5:$AJ$104,$AO$2+11,FALSE)</f>
        <v>PREM GOVENDER</v>
      </c>
      <c r="AP10" s="58">
        <f t="shared" si="16"/>
        <v>99</v>
      </c>
      <c r="AR10" s="120">
        <v>6</v>
      </c>
      <c r="AS10" s="58">
        <f>VLOOKUP(AR10,$S$5:$AJ$104,$AT$2,FALSE)</f>
        <v>4</v>
      </c>
      <c r="AT10" s="93" t="str">
        <f>VLOOKUP(AR10,$S$5:$AJ$104,$AT$2+9,FALSE)</f>
        <v>JUDY VAN DER VEEN</v>
      </c>
      <c r="AU10" s="58">
        <f>VLOOKUP(AS10,$S$5:$AJ$104,$AT$2+12,FALSE)</f>
        <v>73</v>
      </c>
      <c r="AW10" s="120">
        <v>6</v>
      </c>
      <c r="AX10" s="58">
        <f>VLOOKUP(AW10,$U$5:$AJ$104,$AY$2,FALSE)</f>
        <v>6</v>
      </c>
      <c r="AY10" s="93" t="str">
        <f>VLOOKUP(AW10,$U$5:$AJ$104,$AY$2+7,FALSE)</f>
        <v>SHAY BROEDELET</v>
      </c>
      <c r="AZ10" s="58">
        <f>VLOOKUP(AX10,$U$5:$AJ$104,$AY$2+11,FALSE)</f>
        <v>103</v>
      </c>
      <c r="BB10" s="120">
        <v>6</v>
      </c>
      <c r="BC10" s="58">
        <f>VLOOKUP(BB10,$W$5:$AJ$104,$BD$2,FALSE)</f>
        <v>6</v>
      </c>
      <c r="BD10" s="93" t="str">
        <f>VLOOKUP(BB10,$W$5:$AJ$104,$BD$2+5,FALSE)</f>
        <v>MELISSA SAVIO</v>
      </c>
      <c r="BE10" s="58">
        <f>VLOOKUP(BC10,$W$5:$AJ$104,$BD$2+10,FALSE)</f>
        <v>76</v>
      </c>
      <c r="BG10" s="120">
        <v>6</v>
      </c>
      <c r="BH10" s="58">
        <f>VLOOKUP(BG10,$Y$5:$AJ$104,$BI$2,FALSE)</f>
        <v>6</v>
      </c>
      <c r="BI10" s="93" t="str">
        <f>VLOOKUP(BG10,$Y$5:$AJ$104,$BI$2+3,FALSE)</f>
        <v>MELISSA SAVIO</v>
      </c>
      <c r="BJ10" s="58">
        <f>VLOOKUP(BH10,$Y$5:$AJ$104,$BI$2+9,FALSE)</f>
        <v>198</v>
      </c>
      <c r="BL10" s="120">
        <v>6</v>
      </c>
      <c r="BM10" s="58">
        <f>VLOOKUP(BL10,$AA$5:$AJ$104,$BN$2,FALSE)</f>
        <v>6</v>
      </c>
      <c r="BN10" s="93" t="str">
        <f>VLOOKUP(BL10,$AA$5:$AJ$104,$BN$2+1,FALSE)</f>
        <v>SHAY BROEDELET</v>
      </c>
      <c r="BO10" s="58">
        <f>VLOOKUP(BM10,$AA$5:$AJ$104,$BN$2+8,FALSE)</f>
        <v>154</v>
      </c>
      <c r="BQ10" s="2">
        <f>'Eclectic C'!CD10</f>
        <v>6</v>
      </c>
      <c r="BR10" s="6" t="str">
        <f>'Eclectic C'!CE10</f>
        <v>FIFI NARAN</v>
      </c>
      <c r="BS10" s="103">
        <f>'Eclectic C'!CF10</f>
        <v>84.75</v>
      </c>
    </row>
    <row r="11" spans="1:84">
      <c r="A11" s="10" t="str">
        <f>IF(ISBLANK(Players!K9),"",Players!K9)</f>
        <v>MELISSA</v>
      </c>
      <c r="B11" s="10" t="str">
        <f>IF(ISBLANK(Players!L9),"",Players!L9)</f>
        <v>PALMER</v>
      </c>
      <c r="C11" s="10">
        <f>IF(ISBLANK(Players!N9),"",Players!N9)</f>
        <v>17.899999999999999</v>
      </c>
      <c r="D11" s="126">
        <f>IF(ISNUMBER(C11),MIN((C11*Rules!$N$14/113)+(Rules!$N$13-Rules!$N$12),Rules!$N$37),"-")</f>
        <v>20.18407079646018</v>
      </c>
      <c r="E11" s="126">
        <f>IF(ISNUMBER(C11),    ROUND( (D11*Rules!$N$11) / 100,0),"-")</f>
        <v>20</v>
      </c>
      <c r="F11" s="36" t="str">
        <f>IF(AND(ISNUMBER(C11),C11&gt;=Rules!$M$24,C11&lt;=Rules!$N$24),"Y","N")</f>
        <v>Y</v>
      </c>
      <c r="G11" s="137">
        <f>'Eclectic C'!M11</f>
        <v>44</v>
      </c>
      <c r="H11" s="137">
        <f>'Eclectic C'!W11</f>
        <v>46</v>
      </c>
      <c r="I11" s="137">
        <f>'Eclectic C'!AJ11</f>
        <v>51</v>
      </c>
      <c r="J11" s="137">
        <f>'Eclectic C'!AT11</f>
        <v>49.1</v>
      </c>
      <c r="K11" s="14">
        <f t="shared" si="1"/>
        <v>90</v>
      </c>
      <c r="L11" s="14">
        <f t="shared" si="2"/>
        <v>70</v>
      </c>
      <c r="M11" s="14">
        <f t="shared" si="3"/>
        <v>100.1</v>
      </c>
      <c r="N11" s="14">
        <f t="shared" si="4"/>
        <v>80.099999999999994</v>
      </c>
      <c r="O11" s="14">
        <f t="shared" si="5"/>
        <v>190.1</v>
      </c>
      <c r="P11" s="14">
        <f t="shared" si="6"/>
        <v>150.1</v>
      </c>
      <c r="Q11" s="108">
        <f>RANK($K11,$K$5:$K$104,1)+COUNTIF(K$5:K11,K11)-1</f>
        <v>2</v>
      </c>
      <c r="R11" s="108">
        <f t="shared" si="7"/>
        <v>2</v>
      </c>
      <c r="S11" s="108">
        <f>RANK($L11,$L$5:$L$104,1)+COUNTIF(L$5:L11,L11)-1</f>
        <v>3</v>
      </c>
      <c r="T11" s="108">
        <f t="shared" si="8"/>
        <v>3</v>
      </c>
      <c r="U11" s="108">
        <f>RANK($M11,$M$5:$M$104,1)+COUNTIF(M$5:M11,M11)-1</f>
        <v>5</v>
      </c>
      <c r="V11" s="108">
        <f t="shared" si="9"/>
        <v>5</v>
      </c>
      <c r="W11" s="108">
        <f>RANK($N11,$N$5:$N$104,1)+COUNTIF(N$5:N11,N11)-1</f>
        <v>9</v>
      </c>
      <c r="X11" s="108">
        <f t="shared" si="10"/>
        <v>9</v>
      </c>
      <c r="Y11" s="108">
        <f>RANK($O11,$O$5:$O$104,1)+COUNTIF(O$5:O11,O11)-1</f>
        <v>4</v>
      </c>
      <c r="Z11" s="108">
        <f t="shared" si="11"/>
        <v>4</v>
      </c>
      <c r="AA11" s="108">
        <f>RANK($P11,$P$5:$P$104,1)+COUNTIF(P$5:P11,P11)-1</f>
        <v>5</v>
      </c>
      <c r="AB11" s="108">
        <f t="shared" si="12"/>
        <v>5</v>
      </c>
      <c r="AC11" s="59" t="str">
        <f t="shared" si="13"/>
        <v>MELISSA PALMER</v>
      </c>
      <c r="AD11" s="59">
        <f t="shared" si="14"/>
        <v>20.18407079646018</v>
      </c>
      <c r="AE11" s="119">
        <f t="shared" si="15"/>
        <v>90</v>
      </c>
      <c r="AF11" s="119">
        <f t="shared" si="15"/>
        <v>70</v>
      </c>
      <c r="AG11" s="119">
        <f t="shared" si="15"/>
        <v>100.1</v>
      </c>
      <c r="AH11" s="119">
        <f t="shared" si="15"/>
        <v>80.099999999999994</v>
      </c>
      <c r="AI11" s="119">
        <f t="shared" si="15"/>
        <v>190.1</v>
      </c>
      <c r="AJ11" s="119">
        <f t="shared" si="15"/>
        <v>150.1</v>
      </c>
      <c r="AM11" s="120">
        <v>7</v>
      </c>
      <c r="AN11" s="58">
        <f>VLOOKUP(AM11,Q$5:$AJ$104,$AO$2,FALSE)</f>
        <v>7</v>
      </c>
      <c r="AO11" s="93" t="str">
        <f>VLOOKUP(AM11,Q$5:$AJ$104,$AO$2+11,FALSE)</f>
        <v>ANGELA MASEFIELD</v>
      </c>
      <c r="AP11" s="58">
        <f t="shared" si="16"/>
        <v>101</v>
      </c>
      <c r="AR11" s="120">
        <v>7</v>
      </c>
      <c r="AS11" s="58">
        <f>VLOOKUP(AR11,$S$5:$AJ$104,$AT$2,FALSE)</f>
        <v>7</v>
      </c>
      <c r="AT11" s="93" t="str">
        <f>VLOOKUP(AR11,$S$5:$AJ$104,$AT$2+9,FALSE)</f>
        <v>FIFI NARAN</v>
      </c>
      <c r="AU11" s="58">
        <f>VLOOKUP(AS11,$S$5:$AJ$104,$AT$2+12,FALSE)</f>
        <v>77</v>
      </c>
      <c r="AW11" s="120">
        <v>7</v>
      </c>
      <c r="AX11" s="58">
        <f>VLOOKUP(AW11,$U$5:$AJ$104,$AY$2,FALSE)</f>
        <v>6</v>
      </c>
      <c r="AY11" s="93" t="str">
        <f>VLOOKUP(AW11,$U$5:$AJ$104,$AY$2+7,FALSE)</f>
        <v>FIFI NARAN</v>
      </c>
      <c r="AZ11" s="58">
        <f>VLOOKUP(AX11,$U$5:$AJ$104,$AY$2+11,FALSE)</f>
        <v>103</v>
      </c>
      <c r="BB11" s="120">
        <v>7</v>
      </c>
      <c r="BC11" s="58">
        <f>VLOOKUP(BB11,$W$5:$AJ$104,$BD$2,FALSE)</f>
        <v>7</v>
      </c>
      <c r="BD11" s="93" t="str">
        <f>VLOOKUP(BB11,$W$5:$AJ$104,$BD$2+5,FALSE)</f>
        <v>FIFI NARAN</v>
      </c>
      <c r="BE11" s="58">
        <f>VLOOKUP(BC11,$W$5:$AJ$104,$BD$2+10,FALSE)</f>
        <v>78</v>
      </c>
      <c r="BG11" s="120">
        <v>7</v>
      </c>
      <c r="BH11" s="58">
        <f>VLOOKUP(BG11,$Y$5:$AJ$104,$BI$2,FALSE)</f>
        <v>7</v>
      </c>
      <c r="BI11" s="93" t="str">
        <f>VLOOKUP(BG11,$Y$5:$AJ$104,$BI$2+3,FALSE)</f>
        <v>FIFI NARAN</v>
      </c>
      <c r="BJ11" s="58">
        <f>VLOOKUP(BH11,$Y$5:$AJ$104,$BI$2+9,FALSE)</f>
        <v>205</v>
      </c>
      <c r="BL11" s="120">
        <v>7</v>
      </c>
      <c r="BM11" s="58">
        <f>VLOOKUP(BL11,$AA$5:$AJ$104,$BN$2,FALSE)</f>
        <v>7</v>
      </c>
      <c r="BN11" s="93" t="str">
        <f>VLOOKUP(BL11,$AA$5:$AJ$104,$BN$2+1,FALSE)</f>
        <v>FIFI NARAN</v>
      </c>
      <c r="BO11" s="58">
        <f>VLOOKUP(BM11,$AA$5:$AJ$104,$BN$2+8,FALSE)</f>
        <v>155</v>
      </c>
      <c r="BQ11" s="2">
        <f>'Eclectic C'!CD11</f>
        <v>7</v>
      </c>
      <c r="BR11" s="6" t="str">
        <f>'Eclectic C'!CE11</f>
        <v>MELISSA SAVIO</v>
      </c>
      <c r="BS11" s="103">
        <f>'Eclectic C'!CF11</f>
        <v>85.25</v>
      </c>
    </row>
    <row r="12" spans="1:84">
      <c r="A12" s="10" t="str">
        <f>IF(ISBLANK(Players!K10),"",Players!K10)</f>
        <v>MELISSA</v>
      </c>
      <c r="B12" s="10" t="str">
        <f>IF(ISBLANK(Players!L10),"",Players!L10)</f>
        <v>SAVIO</v>
      </c>
      <c r="C12" s="10">
        <f>IF(ISBLANK(Players!N10),"",Players!N10)</f>
        <v>23.9</v>
      </c>
      <c r="D12" s="126">
        <f>IF(ISNUMBER(C12),MIN((C12*Rules!$N$14/113)+(Rules!$N$13-Rules!$N$12),Rules!$N$37),"-")</f>
        <v>26.715044247787613</v>
      </c>
      <c r="E12" s="126">
        <f>IF(ISNUMBER(C12),    ROUND( (D12*Rules!$N$11) / 100,0),"-")</f>
        <v>27</v>
      </c>
      <c r="F12" s="36" t="str">
        <f>IF(AND(ISNUMBER(C12),C12&gt;=Rules!$M$24,C12&lt;=Rules!$N$24),"Y","N")</f>
        <v>Y</v>
      </c>
      <c r="G12" s="137">
        <f>'Eclectic C'!M12</f>
        <v>47</v>
      </c>
      <c r="H12" s="137">
        <f>'Eclectic C'!W12</f>
        <v>48</v>
      </c>
      <c r="I12" s="137">
        <f>'Eclectic C'!AJ12</f>
        <v>47</v>
      </c>
      <c r="J12" s="137">
        <f>'Eclectic C'!AT12</f>
        <v>56</v>
      </c>
      <c r="K12" s="14">
        <f t="shared" si="1"/>
        <v>95</v>
      </c>
      <c r="L12" s="14">
        <f t="shared" si="2"/>
        <v>68</v>
      </c>
      <c r="M12" s="14">
        <f t="shared" si="3"/>
        <v>103</v>
      </c>
      <c r="N12" s="14">
        <f t="shared" si="4"/>
        <v>76</v>
      </c>
      <c r="O12" s="14">
        <f t="shared" si="5"/>
        <v>198</v>
      </c>
      <c r="P12" s="14">
        <f t="shared" si="6"/>
        <v>144</v>
      </c>
      <c r="Q12" s="108">
        <f>RANK($K12,$K$5:$K$104,1)+COUNTIF(K$5:K12,K12)-1</f>
        <v>4</v>
      </c>
      <c r="R12" s="108">
        <f t="shared" si="7"/>
        <v>4</v>
      </c>
      <c r="S12" s="108">
        <f>RANK($L12,$L$5:$L$104,1)+COUNTIF(L$5:L12,L12)-1</f>
        <v>2</v>
      </c>
      <c r="T12" s="108">
        <f t="shared" si="8"/>
        <v>2</v>
      </c>
      <c r="U12" s="108">
        <f>RANK($M12,$M$5:$M$104,1)+COUNTIF(M$5:M12,M12)-1</f>
        <v>8</v>
      </c>
      <c r="V12" s="108">
        <f t="shared" si="9"/>
        <v>6</v>
      </c>
      <c r="W12" s="108">
        <f>RANK($N12,$N$5:$N$104,1)+COUNTIF(N$5:N12,N12)-1</f>
        <v>6</v>
      </c>
      <c r="X12" s="108">
        <f t="shared" si="10"/>
        <v>6</v>
      </c>
      <c r="Y12" s="108">
        <f>RANK($O12,$O$5:$O$104,1)+COUNTIF(O$5:O12,O12)-1</f>
        <v>6</v>
      </c>
      <c r="Z12" s="108">
        <f t="shared" si="11"/>
        <v>6</v>
      </c>
      <c r="AA12" s="108">
        <f>RANK($P12,$P$5:$P$104,1)+COUNTIF(P$5:P12,P12)-1</f>
        <v>2</v>
      </c>
      <c r="AB12" s="108">
        <f t="shared" si="12"/>
        <v>2</v>
      </c>
      <c r="AC12" s="59" t="str">
        <f t="shared" si="13"/>
        <v>MELISSA SAVIO</v>
      </c>
      <c r="AD12" s="59">
        <f t="shared" si="14"/>
        <v>26.715044247787613</v>
      </c>
      <c r="AE12" s="119">
        <f t="shared" si="15"/>
        <v>95</v>
      </c>
      <c r="AF12" s="119">
        <f t="shared" si="15"/>
        <v>68</v>
      </c>
      <c r="AG12" s="119">
        <f t="shared" si="15"/>
        <v>103</v>
      </c>
      <c r="AH12" s="119">
        <f t="shared" si="15"/>
        <v>76</v>
      </c>
      <c r="AI12" s="119">
        <f t="shared" si="15"/>
        <v>198</v>
      </c>
      <c r="AJ12" s="119">
        <f t="shared" si="15"/>
        <v>144</v>
      </c>
      <c r="AM12" s="120">
        <v>8</v>
      </c>
      <c r="AN12" s="58">
        <f>VLOOKUP(AM12,Q$5:$AJ$104,$AO$2,FALSE)</f>
        <v>8</v>
      </c>
      <c r="AO12" s="93" t="str">
        <f>VLOOKUP(AM12,Q$5:$AJ$104,$AO$2+11,FALSE)</f>
        <v>FIFI NARAN</v>
      </c>
      <c r="AP12" s="58">
        <f t="shared" si="16"/>
        <v>102</v>
      </c>
      <c r="AR12" s="120">
        <v>8</v>
      </c>
      <c r="AS12" s="58">
        <f>VLOOKUP(AR12,$S$5:$AJ$104,$AT$2,FALSE)</f>
        <v>8</v>
      </c>
      <c r="AT12" s="93" t="str">
        <f>VLOOKUP(AR12,$S$5:$AJ$104,$AT$2+9,FALSE)</f>
        <v>SHAY BROEDELET</v>
      </c>
      <c r="AU12" s="58">
        <f>VLOOKUP(AS12,$S$5:$AJ$104,$AT$2+12,FALSE)</f>
        <v>79</v>
      </c>
      <c r="AW12" s="120">
        <v>8</v>
      </c>
      <c r="AX12" s="58">
        <f>VLOOKUP(AW12,$U$5:$AJ$104,$AY$2,FALSE)</f>
        <v>6</v>
      </c>
      <c r="AY12" s="93" t="str">
        <f>VLOOKUP(AW12,$U$5:$AJ$104,$AY$2+7,FALSE)</f>
        <v>MELISSA SAVIO</v>
      </c>
      <c r="AZ12" s="58">
        <f>VLOOKUP(AX12,$U$5:$AJ$104,$AY$2+11,FALSE)</f>
        <v>103</v>
      </c>
      <c r="BB12" s="120">
        <v>8</v>
      </c>
      <c r="BC12" s="58">
        <f>VLOOKUP(BB12,$W$5:$AJ$104,$BD$2,FALSE)</f>
        <v>8</v>
      </c>
      <c r="BD12" s="93" t="str">
        <f>VLOOKUP(BB12,$W$5:$AJ$104,$BD$2+5,FALSE)</f>
        <v>RENE LADELL</v>
      </c>
      <c r="BE12" s="58">
        <f>VLOOKUP(BC12,$W$5:$AJ$104,$BD$2+10,FALSE)</f>
        <v>79</v>
      </c>
      <c r="BG12" s="120">
        <v>8</v>
      </c>
      <c r="BH12" s="58">
        <f>VLOOKUP(BG12,$Y$5:$AJ$104,$BI$2,FALSE)</f>
        <v>8</v>
      </c>
      <c r="BI12" s="93" t="str">
        <f>VLOOKUP(BG12,$Y$5:$AJ$104,$BI$2+3,FALSE)</f>
        <v>ANGELA MASEFIELD</v>
      </c>
      <c r="BJ12" s="58">
        <f>VLOOKUP(BH12,$Y$5:$AJ$104,$BI$2+9,FALSE)</f>
        <v>206</v>
      </c>
      <c r="BL12" s="120">
        <v>8</v>
      </c>
      <c r="BM12" s="58">
        <f>VLOOKUP(BL12,$AA$5:$AJ$104,$BN$2,FALSE)</f>
        <v>7</v>
      </c>
      <c r="BN12" s="93" t="str">
        <f>VLOOKUP(BL12,$AA$5:$AJ$104,$BN$2+1,FALSE)</f>
        <v>GAIL SPEIRS</v>
      </c>
      <c r="BO12" s="58">
        <f>VLOOKUP(BM12,$AA$5:$AJ$104,$BN$2+8,FALSE)</f>
        <v>155</v>
      </c>
      <c r="BQ12" s="2">
        <f>'Eclectic C'!CD12</f>
        <v>8</v>
      </c>
      <c r="BR12" s="6" t="str">
        <f>'Eclectic C'!CE12</f>
        <v>PREM GOVENDER</v>
      </c>
      <c r="BS12" s="103">
        <f>'Eclectic C'!CF12</f>
        <v>86.5</v>
      </c>
    </row>
    <row r="13" spans="1:84">
      <c r="A13" s="10" t="str">
        <f>IF(ISBLANK(Players!K11),"",Players!K11)</f>
        <v>GAIL</v>
      </c>
      <c r="B13" s="10" t="str">
        <f>IF(ISBLANK(Players!L11),"",Players!L11)</f>
        <v>SPEIRS</v>
      </c>
      <c r="C13" s="10">
        <f>IF(ISBLANK(Players!N11),"",Players!N11)</f>
        <v>17.600000000000001</v>
      </c>
      <c r="D13" s="126">
        <f>IF(ISNUMBER(C13),MIN((C13*Rules!$N$14/113)+(Rules!$N$13-Rules!$N$12),Rules!$N$37),"-")</f>
        <v>19.857522123893808</v>
      </c>
      <c r="E13" s="126">
        <f>IF(ISNUMBER(C13),    ROUND( (D13*Rules!$N$11) / 100,0),"-")</f>
        <v>20</v>
      </c>
      <c r="F13" s="36" t="str">
        <f>IF(AND(ISNUMBER(C13),C13&gt;=Rules!$M$24,C13&lt;=Rules!$N$24),"Y","N")</f>
        <v>Y</v>
      </c>
      <c r="G13" s="137">
        <f>'Eclectic C'!M13</f>
        <v>47</v>
      </c>
      <c r="H13" s="137">
        <f>'Eclectic C'!W13</f>
        <v>56</v>
      </c>
      <c r="I13" s="137">
        <f>'Eclectic C'!AJ13</f>
        <v>46</v>
      </c>
      <c r="J13" s="137">
        <f>'Eclectic C'!AT13</f>
        <v>46</v>
      </c>
      <c r="K13" s="14">
        <f t="shared" si="1"/>
        <v>103</v>
      </c>
      <c r="L13" s="14">
        <f t="shared" si="2"/>
        <v>83</v>
      </c>
      <c r="M13" s="14">
        <f t="shared" si="3"/>
        <v>92</v>
      </c>
      <c r="N13" s="14">
        <f t="shared" si="4"/>
        <v>72</v>
      </c>
      <c r="O13" s="14">
        <f t="shared" si="5"/>
        <v>195</v>
      </c>
      <c r="P13" s="14">
        <f t="shared" si="6"/>
        <v>155</v>
      </c>
      <c r="Q13" s="108">
        <f>RANK($K13,$K$5:$K$104,1)+COUNTIF(K$5:K13,K13)-1</f>
        <v>9</v>
      </c>
      <c r="R13" s="108">
        <f t="shared" si="7"/>
        <v>9</v>
      </c>
      <c r="S13" s="108">
        <f>RANK($L13,$L$5:$L$104,1)+COUNTIF(L$5:L13,L13)-1</f>
        <v>11</v>
      </c>
      <c r="T13" s="108">
        <f t="shared" si="8"/>
        <v>11</v>
      </c>
      <c r="U13" s="108">
        <f>RANK($M13,$M$5:$M$104,1)+COUNTIF(M$5:M13,M13)-1</f>
        <v>1</v>
      </c>
      <c r="V13" s="108">
        <f t="shared" si="9"/>
        <v>1</v>
      </c>
      <c r="W13" s="108">
        <f>RANK($N13,$N$5:$N$104,1)+COUNTIF(N$5:N13,N13)-1</f>
        <v>1</v>
      </c>
      <c r="X13" s="108">
        <f t="shared" si="10"/>
        <v>1</v>
      </c>
      <c r="Y13" s="108">
        <f>RANK($O13,$O$5:$O$104,1)+COUNTIF(O$5:O13,O13)-1</f>
        <v>5</v>
      </c>
      <c r="Z13" s="108">
        <f t="shared" si="11"/>
        <v>5</v>
      </c>
      <c r="AA13" s="108">
        <f>RANK($P13,$P$5:$P$104,1)+COUNTIF(P$5:P13,P13)-1</f>
        <v>8</v>
      </c>
      <c r="AB13" s="108">
        <f t="shared" si="12"/>
        <v>7</v>
      </c>
      <c r="AC13" s="59" t="str">
        <f t="shared" si="13"/>
        <v>GAIL SPEIRS</v>
      </c>
      <c r="AD13" s="59">
        <f t="shared" si="14"/>
        <v>19.857522123893808</v>
      </c>
      <c r="AE13" s="119">
        <f t="shared" si="15"/>
        <v>103</v>
      </c>
      <c r="AF13" s="119">
        <f t="shared" si="15"/>
        <v>83</v>
      </c>
      <c r="AG13" s="119">
        <f t="shared" si="15"/>
        <v>92</v>
      </c>
      <c r="AH13" s="119">
        <f t="shared" si="15"/>
        <v>72</v>
      </c>
      <c r="AI13" s="119">
        <f t="shared" si="15"/>
        <v>195</v>
      </c>
      <c r="AJ13" s="119">
        <f t="shared" si="15"/>
        <v>155</v>
      </c>
      <c r="AM13" s="120">
        <v>9</v>
      </c>
      <c r="AN13" s="58">
        <f>VLOOKUP(AM13,Q$5:$AJ$104,$AO$2,FALSE)</f>
        <v>9</v>
      </c>
      <c r="AO13" s="93" t="str">
        <f>VLOOKUP(AM13,Q$5:$AJ$104,$AO$2+11,FALSE)</f>
        <v>GAIL SPEIRS</v>
      </c>
      <c r="AP13" s="58">
        <f t="shared" si="16"/>
        <v>103</v>
      </c>
      <c r="AR13" s="120">
        <v>9</v>
      </c>
      <c r="AS13" s="58">
        <f>VLOOKUP(AR13,$S$5:$AJ$104,$AT$2,FALSE)</f>
        <v>8</v>
      </c>
      <c r="AT13" s="93" t="str">
        <f>VLOOKUP(AR13,$S$5:$AJ$104,$AT$2+9,FALSE)</f>
        <v>RENE LADELL</v>
      </c>
      <c r="AU13" s="58">
        <f>VLOOKUP(AS13,$S$5:$AJ$104,$AT$2+12,FALSE)</f>
        <v>79</v>
      </c>
      <c r="AW13" s="120">
        <v>9</v>
      </c>
      <c r="AX13" s="58">
        <f>VLOOKUP(AW13,$U$5:$AJ$104,$AY$2,FALSE)</f>
        <v>9</v>
      </c>
      <c r="AY13" s="93" t="str">
        <f>VLOOKUP(AW13,$U$5:$AJ$104,$AY$2+7,FALSE)</f>
        <v>ANGELA MASEFIELD</v>
      </c>
      <c r="AZ13" s="58">
        <f>VLOOKUP(AX13,$U$5:$AJ$104,$AY$2+11,FALSE)</f>
        <v>105</v>
      </c>
      <c r="BB13" s="120">
        <v>9</v>
      </c>
      <c r="BC13" s="58">
        <f>VLOOKUP(BB13,$W$5:$AJ$104,$BD$2,FALSE)</f>
        <v>9</v>
      </c>
      <c r="BD13" s="93" t="str">
        <f>VLOOKUP(BB13,$W$5:$AJ$104,$BD$2+5,FALSE)</f>
        <v>MELISSA PALMER</v>
      </c>
      <c r="BE13" s="58">
        <f>VLOOKUP(BC13,$W$5:$AJ$104,$BD$2+10,FALSE)</f>
        <v>80.099999999999994</v>
      </c>
      <c r="BG13" s="120">
        <v>9</v>
      </c>
      <c r="BH13" s="58">
        <f>VLOOKUP(BG13,$Y$5:$AJ$104,$BI$2,FALSE)</f>
        <v>9</v>
      </c>
      <c r="BI13" s="93" t="str">
        <f>VLOOKUP(BG13,$Y$5:$AJ$104,$BI$2+3,FALSE)</f>
        <v>PREM GOVENDER</v>
      </c>
      <c r="BJ13" s="58">
        <f>VLOOKUP(BH13,$Y$5:$AJ$104,$BI$2+9,FALSE)</f>
        <v>208</v>
      </c>
      <c r="BL13" s="120">
        <v>9</v>
      </c>
      <c r="BM13" s="58">
        <f>VLOOKUP(BL13,$AA$5:$AJ$104,$BN$2,FALSE)</f>
        <v>9</v>
      </c>
      <c r="BN13" s="93" t="str">
        <f>VLOOKUP(BL13,$AA$5:$AJ$104,$BN$2+1,FALSE)</f>
        <v>PREM GOVENDER</v>
      </c>
      <c r="BO13" s="58">
        <f>VLOOKUP(BM13,$AA$5:$AJ$104,$BN$2+8,FALSE)</f>
        <v>156</v>
      </c>
      <c r="BQ13" s="2">
        <f>'Eclectic C'!CD13</f>
        <v>9</v>
      </c>
      <c r="BR13" s="6" t="str">
        <f>'Eclectic C'!CE13</f>
        <v>ANGELA MASEFIELD</v>
      </c>
      <c r="BS13" s="103">
        <f>'Eclectic C'!CF13</f>
        <v>87.5</v>
      </c>
    </row>
    <row r="14" spans="1:84">
      <c r="A14" s="10" t="str">
        <f>IF(ISBLANK(Players!K12),"",Players!K12)</f>
        <v>KAREN</v>
      </c>
      <c r="B14" s="10" t="str">
        <f>IF(ISBLANK(Players!L12),"",Players!L12)</f>
        <v>STOTT</v>
      </c>
      <c r="C14" s="10">
        <f>IF(ISBLANK(Players!N12),"",Players!N12)</f>
        <v>17.600000000000001</v>
      </c>
      <c r="D14" s="126">
        <f>IF(ISNUMBER(C14),MIN((C14*Rules!$N$14/113)+(Rules!$N$13-Rules!$N$12),Rules!$N$37),"-")</f>
        <v>19.857522123893808</v>
      </c>
      <c r="E14" s="126">
        <f>IF(ISNUMBER(C14),    ROUND( (D14*Rules!$N$11) / 100,0),"-")</f>
        <v>20</v>
      </c>
      <c r="F14" s="36" t="str">
        <f>IF(AND(ISNUMBER(C14),C14&gt;=Rules!$M$24,C14&lt;=Rules!$N$24),"Y","N")</f>
        <v>Y</v>
      </c>
      <c r="G14" s="137">
        <f>'Eclectic C'!M14</f>
        <v>43</v>
      </c>
      <c r="H14" s="137">
        <f>'Eclectic C'!W14</f>
        <v>50</v>
      </c>
      <c r="I14" s="137">
        <f>'Eclectic C'!AJ14</f>
        <v>46</v>
      </c>
      <c r="J14" s="137">
        <f>'Eclectic C'!AT14</f>
        <v>48</v>
      </c>
      <c r="K14" s="14">
        <f t="shared" si="1"/>
        <v>93</v>
      </c>
      <c r="L14" s="14">
        <f t="shared" si="2"/>
        <v>73</v>
      </c>
      <c r="M14" s="14">
        <f t="shared" si="3"/>
        <v>94</v>
      </c>
      <c r="N14" s="14">
        <f t="shared" si="4"/>
        <v>74</v>
      </c>
      <c r="O14" s="14">
        <f t="shared" si="5"/>
        <v>187</v>
      </c>
      <c r="P14" s="14">
        <f t="shared" si="6"/>
        <v>147</v>
      </c>
      <c r="Q14" s="108">
        <f>RANK($K14,$K$5:$K$104,1)+COUNTIF(K$5:K14,K14)-1</f>
        <v>3</v>
      </c>
      <c r="R14" s="108">
        <f t="shared" si="7"/>
        <v>3</v>
      </c>
      <c r="S14" s="108">
        <f>RANK($L14,$L$5:$L$104,1)+COUNTIF(L$5:L14,L14)-1</f>
        <v>5</v>
      </c>
      <c r="T14" s="108">
        <f t="shared" si="8"/>
        <v>4</v>
      </c>
      <c r="U14" s="108">
        <f>RANK($M14,$M$5:$M$104,1)+COUNTIF(M$5:M14,M14)-1</f>
        <v>2</v>
      </c>
      <c r="V14" s="108">
        <f t="shared" si="9"/>
        <v>2</v>
      </c>
      <c r="W14" s="108">
        <f>RANK($N14,$N$5:$N$104,1)+COUNTIF(N$5:N14,N14)-1</f>
        <v>3</v>
      </c>
      <c r="X14" s="108">
        <f t="shared" si="10"/>
        <v>3</v>
      </c>
      <c r="Y14" s="108">
        <f>RANK($O14,$O$5:$O$104,1)+COUNTIF(O$5:O14,O14)-1</f>
        <v>2</v>
      </c>
      <c r="Z14" s="108">
        <f t="shared" si="11"/>
        <v>2</v>
      </c>
      <c r="AA14" s="108">
        <f>RANK($P14,$P$5:$P$104,1)+COUNTIF(P$5:P14,P14)-1</f>
        <v>4</v>
      </c>
      <c r="AB14" s="108">
        <f t="shared" si="12"/>
        <v>4</v>
      </c>
      <c r="AC14" s="59" t="str">
        <f t="shared" si="13"/>
        <v>KAREN STOTT</v>
      </c>
      <c r="AD14" s="59">
        <f t="shared" si="14"/>
        <v>19.857522123893808</v>
      </c>
      <c r="AE14" s="119">
        <f t="shared" si="15"/>
        <v>93</v>
      </c>
      <c r="AF14" s="119">
        <f t="shared" si="15"/>
        <v>73</v>
      </c>
      <c r="AG14" s="119">
        <f t="shared" si="15"/>
        <v>94</v>
      </c>
      <c r="AH14" s="119">
        <f t="shared" si="15"/>
        <v>74</v>
      </c>
      <c r="AI14" s="119">
        <f t="shared" si="15"/>
        <v>187</v>
      </c>
      <c r="AJ14" s="119">
        <f t="shared" si="15"/>
        <v>147</v>
      </c>
      <c r="AM14" s="120">
        <v>10</v>
      </c>
      <c r="AN14" s="58">
        <f>VLOOKUP(AM14,Q$5:$AJ$104,$AO$2,FALSE)</f>
        <v>10</v>
      </c>
      <c r="AO14" s="93" t="str">
        <f>VLOOKUP(AM14,Q$5:$AJ$104,$AO$2+11,FALSE)</f>
        <v>SHAY BROEDELET</v>
      </c>
      <c r="AP14" s="58">
        <f t="shared" si="16"/>
        <v>107</v>
      </c>
      <c r="AR14" s="120">
        <v>10</v>
      </c>
      <c r="AS14" s="58">
        <f>VLOOKUP(AR14,$S$5:$AJ$104,$AT$2,FALSE)</f>
        <v>8</v>
      </c>
      <c r="AT14" s="93" t="str">
        <f>VLOOKUP(AR14,$S$5:$AJ$104,$AT$2+9,FALSE)</f>
        <v>ANGELA MASEFIELD</v>
      </c>
      <c r="AU14" s="58">
        <f>VLOOKUP(AS14,$S$5:$AJ$104,$AT$2+12,FALSE)</f>
        <v>79</v>
      </c>
      <c r="AW14" s="120">
        <v>10</v>
      </c>
      <c r="AX14" s="58">
        <f>VLOOKUP(AW14,$U$5:$AJ$104,$AY$2,FALSE)</f>
        <v>10</v>
      </c>
      <c r="AY14" s="93" t="str">
        <f>VLOOKUP(AW14,$U$5:$AJ$104,$AY$2+7,FALSE)</f>
        <v>PREM GOVENDER</v>
      </c>
      <c r="AZ14" s="58">
        <f>VLOOKUP(AX14,$U$5:$AJ$104,$AY$2+11,FALSE)</f>
        <v>109</v>
      </c>
      <c r="BB14" s="120">
        <v>10</v>
      </c>
      <c r="BC14" s="58">
        <f>VLOOKUP(BB14,$W$5:$AJ$104,$BD$2,FALSE)</f>
        <v>10</v>
      </c>
      <c r="BD14" s="93" t="str">
        <f>VLOOKUP(BB14,$W$5:$AJ$104,$BD$2+5,FALSE)</f>
        <v>PREM GOVENDER</v>
      </c>
      <c r="BE14" s="58">
        <f>VLOOKUP(BC14,$W$5:$AJ$104,$BD$2+10,FALSE)</f>
        <v>83</v>
      </c>
      <c r="BG14" s="120">
        <v>10</v>
      </c>
      <c r="BH14" s="58">
        <f>VLOOKUP(BG14,$Y$5:$AJ$104,$BI$2,FALSE)</f>
        <v>10</v>
      </c>
      <c r="BI14" s="93" t="str">
        <f>VLOOKUP(BG14,$Y$5:$AJ$104,$BI$2+3,FALSE)</f>
        <v>SHAY BROEDELET</v>
      </c>
      <c r="BJ14" s="58">
        <f>VLOOKUP(BH14,$Y$5:$AJ$104,$BI$2+9,FALSE)</f>
        <v>210</v>
      </c>
      <c r="BL14" s="120">
        <v>10</v>
      </c>
      <c r="BM14" s="58">
        <f>VLOOKUP(BL14,$AA$5:$AJ$104,$BN$2,FALSE)</f>
        <v>10</v>
      </c>
      <c r="BN14" s="93" t="str">
        <f>VLOOKUP(BL14,$AA$5:$AJ$104,$BN$2+1,FALSE)</f>
        <v>RENE LADELL</v>
      </c>
      <c r="BO14" s="58">
        <f>VLOOKUP(BM14,$AA$5:$AJ$104,$BN$2+8,FALSE)</f>
        <v>158</v>
      </c>
      <c r="BQ14" s="2">
        <f>'Eclectic C'!CD14</f>
        <v>10</v>
      </c>
      <c r="BR14" s="6" t="str">
        <f>'Eclectic C'!CE14</f>
        <v>SHAY BROEDELET</v>
      </c>
      <c r="BS14" s="103">
        <f>'Eclectic C'!CF14</f>
        <v>88</v>
      </c>
    </row>
    <row r="15" spans="1:84">
      <c r="A15" s="10" t="str">
        <f>IF(ISBLANK(Players!K13),"",Players!K13)</f>
        <v>JUDY</v>
      </c>
      <c r="B15" s="10" t="str">
        <f>IF(ISBLANK(Players!L13),"",Players!L13)</f>
        <v>VAN DER VEEN</v>
      </c>
      <c r="C15" s="10">
        <f>IF(ISBLANK(Players!N13),"",Players!N13)</f>
        <v>19.8</v>
      </c>
      <c r="D15" s="126">
        <f>IF(ISNUMBER(C15),MIN((C15*Rules!$N$14/113)+(Rules!$N$13-Rules!$N$12),Rules!$N$37),"-")</f>
        <v>22.252212389380535</v>
      </c>
      <c r="E15" s="126">
        <f>IF(ISNUMBER(C15),    ROUND( (D15*Rules!$N$11) / 100,0),"-")</f>
        <v>22</v>
      </c>
      <c r="F15" s="36" t="str">
        <f>IF(AND(ISNUMBER(C15),C15&gt;=Rules!$M$24,C15&lt;=Rules!$N$24),"Y","N")</f>
        <v>Y</v>
      </c>
      <c r="G15" s="137">
        <f>'Eclectic C'!M15</f>
        <v>45</v>
      </c>
      <c r="H15" s="137">
        <f>'Eclectic C'!W15</f>
        <v>50</v>
      </c>
      <c r="I15" s="137">
        <f>'Eclectic C'!AJ15</f>
        <v>47</v>
      </c>
      <c r="J15" s="137">
        <f>'Eclectic C'!AT15</f>
        <v>48</v>
      </c>
      <c r="K15" s="14">
        <f t="shared" si="1"/>
        <v>95</v>
      </c>
      <c r="L15" s="14">
        <f t="shared" si="2"/>
        <v>73</v>
      </c>
      <c r="M15" s="14">
        <f t="shared" si="3"/>
        <v>95</v>
      </c>
      <c r="N15" s="14">
        <f t="shared" si="4"/>
        <v>73</v>
      </c>
      <c r="O15" s="14">
        <f t="shared" si="5"/>
        <v>190</v>
      </c>
      <c r="P15" s="14">
        <f t="shared" si="6"/>
        <v>146</v>
      </c>
      <c r="Q15" s="108">
        <f>RANK($K15,$K$5:$K$104,1)+COUNTIF(K$5:K15,K15)-1</f>
        <v>5</v>
      </c>
      <c r="R15" s="108">
        <f t="shared" si="7"/>
        <v>4</v>
      </c>
      <c r="S15" s="108">
        <f>RANK($L15,$L$5:$L$104,1)+COUNTIF(L$5:L15,L15)-1</f>
        <v>6</v>
      </c>
      <c r="T15" s="108">
        <f t="shared" si="8"/>
        <v>4</v>
      </c>
      <c r="U15" s="108">
        <f>RANK($M15,$M$5:$M$104,1)+COUNTIF(M$5:M15,M15)-1</f>
        <v>4</v>
      </c>
      <c r="V15" s="108">
        <f t="shared" si="9"/>
        <v>3</v>
      </c>
      <c r="W15" s="108">
        <f>RANK($N15,$N$5:$N$104,1)+COUNTIF(N$5:N15,N15)-1</f>
        <v>2</v>
      </c>
      <c r="X15" s="108">
        <f t="shared" si="10"/>
        <v>2</v>
      </c>
      <c r="Y15" s="108">
        <f>RANK($O15,$O$5:$O$104,1)+COUNTIF(O$5:O15,O15)-1</f>
        <v>3</v>
      </c>
      <c r="Z15" s="108">
        <f t="shared" si="11"/>
        <v>3</v>
      </c>
      <c r="AA15" s="108">
        <f>RANK($P15,$P$5:$P$104,1)+COUNTIF(P$5:P15,P15)-1</f>
        <v>3</v>
      </c>
      <c r="AB15" s="108">
        <f t="shared" si="12"/>
        <v>3</v>
      </c>
      <c r="AC15" s="59" t="str">
        <f t="shared" si="13"/>
        <v>JUDY VAN DER VEEN</v>
      </c>
      <c r="AD15" s="59">
        <f t="shared" si="14"/>
        <v>22.252212389380535</v>
      </c>
      <c r="AE15" s="119">
        <f t="shared" si="15"/>
        <v>95</v>
      </c>
      <c r="AF15" s="119">
        <f t="shared" si="15"/>
        <v>73</v>
      </c>
      <c r="AG15" s="119">
        <f t="shared" si="15"/>
        <v>95</v>
      </c>
      <c r="AH15" s="119">
        <f t="shared" si="15"/>
        <v>73</v>
      </c>
      <c r="AI15" s="119">
        <f t="shared" si="15"/>
        <v>190</v>
      </c>
      <c r="AJ15" s="119">
        <f t="shared" si="15"/>
        <v>146</v>
      </c>
      <c r="AM15" s="120">
        <v>11</v>
      </c>
      <c r="AN15" s="58">
        <f>VLOOKUP(AM15,Q$5:$AJ$104,$AO$2,FALSE)</f>
        <v>11</v>
      </c>
      <c r="AO15" s="93" t="str">
        <f>VLOOKUP(AM15,Q$5:$AJ$104,$AO$2+11,FALSE)</f>
        <v>RENE LADELL</v>
      </c>
      <c r="AP15" s="58">
        <f t="shared" si="16"/>
        <v>115</v>
      </c>
      <c r="AR15" s="120">
        <v>11</v>
      </c>
      <c r="AS15" s="58">
        <f>VLOOKUP(AR15,$S$5:$AJ$104,$AT$2,FALSE)</f>
        <v>11</v>
      </c>
      <c r="AT15" s="93" t="str">
        <f>VLOOKUP(AR15,$S$5:$AJ$104,$AT$2+9,FALSE)</f>
        <v>GAIL SPEIRS</v>
      </c>
      <c r="AU15" s="58">
        <f>VLOOKUP(AS15,$S$5:$AJ$104,$AT$2+12,FALSE)</f>
        <v>83</v>
      </c>
      <c r="AW15" s="120">
        <v>11</v>
      </c>
      <c r="AX15" s="58">
        <f>VLOOKUP(AW15,$U$5:$AJ$104,$AY$2,FALSE)</f>
        <v>11</v>
      </c>
      <c r="AY15" s="93" t="str">
        <f>VLOOKUP(AW15,$U$5:$AJ$104,$AY$2+7,FALSE)</f>
        <v>RENE LADELL</v>
      </c>
      <c r="AZ15" s="58">
        <f>VLOOKUP(AX15,$U$5:$AJ$104,$AY$2+11,FALSE)</f>
        <v>115</v>
      </c>
      <c r="BB15" s="120">
        <v>11</v>
      </c>
      <c r="BC15" s="58">
        <f>VLOOKUP(BB15,$W$5:$AJ$104,$BD$2,FALSE)</f>
        <v>10</v>
      </c>
      <c r="BD15" s="93" t="str">
        <f>VLOOKUP(BB15,$W$5:$AJ$104,$BD$2+5,FALSE)</f>
        <v>ANGELA MASEFIELD</v>
      </c>
      <c r="BE15" s="58">
        <f>VLOOKUP(BC15,$W$5:$AJ$104,$BD$2+10,FALSE)</f>
        <v>83</v>
      </c>
      <c r="BG15" s="120">
        <v>11</v>
      </c>
      <c r="BH15" s="58">
        <f>VLOOKUP(BG15,$Y$5:$AJ$104,$BI$2,FALSE)</f>
        <v>11</v>
      </c>
      <c r="BI15" s="93" t="str">
        <f>VLOOKUP(BG15,$Y$5:$AJ$104,$BI$2+3,FALSE)</f>
        <v>RENE LADELL</v>
      </c>
      <c r="BJ15" s="58">
        <f>VLOOKUP(BH15,$Y$5:$AJ$104,$BI$2+9,FALSE)</f>
        <v>230</v>
      </c>
      <c r="BL15" s="120">
        <v>11</v>
      </c>
      <c r="BM15" s="58">
        <f>VLOOKUP(BL15,$AA$5:$AJ$104,$BN$2,FALSE)</f>
        <v>11</v>
      </c>
      <c r="BN15" s="93" t="str">
        <f>VLOOKUP(BL15,$AA$5:$AJ$104,$BN$2+1,FALSE)</f>
        <v>ANGELA MASEFIELD</v>
      </c>
      <c r="BO15" s="58">
        <f>VLOOKUP(BM15,$AA$5:$AJ$104,$BN$2+8,FALSE)</f>
        <v>162</v>
      </c>
      <c r="BQ15" s="2">
        <f>'Eclectic C'!CD15</f>
        <v>11</v>
      </c>
      <c r="BR15" s="6" t="str">
        <f>'Eclectic C'!CE15</f>
        <v>RENE LADELL</v>
      </c>
      <c r="BS15" s="103">
        <f>'Eclectic C'!CF15</f>
        <v>97</v>
      </c>
    </row>
    <row r="16" spans="1:84">
      <c r="A16" s="10" t="str">
        <f>IF(ISBLANK(Players!K14),"",Players!K14)</f>
        <v/>
      </c>
      <c r="B16" s="10" t="str">
        <f>IF(ISBLANK(Players!L14),"",Players!L14)</f>
        <v/>
      </c>
      <c r="C16" s="10" t="str">
        <f>IF(ISBLANK(Players!N14),"",Players!N14)</f>
        <v/>
      </c>
      <c r="D16" s="126" t="str">
        <f>IF(ISNUMBER(C16),MIN((C16*Rules!$N$14/113)+(Rules!$N$13-Rules!$N$12),Rules!$N$37),"-")</f>
        <v>-</v>
      </c>
      <c r="E16" s="126" t="str">
        <f>IF(ISNUMBER(C16),    ROUND( (D16*Rules!$N$11) / 100,0),"-")</f>
        <v>-</v>
      </c>
      <c r="F16" s="36" t="str">
        <f>IF(AND(ISNUMBER(C16),C16&gt;=Rules!$M$24,C16&lt;=Rules!$N$24),"Y","N")</f>
        <v>N</v>
      </c>
      <c r="G16" s="137" t="str">
        <f>'Eclectic C'!M16</f>
        <v>-</v>
      </c>
      <c r="H16" s="137" t="str">
        <f>'Eclectic C'!W16</f>
        <v>-</v>
      </c>
      <c r="I16" s="137" t="str">
        <f>'Eclectic C'!AJ16</f>
        <v>-</v>
      </c>
      <c r="J16" s="137" t="str">
        <f>'Eclectic C'!AT16</f>
        <v>-</v>
      </c>
      <c r="K16" s="14" t="str">
        <f t="shared" si="1"/>
        <v>-</v>
      </c>
      <c r="L16" s="14" t="str">
        <f t="shared" si="2"/>
        <v>-</v>
      </c>
      <c r="M16" s="14" t="str">
        <f t="shared" si="3"/>
        <v>-</v>
      </c>
      <c r="N16" s="14" t="str">
        <f t="shared" si="4"/>
        <v>-</v>
      </c>
      <c r="O16" s="14" t="str">
        <f t="shared" si="5"/>
        <v>-</v>
      </c>
      <c r="P16" s="14" t="str">
        <f t="shared" si="6"/>
        <v>-</v>
      </c>
      <c r="Q16" s="108" t="e">
        <f>RANK($K16,$K$5:$K$104,1)+COUNTIF(K$5:K16,K16)-1</f>
        <v>#VALUE!</v>
      </c>
      <c r="R16" s="108" t="e">
        <f t="shared" si="7"/>
        <v>#VALUE!</v>
      </c>
      <c r="S16" s="108" t="e">
        <f>RANK($L16,$L$5:$L$104,1)+COUNTIF(L$5:L16,L16)-1</f>
        <v>#VALUE!</v>
      </c>
      <c r="T16" s="108" t="e">
        <f t="shared" si="8"/>
        <v>#VALUE!</v>
      </c>
      <c r="U16" s="108" t="e">
        <f>RANK($M16,$M$5:$M$104,1)+COUNTIF(M$5:M16,M16)-1</f>
        <v>#VALUE!</v>
      </c>
      <c r="V16" s="108" t="e">
        <f t="shared" si="9"/>
        <v>#VALUE!</v>
      </c>
      <c r="W16" s="108" t="e">
        <f>RANK($N16,$N$5:$N$104,1)+COUNTIF(N$5:N16,N16)-1</f>
        <v>#VALUE!</v>
      </c>
      <c r="X16" s="108" t="e">
        <f t="shared" si="10"/>
        <v>#VALUE!</v>
      </c>
      <c r="Y16" s="108" t="e">
        <f>RANK($O16,$O$5:$O$104,1)+COUNTIF(O$5:O16,O16)-1</f>
        <v>#VALUE!</v>
      </c>
      <c r="Z16" s="108" t="e">
        <f t="shared" si="11"/>
        <v>#VALUE!</v>
      </c>
      <c r="AA16" s="108" t="e">
        <f>RANK($P16,$P$5:$P$104,1)+COUNTIF(P$5:P16,P16)-1</f>
        <v>#VALUE!</v>
      </c>
      <c r="AB16" s="108" t="e">
        <f t="shared" si="12"/>
        <v>#VALUE!</v>
      </c>
      <c r="AC16" s="59" t="str">
        <f t="shared" si="13"/>
        <v xml:space="preserve"> </v>
      </c>
      <c r="AD16" s="59" t="str">
        <f t="shared" si="14"/>
        <v>-</v>
      </c>
      <c r="AE16" s="119" t="str">
        <f t="shared" si="15"/>
        <v>-</v>
      </c>
      <c r="AF16" s="119" t="str">
        <f t="shared" si="15"/>
        <v>-</v>
      </c>
      <c r="AG16" s="119" t="str">
        <f t="shared" si="15"/>
        <v>-</v>
      </c>
      <c r="AH16" s="119" t="str">
        <f t="shared" si="15"/>
        <v>-</v>
      </c>
      <c r="AI16" s="119" t="str">
        <f t="shared" si="15"/>
        <v>-</v>
      </c>
      <c r="AJ16" s="119" t="str">
        <f t="shared" si="15"/>
        <v>-</v>
      </c>
      <c r="AM16" s="120">
        <v>12</v>
      </c>
      <c r="AN16" s="58" t="e">
        <f>VLOOKUP(AM16,Q$5:$AJ$104,$AO$2,FALSE)</f>
        <v>#N/A</v>
      </c>
      <c r="AO16" s="93" t="e">
        <f>VLOOKUP(AM16,Q$5:$AJ$104,$AO$2+11,FALSE)</f>
        <v>#N/A</v>
      </c>
      <c r="AP16" s="58" t="e">
        <f t="shared" si="16"/>
        <v>#N/A</v>
      </c>
      <c r="AR16" s="120">
        <v>12</v>
      </c>
      <c r="AS16" s="58" t="e">
        <f>VLOOKUP(AR16,$S$5:$AJ$104,$AT$2,FALSE)</f>
        <v>#N/A</v>
      </c>
      <c r="AT16" s="93" t="e">
        <f>VLOOKUP(AR16,$S$5:$AJ$104,$AT$2+9,FALSE)</f>
        <v>#N/A</v>
      </c>
      <c r="AU16" s="58" t="e">
        <f>VLOOKUP(AS16,$S$5:$AJ$104,$AT$2+12,FALSE)</f>
        <v>#N/A</v>
      </c>
      <c r="AW16" s="120">
        <v>12</v>
      </c>
      <c r="AX16" s="58" t="e">
        <f>VLOOKUP(AW16,$U$5:$AJ$104,$AY$2,FALSE)</f>
        <v>#N/A</v>
      </c>
      <c r="AY16" s="93" t="e">
        <f>VLOOKUP(AW16,$U$5:$AJ$104,$AY$2+7,FALSE)</f>
        <v>#N/A</v>
      </c>
      <c r="AZ16" s="58" t="e">
        <f>VLOOKUP(AX16,$U$5:$AJ$104,$AY$2+11,FALSE)</f>
        <v>#N/A</v>
      </c>
      <c r="BB16" s="120">
        <v>12</v>
      </c>
      <c r="BC16" s="58" t="e">
        <f>VLOOKUP(BB16,$W$5:$AJ$104,$BD$2,FALSE)</f>
        <v>#N/A</v>
      </c>
      <c r="BD16" s="93" t="e">
        <f>VLOOKUP(BB16,$W$5:$AJ$104,$BD$2+5,FALSE)</f>
        <v>#N/A</v>
      </c>
      <c r="BE16" s="58" t="e">
        <f>VLOOKUP(BC16,$W$5:$AJ$104,$BD$2+10,FALSE)</f>
        <v>#N/A</v>
      </c>
      <c r="BG16" s="120">
        <v>12</v>
      </c>
      <c r="BH16" s="58" t="e">
        <f>VLOOKUP(BG16,$Y$5:$AJ$104,$BI$2,FALSE)</f>
        <v>#N/A</v>
      </c>
      <c r="BI16" s="93" t="e">
        <f>VLOOKUP(BG16,$Y$5:$AJ$104,$BI$2+3,FALSE)</f>
        <v>#N/A</v>
      </c>
      <c r="BJ16" s="58" t="e">
        <f>VLOOKUP(BH16,$Y$5:$AJ$104,$BI$2+9,FALSE)</f>
        <v>#N/A</v>
      </c>
      <c r="BL16" s="120">
        <v>12</v>
      </c>
      <c r="BM16" s="58" t="e">
        <f>VLOOKUP(BL16,$AA$5:$AJ$104,$BN$2,FALSE)</f>
        <v>#N/A</v>
      </c>
      <c r="BN16" s="93" t="e">
        <f>VLOOKUP(BL16,$AA$5:$AJ$104,$BN$2+1,FALSE)</f>
        <v>#N/A</v>
      </c>
      <c r="BO16" s="58" t="e">
        <f>VLOOKUP(BM16,$AA$5:$AJ$104,$BN$2+8,FALSE)</f>
        <v>#N/A</v>
      </c>
      <c r="BQ16" s="2" t="e">
        <f>'Eclectic C'!CD16</f>
        <v>#N/A</v>
      </c>
      <c r="BR16" s="6" t="e">
        <f>'Eclectic C'!CE16</f>
        <v>#N/A</v>
      </c>
      <c r="BS16" s="103" t="e">
        <f>'Eclectic C'!CF16</f>
        <v>#N/A</v>
      </c>
    </row>
    <row r="17" spans="1:71">
      <c r="A17" s="10" t="str">
        <f>IF(ISBLANK(Players!K15),"",Players!K15)</f>
        <v/>
      </c>
      <c r="B17" s="10" t="str">
        <f>IF(ISBLANK(Players!L15),"",Players!L15)</f>
        <v/>
      </c>
      <c r="C17" s="10" t="str">
        <f>IF(ISBLANK(Players!N15),"",Players!N15)</f>
        <v/>
      </c>
      <c r="D17" s="126" t="str">
        <f>IF(ISNUMBER(C17),MIN((C17*Rules!$N$14/113)+(Rules!$N$13-Rules!$N$12),Rules!$N$37),"-")</f>
        <v>-</v>
      </c>
      <c r="E17" s="126" t="str">
        <f>IF(ISNUMBER(C17),    ROUND( (D17*Rules!$N$11) / 100,0),"-")</f>
        <v>-</v>
      </c>
      <c r="F17" s="36" t="str">
        <f>IF(AND(ISNUMBER(C17),C17&gt;=Rules!$M$24,C17&lt;=Rules!$N$24),"Y","N")</f>
        <v>N</v>
      </c>
      <c r="G17" s="137" t="str">
        <f>'Eclectic C'!M17</f>
        <v>-</v>
      </c>
      <c r="H17" s="137" t="str">
        <f>'Eclectic C'!W17</f>
        <v>-</v>
      </c>
      <c r="I17" s="137" t="str">
        <f>'Eclectic C'!AJ17</f>
        <v>-</v>
      </c>
      <c r="J17" s="137" t="str">
        <f>'Eclectic C'!AT17</f>
        <v>-</v>
      </c>
      <c r="K17" s="14" t="str">
        <f t="shared" si="1"/>
        <v>-</v>
      </c>
      <c r="L17" s="14" t="str">
        <f t="shared" si="2"/>
        <v>-</v>
      </c>
      <c r="M17" s="14" t="str">
        <f t="shared" si="3"/>
        <v>-</v>
      </c>
      <c r="N17" s="14" t="str">
        <f t="shared" si="4"/>
        <v>-</v>
      </c>
      <c r="O17" s="14" t="str">
        <f t="shared" si="5"/>
        <v>-</v>
      </c>
      <c r="P17" s="14" t="str">
        <f t="shared" si="6"/>
        <v>-</v>
      </c>
      <c r="Q17" s="108" t="e">
        <f>RANK($K17,$K$5:$K$104,1)+COUNTIF(K$5:K17,K17)-1</f>
        <v>#VALUE!</v>
      </c>
      <c r="R17" s="108" t="e">
        <f t="shared" si="7"/>
        <v>#VALUE!</v>
      </c>
      <c r="S17" s="108" t="e">
        <f>RANK($L17,$L$5:$L$104,1)+COUNTIF(L$5:L17,L17)-1</f>
        <v>#VALUE!</v>
      </c>
      <c r="T17" s="108" t="e">
        <f t="shared" si="8"/>
        <v>#VALUE!</v>
      </c>
      <c r="U17" s="108" t="e">
        <f>RANK($M17,$M$5:$M$104,1)+COUNTIF(M$5:M17,M17)-1</f>
        <v>#VALUE!</v>
      </c>
      <c r="V17" s="108" t="e">
        <f t="shared" si="9"/>
        <v>#VALUE!</v>
      </c>
      <c r="W17" s="108" t="e">
        <f>RANK($N17,$N$5:$N$104,1)+COUNTIF(N$5:N17,N17)-1</f>
        <v>#VALUE!</v>
      </c>
      <c r="X17" s="108" t="e">
        <f t="shared" si="10"/>
        <v>#VALUE!</v>
      </c>
      <c r="Y17" s="108" t="e">
        <f>RANK($O17,$O$5:$O$104,1)+COUNTIF(O$5:O17,O17)-1</f>
        <v>#VALUE!</v>
      </c>
      <c r="Z17" s="108" t="e">
        <f t="shared" si="11"/>
        <v>#VALUE!</v>
      </c>
      <c r="AA17" s="108" t="e">
        <f>RANK($P17,$P$5:$P$104,1)+COUNTIF(P$5:P17,P17)-1</f>
        <v>#VALUE!</v>
      </c>
      <c r="AB17" s="108" t="e">
        <f t="shared" si="12"/>
        <v>#VALUE!</v>
      </c>
      <c r="AC17" s="59" t="str">
        <f t="shared" si="13"/>
        <v xml:space="preserve"> </v>
      </c>
      <c r="AD17" s="59" t="str">
        <f t="shared" si="14"/>
        <v>-</v>
      </c>
      <c r="AE17" s="119" t="str">
        <f t="shared" si="15"/>
        <v>-</v>
      </c>
      <c r="AF17" s="119" t="str">
        <f t="shared" si="15"/>
        <v>-</v>
      </c>
      <c r="AG17" s="119" t="str">
        <f t="shared" si="15"/>
        <v>-</v>
      </c>
      <c r="AH17" s="119" t="str">
        <f t="shared" si="15"/>
        <v>-</v>
      </c>
      <c r="AI17" s="119" t="str">
        <f t="shared" si="15"/>
        <v>-</v>
      </c>
      <c r="AJ17" s="119" t="str">
        <f t="shared" si="15"/>
        <v>-</v>
      </c>
      <c r="AM17" s="120">
        <v>13</v>
      </c>
      <c r="AN17" s="58" t="e">
        <f>VLOOKUP(AM17,Q$5:$AJ$104,$AO$2,FALSE)</f>
        <v>#N/A</v>
      </c>
      <c r="AO17" s="93" t="e">
        <f>VLOOKUP(AM17,Q$5:$AJ$104,$AO$2+11,FALSE)</f>
        <v>#N/A</v>
      </c>
      <c r="AP17" s="58" t="e">
        <f t="shared" si="16"/>
        <v>#N/A</v>
      </c>
      <c r="AR17" s="120">
        <v>13</v>
      </c>
      <c r="AS17" s="58" t="e">
        <f>VLOOKUP(AR17,$S$5:$AJ$104,$AT$2,FALSE)</f>
        <v>#N/A</v>
      </c>
      <c r="AT17" s="93" t="e">
        <f>VLOOKUP(AR17,$S$5:$AJ$104,$AT$2+9,FALSE)</f>
        <v>#N/A</v>
      </c>
      <c r="AU17" s="58" t="e">
        <f>VLOOKUP(AS17,$S$5:$AJ$104,$AT$2+12,FALSE)</f>
        <v>#N/A</v>
      </c>
      <c r="AW17" s="120">
        <v>13</v>
      </c>
      <c r="AX17" s="58" t="e">
        <f>VLOOKUP(AW17,$U$5:$AJ$104,$AY$2,FALSE)</f>
        <v>#N/A</v>
      </c>
      <c r="AY17" s="93" t="e">
        <f>VLOOKUP(AW17,$U$5:$AJ$104,$AY$2+7,FALSE)</f>
        <v>#N/A</v>
      </c>
      <c r="AZ17" s="58" t="e">
        <f>VLOOKUP(AX17,$U$5:$AJ$104,$AY$2+11,FALSE)</f>
        <v>#N/A</v>
      </c>
      <c r="BB17" s="120">
        <v>13</v>
      </c>
      <c r="BC17" s="58" t="e">
        <f>VLOOKUP(BB17,$W$5:$AJ$104,$BD$2,FALSE)</f>
        <v>#N/A</v>
      </c>
      <c r="BD17" s="93" t="e">
        <f>VLOOKUP(BB17,$W$5:$AJ$104,$BD$2+5,FALSE)</f>
        <v>#N/A</v>
      </c>
      <c r="BE17" s="58" t="e">
        <f>VLOOKUP(BC17,$W$5:$AJ$104,$BD$2+10,FALSE)</f>
        <v>#N/A</v>
      </c>
      <c r="BG17" s="120">
        <v>13</v>
      </c>
      <c r="BH17" s="58" t="e">
        <f>VLOOKUP(BG17,$Y$5:$AJ$104,$BI$2,FALSE)</f>
        <v>#N/A</v>
      </c>
      <c r="BI17" s="93" t="e">
        <f>VLOOKUP(BG17,$Y$5:$AJ$104,$BI$2+3,FALSE)</f>
        <v>#N/A</v>
      </c>
      <c r="BJ17" s="58" t="e">
        <f>VLOOKUP(BH17,$Y$5:$AJ$104,$BI$2+9,FALSE)</f>
        <v>#N/A</v>
      </c>
      <c r="BL17" s="120">
        <v>13</v>
      </c>
      <c r="BM17" s="58" t="e">
        <f>VLOOKUP(BL17,$AA$5:$AJ$104,$BN$2,FALSE)</f>
        <v>#N/A</v>
      </c>
      <c r="BN17" s="93" t="e">
        <f>VLOOKUP(BL17,$AA$5:$AJ$104,$BN$2+1,FALSE)</f>
        <v>#N/A</v>
      </c>
      <c r="BO17" s="58" t="e">
        <f>VLOOKUP(BM17,$AA$5:$AJ$104,$BN$2+8,FALSE)</f>
        <v>#N/A</v>
      </c>
      <c r="BQ17" s="2" t="e">
        <f>'Eclectic C'!CD17</f>
        <v>#N/A</v>
      </c>
      <c r="BR17" s="6" t="e">
        <f>'Eclectic C'!CE17</f>
        <v>#N/A</v>
      </c>
      <c r="BS17" s="103" t="e">
        <f>'Eclectic C'!CF17</f>
        <v>#N/A</v>
      </c>
    </row>
    <row r="18" spans="1:71">
      <c r="A18" s="10" t="str">
        <f>IF(ISBLANK(Players!K16),"",Players!K16)</f>
        <v/>
      </c>
      <c r="B18" s="10" t="str">
        <f>IF(ISBLANK(Players!L16),"",Players!L16)</f>
        <v/>
      </c>
      <c r="C18" s="10" t="str">
        <f>IF(ISBLANK(Players!N16),"",Players!N16)</f>
        <v/>
      </c>
      <c r="D18" s="126" t="str">
        <f>IF(ISNUMBER(C18),MIN((C18*Rules!$N$14/113)+(Rules!$N$13-Rules!$N$12),Rules!$N$37),"-")</f>
        <v>-</v>
      </c>
      <c r="E18" s="126" t="str">
        <f>IF(ISNUMBER(C18),    ROUND( (D18*Rules!$N$11) / 100,0),"-")</f>
        <v>-</v>
      </c>
      <c r="F18" s="36" t="str">
        <f>IF(AND(ISNUMBER(C18),C18&gt;=Rules!$M$24,C18&lt;=Rules!$N$24),"Y","N")</f>
        <v>N</v>
      </c>
      <c r="G18" s="137" t="str">
        <f>'Eclectic C'!M18</f>
        <v>-</v>
      </c>
      <c r="H18" s="137" t="str">
        <f>'Eclectic C'!W18</f>
        <v>-</v>
      </c>
      <c r="I18" s="137" t="str">
        <f>'Eclectic C'!AJ18</f>
        <v>-</v>
      </c>
      <c r="J18" s="137" t="str">
        <f>'Eclectic C'!AT18</f>
        <v>-</v>
      </c>
      <c r="K18" s="14" t="str">
        <f t="shared" si="1"/>
        <v>-</v>
      </c>
      <c r="L18" s="14" t="str">
        <f t="shared" si="2"/>
        <v>-</v>
      </c>
      <c r="M18" s="14" t="str">
        <f t="shared" si="3"/>
        <v>-</v>
      </c>
      <c r="N18" s="14" t="str">
        <f t="shared" si="4"/>
        <v>-</v>
      </c>
      <c r="O18" s="14" t="str">
        <f t="shared" si="5"/>
        <v>-</v>
      </c>
      <c r="P18" s="14" t="str">
        <f t="shared" si="6"/>
        <v>-</v>
      </c>
      <c r="Q18" s="108" t="e">
        <f>RANK($K18,$K$5:$K$104,1)+COUNTIF(K$5:K18,K18)-1</f>
        <v>#VALUE!</v>
      </c>
      <c r="R18" s="108" t="e">
        <f t="shared" si="7"/>
        <v>#VALUE!</v>
      </c>
      <c r="S18" s="108" t="e">
        <f>RANK($L18,$L$5:$L$104,1)+COUNTIF(L$5:L18,L18)-1</f>
        <v>#VALUE!</v>
      </c>
      <c r="T18" s="108" t="e">
        <f t="shared" si="8"/>
        <v>#VALUE!</v>
      </c>
      <c r="U18" s="108" t="e">
        <f>RANK($M18,$M$5:$M$104,1)+COUNTIF(M$5:M18,M18)-1</f>
        <v>#VALUE!</v>
      </c>
      <c r="V18" s="108" t="e">
        <f t="shared" si="9"/>
        <v>#VALUE!</v>
      </c>
      <c r="W18" s="108" t="e">
        <f>RANK($N18,$N$5:$N$104,1)+COUNTIF(N$5:N18,N18)-1</f>
        <v>#VALUE!</v>
      </c>
      <c r="X18" s="108" t="e">
        <f t="shared" si="10"/>
        <v>#VALUE!</v>
      </c>
      <c r="Y18" s="108" t="e">
        <f>RANK($O18,$O$5:$O$104,1)+COUNTIF(O$5:O18,O18)-1</f>
        <v>#VALUE!</v>
      </c>
      <c r="Z18" s="108" t="e">
        <f t="shared" si="11"/>
        <v>#VALUE!</v>
      </c>
      <c r="AA18" s="108" t="e">
        <f>RANK($P18,$P$5:$P$104,1)+COUNTIF(P$5:P18,P18)-1</f>
        <v>#VALUE!</v>
      </c>
      <c r="AB18" s="108" t="e">
        <f t="shared" si="12"/>
        <v>#VALUE!</v>
      </c>
      <c r="AC18" s="59" t="str">
        <f t="shared" si="13"/>
        <v xml:space="preserve"> </v>
      </c>
      <c r="AD18" s="59" t="str">
        <f t="shared" si="14"/>
        <v>-</v>
      </c>
      <c r="AE18" s="119" t="str">
        <f t="shared" si="15"/>
        <v>-</v>
      </c>
      <c r="AF18" s="119" t="str">
        <f t="shared" si="15"/>
        <v>-</v>
      </c>
      <c r="AG18" s="119" t="str">
        <f t="shared" si="15"/>
        <v>-</v>
      </c>
      <c r="AH18" s="119" t="str">
        <f t="shared" si="15"/>
        <v>-</v>
      </c>
      <c r="AI18" s="119" t="str">
        <f t="shared" si="15"/>
        <v>-</v>
      </c>
      <c r="AJ18" s="119" t="str">
        <f t="shared" si="15"/>
        <v>-</v>
      </c>
      <c r="AM18" s="120">
        <v>14</v>
      </c>
      <c r="AN18" s="58" t="e">
        <f>VLOOKUP(AM18,Q$5:$AJ$104,$AO$2,FALSE)</f>
        <v>#N/A</v>
      </c>
      <c r="AO18" s="93" t="e">
        <f>VLOOKUP(AM18,Q$5:$AJ$104,$AO$2+11,FALSE)</f>
        <v>#N/A</v>
      </c>
      <c r="AP18" s="58" t="e">
        <f t="shared" si="16"/>
        <v>#N/A</v>
      </c>
      <c r="AR18" s="120">
        <v>14</v>
      </c>
      <c r="AS18" s="58" t="e">
        <f>VLOOKUP(AR18,$S$5:$AJ$104,$AT$2,FALSE)</f>
        <v>#N/A</v>
      </c>
      <c r="AT18" s="93" t="e">
        <f>VLOOKUP(AR18,$S$5:$AJ$104,$AT$2+9,FALSE)</f>
        <v>#N/A</v>
      </c>
      <c r="AU18" s="58" t="e">
        <f>VLOOKUP(AS18,$S$5:$AJ$104,$AT$2+12,FALSE)</f>
        <v>#N/A</v>
      </c>
      <c r="AW18" s="120">
        <v>14</v>
      </c>
      <c r="AX18" s="58" t="e">
        <f>VLOOKUP(AW18,$U$5:$AJ$104,$AY$2,FALSE)</f>
        <v>#N/A</v>
      </c>
      <c r="AY18" s="93" t="e">
        <f>VLOOKUP(AW18,$U$5:$AJ$104,$AY$2+7,FALSE)</f>
        <v>#N/A</v>
      </c>
      <c r="AZ18" s="58" t="e">
        <f>VLOOKUP(AX18,$U$5:$AJ$104,$AY$2+11,FALSE)</f>
        <v>#N/A</v>
      </c>
      <c r="BB18" s="120">
        <v>14</v>
      </c>
      <c r="BC18" s="58" t="e">
        <f>VLOOKUP(BB18,$W$5:$AJ$104,$BD$2,FALSE)</f>
        <v>#N/A</v>
      </c>
      <c r="BD18" s="93" t="e">
        <f>VLOOKUP(BB18,$W$5:$AJ$104,$BD$2+5,FALSE)</f>
        <v>#N/A</v>
      </c>
      <c r="BE18" s="58" t="e">
        <f>VLOOKUP(BC18,$W$5:$AJ$104,$BD$2+10,FALSE)</f>
        <v>#N/A</v>
      </c>
      <c r="BG18" s="120">
        <v>14</v>
      </c>
      <c r="BH18" s="58" t="e">
        <f>VLOOKUP(BG18,$Y$5:$AJ$104,$BI$2,FALSE)</f>
        <v>#N/A</v>
      </c>
      <c r="BI18" s="93" t="e">
        <f>VLOOKUP(BG18,$Y$5:$AJ$104,$BI$2+3,FALSE)</f>
        <v>#N/A</v>
      </c>
      <c r="BJ18" s="58" t="e">
        <f>VLOOKUP(BH18,$Y$5:$AJ$104,$BI$2+9,FALSE)</f>
        <v>#N/A</v>
      </c>
      <c r="BL18" s="120">
        <v>14</v>
      </c>
      <c r="BM18" s="58" t="e">
        <f>VLOOKUP(BL18,$AA$5:$AJ$104,$BN$2,FALSE)</f>
        <v>#N/A</v>
      </c>
      <c r="BN18" s="93" t="e">
        <f>VLOOKUP(BL18,$AA$5:$AJ$104,$BN$2+1,FALSE)</f>
        <v>#N/A</v>
      </c>
      <c r="BO18" s="58" t="e">
        <f>VLOOKUP(BM18,$AA$5:$AJ$104,$BN$2+8,FALSE)</f>
        <v>#N/A</v>
      </c>
      <c r="BQ18" s="2" t="e">
        <f>'Eclectic C'!CD18</f>
        <v>#N/A</v>
      </c>
      <c r="BR18" s="6" t="e">
        <f>'Eclectic C'!CE18</f>
        <v>#N/A</v>
      </c>
      <c r="BS18" s="103" t="e">
        <f>'Eclectic C'!CF18</f>
        <v>#N/A</v>
      </c>
    </row>
    <row r="19" spans="1:71">
      <c r="A19" s="10" t="str">
        <f>IF(ISBLANK(Players!K17),"",Players!K17)</f>
        <v/>
      </c>
      <c r="B19" s="10" t="str">
        <f>IF(ISBLANK(Players!L17),"",Players!L17)</f>
        <v/>
      </c>
      <c r="C19" s="10" t="str">
        <f>IF(ISBLANK(Players!N17),"",Players!N17)</f>
        <v/>
      </c>
      <c r="D19" s="126" t="str">
        <f>IF(ISNUMBER(C19),MIN((C19*Rules!$N$14/113)+(Rules!$N$13-Rules!$N$12),Rules!$N$37),"-")</f>
        <v>-</v>
      </c>
      <c r="E19" s="126" t="str">
        <f>IF(ISNUMBER(C19),    ROUND( (D19*Rules!$N$11) / 100,0),"-")</f>
        <v>-</v>
      </c>
      <c r="F19" s="36" t="str">
        <f>IF(AND(ISNUMBER(C19),C19&gt;=Rules!$M$24,C19&lt;=Rules!$N$24),"Y","N")</f>
        <v>N</v>
      </c>
      <c r="G19" s="137" t="str">
        <f>'Eclectic C'!M19</f>
        <v>-</v>
      </c>
      <c r="H19" s="137" t="str">
        <f>'Eclectic C'!W19</f>
        <v>-</v>
      </c>
      <c r="I19" s="137" t="str">
        <f>'Eclectic C'!AJ19</f>
        <v>-</v>
      </c>
      <c r="J19" s="137" t="str">
        <f>'Eclectic C'!AT19</f>
        <v>-</v>
      </c>
      <c r="K19" s="14" t="str">
        <f t="shared" si="1"/>
        <v>-</v>
      </c>
      <c r="L19" s="14" t="str">
        <f t="shared" si="2"/>
        <v>-</v>
      </c>
      <c r="M19" s="14" t="str">
        <f t="shared" si="3"/>
        <v>-</v>
      </c>
      <c r="N19" s="14" t="str">
        <f t="shared" si="4"/>
        <v>-</v>
      </c>
      <c r="O19" s="14" t="str">
        <f t="shared" si="5"/>
        <v>-</v>
      </c>
      <c r="P19" s="14" t="str">
        <f t="shared" si="6"/>
        <v>-</v>
      </c>
      <c r="Q19" s="108" t="e">
        <f>RANK($K19,$K$5:$K$104,1)+COUNTIF(K$5:K19,K19)-1</f>
        <v>#VALUE!</v>
      </c>
      <c r="R19" s="108" t="e">
        <f t="shared" si="7"/>
        <v>#VALUE!</v>
      </c>
      <c r="S19" s="108" t="e">
        <f>RANK($L19,$L$5:$L$104,1)+COUNTIF(L$5:L19,L19)-1</f>
        <v>#VALUE!</v>
      </c>
      <c r="T19" s="108" t="e">
        <f t="shared" si="8"/>
        <v>#VALUE!</v>
      </c>
      <c r="U19" s="108" t="e">
        <f>RANK($M19,$M$5:$M$104,1)+COUNTIF(M$5:M19,M19)-1</f>
        <v>#VALUE!</v>
      </c>
      <c r="V19" s="108" t="e">
        <f t="shared" si="9"/>
        <v>#VALUE!</v>
      </c>
      <c r="W19" s="108" t="e">
        <f>RANK($N19,$N$5:$N$104,1)+COUNTIF(N$5:N19,N19)-1</f>
        <v>#VALUE!</v>
      </c>
      <c r="X19" s="108" t="e">
        <f t="shared" si="10"/>
        <v>#VALUE!</v>
      </c>
      <c r="Y19" s="108" t="e">
        <f>RANK($O19,$O$5:$O$104,1)+COUNTIF(O$5:O19,O19)-1</f>
        <v>#VALUE!</v>
      </c>
      <c r="Z19" s="108" t="e">
        <f t="shared" si="11"/>
        <v>#VALUE!</v>
      </c>
      <c r="AA19" s="108" t="e">
        <f>RANK($P19,$P$5:$P$104,1)+COUNTIF(P$5:P19,P19)-1</f>
        <v>#VALUE!</v>
      </c>
      <c r="AB19" s="108" t="e">
        <f t="shared" si="12"/>
        <v>#VALUE!</v>
      </c>
      <c r="AC19" s="59" t="str">
        <f t="shared" si="13"/>
        <v xml:space="preserve"> </v>
      </c>
      <c r="AD19" s="59" t="str">
        <f t="shared" si="14"/>
        <v>-</v>
      </c>
      <c r="AE19" s="119" t="str">
        <f t="shared" si="15"/>
        <v>-</v>
      </c>
      <c r="AF19" s="119" t="str">
        <f t="shared" si="15"/>
        <v>-</v>
      </c>
      <c r="AG19" s="119" t="str">
        <f t="shared" si="15"/>
        <v>-</v>
      </c>
      <c r="AH19" s="119" t="str">
        <f t="shared" si="15"/>
        <v>-</v>
      </c>
      <c r="AI19" s="119" t="str">
        <f t="shared" si="15"/>
        <v>-</v>
      </c>
      <c r="AJ19" s="119" t="str">
        <f t="shared" si="15"/>
        <v>-</v>
      </c>
      <c r="AM19" s="120">
        <v>15</v>
      </c>
      <c r="AN19" s="58" t="e">
        <f>VLOOKUP(AM19,Q$5:$AJ$104,$AO$2,FALSE)</f>
        <v>#N/A</v>
      </c>
      <c r="AO19" s="93" t="e">
        <f>VLOOKUP(AM19,Q$5:$AJ$104,$AO$2+11,FALSE)</f>
        <v>#N/A</v>
      </c>
      <c r="AP19" s="58" t="e">
        <f t="shared" si="16"/>
        <v>#N/A</v>
      </c>
      <c r="AR19" s="120">
        <v>15</v>
      </c>
      <c r="AS19" s="58" t="e">
        <f>VLOOKUP(AR19,$S$5:$AJ$104,$AT$2,FALSE)</f>
        <v>#N/A</v>
      </c>
      <c r="AT19" s="93" t="e">
        <f>VLOOKUP(AR19,$S$5:$AJ$104,$AT$2+9,FALSE)</f>
        <v>#N/A</v>
      </c>
      <c r="AU19" s="58" t="e">
        <f>VLOOKUP(AS19,$S$5:$AJ$104,$AT$2+12,FALSE)</f>
        <v>#N/A</v>
      </c>
      <c r="AV19" s="75"/>
      <c r="AW19" s="120">
        <v>15</v>
      </c>
      <c r="AX19" s="58" t="e">
        <f>VLOOKUP(AW19,$U$5:$AJ$104,$AY$2,FALSE)</f>
        <v>#N/A</v>
      </c>
      <c r="AY19" s="93" t="e">
        <f>VLOOKUP(AW19,$U$5:$AJ$104,$AY$2+7,FALSE)</f>
        <v>#N/A</v>
      </c>
      <c r="AZ19" s="58" t="e">
        <f>VLOOKUP(AX19,$U$5:$AJ$104,$AY$2+11,FALSE)</f>
        <v>#N/A</v>
      </c>
      <c r="BB19" s="120">
        <v>15</v>
      </c>
      <c r="BC19" s="58" t="e">
        <f>VLOOKUP(BB19,$W$5:$AJ$104,$BD$2,FALSE)</f>
        <v>#N/A</v>
      </c>
      <c r="BD19" s="93" t="e">
        <f>VLOOKUP(BB19,$W$5:$AJ$104,$BD$2+5,FALSE)</f>
        <v>#N/A</v>
      </c>
      <c r="BE19" s="58" t="e">
        <f>VLOOKUP(BC19,$W$5:$AJ$104,$BD$2+10,FALSE)</f>
        <v>#N/A</v>
      </c>
      <c r="BF19" s="75"/>
      <c r="BG19" s="120">
        <v>15</v>
      </c>
      <c r="BH19" s="58" t="e">
        <f>VLOOKUP(BG19,$Y$5:$AJ$104,$BI$2,FALSE)</f>
        <v>#N/A</v>
      </c>
      <c r="BI19" s="93" t="e">
        <f>VLOOKUP(BG19,$Y$5:$AJ$104,$BI$2+3,FALSE)</f>
        <v>#N/A</v>
      </c>
      <c r="BJ19" s="58" t="e">
        <f>VLOOKUP(BH19,$Y$5:$AJ$104,$BI$2+9,FALSE)</f>
        <v>#N/A</v>
      </c>
      <c r="BL19" s="120">
        <v>15</v>
      </c>
      <c r="BM19" s="58" t="e">
        <f>VLOOKUP(BL19,$AA$5:$AJ$104,$BN$2,FALSE)</f>
        <v>#N/A</v>
      </c>
      <c r="BN19" s="93" t="e">
        <f>VLOOKUP(BL19,$AA$5:$AJ$104,$BN$2+1,FALSE)</f>
        <v>#N/A</v>
      </c>
      <c r="BO19" s="58" t="e">
        <f>VLOOKUP(BM19,$AA$5:$AJ$104,$BN$2+8,FALSE)</f>
        <v>#N/A</v>
      </c>
      <c r="BQ19" s="2" t="e">
        <f>'Eclectic C'!CD19</f>
        <v>#N/A</v>
      </c>
      <c r="BR19" s="6" t="e">
        <f>'Eclectic C'!CE19</f>
        <v>#N/A</v>
      </c>
      <c r="BS19" s="103" t="e">
        <f>'Eclectic C'!CF19</f>
        <v>#N/A</v>
      </c>
    </row>
    <row r="20" spans="1:71">
      <c r="A20" s="10" t="str">
        <f>IF(ISBLANK(Players!K18),"",Players!K18)</f>
        <v/>
      </c>
      <c r="B20" s="10" t="str">
        <f>IF(ISBLANK(Players!L18),"",Players!L18)</f>
        <v/>
      </c>
      <c r="C20" s="10" t="str">
        <f>IF(ISBLANK(Players!N18),"",Players!N18)</f>
        <v/>
      </c>
      <c r="D20" s="126" t="str">
        <f>IF(ISNUMBER(C20),MIN((C20*Rules!$N$14/113)+(Rules!$N$13-Rules!$N$12),Rules!$N$37),"-")</f>
        <v>-</v>
      </c>
      <c r="E20" s="126" t="str">
        <f>IF(ISNUMBER(C20),    ROUND( (D20*Rules!$N$11) / 100,0),"-")</f>
        <v>-</v>
      </c>
      <c r="F20" s="36" t="str">
        <f>IF(AND(ISNUMBER(C20),C20&gt;=Rules!$M$24,C20&lt;=Rules!$N$24),"Y","N")</f>
        <v>N</v>
      </c>
      <c r="G20" s="137" t="str">
        <f>'Eclectic C'!M20</f>
        <v>-</v>
      </c>
      <c r="H20" s="137" t="str">
        <f>'Eclectic C'!W20</f>
        <v>-</v>
      </c>
      <c r="I20" s="137" t="str">
        <f>'Eclectic C'!AJ20</f>
        <v>-</v>
      </c>
      <c r="J20" s="137" t="str">
        <f>'Eclectic C'!AT20</f>
        <v>-</v>
      </c>
      <c r="K20" s="14" t="str">
        <f t="shared" si="1"/>
        <v>-</v>
      </c>
      <c r="L20" s="14" t="str">
        <f t="shared" si="2"/>
        <v>-</v>
      </c>
      <c r="M20" s="14" t="str">
        <f t="shared" si="3"/>
        <v>-</v>
      </c>
      <c r="N20" s="14" t="str">
        <f t="shared" si="4"/>
        <v>-</v>
      </c>
      <c r="O20" s="14" t="str">
        <f t="shared" si="5"/>
        <v>-</v>
      </c>
      <c r="P20" s="14" t="str">
        <f t="shared" si="6"/>
        <v>-</v>
      </c>
      <c r="Q20" s="108" t="e">
        <f>RANK($K20,$K$5:$K$104,1)+COUNTIF(K$5:K20,K20)-1</f>
        <v>#VALUE!</v>
      </c>
      <c r="R20" s="108" t="e">
        <f t="shared" si="7"/>
        <v>#VALUE!</v>
      </c>
      <c r="S20" s="108" t="e">
        <f>RANK($L20,$L$5:$L$104,1)+COUNTIF(L$5:L20,L20)-1</f>
        <v>#VALUE!</v>
      </c>
      <c r="T20" s="108" t="e">
        <f t="shared" si="8"/>
        <v>#VALUE!</v>
      </c>
      <c r="U20" s="108" t="e">
        <f>RANK($M20,$M$5:$M$104,1)+COUNTIF(M$5:M20,M20)-1</f>
        <v>#VALUE!</v>
      </c>
      <c r="V20" s="108" t="e">
        <f t="shared" si="9"/>
        <v>#VALUE!</v>
      </c>
      <c r="W20" s="108" t="e">
        <f>RANK($N20,$N$5:$N$104,1)+COUNTIF(N$5:N20,N20)-1</f>
        <v>#VALUE!</v>
      </c>
      <c r="X20" s="108" t="e">
        <f t="shared" si="10"/>
        <v>#VALUE!</v>
      </c>
      <c r="Y20" s="108" t="e">
        <f>RANK($O20,$O$5:$O$104,1)+COUNTIF(O$5:O20,O20)-1</f>
        <v>#VALUE!</v>
      </c>
      <c r="Z20" s="108" t="e">
        <f t="shared" si="11"/>
        <v>#VALUE!</v>
      </c>
      <c r="AA20" s="108" t="e">
        <f>RANK($P20,$P$5:$P$104,1)+COUNTIF(P$5:P20,P20)-1</f>
        <v>#VALUE!</v>
      </c>
      <c r="AB20" s="108" t="e">
        <f t="shared" si="12"/>
        <v>#VALUE!</v>
      </c>
      <c r="AC20" s="59" t="str">
        <f t="shared" si="13"/>
        <v xml:space="preserve"> </v>
      </c>
      <c r="AD20" s="59" t="str">
        <f t="shared" si="14"/>
        <v>-</v>
      </c>
      <c r="AE20" s="119" t="str">
        <f t="shared" si="15"/>
        <v>-</v>
      </c>
      <c r="AF20" s="119" t="str">
        <f t="shared" si="15"/>
        <v>-</v>
      </c>
      <c r="AG20" s="119" t="str">
        <f t="shared" si="15"/>
        <v>-</v>
      </c>
      <c r="AH20" s="119" t="str">
        <f t="shared" si="15"/>
        <v>-</v>
      </c>
      <c r="AI20" s="119" t="str">
        <f t="shared" si="15"/>
        <v>-</v>
      </c>
      <c r="AJ20" s="119" t="str">
        <f t="shared" si="15"/>
        <v>-</v>
      </c>
      <c r="AM20" s="120">
        <v>16</v>
      </c>
      <c r="AN20" s="58" t="e">
        <f>VLOOKUP(AM20,Q$5:$AJ$104,$AO$2,FALSE)</f>
        <v>#N/A</v>
      </c>
      <c r="AO20" s="93" t="e">
        <f>VLOOKUP(AM20,Q$5:$AJ$104,$AO$2+11,FALSE)</f>
        <v>#N/A</v>
      </c>
      <c r="AP20" s="58" t="e">
        <f t="shared" si="16"/>
        <v>#N/A</v>
      </c>
      <c r="AR20" s="120">
        <v>16</v>
      </c>
      <c r="AS20" s="58" t="e">
        <f>VLOOKUP(AR20,$S$5:$AJ$104,$AT$2,FALSE)</f>
        <v>#N/A</v>
      </c>
      <c r="AT20" s="93" t="e">
        <f>VLOOKUP(AR20,$S$5:$AJ$104,$AT$2+9,FALSE)</f>
        <v>#N/A</v>
      </c>
      <c r="AU20" s="58" t="e">
        <f>VLOOKUP(AS20,$S$5:$AJ$104,$AT$2+12,FALSE)</f>
        <v>#N/A</v>
      </c>
      <c r="AV20" s="75"/>
      <c r="AW20" s="120">
        <v>16</v>
      </c>
      <c r="AX20" s="58" t="e">
        <f>VLOOKUP(AW20,$U$5:$AJ$104,$AY$2,FALSE)</f>
        <v>#N/A</v>
      </c>
      <c r="AY20" s="93" t="e">
        <f>VLOOKUP(AW20,$U$5:$AJ$104,$AY$2+7,FALSE)</f>
        <v>#N/A</v>
      </c>
      <c r="AZ20" s="58" t="e">
        <f>VLOOKUP(AX20,$U$5:$AJ$104,$AY$2+11,FALSE)</f>
        <v>#N/A</v>
      </c>
      <c r="BB20" s="120">
        <v>16</v>
      </c>
      <c r="BC20" s="58" t="e">
        <f>VLOOKUP(BB20,$W$5:$AJ$104,$BD$2,FALSE)</f>
        <v>#N/A</v>
      </c>
      <c r="BD20" s="93" t="e">
        <f>VLOOKUP(BB20,$W$5:$AJ$104,$BD$2+5,FALSE)</f>
        <v>#N/A</v>
      </c>
      <c r="BE20" s="58" t="e">
        <f>VLOOKUP(BC20,$W$5:$AJ$104,$BD$2+10,FALSE)</f>
        <v>#N/A</v>
      </c>
      <c r="BF20" s="75"/>
      <c r="BG20" s="120">
        <v>16</v>
      </c>
      <c r="BH20" s="58" t="e">
        <f>VLOOKUP(BG20,$Y$5:$AJ$104,$BI$2,FALSE)</f>
        <v>#N/A</v>
      </c>
      <c r="BI20" s="93" t="e">
        <f>VLOOKUP(BG20,$Y$5:$AJ$104,$BI$2+3,FALSE)</f>
        <v>#N/A</v>
      </c>
      <c r="BJ20" s="58" t="e">
        <f>VLOOKUP(BH20,$Y$5:$AJ$104,$BI$2+9,FALSE)</f>
        <v>#N/A</v>
      </c>
      <c r="BL20" s="120">
        <v>16</v>
      </c>
      <c r="BM20" s="58" t="e">
        <f>VLOOKUP(BL20,$AA$5:$AJ$104,$BN$2,FALSE)</f>
        <v>#N/A</v>
      </c>
      <c r="BN20" s="93" t="e">
        <f>VLOOKUP(BL20,$AA$5:$AJ$104,$BN$2+1,FALSE)</f>
        <v>#N/A</v>
      </c>
      <c r="BO20" s="58" t="e">
        <f>VLOOKUP(BM20,$AA$5:$AJ$104,$BN$2+8,FALSE)</f>
        <v>#N/A</v>
      </c>
      <c r="BQ20" s="2" t="e">
        <f>'Eclectic C'!CD20</f>
        <v>#N/A</v>
      </c>
      <c r="BR20" s="6" t="e">
        <f>'Eclectic C'!CE20</f>
        <v>#N/A</v>
      </c>
      <c r="BS20" s="103" t="e">
        <f>'Eclectic C'!CF20</f>
        <v>#N/A</v>
      </c>
    </row>
    <row r="21" spans="1:71">
      <c r="A21" s="10" t="str">
        <f>IF(ISBLANK(Players!K19),"",Players!K19)</f>
        <v/>
      </c>
      <c r="B21" s="10" t="str">
        <f>IF(ISBLANK(Players!L19),"",Players!L19)</f>
        <v/>
      </c>
      <c r="C21" s="10" t="str">
        <f>IF(ISBLANK(Players!N19),"",Players!N19)</f>
        <v/>
      </c>
      <c r="D21" s="126" t="str">
        <f>IF(ISNUMBER(C21),MIN((C21*Rules!$N$14/113)+(Rules!$N$13-Rules!$N$12),Rules!$N$37),"-")</f>
        <v>-</v>
      </c>
      <c r="E21" s="126" t="str">
        <f>IF(ISNUMBER(C21),    ROUND( (D21*Rules!$N$11) / 100,0),"-")</f>
        <v>-</v>
      </c>
      <c r="F21" s="36" t="str">
        <f>IF(AND(ISNUMBER(C21),C21&gt;=Rules!$M$24,C21&lt;=Rules!$N$24),"Y","N")</f>
        <v>N</v>
      </c>
      <c r="G21" s="137" t="str">
        <f>'Eclectic C'!M21</f>
        <v>-</v>
      </c>
      <c r="H21" s="137" t="str">
        <f>'Eclectic C'!W21</f>
        <v>-</v>
      </c>
      <c r="I21" s="137" t="str">
        <f>'Eclectic C'!AJ21</f>
        <v>-</v>
      </c>
      <c r="J21" s="137" t="str">
        <f>'Eclectic C'!AT21</f>
        <v>-</v>
      </c>
      <c r="K21" s="14" t="str">
        <f t="shared" si="1"/>
        <v>-</v>
      </c>
      <c r="L21" s="14" t="str">
        <f t="shared" si="2"/>
        <v>-</v>
      </c>
      <c r="M21" s="14" t="str">
        <f t="shared" si="3"/>
        <v>-</v>
      </c>
      <c r="N21" s="14" t="str">
        <f t="shared" si="4"/>
        <v>-</v>
      </c>
      <c r="O21" s="14" t="str">
        <f t="shared" si="5"/>
        <v>-</v>
      </c>
      <c r="P21" s="14" t="str">
        <f t="shared" si="6"/>
        <v>-</v>
      </c>
      <c r="Q21" s="108" t="e">
        <f>RANK($K21,$K$5:$K$104,1)+COUNTIF(K$5:K21,K21)-1</f>
        <v>#VALUE!</v>
      </c>
      <c r="R21" s="108" t="e">
        <f t="shared" si="7"/>
        <v>#VALUE!</v>
      </c>
      <c r="S21" s="108" t="e">
        <f>RANK($L21,$L$5:$L$104,1)+COUNTIF(L$5:L21,L21)-1</f>
        <v>#VALUE!</v>
      </c>
      <c r="T21" s="108" t="e">
        <f t="shared" si="8"/>
        <v>#VALUE!</v>
      </c>
      <c r="U21" s="108" t="e">
        <f>RANK($M21,$M$5:$M$104,1)+COUNTIF(M$5:M21,M21)-1</f>
        <v>#VALUE!</v>
      </c>
      <c r="V21" s="108" t="e">
        <f t="shared" si="9"/>
        <v>#VALUE!</v>
      </c>
      <c r="W21" s="108" t="e">
        <f>RANK($N21,$N$5:$N$104,1)+COUNTIF(N$5:N21,N21)-1</f>
        <v>#VALUE!</v>
      </c>
      <c r="X21" s="108" t="e">
        <f t="shared" si="10"/>
        <v>#VALUE!</v>
      </c>
      <c r="Y21" s="108" t="e">
        <f>RANK($O21,$O$5:$O$104,1)+COUNTIF(O$5:O21,O21)-1</f>
        <v>#VALUE!</v>
      </c>
      <c r="Z21" s="108" t="e">
        <f t="shared" si="11"/>
        <v>#VALUE!</v>
      </c>
      <c r="AA21" s="108" t="e">
        <f>RANK($P21,$P$5:$P$104,1)+COUNTIF(P$5:P21,P21)-1</f>
        <v>#VALUE!</v>
      </c>
      <c r="AB21" s="108" t="e">
        <f t="shared" si="12"/>
        <v>#VALUE!</v>
      </c>
      <c r="AC21" s="59" t="str">
        <f t="shared" si="13"/>
        <v xml:space="preserve"> </v>
      </c>
      <c r="AD21" s="59" t="str">
        <f t="shared" si="14"/>
        <v>-</v>
      </c>
      <c r="AE21" s="119" t="str">
        <f t="shared" si="15"/>
        <v>-</v>
      </c>
      <c r="AF21" s="119" t="str">
        <f t="shared" si="15"/>
        <v>-</v>
      </c>
      <c r="AG21" s="119" t="str">
        <f t="shared" si="15"/>
        <v>-</v>
      </c>
      <c r="AH21" s="119" t="str">
        <f t="shared" si="15"/>
        <v>-</v>
      </c>
      <c r="AI21" s="119" t="str">
        <f t="shared" si="15"/>
        <v>-</v>
      </c>
      <c r="AJ21" s="119" t="str">
        <f t="shared" si="15"/>
        <v>-</v>
      </c>
      <c r="AM21" s="120">
        <v>17</v>
      </c>
      <c r="AN21" s="58" t="e">
        <f>VLOOKUP(AM21,Q$5:$AJ$104,$AO$2,FALSE)</f>
        <v>#N/A</v>
      </c>
      <c r="AO21" s="93" t="e">
        <f>VLOOKUP(AM21,Q$5:$AJ$104,$AO$2+11,FALSE)</f>
        <v>#N/A</v>
      </c>
      <c r="AP21" s="58" t="e">
        <f t="shared" si="16"/>
        <v>#N/A</v>
      </c>
      <c r="AR21" s="120">
        <v>17</v>
      </c>
      <c r="AS21" s="58" t="e">
        <f>VLOOKUP(AR21,$S$5:$AJ$104,$AT$2,FALSE)</f>
        <v>#N/A</v>
      </c>
      <c r="AT21" s="93" t="e">
        <f>VLOOKUP(AR21,$S$5:$AJ$104,$AT$2+9,FALSE)</f>
        <v>#N/A</v>
      </c>
      <c r="AU21" s="58" t="e">
        <f>VLOOKUP(AS21,$S$5:$AJ$104,$AT$2+12,FALSE)</f>
        <v>#N/A</v>
      </c>
      <c r="AV21" s="75"/>
      <c r="AW21" s="120">
        <v>17</v>
      </c>
      <c r="AX21" s="58" t="e">
        <f>VLOOKUP(AW21,$U$5:$AJ$104,$AY$2,FALSE)</f>
        <v>#N/A</v>
      </c>
      <c r="AY21" s="93" t="e">
        <f>VLOOKUP(AW21,$U$5:$AJ$104,$AY$2+7,FALSE)</f>
        <v>#N/A</v>
      </c>
      <c r="AZ21" s="58" t="e">
        <f>VLOOKUP(AX21,$U$5:$AJ$104,$AY$2+11,FALSE)</f>
        <v>#N/A</v>
      </c>
      <c r="BB21" s="120">
        <v>17</v>
      </c>
      <c r="BC21" s="58" t="e">
        <f>VLOOKUP(BB21,$W$5:$AJ$104,$BD$2,FALSE)</f>
        <v>#N/A</v>
      </c>
      <c r="BD21" s="93" t="e">
        <f>VLOOKUP(BB21,$W$5:$AJ$104,$BD$2+5,FALSE)</f>
        <v>#N/A</v>
      </c>
      <c r="BE21" s="58" t="e">
        <f>VLOOKUP(BC21,$W$5:$AJ$104,$BD$2+10,FALSE)</f>
        <v>#N/A</v>
      </c>
      <c r="BF21" s="75"/>
      <c r="BG21" s="120">
        <v>17</v>
      </c>
      <c r="BH21" s="58" t="e">
        <f>VLOOKUP(BG21,$Y$5:$AJ$104,$BI$2,FALSE)</f>
        <v>#N/A</v>
      </c>
      <c r="BI21" s="93" t="e">
        <f>VLOOKUP(BG21,$Y$5:$AJ$104,$BI$2+3,FALSE)</f>
        <v>#N/A</v>
      </c>
      <c r="BJ21" s="58" t="e">
        <f>VLOOKUP(BH21,$Y$5:$AJ$104,$BI$2+9,FALSE)</f>
        <v>#N/A</v>
      </c>
      <c r="BL21" s="120">
        <v>17</v>
      </c>
      <c r="BM21" s="58" t="e">
        <f>VLOOKUP(BL21,$AA$5:$AJ$104,$BN$2,FALSE)</f>
        <v>#N/A</v>
      </c>
      <c r="BN21" s="93" t="e">
        <f>VLOOKUP(BL21,$AA$5:$AJ$104,$BN$2+1,FALSE)</f>
        <v>#N/A</v>
      </c>
      <c r="BO21" s="58" t="e">
        <f>VLOOKUP(BM21,$AA$5:$AJ$104,$BN$2+8,FALSE)</f>
        <v>#N/A</v>
      </c>
      <c r="BQ21" s="2" t="e">
        <f>'Eclectic C'!CD21</f>
        <v>#N/A</v>
      </c>
      <c r="BR21" s="6" t="e">
        <f>'Eclectic C'!CE21</f>
        <v>#N/A</v>
      </c>
      <c r="BS21" s="103" t="e">
        <f>'Eclectic C'!CF21</f>
        <v>#N/A</v>
      </c>
    </row>
    <row r="22" spans="1:71">
      <c r="A22" s="10" t="str">
        <f>IF(ISBLANK(Players!K20),"",Players!K20)</f>
        <v/>
      </c>
      <c r="B22" s="10" t="str">
        <f>IF(ISBLANK(Players!L20),"",Players!L20)</f>
        <v/>
      </c>
      <c r="C22" s="10" t="str">
        <f>IF(ISBLANK(Players!N20),"",Players!N20)</f>
        <v/>
      </c>
      <c r="D22" s="126" t="str">
        <f>IF(ISNUMBER(C22),MIN((C22*Rules!$N$14/113)+(Rules!$N$13-Rules!$N$12),Rules!$N$37),"-")</f>
        <v>-</v>
      </c>
      <c r="E22" s="126" t="str">
        <f>IF(ISNUMBER(C22),    ROUND( (D22*Rules!$N$11) / 100,0),"-")</f>
        <v>-</v>
      </c>
      <c r="F22" s="36" t="str">
        <f>IF(AND(ISNUMBER(C22),C22&gt;=Rules!$M$24,C22&lt;=Rules!$N$24),"Y","N")</f>
        <v>N</v>
      </c>
      <c r="G22" s="137" t="str">
        <f>'Eclectic C'!M22</f>
        <v>-</v>
      </c>
      <c r="H22" s="137" t="str">
        <f>'Eclectic C'!W22</f>
        <v>-</v>
      </c>
      <c r="I22" s="137" t="str">
        <f>'Eclectic C'!AJ22</f>
        <v>-</v>
      </c>
      <c r="J22" s="137" t="str">
        <f>'Eclectic C'!AT22</f>
        <v>-</v>
      </c>
      <c r="K22" s="14" t="str">
        <f t="shared" si="1"/>
        <v>-</v>
      </c>
      <c r="L22" s="14" t="str">
        <f t="shared" si="2"/>
        <v>-</v>
      </c>
      <c r="M22" s="14" t="str">
        <f t="shared" si="3"/>
        <v>-</v>
      </c>
      <c r="N22" s="14" t="str">
        <f t="shared" si="4"/>
        <v>-</v>
      </c>
      <c r="O22" s="14" t="str">
        <f t="shared" si="5"/>
        <v>-</v>
      </c>
      <c r="P22" s="14" t="str">
        <f t="shared" si="6"/>
        <v>-</v>
      </c>
      <c r="Q22" s="108" t="e">
        <f>RANK($K22,$K$5:$K$104,1)+COUNTIF(K$5:K22,K22)-1</f>
        <v>#VALUE!</v>
      </c>
      <c r="R22" s="108" t="e">
        <f t="shared" si="7"/>
        <v>#VALUE!</v>
      </c>
      <c r="S22" s="108" t="e">
        <f>RANK($L22,$L$5:$L$104,1)+COUNTIF(L$5:L22,L22)-1</f>
        <v>#VALUE!</v>
      </c>
      <c r="T22" s="108" t="e">
        <f t="shared" si="8"/>
        <v>#VALUE!</v>
      </c>
      <c r="U22" s="108" t="e">
        <f>RANK($M22,$M$5:$M$104,1)+COUNTIF(M$5:M22,M22)-1</f>
        <v>#VALUE!</v>
      </c>
      <c r="V22" s="108" t="e">
        <f t="shared" si="9"/>
        <v>#VALUE!</v>
      </c>
      <c r="W22" s="108" t="e">
        <f>RANK($N22,$N$5:$N$104,1)+COUNTIF(N$5:N22,N22)-1</f>
        <v>#VALUE!</v>
      </c>
      <c r="X22" s="108" t="e">
        <f t="shared" si="10"/>
        <v>#VALUE!</v>
      </c>
      <c r="Y22" s="108" t="e">
        <f>RANK($O22,$O$5:$O$104,1)+COUNTIF(O$5:O22,O22)-1</f>
        <v>#VALUE!</v>
      </c>
      <c r="Z22" s="108" t="e">
        <f t="shared" si="11"/>
        <v>#VALUE!</v>
      </c>
      <c r="AA22" s="108" t="e">
        <f>RANK($P22,$P$5:$P$104,1)+COUNTIF(P$5:P22,P22)-1</f>
        <v>#VALUE!</v>
      </c>
      <c r="AB22" s="108" t="e">
        <f t="shared" si="12"/>
        <v>#VALUE!</v>
      </c>
      <c r="AC22" s="59" t="str">
        <f t="shared" si="13"/>
        <v xml:space="preserve"> </v>
      </c>
      <c r="AD22" s="59" t="str">
        <f t="shared" si="14"/>
        <v>-</v>
      </c>
      <c r="AE22" s="119" t="str">
        <f t="shared" si="15"/>
        <v>-</v>
      </c>
      <c r="AF22" s="119" t="str">
        <f t="shared" si="15"/>
        <v>-</v>
      </c>
      <c r="AG22" s="119" t="str">
        <f t="shared" si="15"/>
        <v>-</v>
      </c>
      <c r="AH22" s="119" t="str">
        <f t="shared" si="15"/>
        <v>-</v>
      </c>
      <c r="AI22" s="119" t="str">
        <f t="shared" si="15"/>
        <v>-</v>
      </c>
      <c r="AJ22" s="119" t="str">
        <f t="shared" si="15"/>
        <v>-</v>
      </c>
      <c r="AM22" s="120">
        <v>18</v>
      </c>
      <c r="AN22" s="58" t="e">
        <f>VLOOKUP(AM22,Q$5:$AJ$104,$AO$2,FALSE)</f>
        <v>#N/A</v>
      </c>
      <c r="AO22" s="93" t="e">
        <f>VLOOKUP(AM22,Q$5:$AJ$104,$AO$2+11,FALSE)</f>
        <v>#N/A</v>
      </c>
      <c r="AP22" s="58" t="e">
        <f t="shared" si="16"/>
        <v>#N/A</v>
      </c>
      <c r="AR22" s="120">
        <v>18</v>
      </c>
      <c r="AS22" s="58" t="e">
        <f>VLOOKUP(AR22,$S$5:$AJ$104,$AT$2,FALSE)</f>
        <v>#N/A</v>
      </c>
      <c r="AT22" s="93" t="e">
        <f>VLOOKUP(AR22,$S$5:$AJ$104,$AT$2+9,FALSE)</f>
        <v>#N/A</v>
      </c>
      <c r="AU22" s="58" t="e">
        <f>VLOOKUP(AS22,$S$5:$AJ$104,$AT$2+12,FALSE)</f>
        <v>#N/A</v>
      </c>
      <c r="AV22" s="75"/>
      <c r="AW22" s="120">
        <v>18</v>
      </c>
      <c r="AX22" s="58" t="e">
        <f>VLOOKUP(AW22,$U$5:$AJ$104,$AY$2,FALSE)</f>
        <v>#N/A</v>
      </c>
      <c r="AY22" s="93" t="e">
        <f>VLOOKUP(AW22,$U$5:$AJ$104,$AY$2+7,FALSE)</f>
        <v>#N/A</v>
      </c>
      <c r="AZ22" s="58" t="e">
        <f>VLOOKUP(AX22,$U$5:$AJ$104,$AY$2+11,FALSE)</f>
        <v>#N/A</v>
      </c>
      <c r="BB22" s="120">
        <v>18</v>
      </c>
      <c r="BC22" s="58" t="e">
        <f>VLOOKUP(BB22,$W$5:$AJ$104,$BD$2,FALSE)</f>
        <v>#N/A</v>
      </c>
      <c r="BD22" s="93" t="e">
        <f>VLOOKUP(BB22,$W$5:$AJ$104,$BD$2+5,FALSE)</f>
        <v>#N/A</v>
      </c>
      <c r="BE22" s="58" t="e">
        <f>VLOOKUP(BC22,$W$5:$AJ$104,$BD$2+10,FALSE)</f>
        <v>#N/A</v>
      </c>
      <c r="BF22" s="75"/>
      <c r="BG22" s="120">
        <v>18</v>
      </c>
      <c r="BH22" s="58" t="e">
        <f>VLOOKUP(BG22,$Y$5:$AJ$104,$BI$2,FALSE)</f>
        <v>#N/A</v>
      </c>
      <c r="BI22" s="93" t="e">
        <f>VLOOKUP(BG22,$Y$5:$AJ$104,$BI$2+3,FALSE)</f>
        <v>#N/A</v>
      </c>
      <c r="BJ22" s="58" t="e">
        <f>VLOOKUP(BH22,$Y$5:$AJ$104,$BI$2+9,FALSE)</f>
        <v>#N/A</v>
      </c>
      <c r="BL22" s="120">
        <v>18</v>
      </c>
      <c r="BM22" s="58" t="e">
        <f>VLOOKUP(BL22,$AA$5:$AJ$104,$BN$2,FALSE)</f>
        <v>#N/A</v>
      </c>
      <c r="BN22" s="93" t="e">
        <f>VLOOKUP(BL22,$AA$5:$AJ$104,$BN$2+1,FALSE)</f>
        <v>#N/A</v>
      </c>
      <c r="BO22" s="58" t="e">
        <f>VLOOKUP(BM22,$AA$5:$AJ$104,$BN$2+8,FALSE)</f>
        <v>#N/A</v>
      </c>
      <c r="BQ22" s="2" t="e">
        <f>'Eclectic C'!CD22</f>
        <v>#N/A</v>
      </c>
      <c r="BR22" s="6" t="e">
        <f>'Eclectic C'!CE22</f>
        <v>#N/A</v>
      </c>
      <c r="BS22" s="103" t="e">
        <f>'Eclectic C'!CF22</f>
        <v>#N/A</v>
      </c>
    </row>
    <row r="23" spans="1:71">
      <c r="A23" s="10" t="str">
        <f>IF(ISBLANK(Players!K21),"",Players!K21)</f>
        <v/>
      </c>
      <c r="B23" s="10" t="str">
        <f>IF(ISBLANK(Players!L21),"",Players!L21)</f>
        <v/>
      </c>
      <c r="C23" s="10" t="str">
        <f>IF(ISBLANK(Players!N21),"",Players!N21)</f>
        <v/>
      </c>
      <c r="D23" s="126" t="str">
        <f>IF(ISNUMBER(C23),MIN((C23*Rules!$N$14/113)+(Rules!$N$13-Rules!$N$12),Rules!$N$37),"-")</f>
        <v>-</v>
      </c>
      <c r="E23" s="126" t="str">
        <f>IF(ISNUMBER(C23),    ROUND( (D23*Rules!$N$11) / 100,0),"-")</f>
        <v>-</v>
      </c>
      <c r="F23" s="36" t="str">
        <f>IF(AND(ISNUMBER(C23),C23&gt;=Rules!$M$24,C23&lt;=Rules!$N$24),"Y","N")</f>
        <v>N</v>
      </c>
      <c r="G23" s="137" t="str">
        <f>'Eclectic C'!M23</f>
        <v>-</v>
      </c>
      <c r="H23" s="137" t="str">
        <f>'Eclectic C'!W23</f>
        <v>-</v>
      </c>
      <c r="I23" s="137" t="str">
        <f>'Eclectic C'!AJ23</f>
        <v>-</v>
      </c>
      <c r="J23" s="137" t="str">
        <f>'Eclectic C'!AT23</f>
        <v>-</v>
      </c>
      <c r="K23" s="14" t="str">
        <f t="shared" si="1"/>
        <v>-</v>
      </c>
      <c r="L23" s="14" t="str">
        <f t="shared" si="2"/>
        <v>-</v>
      </c>
      <c r="M23" s="14" t="str">
        <f t="shared" si="3"/>
        <v>-</v>
      </c>
      <c r="N23" s="14" t="str">
        <f t="shared" si="4"/>
        <v>-</v>
      </c>
      <c r="O23" s="14" t="str">
        <f t="shared" si="5"/>
        <v>-</v>
      </c>
      <c r="P23" s="14" t="str">
        <f t="shared" si="6"/>
        <v>-</v>
      </c>
      <c r="Q23" s="108" t="e">
        <f>RANK($K23,$K$5:$K$104,1)+COUNTIF(K$5:K23,K23)-1</f>
        <v>#VALUE!</v>
      </c>
      <c r="R23" s="108" t="e">
        <f t="shared" si="7"/>
        <v>#VALUE!</v>
      </c>
      <c r="S23" s="108" t="e">
        <f>RANK($L23,$L$5:$L$104,1)+COUNTIF(L$5:L23,L23)-1</f>
        <v>#VALUE!</v>
      </c>
      <c r="T23" s="108" t="e">
        <f t="shared" si="8"/>
        <v>#VALUE!</v>
      </c>
      <c r="U23" s="108" t="e">
        <f>RANK($M23,$M$5:$M$104,1)+COUNTIF(M$5:M23,M23)-1</f>
        <v>#VALUE!</v>
      </c>
      <c r="V23" s="108" t="e">
        <f t="shared" si="9"/>
        <v>#VALUE!</v>
      </c>
      <c r="W23" s="108" t="e">
        <f>RANK($N23,$N$5:$N$104,1)+COUNTIF(N$5:N23,N23)-1</f>
        <v>#VALUE!</v>
      </c>
      <c r="X23" s="108" t="e">
        <f t="shared" si="10"/>
        <v>#VALUE!</v>
      </c>
      <c r="Y23" s="108" t="e">
        <f>RANK($O23,$O$5:$O$104,1)+COUNTIF(O$5:O23,O23)-1</f>
        <v>#VALUE!</v>
      </c>
      <c r="Z23" s="108" t="e">
        <f t="shared" si="11"/>
        <v>#VALUE!</v>
      </c>
      <c r="AA23" s="108" t="e">
        <f>RANK($P23,$P$5:$P$104,1)+COUNTIF(P$5:P23,P23)-1</f>
        <v>#VALUE!</v>
      </c>
      <c r="AB23" s="108" t="e">
        <f t="shared" si="12"/>
        <v>#VALUE!</v>
      </c>
      <c r="AC23" s="59" t="str">
        <f t="shared" si="13"/>
        <v xml:space="preserve"> </v>
      </c>
      <c r="AD23" s="59" t="str">
        <f t="shared" si="14"/>
        <v>-</v>
      </c>
      <c r="AE23" s="119" t="str">
        <f t="shared" si="15"/>
        <v>-</v>
      </c>
      <c r="AF23" s="119" t="str">
        <f t="shared" si="15"/>
        <v>-</v>
      </c>
      <c r="AG23" s="119" t="str">
        <f t="shared" si="15"/>
        <v>-</v>
      </c>
      <c r="AH23" s="119" t="str">
        <f t="shared" si="15"/>
        <v>-</v>
      </c>
      <c r="AI23" s="119" t="str">
        <f t="shared" si="15"/>
        <v>-</v>
      </c>
      <c r="AJ23" s="119" t="str">
        <f t="shared" si="15"/>
        <v>-</v>
      </c>
      <c r="AM23" s="120">
        <v>19</v>
      </c>
      <c r="AN23" s="58" t="e">
        <f>VLOOKUP(AM23,Q$5:$AJ$104,$AO$2,FALSE)</f>
        <v>#N/A</v>
      </c>
      <c r="AO23" s="93" t="e">
        <f>VLOOKUP(AM23,Q$5:$AJ$104,$AO$2+11,FALSE)</f>
        <v>#N/A</v>
      </c>
      <c r="AP23" s="58" t="e">
        <f t="shared" si="16"/>
        <v>#N/A</v>
      </c>
      <c r="AR23" s="120">
        <v>19</v>
      </c>
      <c r="AS23" s="58" t="e">
        <f>VLOOKUP(AR23,$S$5:$AJ$104,$AT$2,FALSE)</f>
        <v>#N/A</v>
      </c>
      <c r="AT23" s="93" t="e">
        <f>VLOOKUP(AR23,$S$5:$AJ$104,$AT$2+9,FALSE)</f>
        <v>#N/A</v>
      </c>
      <c r="AU23" s="58" t="e">
        <f>VLOOKUP(AS23,$S$5:$AJ$104,$AT$2+12,FALSE)</f>
        <v>#N/A</v>
      </c>
      <c r="AV23" s="75"/>
      <c r="AW23" s="120">
        <v>19</v>
      </c>
      <c r="AX23" s="58" t="e">
        <f>VLOOKUP(AW23,$U$5:$AJ$104,$AY$2,FALSE)</f>
        <v>#N/A</v>
      </c>
      <c r="AY23" s="93" t="e">
        <f>VLOOKUP(AW23,$U$5:$AJ$104,$AY$2+7,FALSE)</f>
        <v>#N/A</v>
      </c>
      <c r="AZ23" s="58" t="e">
        <f>VLOOKUP(AX23,$U$5:$AJ$104,$AY$2+11,FALSE)</f>
        <v>#N/A</v>
      </c>
      <c r="BB23" s="120">
        <v>19</v>
      </c>
      <c r="BC23" s="58" t="e">
        <f>VLOOKUP(BB23,$W$5:$AJ$104,$BD$2,FALSE)</f>
        <v>#N/A</v>
      </c>
      <c r="BD23" s="93" t="e">
        <f>VLOOKUP(BB23,$W$5:$AJ$104,$BD$2+5,FALSE)</f>
        <v>#N/A</v>
      </c>
      <c r="BE23" s="58" t="e">
        <f>VLOOKUP(BC23,$W$5:$AJ$104,$BD$2+10,FALSE)</f>
        <v>#N/A</v>
      </c>
      <c r="BF23" s="75"/>
      <c r="BG23" s="120">
        <v>19</v>
      </c>
      <c r="BH23" s="58" t="e">
        <f>VLOOKUP(BG23,$Y$5:$AJ$104,$BI$2,FALSE)</f>
        <v>#N/A</v>
      </c>
      <c r="BI23" s="93" t="e">
        <f>VLOOKUP(BG23,$Y$5:$AJ$104,$BI$2+3,FALSE)</f>
        <v>#N/A</v>
      </c>
      <c r="BJ23" s="58" t="e">
        <f>VLOOKUP(BH23,$Y$5:$AJ$104,$BI$2+9,FALSE)</f>
        <v>#N/A</v>
      </c>
      <c r="BL23" s="120">
        <v>19</v>
      </c>
      <c r="BM23" s="58" t="e">
        <f>VLOOKUP(BL23,$AA$5:$AJ$104,$BN$2,FALSE)</f>
        <v>#N/A</v>
      </c>
      <c r="BN23" s="93" t="e">
        <f>VLOOKUP(BL23,$AA$5:$AJ$104,$BN$2+1,FALSE)</f>
        <v>#N/A</v>
      </c>
      <c r="BO23" s="58" t="e">
        <f>VLOOKUP(BM23,$AA$5:$AJ$104,$BN$2+8,FALSE)</f>
        <v>#N/A</v>
      </c>
      <c r="BQ23" s="2" t="e">
        <f>'Eclectic C'!CD23</f>
        <v>#N/A</v>
      </c>
      <c r="BR23" s="6" t="e">
        <f>'Eclectic C'!CE23</f>
        <v>#N/A</v>
      </c>
      <c r="BS23" s="103" t="e">
        <f>'Eclectic C'!CF23</f>
        <v>#N/A</v>
      </c>
    </row>
    <row r="24" spans="1:71">
      <c r="A24" s="10" t="str">
        <f>IF(ISBLANK(Players!K22),"",Players!K22)</f>
        <v/>
      </c>
      <c r="B24" s="10" t="str">
        <f>IF(ISBLANK(Players!L22),"",Players!L22)</f>
        <v/>
      </c>
      <c r="C24" s="10" t="str">
        <f>IF(ISBLANK(Players!N22),"",Players!N22)</f>
        <v/>
      </c>
      <c r="D24" s="126" t="str">
        <f>IF(ISNUMBER(C24),MIN((C24*Rules!$N$14/113)+(Rules!$N$13-Rules!$N$12),Rules!$N$37),"-")</f>
        <v>-</v>
      </c>
      <c r="E24" s="126" t="str">
        <f>IF(ISNUMBER(C24),    ROUND( (D24*Rules!$N$11) / 100,0),"-")</f>
        <v>-</v>
      </c>
      <c r="F24" s="36" t="str">
        <f>IF(AND(ISNUMBER(C24),C24&gt;=Rules!$M$24,C24&lt;=Rules!$N$24),"Y","N")</f>
        <v>N</v>
      </c>
      <c r="G24" s="137" t="str">
        <f>'Eclectic C'!M24</f>
        <v>-</v>
      </c>
      <c r="H24" s="137" t="str">
        <f>'Eclectic C'!W24</f>
        <v>-</v>
      </c>
      <c r="I24" s="137" t="str">
        <f>'Eclectic C'!AJ24</f>
        <v>-</v>
      </c>
      <c r="J24" s="137" t="str">
        <f>'Eclectic C'!AT24</f>
        <v>-</v>
      </c>
      <c r="K24" s="14" t="str">
        <f t="shared" si="1"/>
        <v>-</v>
      </c>
      <c r="L24" s="14" t="str">
        <f t="shared" si="2"/>
        <v>-</v>
      </c>
      <c r="M24" s="14" t="str">
        <f t="shared" si="3"/>
        <v>-</v>
      </c>
      <c r="N24" s="14" t="str">
        <f t="shared" si="4"/>
        <v>-</v>
      </c>
      <c r="O24" s="14" t="str">
        <f t="shared" si="5"/>
        <v>-</v>
      </c>
      <c r="P24" s="14" t="str">
        <f t="shared" si="6"/>
        <v>-</v>
      </c>
      <c r="Q24" s="108" t="e">
        <f>RANK($K24,$K$5:$K$104,1)+COUNTIF(K$5:K24,K24)-1</f>
        <v>#VALUE!</v>
      </c>
      <c r="R24" s="108" t="e">
        <f t="shared" si="7"/>
        <v>#VALUE!</v>
      </c>
      <c r="S24" s="108" t="e">
        <f>RANK($L24,$L$5:$L$104,1)+COUNTIF(L$5:L24,L24)-1</f>
        <v>#VALUE!</v>
      </c>
      <c r="T24" s="108" t="e">
        <f t="shared" si="8"/>
        <v>#VALUE!</v>
      </c>
      <c r="U24" s="108" t="e">
        <f>RANK($M24,$M$5:$M$104,1)+COUNTIF(M$5:M24,M24)-1</f>
        <v>#VALUE!</v>
      </c>
      <c r="V24" s="108" t="e">
        <f t="shared" si="9"/>
        <v>#VALUE!</v>
      </c>
      <c r="W24" s="108" t="e">
        <f>RANK($N24,$N$5:$N$104,1)+COUNTIF(N$5:N24,N24)-1</f>
        <v>#VALUE!</v>
      </c>
      <c r="X24" s="108" t="e">
        <f t="shared" si="10"/>
        <v>#VALUE!</v>
      </c>
      <c r="Y24" s="108" t="e">
        <f>RANK($O24,$O$5:$O$104,1)+COUNTIF(O$5:O24,O24)-1</f>
        <v>#VALUE!</v>
      </c>
      <c r="Z24" s="108" t="e">
        <f t="shared" si="11"/>
        <v>#VALUE!</v>
      </c>
      <c r="AA24" s="108" t="e">
        <f>RANK($P24,$P$5:$P$104,1)+COUNTIF(P$5:P24,P24)-1</f>
        <v>#VALUE!</v>
      </c>
      <c r="AB24" s="108" t="e">
        <f t="shared" si="12"/>
        <v>#VALUE!</v>
      </c>
      <c r="AC24" s="59" t="str">
        <f t="shared" si="13"/>
        <v xml:space="preserve"> </v>
      </c>
      <c r="AD24" s="59" t="str">
        <f t="shared" si="14"/>
        <v>-</v>
      </c>
      <c r="AE24" s="119" t="str">
        <f t="shared" si="15"/>
        <v>-</v>
      </c>
      <c r="AF24" s="119" t="str">
        <f t="shared" si="15"/>
        <v>-</v>
      </c>
      <c r="AG24" s="119" t="str">
        <f t="shared" si="15"/>
        <v>-</v>
      </c>
      <c r="AH24" s="119" t="str">
        <f t="shared" si="15"/>
        <v>-</v>
      </c>
      <c r="AI24" s="119" t="str">
        <f t="shared" si="15"/>
        <v>-</v>
      </c>
      <c r="AJ24" s="119" t="str">
        <f t="shared" si="15"/>
        <v>-</v>
      </c>
      <c r="AM24" s="120">
        <v>20</v>
      </c>
      <c r="AN24" s="58" t="e">
        <f>VLOOKUP(AM24,Q$5:$AJ$104,$AO$2,FALSE)</f>
        <v>#N/A</v>
      </c>
      <c r="AO24" s="93" t="e">
        <f>VLOOKUP(AM24,Q$5:$AJ$104,$AO$2+11,FALSE)</f>
        <v>#N/A</v>
      </c>
      <c r="AP24" s="58" t="e">
        <f t="shared" si="16"/>
        <v>#N/A</v>
      </c>
      <c r="AR24" s="120">
        <v>20</v>
      </c>
      <c r="AS24" s="58" t="e">
        <f>VLOOKUP(AR24,$S$5:$AJ$104,$AT$2,FALSE)</f>
        <v>#N/A</v>
      </c>
      <c r="AT24" s="93" t="e">
        <f>VLOOKUP(AR24,$S$5:$AJ$104,$AT$2+9,FALSE)</f>
        <v>#N/A</v>
      </c>
      <c r="AU24" s="58" t="e">
        <f>VLOOKUP(AS24,$S$5:$AJ$104,$AT$2+12,FALSE)</f>
        <v>#N/A</v>
      </c>
      <c r="AV24" s="75"/>
      <c r="AW24" s="120">
        <v>20</v>
      </c>
      <c r="AX24" s="58" t="e">
        <f>VLOOKUP(AW24,$U$5:$AJ$104,$AY$2,FALSE)</f>
        <v>#N/A</v>
      </c>
      <c r="AY24" s="93" t="e">
        <f>VLOOKUP(AW24,$U$5:$AJ$104,$AY$2+7,FALSE)</f>
        <v>#N/A</v>
      </c>
      <c r="AZ24" s="58" t="e">
        <f>VLOOKUP(AX24,$U$5:$AJ$104,$AY$2+11,FALSE)</f>
        <v>#N/A</v>
      </c>
      <c r="BB24" s="120">
        <v>20</v>
      </c>
      <c r="BC24" s="58" t="e">
        <f>VLOOKUP(BB24,$W$5:$AJ$104,$BD$2,FALSE)</f>
        <v>#N/A</v>
      </c>
      <c r="BD24" s="93" t="e">
        <f>VLOOKUP(BB24,$W$5:$AJ$104,$BD$2+5,FALSE)</f>
        <v>#N/A</v>
      </c>
      <c r="BE24" s="58" t="e">
        <f>VLOOKUP(BC24,$W$5:$AJ$104,$BD$2+10,FALSE)</f>
        <v>#N/A</v>
      </c>
      <c r="BF24" s="75"/>
      <c r="BG24" s="120">
        <v>20</v>
      </c>
      <c r="BH24" s="58" t="e">
        <f>VLOOKUP(BG24,$Y$5:$AJ$104,$BI$2,FALSE)</f>
        <v>#N/A</v>
      </c>
      <c r="BI24" s="93" t="e">
        <f>VLOOKUP(BG24,$Y$5:$AJ$104,$BI$2+3,FALSE)</f>
        <v>#N/A</v>
      </c>
      <c r="BJ24" s="58" t="e">
        <f>VLOOKUP(BH24,$Y$5:$AJ$104,$BI$2+9,FALSE)</f>
        <v>#N/A</v>
      </c>
      <c r="BL24" s="120">
        <v>20</v>
      </c>
      <c r="BM24" s="58" t="e">
        <f>VLOOKUP(BL24,$AA$5:$AJ$104,$BN$2,FALSE)</f>
        <v>#N/A</v>
      </c>
      <c r="BN24" s="93" t="e">
        <f>VLOOKUP(BL24,$AA$5:$AJ$104,$BN$2+1,FALSE)</f>
        <v>#N/A</v>
      </c>
      <c r="BO24" s="58" t="e">
        <f>VLOOKUP(BM24,$AA$5:$AJ$104,$BN$2+8,FALSE)</f>
        <v>#N/A</v>
      </c>
      <c r="BQ24" s="2" t="e">
        <f>'Eclectic C'!CD24</f>
        <v>#N/A</v>
      </c>
      <c r="BR24" s="6" t="e">
        <f>'Eclectic C'!CE24</f>
        <v>#N/A</v>
      </c>
      <c r="BS24" s="103" t="e">
        <f>'Eclectic C'!CF24</f>
        <v>#N/A</v>
      </c>
    </row>
    <row r="25" spans="1:71">
      <c r="A25" s="10" t="str">
        <f>IF(ISBLANK(Players!K23),"",Players!K23)</f>
        <v/>
      </c>
      <c r="B25" s="10" t="str">
        <f>IF(ISBLANK(Players!L23),"",Players!L23)</f>
        <v/>
      </c>
      <c r="C25" s="10" t="str">
        <f>IF(ISBLANK(Players!N23),"",Players!N23)</f>
        <v/>
      </c>
      <c r="D25" s="126" t="str">
        <f>IF(ISNUMBER(C25),MIN((C25*Rules!$N$14/113)+(Rules!$N$13-Rules!$N$12),Rules!$N$37),"-")</f>
        <v>-</v>
      </c>
      <c r="E25" s="126" t="str">
        <f>IF(ISNUMBER(C25),    ROUND( (D25*Rules!$N$11) / 100,0),"-")</f>
        <v>-</v>
      </c>
      <c r="F25" s="36" t="str">
        <f>IF(AND(ISNUMBER(C25),C25&gt;=Rules!$M$24,C25&lt;=Rules!$N$24),"Y","N")</f>
        <v>N</v>
      </c>
      <c r="G25" s="137" t="str">
        <f>'Eclectic C'!M25</f>
        <v>-</v>
      </c>
      <c r="H25" s="137" t="str">
        <f>'Eclectic C'!W25</f>
        <v>-</v>
      </c>
      <c r="I25" s="137" t="str">
        <f>'Eclectic C'!AJ25</f>
        <v>-</v>
      </c>
      <c r="J25" s="137" t="str">
        <f>'Eclectic C'!AT25</f>
        <v>-</v>
      </c>
      <c r="K25" s="14" t="str">
        <f t="shared" si="1"/>
        <v>-</v>
      </c>
      <c r="L25" s="14" t="str">
        <f t="shared" si="2"/>
        <v>-</v>
      </c>
      <c r="M25" s="14" t="str">
        <f t="shared" si="3"/>
        <v>-</v>
      </c>
      <c r="N25" s="14" t="str">
        <f t="shared" si="4"/>
        <v>-</v>
      </c>
      <c r="O25" s="14" t="str">
        <f t="shared" si="5"/>
        <v>-</v>
      </c>
      <c r="P25" s="14" t="str">
        <f t="shared" si="6"/>
        <v>-</v>
      </c>
      <c r="Q25" s="108" t="e">
        <f>RANK($K25,$K$5:$K$104,1)+COUNTIF(K$5:K25,K25)-1</f>
        <v>#VALUE!</v>
      </c>
      <c r="R25" s="108" t="e">
        <f t="shared" si="7"/>
        <v>#VALUE!</v>
      </c>
      <c r="S25" s="108" t="e">
        <f>RANK($L25,$L$5:$L$104,1)+COUNTIF(L$5:L25,L25)-1</f>
        <v>#VALUE!</v>
      </c>
      <c r="T25" s="108" t="e">
        <f t="shared" si="8"/>
        <v>#VALUE!</v>
      </c>
      <c r="U25" s="108" t="e">
        <f>RANK($M25,$M$5:$M$104,1)+COUNTIF(M$5:M25,M25)-1</f>
        <v>#VALUE!</v>
      </c>
      <c r="V25" s="108" t="e">
        <f t="shared" si="9"/>
        <v>#VALUE!</v>
      </c>
      <c r="W25" s="108" t="e">
        <f>RANK($N25,$N$5:$N$104,1)+COUNTIF(N$5:N25,N25)-1</f>
        <v>#VALUE!</v>
      </c>
      <c r="X25" s="108" t="e">
        <f t="shared" si="10"/>
        <v>#VALUE!</v>
      </c>
      <c r="Y25" s="108" t="e">
        <f>RANK($O25,$O$5:$O$104,1)+COUNTIF(O$5:O25,O25)-1</f>
        <v>#VALUE!</v>
      </c>
      <c r="Z25" s="108" t="e">
        <f t="shared" si="11"/>
        <v>#VALUE!</v>
      </c>
      <c r="AA25" s="108" t="e">
        <f>RANK($P25,$P$5:$P$104,1)+COUNTIF(P$5:P25,P25)-1</f>
        <v>#VALUE!</v>
      </c>
      <c r="AB25" s="108" t="e">
        <f t="shared" si="12"/>
        <v>#VALUE!</v>
      </c>
      <c r="AC25" s="59" t="str">
        <f t="shared" si="13"/>
        <v xml:space="preserve"> </v>
      </c>
      <c r="AD25" s="59" t="str">
        <f t="shared" si="14"/>
        <v>-</v>
      </c>
      <c r="AE25" s="119" t="str">
        <f t="shared" si="15"/>
        <v>-</v>
      </c>
      <c r="AF25" s="119" t="str">
        <f t="shared" si="15"/>
        <v>-</v>
      </c>
      <c r="AG25" s="119" t="str">
        <f t="shared" si="15"/>
        <v>-</v>
      </c>
      <c r="AH25" s="119" t="str">
        <f t="shared" si="15"/>
        <v>-</v>
      </c>
      <c r="AI25" s="119" t="str">
        <f t="shared" si="15"/>
        <v>-</v>
      </c>
      <c r="AJ25" s="119" t="str">
        <f t="shared" si="15"/>
        <v>-</v>
      </c>
      <c r="AM25" s="120">
        <v>21</v>
      </c>
      <c r="AN25" s="58" t="e">
        <f>VLOOKUP(AM25,Q$5:$AJ$104,$AO$2,FALSE)</f>
        <v>#N/A</v>
      </c>
      <c r="AO25" s="93" t="e">
        <f>VLOOKUP(AM25,Q$5:$AJ$104,$AO$2+11,FALSE)</f>
        <v>#N/A</v>
      </c>
      <c r="AP25" s="58" t="e">
        <f t="shared" si="16"/>
        <v>#N/A</v>
      </c>
      <c r="AR25" s="120">
        <v>21</v>
      </c>
      <c r="AS25" s="58" t="e">
        <f>VLOOKUP(AR25,$S$5:$AJ$104,$AT$2,FALSE)</f>
        <v>#N/A</v>
      </c>
      <c r="AT25" s="93" t="e">
        <f>VLOOKUP(AR25,$S$5:$AJ$104,$AT$2+9,FALSE)</f>
        <v>#N/A</v>
      </c>
      <c r="AU25" s="58" t="e">
        <f>VLOOKUP(AS25,$S$5:$AJ$104,$AT$2+12,FALSE)</f>
        <v>#N/A</v>
      </c>
      <c r="AV25" s="75"/>
      <c r="AW25" s="120">
        <v>21</v>
      </c>
      <c r="AX25" s="58" t="e">
        <f>VLOOKUP(AW25,$U$5:$AJ$104,$AY$2,FALSE)</f>
        <v>#N/A</v>
      </c>
      <c r="AY25" s="93" t="e">
        <f>VLOOKUP(AW25,$U$5:$AJ$104,$AY$2+7,FALSE)</f>
        <v>#N/A</v>
      </c>
      <c r="AZ25" s="58" t="e">
        <f>VLOOKUP(AX25,$U$5:$AJ$104,$AY$2+11,FALSE)</f>
        <v>#N/A</v>
      </c>
      <c r="BB25" s="120">
        <v>21</v>
      </c>
      <c r="BC25" s="58" t="e">
        <f>VLOOKUP(BB25,$W$5:$AJ$104,$BD$2,FALSE)</f>
        <v>#N/A</v>
      </c>
      <c r="BD25" s="93" t="e">
        <f>VLOOKUP(BB25,$W$5:$AJ$104,$BD$2+5,FALSE)</f>
        <v>#N/A</v>
      </c>
      <c r="BE25" s="58" t="e">
        <f>VLOOKUP(BC25,$W$5:$AJ$104,$BD$2+10,FALSE)</f>
        <v>#N/A</v>
      </c>
      <c r="BF25" s="75"/>
      <c r="BG25" s="120">
        <v>21</v>
      </c>
      <c r="BH25" s="58" t="e">
        <f>VLOOKUP(BG25,$Y$5:$AJ$104,$BI$2,FALSE)</f>
        <v>#N/A</v>
      </c>
      <c r="BI25" s="93" t="e">
        <f>VLOOKUP(BG25,$Y$5:$AJ$104,$BI$2+3,FALSE)</f>
        <v>#N/A</v>
      </c>
      <c r="BJ25" s="58" t="e">
        <f>VLOOKUP(BH25,$Y$5:$AJ$104,$BI$2+9,FALSE)</f>
        <v>#N/A</v>
      </c>
      <c r="BL25" s="120">
        <v>21</v>
      </c>
      <c r="BM25" s="58" t="e">
        <f>VLOOKUP(BL25,$AA$5:$AJ$104,$BN$2,FALSE)</f>
        <v>#N/A</v>
      </c>
      <c r="BN25" s="93" t="e">
        <f>VLOOKUP(BL25,$AA$5:$AJ$104,$BN$2+1,FALSE)</f>
        <v>#N/A</v>
      </c>
      <c r="BO25" s="58" t="e">
        <f>VLOOKUP(BM25,$AA$5:$AJ$104,$BN$2+8,FALSE)</f>
        <v>#N/A</v>
      </c>
      <c r="BQ25" s="2" t="e">
        <f>'Eclectic C'!CD25</f>
        <v>#N/A</v>
      </c>
      <c r="BR25" s="6" t="e">
        <f>'Eclectic C'!CE25</f>
        <v>#N/A</v>
      </c>
      <c r="BS25" s="103" t="e">
        <f>'Eclectic C'!CF25</f>
        <v>#N/A</v>
      </c>
    </row>
    <row r="26" spans="1:71">
      <c r="A26" s="10" t="str">
        <f>IF(ISBLANK(Players!K24),"",Players!K24)</f>
        <v/>
      </c>
      <c r="B26" s="10" t="str">
        <f>IF(ISBLANK(Players!L24),"",Players!L24)</f>
        <v/>
      </c>
      <c r="C26" s="10" t="str">
        <f>IF(ISBLANK(Players!N24),"",Players!N24)</f>
        <v/>
      </c>
      <c r="D26" s="126" t="str">
        <f>IF(ISNUMBER(C26),MIN((C26*Rules!$N$14/113)+(Rules!$N$13-Rules!$N$12),Rules!$N$37),"-")</f>
        <v>-</v>
      </c>
      <c r="E26" s="126" t="str">
        <f>IF(ISNUMBER(C26),    ROUND( (D26*Rules!$N$11) / 100,0),"-")</f>
        <v>-</v>
      </c>
      <c r="F26" s="36" t="str">
        <f>IF(AND(ISNUMBER(C26),C26&gt;=Rules!$M$24,C26&lt;=Rules!$N$24),"Y","N")</f>
        <v>N</v>
      </c>
      <c r="G26" s="137" t="str">
        <f>'Eclectic C'!M26</f>
        <v>-</v>
      </c>
      <c r="H26" s="137" t="str">
        <f>'Eclectic C'!W26</f>
        <v>-</v>
      </c>
      <c r="I26" s="137" t="str">
        <f>'Eclectic C'!AJ26</f>
        <v>-</v>
      </c>
      <c r="J26" s="137" t="str">
        <f>'Eclectic C'!AT26</f>
        <v>-</v>
      </c>
      <c r="K26" s="14" t="str">
        <f t="shared" si="1"/>
        <v>-</v>
      </c>
      <c r="L26" s="14" t="str">
        <f t="shared" si="2"/>
        <v>-</v>
      </c>
      <c r="M26" s="14" t="str">
        <f t="shared" si="3"/>
        <v>-</v>
      </c>
      <c r="N26" s="14" t="str">
        <f t="shared" si="4"/>
        <v>-</v>
      </c>
      <c r="O26" s="14" t="str">
        <f t="shared" si="5"/>
        <v>-</v>
      </c>
      <c r="P26" s="14" t="str">
        <f t="shared" si="6"/>
        <v>-</v>
      </c>
      <c r="Q26" s="108" t="e">
        <f>RANK($K26,$K$5:$K$104,1)+COUNTIF(K$5:K26,K26)-1</f>
        <v>#VALUE!</v>
      </c>
      <c r="R26" s="108" t="e">
        <f t="shared" si="7"/>
        <v>#VALUE!</v>
      </c>
      <c r="S26" s="108" t="e">
        <f>RANK($L26,$L$5:$L$104,1)+COUNTIF(L$5:L26,L26)-1</f>
        <v>#VALUE!</v>
      </c>
      <c r="T26" s="108" t="e">
        <f t="shared" si="8"/>
        <v>#VALUE!</v>
      </c>
      <c r="U26" s="108" t="e">
        <f>RANK($M26,$M$5:$M$104,1)+COUNTIF(M$5:M26,M26)-1</f>
        <v>#VALUE!</v>
      </c>
      <c r="V26" s="108" t="e">
        <f t="shared" si="9"/>
        <v>#VALUE!</v>
      </c>
      <c r="W26" s="108" t="e">
        <f>RANK($N26,$N$5:$N$104,1)+COUNTIF(N$5:N26,N26)-1</f>
        <v>#VALUE!</v>
      </c>
      <c r="X26" s="108" t="e">
        <f t="shared" si="10"/>
        <v>#VALUE!</v>
      </c>
      <c r="Y26" s="108" t="e">
        <f>RANK($O26,$O$5:$O$104,1)+COUNTIF(O$5:O26,O26)-1</f>
        <v>#VALUE!</v>
      </c>
      <c r="Z26" s="108" t="e">
        <f t="shared" si="11"/>
        <v>#VALUE!</v>
      </c>
      <c r="AA26" s="108" t="e">
        <f>RANK($P26,$P$5:$P$104,1)+COUNTIF(P$5:P26,P26)-1</f>
        <v>#VALUE!</v>
      </c>
      <c r="AB26" s="108" t="e">
        <f t="shared" si="12"/>
        <v>#VALUE!</v>
      </c>
      <c r="AC26" s="59" t="str">
        <f t="shared" si="13"/>
        <v xml:space="preserve"> </v>
      </c>
      <c r="AD26" s="59" t="str">
        <f t="shared" si="14"/>
        <v>-</v>
      </c>
      <c r="AE26" s="119" t="str">
        <f t="shared" si="15"/>
        <v>-</v>
      </c>
      <c r="AF26" s="119" t="str">
        <f t="shared" si="15"/>
        <v>-</v>
      </c>
      <c r="AG26" s="119" t="str">
        <f t="shared" si="15"/>
        <v>-</v>
      </c>
      <c r="AH26" s="119" t="str">
        <f t="shared" si="15"/>
        <v>-</v>
      </c>
      <c r="AI26" s="119" t="str">
        <f t="shared" si="15"/>
        <v>-</v>
      </c>
      <c r="AJ26" s="119" t="str">
        <f t="shared" si="15"/>
        <v>-</v>
      </c>
      <c r="AM26" s="120">
        <v>22</v>
      </c>
      <c r="AN26" s="58" t="e">
        <f>VLOOKUP(AM26,Q$5:$AJ$104,$AO$2,FALSE)</f>
        <v>#N/A</v>
      </c>
      <c r="AO26" s="93" t="e">
        <f>VLOOKUP(AM26,Q$5:$AJ$104,$AO$2+11,FALSE)</f>
        <v>#N/A</v>
      </c>
      <c r="AP26" s="58" t="e">
        <f t="shared" si="16"/>
        <v>#N/A</v>
      </c>
      <c r="AR26" s="120">
        <v>22</v>
      </c>
      <c r="AS26" s="58" t="e">
        <f>VLOOKUP(AR26,$S$5:$AJ$104,$AT$2,FALSE)</f>
        <v>#N/A</v>
      </c>
      <c r="AT26" s="93" t="e">
        <f>VLOOKUP(AR26,$S$5:$AJ$104,$AT$2+9,FALSE)</f>
        <v>#N/A</v>
      </c>
      <c r="AU26" s="58" t="e">
        <f>VLOOKUP(AS26,$S$5:$AJ$104,$AT$2+12,FALSE)</f>
        <v>#N/A</v>
      </c>
      <c r="AV26" s="75"/>
      <c r="AW26" s="120">
        <v>22</v>
      </c>
      <c r="AX26" s="58" t="e">
        <f>VLOOKUP(AW26,$U$5:$AJ$104,$AY$2,FALSE)</f>
        <v>#N/A</v>
      </c>
      <c r="AY26" s="93" t="e">
        <f>VLOOKUP(AW26,$U$5:$AJ$104,$AY$2+7,FALSE)</f>
        <v>#N/A</v>
      </c>
      <c r="AZ26" s="58" t="e">
        <f>VLOOKUP(AX26,$U$5:$AJ$104,$AY$2+11,FALSE)</f>
        <v>#N/A</v>
      </c>
      <c r="BB26" s="120">
        <v>22</v>
      </c>
      <c r="BC26" s="58" t="e">
        <f>VLOOKUP(BB26,$W$5:$AJ$104,$BD$2,FALSE)</f>
        <v>#N/A</v>
      </c>
      <c r="BD26" s="93" t="e">
        <f>VLOOKUP(BB26,$W$5:$AJ$104,$BD$2+5,FALSE)</f>
        <v>#N/A</v>
      </c>
      <c r="BE26" s="58" t="e">
        <f>VLOOKUP(BC26,$W$5:$AJ$104,$BD$2+10,FALSE)</f>
        <v>#N/A</v>
      </c>
      <c r="BF26" s="75"/>
      <c r="BG26" s="120">
        <v>22</v>
      </c>
      <c r="BH26" s="58" t="e">
        <f>VLOOKUP(BG26,$Y$5:$AJ$104,$BI$2,FALSE)</f>
        <v>#N/A</v>
      </c>
      <c r="BI26" s="93" t="e">
        <f>VLOOKUP(BG26,$Y$5:$AJ$104,$BI$2+3,FALSE)</f>
        <v>#N/A</v>
      </c>
      <c r="BJ26" s="58" t="e">
        <f>VLOOKUP(BH26,$Y$5:$AJ$104,$BI$2+9,FALSE)</f>
        <v>#N/A</v>
      </c>
      <c r="BL26" s="120">
        <v>22</v>
      </c>
      <c r="BM26" s="58" t="e">
        <f>VLOOKUP(BL26,$AA$5:$AJ$104,$BN$2,FALSE)</f>
        <v>#N/A</v>
      </c>
      <c r="BN26" s="93" t="e">
        <f>VLOOKUP(BL26,$AA$5:$AJ$104,$BN$2+1,FALSE)</f>
        <v>#N/A</v>
      </c>
      <c r="BO26" s="58" t="e">
        <f>VLOOKUP(BM26,$AA$5:$AJ$104,$BN$2+8,FALSE)</f>
        <v>#N/A</v>
      </c>
      <c r="BQ26" s="2" t="e">
        <f>'Eclectic C'!CD26</f>
        <v>#N/A</v>
      </c>
      <c r="BR26" s="6" t="e">
        <f>'Eclectic C'!CE26</f>
        <v>#N/A</v>
      </c>
      <c r="BS26" s="103" t="e">
        <f>'Eclectic C'!CF26</f>
        <v>#N/A</v>
      </c>
    </row>
    <row r="27" spans="1:71">
      <c r="A27" s="10" t="str">
        <f>IF(ISBLANK(Players!K25),"",Players!K25)</f>
        <v/>
      </c>
      <c r="B27" s="10" t="str">
        <f>IF(ISBLANK(Players!L25),"",Players!L25)</f>
        <v/>
      </c>
      <c r="C27" s="10" t="str">
        <f>IF(ISBLANK(Players!N25),"",Players!N25)</f>
        <v/>
      </c>
      <c r="D27" s="126" t="str">
        <f>IF(ISNUMBER(C27),MIN((C27*Rules!$N$14/113)+(Rules!$N$13-Rules!$N$12),Rules!$N$37),"-")</f>
        <v>-</v>
      </c>
      <c r="E27" s="126" t="str">
        <f>IF(ISNUMBER(C27),    ROUND( (D27*Rules!$N$11) / 100,0),"-")</f>
        <v>-</v>
      </c>
      <c r="F27" s="36" t="str">
        <f>IF(AND(ISNUMBER(C27),C27&gt;=Rules!$M$24,C27&lt;=Rules!$N$24),"Y","N")</f>
        <v>N</v>
      </c>
      <c r="G27" s="137" t="str">
        <f>'Eclectic C'!M27</f>
        <v>-</v>
      </c>
      <c r="H27" s="137" t="str">
        <f>'Eclectic C'!W27</f>
        <v>-</v>
      </c>
      <c r="I27" s="137" t="str">
        <f>'Eclectic C'!AJ27</f>
        <v>-</v>
      </c>
      <c r="J27" s="137" t="str">
        <f>'Eclectic C'!AT27</f>
        <v>-</v>
      </c>
      <c r="K27" s="14" t="str">
        <f t="shared" si="1"/>
        <v>-</v>
      </c>
      <c r="L27" s="14" t="str">
        <f t="shared" si="2"/>
        <v>-</v>
      </c>
      <c r="M27" s="14" t="str">
        <f t="shared" si="3"/>
        <v>-</v>
      </c>
      <c r="N27" s="14" t="str">
        <f t="shared" si="4"/>
        <v>-</v>
      </c>
      <c r="O27" s="14" t="str">
        <f t="shared" si="5"/>
        <v>-</v>
      </c>
      <c r="P27" s="14" t="str">
        <f t="shared" si="6"/>
        <v>-</v>
      </c>
      <c r="Q27" s="108" t="e">
        <f>RANK($K27,$K$5:$K$104,1)+COUNTIF(K$5:K27,K27)-1</f>
        <v>#VALUE!</v>
      </c>
      <c r="R27" s="108" t="e">
        <f t="shared" si="7"/>
        <v>#VALUE!</v>
      </c>
      <c r="S27" s="108" t="e">
        <f>RANK($L27,$L$5:$L$104,1)+COUNTIF(L$5:L27,L27)-1</f>
        <v>#VALUE!</v>
      </c>
      <c r="T27" s="108" t="e">
        <f t="shared" si="8"/>
        <v>#VALUE!</v>
      </c>
      <c r="U27" s="108" t="e">
        <f>RANK($M27,$M$5:$M$104,1)+COUNTIF(M$5:M27,M27)-1</f>
        <v>#VALUE!</v>
      </c>
      <c r="V27" s="108" t="e">
        <f t="shared" si="9"/>
        <v>#VALUE!</v>
      </c>
      <c r="W27" s="108" t="e">
        <f>RANK($N27,$N$5:$N$104,1)+COUNTIF(N$5:N27,N27)-1</f>
        <v>#VALUE!</v>
      </c>
      <c r="X27" s="108" t="e">
        <f t="shared" si="10"/>
        <v>#VALUE!</v>
      </c>
      <c r="Y27" s="108" t="e">
        <f>RANK($O27,$O$5:$O$104,1)+COUNTIF(O$5:O27,O27)-1</f>
        <v>#VALUE!</v>
      </c>
      <c r="Z27" s="108" t="e">
        <f t="shared" si="11"/>
        <v>#VALUE!</v>
      </c>
      <c r="AA27" s="108" t="e">
        <f>RANK($P27,$P$5:$P$104,1)+COUNTIF(P$5:P27,P27)-1</f>
        <v>#VALUE!</v>
      </c>
      <c r="AB27" s="108" t="e">
        <f t="shared" si="12"/>
        <v>#VALUE!</v>
      </c>
      <c r="AC27" s="59" t="str">
        <f t="shared" si="13"/>
        <v xml:space="preserve"> </v>
      </c>
      <c r="AD27" s="59" t="str">
        <f t="shared" si="14"/>
        <v>-</v>
      </c>
      <c r="AE27" s="119" t="str">
        <f t="shared" si="15"/>
        <v>-</v>
      </c>
      <c r="AF27" s="119" t="str">
        <f t="shared" si="15"/>
        <v>-</v>
      </c>
      <c r="AG27" s="119" t="str">
        <f t="shared" si="15"/>
        <v>-</v>
      </c>
      <c r="AH27" s="119" t="str">
        <f t="shared" si="15"/>
        <v>-</v>
      </c>
      <c r="AI27" s="119" t="str">
        <f t="shared" si="15"/>
        <v>-</v>
      </c>
      <c r="AJ27" s="119" t="str">
        <f t="shared" si="15"/>
        <v>-</v>
      </c>
      <c r="AM27" s="120">
        <v>23</v>
      </c>
      <c r="AN27" s="58" t="e">
        <f>VLOOKUP(AM27,Q$5:$AJ$104,$AO$2,FALSE)</f>
        <v>#N/A</v>
      </c>
      <c r="AO27" s="93" t="e">
        <f>VLOOKUP(AM27,Q$5:$AJ$104,$AO$2+11,FALSE)</f>
        <v>#N/A</v>
      </c>
      <c r="AP27" s="58" t="e">
        <f t="shared" si="16"/>
        <v>#N/A</v>
      </c>
      <c r="AR27" s="120">
        <v>23</v>
      </c>
      <c r="AS27" s="58" t="e">
        <f>VLOOKUP(AR27,$S$5:$AJ$104,$AT$2,FALSE)</f>
        <v>#N/A</v>
      </c>
      <c r="AT27" s="93" t="e">
        <f>VLOOKUP(AR27,$S$5:$AJ$104,$AT$2+9,FALSE)</f>
        <v>#N/A</v>
      </c>
      <c r="AU27" s="58" t="e">
        <f>VLOOKUP(AS27,$S$5:$AJ$104,$AT$2+12,FALSE)</f>
        <v>#N/A</v>
      </c>
      <c r="AV27" s="75"/>
      <c r="AW27" s="120">
        <v>23</v>
      </c>
      <c r="AX27" s="58" t="e">
        <f>VLOOKUP(AW27,$U$5:$AJ$104,$AY$2,FALSE)</f>
        <v>#N/A</v>
      </c>
      <c r="AY27" s="93" t="e">
        <f>VLOOKUP(AW27,$U$5:$AJ$104,$AY$2+7,FALSE)</f>
        <v>#N/A</v>
      </c>
      <c r="AZ27" s="58" t="e">
        <f>VLOOKUP(AX27,$U$5:$AJ$104,$AY$2+11,FALSE)</f>
        <v>#N/A</v>
      </c>
      <c r="BB27" s="120">
        <v>23</v>
      </c>
      <c r="BC27" s="58" t="e">
        <f>VLOOKUP(BB27,$W$5:$AJ$104,$BD$2,FALSE)</f>
        <v>#N/A</v>
      </c>
      <c r="BD27" s="93" t="e">
        <f>VLOOKUP(BB27,$W$5:$AJ$104,$BD$2+5,FALSE)</f>
        <v>#N/A</v>
      </c>
      <c r="BE27" s="58" t="e">
        <f>VLOOKUP(BC27,$W$5:$AJ$104,$BD$2+10,FALSE)</f>
        <v>#N/A</v>
      </c>
      <c r="BF27" s="75"/>
      <c r="BG27" s="120">
        <v>23</v>
      </c>
      <c r="BH27" s="58" t="e">
        <f>VLOOKUP(BG27,$Y$5:$AJ$104,$BI$2,FALSE)</f>
        <v>#N/A</v>
      </c>
      <c r="BI27" s="93" t="e">
        <f>VLOOKUP(BG27,$Y$5:$AJ$104,$BI$2+3,FALSE)</f>
        <v>#N/A</v>
      </c>
      <c r="BJ27" s="58" t="e">
        <f>VLOOKUP(BH27,$Y$5:$AJ$104,$BI$2+9,FALSE)</f>
        <v>#N/A</v>
      </c>
      <c r="BL27" s="120">
        <v>23</v>
      </c>
      <c r="BM27" s="58" t="e">
        <f>VLOOKUP(BL27,$AA$5:$AJ$104,$BN$2,FALSE)</f>
        <v>#N/A</v>
      </c>
      <c r="BN27" s="93" t="e">
        <f>VLOOKUP(BL27,$AA$5:$AJ$104,$BN$2+1,FALSE)</f>
        <v>#N/A</v>
      </c>
      <c r="BO27" s="58" t="e">
        <f>VLOOKUP(BM27,$AA$5:$AJ$104,$BN$2+8,FALSE)</f>
        <v>#N/A</v>
      </c>
      <c r="BQ27" s="2" t="e">
        <f>'Eclectic C'!CD27</f>
        <v>#N/A</v>
      </c>
      <c r="BR27" s="6" t="e">
        <f>'Eclectic C'!CE27</f>
        <v>#N/A</v>
      </c>
      <c r="BS27" s="103" t="e">
        <f>'Eclectic C'!CF27</f>
        <v>#N/A</v>
      </c>
    </row>
    <row r="28" spans="1:71">
      <c r="A28" s="10" t="str">
        <f>IF(ISBLANK(Players!K26),"",Players!K26)</f>
        <v/>
      </c>
      <c r="B28" s="10" t="str">
        <f>IF(ISBLANK(Players!L26),"",Players!L26)</f>
        <v/>
      </c>
      <c r="C28" s="10" t="str">
        <f>IF(ISBLANK(Players!N26),"",Players!N26)</f>
        <v/>
      </c>
      <c r="D28" s="126" t="str">
        <f>IF(ISNUMBER(C28),MIN((C28*Rules!$N$14/113)+(Rules!$N$13-Rules!$N$12),Rules!$N$37),"-")</f>
        <v>-</v>
      </c>
      <c r="E28" s="126" t="str">
        <f>IF(ISNUMBER(C28),    ROUND( (D28*Rules!$N$11) / 100,0),"-")</f>
        <v>-</v>
      </c>
      <c r="F28" s="36" t="str">
        <f>IF(AND(ISNUMBER(C28),C28&gt;=Rules!$M$24,C28&lt;=Rules!$N$24),"Y","N")</f>
        <v>N</v>
      </c>
      <c r="G28" s="137" t="str">
        <f>'Eclectic C'!M28</f>
        <v>-</v>
      </c>
      <c r="H28" s="137" t="str">
        <f>'Eclectic C'!W28</f>
        <v>-</v>
      </c>
      <c r="I28" s="137" t="str">
        <f>'Eclectic C'!AJ28</f>
        <v>-</v>
      </c>
      <c r="J28" s="137" t="str">
        <f>'Eclectic C'!AT28</f>
        <v>-</v>
      </c>
      <c r="K28" s="14" t="str">
        <f t="shared" si="1"/>
        <v>-</v>
      </c>
      <c r="L28" s="14" t="str">
        <f t="shared" si="2"/>
        <v>-</v>
      </c>
      <c r="M28" s="14" t="str">
        <f t="shared" si="3"/>
        <v>-</v>
      </c>
      <c r="N28" s="14" t="str">
        <f t="shared" si="4"/>
        <v>-</v>
      </c>
      <c r="O28" s="14" t="str">
        <f t="shared" si="5"/>
        <v>-</v>
      </c>
      <c r="P28" s="14" t="str">
        <f t="shared" si="6"/>
        <v>-</v>
      </c>
      <c r="Q28" s="108" t="e">
        <f>RANK($K28,$K$5:$K$104,1)+COUNTIF(K$5:K28,K28)-1</f>
        <v>#VALUE!</v>
      </c>
      <c r="R28" s="108" t="e">
        <f t="shared" si="7"/>
        <v>#VALUE!</v>
      </c>
      <c r="S28" s="108" t="e">
        <f>RANK($L28,$L$5:$L$104,1)+COUNTIF(L$5:L28,L28)-1</f>
        <v>#VALUE!</v>
      </c>
      <c r="T28" s="108" t="e">
        <f t="shared" si="8"/>
        <v>#VALUE!</v>
      </c>
      <c r="U28" s="108" t="e">
        <f>RANK($M28,$M$5:$M$104,1)+COUNTIF(M$5:M28,M28)-1</f>
        <v>#VALUE!</v>
      </c>
      <c r="V28" s="108" t="e">
        <f t="shared" si="9"/>
        <v>#VALUE!</v>
      </c>
      <c r="W28" s="108" t="e">
        <f>RANK($N28,$N$5:$N$104,1)+COUNTIF(N$5:N28,N28)-1</f>
        <v>#VALUE!</v>
      </c>
      <c r="X28" s="108" t="e">
        <f t="shared" si="10"/>
        <v>#VALUE!</v>
      </c>
      <c r="Y28" s="108" t="e">
        <f>RANK($O28,$O$5:$O$104,1)+COUNTIF(O$5:O28,O28)-1</f>
        <v>#VALUE!</v>
      </c>
      <c r="Z28" s="108" t="e">
        <f t="shared" si="11"/>
        <v>#VALUE!</v>
      </c>
      <c r="AA28" s="108" t="e">
        <f>RANK($P28,$P$5:$P$104,1)+COUNTIF(P$5:P28,P28)-1</f>
        <v>#VALUE!</v>
      </c>
      <c r="AB28" s="108" t="e">
        <f t="shared" si="12"/>
        <v>#VALUE!</v>
      </c>
      <c r="AC28" s="59" t="str">
        <f t="shared" si="13"/>
        <v xml:space="preserve"> </v>
      </c>
      <c r="AD28" s="59" t="str">
        <f t="shared" si="14"/>
        <v>-</v>
      </c>
      <c r="AE28" s="119" t="str">
        <f t="shared" si="15"/>
        <v>-</v>
      </c>
      <c r="AF28" s="119" t="str">
        <f t="shared" si="15"/>
        <v>-</v>
      </c>
      <c r="AG28" s="119" t="str">
        <f t="shared" si="15"/>
        <v>-</v>
      </c>
      <c r="AH28" s="119" t="str">
        <f t="shared" si="15"/>
        <v>-</v>
      </c>
      <c r="AI28" s="119" t="str">
        <f t="shared" si="15"/>
        <v>-</v>
      </c>
      <c r="AJ28" s="119" t="str">
        <f t="shared" si="15"/>
        <v>-</v>
      </c>
      <c r="AM28" s="120">
        <v>24</v>
      </c>
      <c r="AN28" s="58" t="e">
        <f>VLOOKUP(AM28,Q$5:$AJ$104,$AO$2,FALSE)</f>
        <v>#N/A</v>
      </c>
      <c r="AO28" s="93" t="e">
        <f>VLOOKUP(AM28,Q$5:$AJ$104,$AO$2+11,FALSE)</f>
        <v>#N/A</v>
      </c>
      <c r="AP28" s="58" t="e">
        <f t="shared" si="16"/>
        <v>#N/A</v>
      </c>
      <c r="AR28" s="120">
        <v>24</v>
      </c>
      <c r="AS28" s="58" t="e">
        <f>VLOOKUP(AR28,$S$5:$AJ$104,$AT$2,FALSE)</f>
        <v>#N/A</v>
      </c>
      <c r="AT28" s="93" t="e">
        <f>VLOOKUP(AR28,$S$5:$AJ$104,$AT$2+9,FALSE)</f>
        <v>#N/A</v>
      </c>
      <c r="AU28" s="58" t="e">
        <f>VLOOKUP(AS28,$S$5:$AJ$104,$AT$2+12,FALSE)</f>
        <v>#N/A</v>
      </c>
      <c r="AV28" s="75"/>
      <c r="AW28" s="120">
        <v>24</v>
      </c>
      <c r="AX28" s="58" t="e">
        <f>VLOOKUP(AW28,$U$5:$AJ$104,$AY$2,FALSE)</f>
        <v>#N/A</v>
      </c>
      <c r="AY28" s="93" t="e">
        <f>VLOOKUP(AW28,$U$5:$AJ$104,$AY$2+7,FALSE)</f>
        <v>#N/A</v>
      </c>
      <c r="AZ28" s="58" t="e">
        <f>VLOOKUP(AX28,$U$5:$AJ$104,$AY$2+11,FALSE)</f>
        <v>#N/A</v>
      </c>
      <c r="BB28" s="120">
        <v>24</v>
      </c>
      <c r="BC28" s="58" t="e">
        <f>VLOOKUP(BB28,$W$5:$AJ$104,$BD$2,FALSE)</f>
        <v>#N/A</v>
      </c>
      <c r="BD28" s="93" t="e">
        <f>VLOOKUP(BB28,$W$5:$AJ$104,$BD$2+5,FALSE)</f>
        <v>#N/A</v>
      </c>
      <c r="BE28" s="58" t="e">
        <f>VLOOKUP(BC28,$W$5:$AJ$104,$BD$2+10,FALSE)</f>
        <v>#N/A</v>
      </c>
      <c r="BF28" s="75"/>
      <c r="BG28" s="120">
        <v>24</v>
      </c>
      <c r="BH28" s="58" t="e">
        <f>VLOOKUP(BG28,$Y$5:$AJ$104,$BI$2,FALSE)</f>
        <v>#N/A</v>
      </c>
      <c r="BI28" s="93" t="e">
        <f>VLOOKUP(BG28,$Y$5:$AJ$104,$BI$2+3,FALSE)</f>
        <v>#N/A</v>
      </c>
      <c r="BJ28" s="58" t="e">
        <f>VLOOKUP(BH28,$Y$5:$AJ$104,$BI$2+9,FALSE)</f>
        <v>#N/A</v>
      </c>
      <c r="BL28" s="120">
        <v>24</v>
      </c>
      <c r="BM28" s="58" t="e">
        <f>VLOOKUP(BL28,$AA$5:$AJ$104,$BN$2,FALSE)</f>
        <v>#N/A</v>
      </c>
      <c r="BN28" s="93" t="e">
        <f>VLOOKUP(BL28,$AA$5:$AJ$104,$BN$2+1,FALSE)</f>
        <v>#N/A</v>
      </c>
      <c r="BO28" s="58" t="e">
        <f>VLOOKUP(BM28,$AA$5:$AJ$104,$BN$2+8,FALSE)</f>
        <v>#N/A</v>
      </c>
      <c r="BQ28" s="2" t="e">
        <f>'Eclectic C'!CD28</f>
        <v>#N/A</v>
      </c>
      <c r="BR28" s="6" t="e">
        <f>'Eclectic C'!CE28</f>
        <v>#N/A</v>
      </c>
      <c r="BS28" s="103" t="e">
        <f>'Eclectic C'!CF28</f>
        <v>#N/A</v>
      </c>
    </row>
    <row r="29" spans="1:71">
      <c r="A29" s="10" t="str">
        <f>IF(ISBLANK(Players!K27),"",Players!K27)</f>
        <v/>
      </c>
      <c r="B29" s="10" t="str">
        <f>IF(ISBLANK(Players!L27),"",Players!L27)</f>
        <v/>
      </c>
      <c r="C29" s="10" t="str">
        <f>IF(ISBLANK(Players!N27),"",Players!N27)</f>
        <v/>
      </c>
      <c r="D29" s="126" t="str">
        <f>IF(ISNUMBER(C29),MIN((C29*Rules!$N$14/113)+(Rules!$N$13-Rules!$N$12),Rules!$N$37),"-")</f>
        <v>-</v>
      </c>
      <c r="E29" s="126" t="str">
        <f>IF(ISNUMBER(C29),    ROUND( (D29*Rules!$N$11) / 100,0),"-")</f>
        <v>-</v>
      </c>
      <c r="F29" s="36" t="str">
        <f>IF(AND(ISNUMBER(C29),C29&gt;=Rules!$M$24,C29&lt;=Rules!$N$24),"Y","N")</f>
        <v>N</v>
      </c>
      <c r="G29" s="137" t="str">
        <f>'Eclectic C'!M29</f>
        <v>-</v>
      </c>
      <c r="H29" s="137" t="str">
        <f>'Eclectic C'!W29</f>
        <v>-</v>
      </c>
      <c r="I29" s="137" t="str">
        <f>'Eclectic C'!AJ29</f>
        <v>-</v>
      </c>
      <c r="J29" s="137" t="str">
        <f>'Eclectic C'!AT29</f>
        <v>-</v>
      </c>
      <c r="K29" s="14" t="str">
        <f t="shared" si="1"/>
        <v>-</v>
      </c>
      <c r="L29" s="14" t="str">
        <f t="shared" si="2"/>
        <v>-</v>
      </c>
      <c r="M29" s="14" t="str">
        <f t="shared" si="3"/>
        <v>-</v>
      </c>
      <c r="N29" s="14" t="str">
        <f t="shared" si="4"/>
        <v>-</v>
      </c>
      <c r="O29" s="14" t="str">
        <f t="shared" si="5"/>
        <v>-</v>
      </c>
      <c r="P29" s="14" t="str">
        <f t="shared" si="6"/>
        <v>-</v>
      </c>
      <c r="Q29" s="108" t="e">
        <f>RANK($K29,$K$5:$K$104,1)+COUNTIF(K$5:K29,K29)-1</f>
        <v>#VALUE!</v>
      </c>
      <c r="R29" s="108" t="e">
        <f t="shared" si="7"/>
        <v>#VALUE!</v>
      </c>
      <c r="S29" s="108" t="e">
        <f>RANK($L29,$L$5:$L$104,1)+COUNTIF(L$5:L29,L29)-1</f>
        <v>#VALUE!</v>
      </c>
      <c r="T29" s="108" t="e">
        <f t="shared" si="8"/>
        <v>#VALUE!</v>
      </c>
      <c r="U29" s="108" t="e">
        <f>RANK($M29,$M$5:$M$104,1)+COUNTIF(M$5:M29,M29)-1</f>
        <v>#VALUE!</v>
      </c>
      <c r="V29" s="108" t="e">
        <f t="shared" si="9"/>
        <v>#VALUE!</v>
      </c>
      <c r="W29" s="108" t="e">
        <f>RANK($N29,$N$5:$N$104,1)+COUNTIF(N$5:N29,N29)-1</f>
        <v>#VALUE!</v>
      </c>
      <c r="X29" s="108" t="e">
        <f t="shared" si="10"/>
        <v>#VALUE!</v>
      </c>
      <c r="Y29" s="108" t="e">
        <f>RANK($O29,$O$5:$O$104,1)+COUNTIF(O$5:O29,O29)-1</f>
        <v>#VALUE!</v>
      </c>
      <c r="Z29" s="108" t="e">
        <f t="shared" si="11"/>
        <v>#VALUE!</v>
      </c>
      <c r="AA29" s="108" t="e">
        <f>RANK($P29,$P$5:$P$104,1)+COUNTIF(P$5:P29,P29)-1</f>
        <v>#VALUE!</v>
      </c>
      <c r="AB29" s="108" t="e">
        <f t="shared" si="12"/>
        <v>#VALUE!</v>
      </c>
      <c r="AC29" s="59" t="str">
        <f t="shared" si="13"/>
        <v xml:space="preserve"> </v>
      </c>
      <c r="AD29" s="59" t="str">
        <f t="shared" si="14"/>
        <v>-</v>
      </c>
      <c r="AE29" s="119" t="str">
        <f t="shared" si="15"/>
        <v>-</v>
      </c>
      <c r="AF29" s="119" t="str">
        <f t="shared" si="15"/>
        <v>-</v>
      </c>
      <c r="AG29" s="119" t="str">
        <f t="shared" si="15"/>
        <v>-</v>
      </c>
      <c r="AH29" s="119" t="str">
        <f t="shared" si="15"/>
        <v>-</v>
      </c>
      <c r="AI29" s="119" t="str">
        <f t="shared" si="15"/>
        <v>-</v>
      </c>
      <c r="AJ29" s="119" t="str">
        <f t="shared" si="15"/>
        <v>-</v>
      </c>
      <c r="AM29" s="120">
        <v>25</v>
      </c>
      <c r="AN29" s="58" t="e">
        <f>VLOOKUP(AM29,Q$5:$AJ$104,$AO$2,FALSE)</f>
        <v>#N/A</v>
      </c>
      <c r="AO29" s="93" t="e">
        <f>VLOOKUP(AM29,Q$5:$AJ$104,$AO$2+11,FALSE)</f>
        <v>#N/A</v>
      </c>
      <c r="AP29" s="58" t="e">
        <f t="shared" si="16"/>
        <v>#N/A</v>
      </c>
      <c r="AR29" s="120">
        <v>25</v>
      </c>
      <c r="AS29" s="58" t="e">
        <f>VLOOKUP(AR29,$S$5:$AJ$104,$AT$2,FALSE)</f>
        <v>#N/A</v>
      </c>
      <c r="AT29" s="93" t="e">
        <f>VLOOKUP(AR29,$S$5:$AJ$104,$AT$2+9,FALSE)</f>
        <v>#N/A</v>
      </c>
      <c r="AU29" s="58" t="e">
        <f>VLOOKUP(AS29,$S$5:$AJ$104,$AT$2+12,FALSE)</f>
        <v>#N/A</v>
      </c>
      <c r="AV29" s="75"/>
      <c r="AW29" s="120">
        <v>25</v>
      </c>
      <c r="AX29" s="58" t="e">
        <f>VLOOKUP(AW29,$U$5:$AJ$104,$AY$2,FALSE)</f>
        <v>#N/A</v>
      </c>
      <c r="AY29" s="93" t="e">
        <f>VLOOKUP(AW29,$U$5:$AJ$104,$AY$2+7,FALSE)</f>
        <v>#N/A</v>
      </c>
      <c r="AZ29" s="58" t="e">
        <f>VLOOKUP(AX29,$U$5:$AJ$104,$AY$2+11,FALSE)</f>
        <v>#N/A</v>
      </c>
      <c r="BB29" s="120">
        <v>25</v>
      </c>
      <c r="BC29" s="58" t="e">
        <f>VLOOKUP(BB29,$W$5:$AJ$104,$BD$2,FALSE)</f>
        <v>#N/A</v>
      </c>
      <c r="BD29" s="93" t="e">
        <f>VLOOKUP(BB29,$W$5:$AJ$104,$BD$2+5,FALSE)</f>
        <v>#N/A</v>
      </c>
      <c r="BE29" s="58" t="e">
        <f>VLOOKUP(BC29,$W$5:$AJ$104,$BD$2+10,FALSE)</f>
        <v>#N/A</v>
      </c>
      <c r="BF29" s="75"/>
      <c r="BG29" s="120">
        <v>25</v>
      </c>
      <c r="BH29" s="58" t="e">
        <f>VLOOKUP(BG29,$Y$5:$AJ$104,$BI$2,FALSE)</f>
        <v>#N/A</v>
      </c>
      <c r="BI29" s="93" t="e">
        <f>VLOOKUP(BG29,$Y$5:$AJ$104,$BI$2+3,FALSE)</f>
        <v>#N/A</v>
      </c>
      <c r="BJ29" s="58" t="e">
        <f>VLOOKUP(BH29,$Y$5:$AJ$104,$BI$2+9,FALSE)</f>
        <v>#N/A</v>
      </c>
      <c r="BL29" s="120">
        <v>25</v>
      </c>
      <c r="BM29" s="58" t="e">
        <f>VLOOKUP(BL29,$AA$5:$AJ$104,$BN$2,FALSE)</f>
        <v>#N/A</v>
      </c>
      <c r="BN29" s="93" t="e">
        <f>VLOOKUP(BL29,$AA$5:$AJ$104,$BN$2+1,FALSE)</f>
        <v>#N/A</v>
      </c>
      <c r="BO29" s="58" t="e">
        <f>VLOOKUP(BM29,$AA$5:$AJ$104,$BN$2+8,FALSE)</f>
        <v>#N/A</v>
      </c>
      <c r="BQ29" s="2" t="e">
        <f>'Eclectic C'!CD29</f>
        <v>#N/A</v>
      </c>
      <c r="BR29" s="6" t="e">
        <f>'Eclectic C'!CE29</f>
        <v>#N/A</v>
      </c>
      <c r="BS29" s="103" t="e">
        <f>'Eclectic C'!CF29</f>
        <v>#N/A</v>
      </c>
    </row>
    <row r="30" spans="1:71">
      <c r="A30" s="10" t="str">
        <f>IF(ISBLANK(Players!K28),"",Players!K28)</f>
        <v/>
      </c>
      <c r="B30" s="10" t="str">
        <f>IF(ISBLANK(Players!L28),"",Players!L28)</f>
        <v/>
      </c>
      <c r="C30" s="10" t="str">
        <f>IF(ISBLANK(Players!N28),"",Players!N28)</f>
        <v/>
      </c>
      <c r="D30" s="126" t="str">
        <f>IF(ISNUMBER(C30),MIN((C30*Rules!$N$14/113)+(Rules!$N$13-Rules!$N$12),Rules!$N$37),"-")</f>
        <v>-</v>
      </c>
      <c r="E30" s="126" t="str">
        <f>IF(ISNUMBER(C30),    ROUND( (D30*Rules!$N$11) / 100,0),"-")</f>
        <v>-</v>
      </c>
      <c r="F30" s="36" t="str">
        <f>IF(AND(ISNUMBER(C30),C30&gt;=Rules!$M$24,C30&lt;=Rules!$N$24),"Y","N")</f>
        <v>N</v>
      </c>
      <c r="G30" s="137" t="str">
        <f>'Eclectic C'!M30</f>
        <v>-</v>
      </c>
      <c r="H30" s="137" t="str">
        <f>'Eclectic C'!W30</f>
        <v>-</v>
      </c>
      <c r="I30" s="137" t="str">
        <f>'Eclectic C'!AJ30</f>
        <v>-</v>
      </c>
      <c r="J30" s="137" t="str">
        <f>'Eclectic C'!AT30</f>
        <v>-</v>
      </c>
      <c r="K30" s="14" t="str">
        <f t="shared" si="1"/>
        <v>-</v>
      </c>
      <c r="L30" s="14" t="str">
        <f t="shared" si="2"/>
        <v>-</v>
      </c>
      <c r="M30" s="14" t="str">
        <f t="shared" si="3"/>
        <v>-</v>
      </c>
      <c r="N30" s="14" t="str">
        <f t="shared" si="4"/>
        <v>-</v>
      </c>
      <c r="O30" s="14" t="str">
        <f t="shared" si="5"/>
        <v>-</v>
      </c>
      <c r="P30" s="14" t="str">
        <f t="shared" si="6"/>
        <v>-</v>
      </c>
      <c r="Q30" s="108" t="e">
        <f>RANK($K30,$K$5:$K$104,1)+COUNTIF(K$5:K30,K30)-1</f>
        <v>#VALUE!</v>
      </c>
      <c r="R30" s="108" t="e">
        <f t="shared" si="7"/>
        <v>#VALUE!</v>
      </c>
      <c r="S30" s="108" t="e">
        <f>RANK($L30,$L$5:$L$104,1)+COUNTIF(L$5:L30,L30)-1</f>
        <v>#VALUE!</v>
      </c>
      <c r="T30" s="108" t="e">
        <f t="shared" si="8"/>
        <v>#VALUE!</v>
      </c>
      <c r="U30" s="108" t="e">
        <f>RANK($M30,$M$5:$M$104,1)+COUNTIF(M$5:M30,M30)-1</f>
        <v>#VALUE!</v>
      </c>
      <c r="V30" s="108" t="e">
        <f t="shared" si="9"/>
        <v>#VALUE!</v>
      </c>
      <c r="W30" s="108" t="e">
        <f>RANK($N30,$N$5:$N$104,1)+COUNTIF(N$5:N30,N30)-1</f>
        <v>#VALUE!</v>
      </c>
      <c r="X30" s="108" t="e">
        <f t="shared" si="10"/>
        <v>#VALUE!</v>
      </c>
      <c r="Y30" s="108" t="e">
        <f>RANK($O30,$O$5:$O$104,1)+COUNTIF(O$5:O30,O30)-1</f>
        <v>#VALUE!</v>
      </c>
      <c r="Z30" s="108" t="e">
        <f t="shared" si="11"/>
        <v>#VALUE!</v>
      </c>
      <c r="AA30" s="108" t="e">
        <f>RANK($P30,$P$5:$P$104,1)+COUNTIF(P$5:P30,P30)-1</f>
        <v>#VALUE!</v>
      </c>
      <c r="AB30" s="108" t="e">
        <f t="shared" si="12"/>
        <v>#VALUE!</v>
      </c>
      <c r="AC30" s="59" t="str">
        <f t="shared" si="13"/>
        <v xml:space="preserve"> </v>
      </c>
      <c r="AD30" s="59" t="str">
        <f t="shared" si="14"/>
        <v>-</v>
      </c>
      <c r="AE30" s="119" t="str">
        <f t="shared" si="15"/>
        <v>-</v>
      </c>
      <c r="AF30" s="119" t="str">
        <f t="shared" si="15"/>
        <v>-</v>
      </c>
      <c r="AG30" s="119" t="str">
        <f t="shared" si="15"/>
        <v>-</v>
      </c>
      <c r="AH30" s="119" t="str">
        <f t="shared" si="15"/>
        <v>-</v>
      </c>
      <c r="AI30" s="119" t="str">
        <f t="shared" si="15"/>
        <v>-</v>
      </c>
      <c r="AJ30" s="119" t="str">
        <f t="shared" si="15"/>
        <v>-</v>
      </c>
      <c r="AM30" s="120">
        <v>26</v>
      </c>
      <c r="AN30" s="58" t="e">
        <f>VLOOKUP(AM30,Q$5:$AJ$104,$AO$2,FALSE)</f>
        <v>#N/A</v>
      </c>
      <c r="AO30" s="93" t="e">
        <f>VLOOKUP(AM30,Q$5:$AJ$104,$AO$2+11,FALSE)</f>
        <v>#N/A</v>
      </c>
      <c r="AP30" s="58" t="e">
        <f t="shared" si="16"/>
        <v>#N/A</v>
      </c>
      <c r="AR30" s="120">
        <v>26</v>
      </c>
      <c r="AS30" s="58" t="e">
        <f>VLOOKUP(AR30,$S$5:$AJ$104,$AT$2,FALSE)</f>
        <v>#N/A</v>
      </c>
      <c r="AT30" s="93" t="e">
        <f>VLOOKUP(AR30,$S$5:$AJ$104,$AT$2+9,FALSE)</f>
        <v>#N/A</v>
      </c>
      <c r="AU30" s="58" t="e">
        <f>VLOOKUP(AS30,$S$5:$AJ$104,$AT$2+12,FALSE)</f>
        <v>#N/A</v>
      </c>
      <c r="AV30" s="75"/>
      <c r="AW30" s="120">
        <v>26</v>
      </c>
      <c r="AX30" s="58" t="e">
        <f>VLOOKUP(AW30,$U$5:$AJ$104,$AY$2,FALSE)</f>
        <v>#N/A</v>
      </c>
      <c r="AY30" s="93" t="e">
        <f>VLOOKUP(AW30,$U$5:$AJ$104,$AY$2+7,FALSE)</f>
        <v>#N/A</v>
      </c>
      <c r="AZ30" s="58" t="e">
        <f>VLOOKUP(AX30,$U$5:$AJ$104,$AY$2+11,FALSE)</f>
        <v>#N/A</v>
      </c>
      <c r="BB30" s="120">
        <v>26</v>
      </c>
      <c r="BC30" s="58" t="e">
        <f>VLOOKUP(BB30,$W$5:$AJ$104,$BD$2,FALSE)</f>
        <v>#N/A</v>
      </c>
      <c r="BD30" s="93" t="e">
        <f>VLOOKUP(BB30,$W$5:$AJ$104,$BD$2+5,FALSE)</f>
        <v>#N/A</v>
      </c>
      <c r="BE30" s="58" t="e">
        <f>VLOOKUP(BC30,$W$5:$AJ$104,$BD$2+10,FALSE)</f>
        <v>#N/A</v>
      </c>
      <c r="BF30" s="75"/>
      <c r="BG30" s="120">
        <v>26</v>
      </c>
      <c r="BH30" s="58" t="e">
        <f>VLOOKUP(BG30,$Y$5:$AJ$104,$BI$2,FALSE)</f>
        <v>#N/A</v>
      </c>
      <c r="BI30" s="93" t="e">
        <f>VLOOKUP(BG30,$Y$5:$AJ$104,$BI$2+3,FALSE)</f>
        <v>#N/A</v>
      </c>
      <c r="BJ30" s="58" t="e">
        <f>VLOOKUP(BH30,$Y$5:$AJ$104,$BI$2+9,FALSE)</f>
        <v>#N/A</v>
      </c>
      <c r="BL30" s="120">
        <v>26</v>
      </c>
      <c r="BM30" s="58" t="e">
        <f>VLOOKUP(BL30,$AA$5:$AJ$104,$BN$2,FALSE)</f>
        <v>#N/A</v>
      </c>
      <c r="BN30" s="93" t="e">
        <f>VLOOKUP(BL30,$AA$5:$AJ$104,$BN$2+1,FALSE)</f>
        <v>#N/A</v>
      </c>
      <c r="BO30" s="58" t="e">
        <f>VLOOKUP(BM30,$AA$5:$AJ$104,$BN$2+8,FALSE)</f>
        <v>#N/A</v>
      </c>
      <c r="BQ30" s="2" t="e">
        <f>'Eclectic C'!CD30</f>
        <v>#N/A</v>
      </c>
      <c r="BR30" s="6" t="e">
        <f>'Eclectic C'!CE30</f>
        <v>#N/A</v>
      </c>
      <c r="BS30" s="103" t="e">
        <f>'Eclectic C'!CF30</f>
        <v>#N/A</v>
      </c>
    </row>
    <row r="31" spans="1:71">
      <c r="A31" s="10" t="str">
        <f>IF(ISBLANK(Players!K29),"",Players!K29)</f>
        <v/>
      </c>
      <c r="B31" s="10" t="str">
        <f>IF(ISBLANK(Players!L29),"",Players!L29)</f>
        <v/>
      </c>
      <c r="C31" s="10" t="str">
        <f>IF(ISBLANK(Players!N29),"",Players!N29)</f>
        <v/>
      </c>
      <c r="D31" s="126" t="str">
        <f>IF(ISNUMBER(C31),MIN((C31*Rules!$N$14/113)+(Rules!$N$13-Rules!$N$12),Rules!$N$37),"-")</f>
        <v>-</v>
      </c>
      <c r="E31" s="126" t="str">
        <f>IF(ISNUMBER(C31),    ROUND( (D31*Rules!$N$11) / 100,0),"-")</f>
        <v>-</v>
      </c>
      <c r="F31" s="36" t="str">
        <f>IF(AND(ISNUMBER(C31),C31&gt;=Rules!$M$24,C31&lt;=Rules!$N$24),"Y","N")</f>
        <v>N</v>
      </c>
      <c r="G31" s="137" t="str">
        <f>'Eclectic C'!M31</f>
        <v>-</v>
      </c>
      <c r="H31" s="137" t="str">
        <f>'Eclectic C'!W31</f>
        <v>-</v>
      </c>
      <c r="I31" s="137" t="str">
        <f>'Eclectic C'!AJ31</f>
        <v>-</v>
      </c>
      <c r="J31" s="137" t="str">
        <f>'Eclectic C'!AT31</f>
        <v>-</v>
      </c>
      <c r="K31" s="14" t="str">
        <f t="shared" si="1"/>
        <v>-</v>
      </c>
      <c r="L31" s="14" t="str">
        <f t="shared" si="2"/>
        <v>-</v>
      </c>
      <c r="M31" s="14" t="str">
        <f t="shared" si="3"/>
        <v>-</v>
      </c>
      <c r="N31" s="14" t="str">
        <f t="shared" si="4"/>
        <v>-</v>
      </c>
      <c r="O31" s="14" t="str">
        <f t="shared" si="5"/>
        <v>-</v>
      </c>
      <c r="P31" s="14" t="str">
        <f t="shared" si="6"/>
        <v>-</v>
      </c>
      <c r="Q31" s="108" t="e">
        <f>RANK($K31,$K$5:$K$104,1)+COUNTIF(K$5:K31,K31)-1</f>
        <v>#VALUE!</v>
      </c>
      <c r="R31" s="108" t="e">
        <f t="shared" si="7"/>
        <v>#VALUE!</v>
      </c>
      <c r="S31" s="108" t="e">
        <f>RANK($L31,$L$5:$L$104,1)+COUNTIF(L$5:L31,L31)-1</f>
        <v>#VALUE!</v>
      </c>
      <c r="T31" s="108" t="e">
        <f t="shared" si="8"/>
        <v>#VALUE!</v>
      </c>
      <c r="U31" s="108" t="e">
        <f>RANK($M31,$M$5:$M$104,1)+COUNTIF(M$5:M31,M31)-1</f>
        <v>#VALUE!</v>
      </c>
      <c r="V31" s="108" t="e">
        <f t="shared" si="9"/>
        <v>#VALUE!</v>
      </c>
      <c r="W31" s="108" t="e">
        <f>RANK($N31,$N$5:$N$104,1)+COUNTIF(N$5:N31,N31)-1</f>
        <v>#VALUE!</v>
      </c>
      <c r="X31" s="108" t="e">
        <f t="shared" si="10"/>
        <v>#VALUE!</v>
      </c>
      <c r="Y31" s="108" t="e">
        <f>RANK($O31,$O$5:$O$104,1)+COUNTIF(O$5:O31,O31)-1</f>
        <v>#VALUE!</v>
      </c>
      <c r="Z31" s="108" t="e">
        <f t="shared" si="11"/>
        <v>#VALUE!</v>
      </c>
      <c r="AA31" s="108" t="e">
        <f>RANK($P31,$P$5:$P$104,1)+COUNTIF(P$5:P31,P31)-1</f>
        <v>#VALUE!</v>
      </c>
      <c r="AB31" s="108" t="e">
        <f t="shared" si="12"/>
        <v>#VALUE!</v>
      </c>
      <c r="AC31" s="59" t="str">
        <f t="shared" si="13"/>
        <v xml:space="preserve"> </v>
      </c>
      <c r="AD31" s="59" t="str">
        <f t="shared" si="14"/>
        <v>-</v>
      </c>
      <c r="AE31" s="119" t="str">
        <f t="shared" si="15"/>
        <v>-</v>
      </c>
      <c r="AF31" s="119" t="str">
        <f t="shared" si="15"/>
        <v>-</v>
      </c>
      <c r="AG31" s="119" t="str">
        <f t="shared" si="15"/>
        <v>-</v>
      </c>
      <c r="AH31" s="119" t="str">
        <f t="shared" si="15"/>
        <v>-</v>
      </c>
      <c r="AI31" s="119" t="str">
        <f t="shared" si="15"/>
        <v>-</v>
      </c>
      <c r="AJ31" s="119" t="str">
        <f t="shared" si="15"/>
        <v>-</v>
      </c>
      <c r="AM31" s="120">
        <v>27</v>
      </c>
      <c r="AN31" s="58" t="e">
        <f>VLOOKUP(AM31,Q$5:$AJ$104,$AO$2,FALSE)</f>
        <v>#N/A</v>
      </c>
      <c r="AO31" s="93" t="e">
        <f>VLOOKUP(AM31,Q$5:$AJ$104,$AO$2+11,FALSE)</f>
        <v>#N/A</v>
      </c>
      <c r="AP31" s="58" t="e">
        <f t="shared" si="16"/>
        <v>#N/A</v>
      </c>
      <c r="AR31" s="120">
        <v>27</v>
      </c>
      <c r="AS31" s="58" t="e">
        <f>VLOOKUP(AR31,$S$5:$AJ$104,$AT$2,FALSE)</f>
        <v>#N/A</v>
      </c>
      <c r="AT31" s="93" t="e">
        <f>VLOOKUP(AR31,$S$5:$AJ$104,$AT$2+9,FALSE)</f>
        <v>#N/A</v>
      </c>
      <c r="AU31" s="58" t="e">
        <f>VLOOKUP(AS31,$S$5:$AJ$104,$AT$2+12,FALSE)</f>
        <v>#N/A</v>
      </c>
      <c r="AV31" s="75"/>
      <c r="AW31" s="120">
        <v>27</v>
      </c>
      <c r="AX31" s="58" t="e">
        <f>VLOOKUP(AW31,$U$5:$AJ$104,$AY$2,FALSE)</f>
        <v>#N/A</v>
      </c>
      <c r="AY31" s="93" t="e">
        <f>VLOOKUP(AW31,$U$5:$AJ$104,$AY$2+7,FALSE)</f>
        <v>#N/A</v>
      </c>
      <c r="AZ31" s="58" t="e">
        <f>VLOOKUP(AX31,$U$5:$AJ$104,$AY$2+11,FALSE)</f>
        <v>#N/A</v>
      </c>
      <c r="BB31" s="120">
        <v>27</v>
      </c>
      <c r="BC31" s="58" t="e">
        <f>VLOOKUP(BB31,$W$5:$AJ$104,$BD$2,FALSE)</f>
        <v>#N/A</v>
      </c>
      <c r="BD31" s="93" t="e">
        <f>VLOOKUP(BB31,$W$5:$AJ$104,$BD$2+5,FALSE)</f>
        <v>#N/A</v>
      </c>
      <c r="BE31" s="58" t="e">
        <f>VLOOKUP(BC31,$W$5:$AJ$104,$BD$2+10,FALSE)</f>
        <v>#N/A</v>
      </c>
      <c r="BF31" s="75"/>
      <c r="BG31" s="120">
        <v>27</v>
      </c>
      <c r="BH31" s="58" t="e">
        <f>VLOOKUP(BG31,$Y$5:$AJ$104,$BI$2,FALSE)</f>
        <v>#N/A</v>
      </c>
      <c r="BI31" s="93" t="e">
        <f>VLOOKUP(BG31,$Y$5:$AJ$104,$BI$2+3,FALSE)</f>
        <v>#N/A</v>
      </c>
      <c r="BJ31" s="58" t="e">
        <f>VLOOKUP(BH31,$Y$5:$AJ$104,$BI$2+9,FALSE)</f>
        <v>#N/A</v>
      </c>
      <c r="BL31" s="120">
        <v>27</v>
      </c>
      <c r="BM31" s="58" t="e">
        <f>VLOOKUP(BL31,$AA$5:$AJ$104,$BN$2,FALSE)</f>
        <v>#N/A</v>
      </c>
      <c r="BN31" s="93" t="e">
        <f>VLOOKUP(BL31,$AA$5:$AJ$104,$BN$2+1,FALSE)</f>
        <v>#N/A</v>
      </c>
      <c r="BO31" s="58" t="e">
        <f>VLOOKUP(BM31,$AA$5:$AJ$104,$BN$2+8,FALSE)</f>
        <v>#N/A</v>
      </c>
      <c r="BQ31" s="2" t="e">
        <f>'Eclectic C'!CD31</f>
        <v>#N/A</v>
      </c>
      <c r="BR31" s="6" t="e">
        <f>'Eclectic C'!CE31</f>
        <v>#N/A</v>
      </c>
      <c r="BS31" s="103" t="e">
        <f>'Eclectic C'!CF31</f>
        <v>#N/A</v>
      </c>
    </row>
    <row r="32" spans="1:71">
      <c r="A32" s="10" t="str">
        <f>IF(ISBLANK(Players!K30),"",Players!K30)</f>
        <v/>
      </c>
      <c r="B32" s="10" t="str">
        <f>IF(ISBLANK(Players!L30),"",Players!L30)</f>
        <v/>
      </c>
      <c r="C32" s="10" t="str">
        <f>IF(ISBLANK(Players!N30),"",Players!N30)</f>
        <v/>
      </c>
      <c r="D32" s="126" t="str">
        <f>IF(ISNUMBER(C32),MIN((C32*Rules!$N$14/113)+(Rules!$N$13-Rules!$N$12),Rules!$N$37),"-")</f>
        <v>-</v>
      </c>
      <c r="E32" s="126" t="str">
        <f>IF(ISNUMBER(C32),    ROUND( (D32*Rules!$N$11) / 100,0),"-")</f>
        <v>-</v>
      </c>
      <c r="F32" s="36" t="str">
        <f>IF(AND(ISNUMBER(C32),C32&gt;=Rules!$M$24,C32&lt;=Rules!$N$24),"Y","N")</f>
        <v>N</v>
      </c>
      <c r="G32" s="137" t="str">
        <f>'Eclectic C'!M32</f>
        <v>-</v>
      </c>
      <c r="H32" s="137" t="str">
        <f>'Eclectic C'!W32</f>
        <v>-</v>
      </c>
      <c r="I32" s="137" t="str">
        <f>'Eclectic C'!AJ32</f>
        <v>-</v>
      </c>
      <c r="J32" s="137" t="str">
        <f>'Eclectic C'!AT32</f>
        <v>-</v>
      </c>
      <c r="K32" s="14" t="str">
        <f t="shared" si="1"/>
        <v>-</v>
      </c>
      <c r="L32" s="14" t="str">
        <f t="shared" si="2"/>
        <v>-</v>
      </c>
      <c r="M32" s="14" t="str">
        <f t="shared" si="3"/>
        <v>-</v>
      </c>
      <c r="N32" s="14" t="str">
        <f t="shared" si="4"/>
        <v>-</v>
      </c>
      <c r="O32" s="14" t="str">
        <f t="shared" si="5"/>
        <v>-</v>
      </c>
      <c r="P32" s="14" t="str">
        <f t="shared" si="6"/>
        <v>-</v>
      </c>
      <c r="Q32" s="108" t="e">
        <f>RANK($K32,$K$5:$K$104,1)+COUNTIF(K$5:K32,K32)-1</f>
        <v>#VALUE!</v>
      </c>
      <c r="R32" s="108" t="e">
        <f t="shared" si="7"/>
        <v>#VALUE!</v>
      </c>
      <c r="S32" s="108" t="e">
        <f>RANK($L32,$L$5:$L$104,1)+COUNTIF(L$5:L32,L32)-1</f>
        <v>#VALUE!</v>
      </c>
      <c r="T32" s="108" t="e">
        <f t="shared" si="8"/>
        <v>#VALUE!</v>
      </c>
      <c r="U32" s="108" t="e">
        <f>RANK($M32,$M$5:$M$104,1)+COUNTIF(M$5:M32,M32)-1</f>
        <v>#VALUE!</v>
      </c>
      <c r="V32" s="108" t="e">
        <f t="shared" si="9"/>
        <v>#VALUE!</v>
      </c>
      <c r="W32" s="108" t="e">
        <f>RANK($N32,$N$5:$N$104,1)+COUNTIF(N$5:N32,N32)-1</f>
        <v>#VALUE!</v>
      </c>
      <c r="X32" s="108" t="e">
        <f t="shared" si="10"/>
        <v>#VALUE!</v>
      </c>
      <c r="Y32" s="108" t="e">
        <f>RANK($O32,$O$5:$O$104,1)+COUNTIF(O$5:O32,O32)-1</f>
        <v>#VALUE!</v>
      </c>
      <c r="Z32" s="108" t="e">
        <f t="shared" si="11"/>
        <v>#VALUE!</v>
      </c>
      <c r="AA32" s="108" t="e">
        <f>RANK($P32,$P$5:$P$104,1)+COUNTIF(P$5:P32,P32)-1</f>
        <v>#VALUE!</v>
      </c>
      <c r="AB32" s="108" t="e">
        <f t="shared" si="12"/>
        <v>#VALUE!</v>
      </c>
      <c r="AC32" s="59" t="str">
        <f t="shared" si="13"/>
        <v xml:space="preserve"> </v>
      </c>
      <c r="AD32" s="59" t="str">
        <f t="shared" si="14"/>
        <v>-</v>
      </c>
      <c r="AE32" s="119" t="str">
        <f t="shared" si="15"/>
        <v>-</v>
      </c>
      <c r="AF32" s="119" t="str">
        <f t="shared" si="15"/>
        <v>-</v>
      </c>
      <c r="AG32" s="119" t="str">
        <f t="shared" si="15"/>
        <v>-</v>
      </c>
      <c r="AH32" s="119" t="str">
        <f t="shared" si="15"/>
        <v>-</v>
      </c>
      <c r="AI32" s="119" t="str">
        <f t="shared" si="15"/>
        <v>-</v>
      </c>
      <c r="AJ32" s="119" t="str">
        <f t="shared" si="15"/>
        <v>-</v>
      </c>
      <c r="AM32" s="120">
        <v>28</v>
      </c>
      <c r="AN32" s="58" t="e">
        <f>VLOOKUP(AM32,Q$5:$AJ$104,$AO$2,FALSE)</f>
        <v>#N/A</v>
      </c>
      <c r="AO32" s="93" t="e">
        <f>VLOOKUP(AM32,Q$5:$AJ$104,$AO$2+11,FALSE)</f>
        <v>#N/A</v>
      </c>
      <c r="AP32" s="58" t="e">
        <f t="shared" si="16"/>
        <v>#N/A</v>
      </c>
      <c r="AR32" s="120">
        <v>28</v>
      </c>
      <c r="AS32" s="58" t="e">
        <f>VLOOKUP(AR32,$S$5:$AJ$104,$AT$2,FALSE)</f>
        <v>#N/A</v>
      </c>
      <c r="AT32" s="93" t="e">
        <f>VLOOKUP(AR32,$S$5:$AJ$104,$AT$2+9,FALSE)</f>
        <v>#N/A</v>
      </c>
      <c r="AU32" s="58" t="e">
        <f>VLOOKUP(AS32,$S$5:$AJ$104,$AT$2+12,FALSE)</f>
        <v>#N/A</v>
      </c>
      <c r="AV32" s="75"/>
      <c r="AW32" s="120">
        <v>28</v>
      </c>
      <c r="AX32" s="58" t="e">
        <f>VLOOKUP(AW32,$U$5:$AJ$104,$AY$2,FALSE)</f>
        <v>#N/A</v>
      </c>
      <c r="AY32" s="93" t="e">
        <f>VLOOKUP(AW32,$U$5:$AJ$104,$AY$2+7,FALSE)</f>
        <v>#N/A</v>
      </c>
      <c r="AZ32" s="58" t="e">
        <f>VLOOKUP(AX32,$U$5:$AJ$104,$AY$2+11,FALSE)</f>
        <v>#N/A</v>
      </c>
      <c r="BB32" s="120">
        <v>28</v>
      </c>
      <c r="BC32" s="58" t="e">
        <f>VLOOKUP(BB32,$W$5:$AJ$104,$BD$2,FALSE)</f>
        <v>#N/A</v>
      </c>
      <c r="BD32" s="93" t="e">
        <f>VLOOKUP(BB32,$W$5:$AJ$104,$BD$2+5,FALSE)</f>
        <v>#N/A</v>
      </c>
      <c r="BE32" s="58" t="e">
        <f>VLOOKUP(BC32,$W$5:$AJ$104,$BD$2+10,FALSE)</f>
        <v>#N/A</v>
      </c>
      <c r="BF32" s="75"/>
      <c r="BG32" s="120">
        <v>28</v>
      </c>
      <c r="BH32" s="58" t="e">
        <f>VLOOKUP(BG32,$Y$5:$AJ$104,$BI$2,FALSE)</f>
        <v>#N/A</v>
      </c>
      <c r="BI32" s="93" t="e">
        <f>VLOOKUP(BG32,$Y$5:$AJ$104,$BI$2+3,FALSE)</f>
        <v>#N/A</v>
      </c>
      <c r="BJ32" s="58" t="e">
        <f>VLOOKUP(BH32,$Y$5:$AJ$104,$BI$2+9,FALSE)</f>
        <v>#N/A</v>
      </c>
      <c r="BL32" s="120">
        <v>28</v>
      </c>
      <c r="BM32" s="58" t="e">
        <f>VLOOKUP(BL32,$AA$5:$AJ$104,$BN$2,FALSE)</f>
        <v>#N/A</v>
      </c>
      <c r="BN32" s="93" t="e">
        <f>VLOOKUP(BL32,$AA$5:$AJ$104,$BN$2+1,FALSE)</f>
        <v>#N/A</v>
      </c>
      <c r="BO32" s="58" t="e">
        <f>VLOOKUP(BM32,$AA$5:$AJ$104,$BN$2+8,FALSE)</f>
        <v>#N/A</v>
      </c>
      <c r="BQ32" s="2" t="e">
        <f>'Eclectic C'!CD32</f>
        <v>#N/A</v>
      </c>
      <c r="BR32" s="6" t="e">
        <f>'Eclectic C'!CE32</f>
        <v>#N/A</v>
      </c>
      <c r="BS32" s="103" t="e">
        <f>'Eclectic C'!CF32</f>
        <v>#N/A</v>
      </c>
    </row>
    <row r="33" spans="1:71">
      <c r="A33" s="10" t="str">
        <f>IF(ISBLANK(Players!K31),"",Players!K31)</f>
        <v/>
      </c>
      <c r="B33" s="10" t="str">
        <f>IF(ISBLANK(Players!L31),"",Players!L31)</f>
        <v/>
      </c>
      <c r="C33" s="10" t="str">
        <f>IF(ISBLANK(Players!N31),"",Players!N31)</f>
        <v/>
      </c>
      <c r="D33" s="126" t="str">
        <f>IF(ISNUMBER(C33),MIN((C33*Rules!$N$14/113)+(Rules!$N$13-Rules!$N$12),Rules!$N$37),"-")</f>
        <v>-</v>
      </c>
      <c r="E33" s="126" t="str">
        <f>IF(ISNUMBER(C33),    ROUND( (D33*Rules!$N$11) / 100,0),"-")</f>
        <v>-</v>
      </c>
      <c r="F33" s="36" t="str">
        <f>IF(AND(ISNUMBER(C33),C33&gt;=Rules!$M$24,C33&lt;=Rules!$N$24),"Y","N")</f>
        <v>N</v>
      </c>
      <c r="G33" s="137" t="str">
        <f>'Eclectic C'!M33</f>
        <v>-</v>
      </c>
      <c r="H33" s="137" t="str">
        <f>'Eclectic C'!W33</f>
        <v>-</v>
      </c>
      <c r="I33" s="137" t="str">
        <f>'Eclectic C'!AJ33</f>
        <v>-</v>
      </c>
      <c r="J33" s="137" t="str">
        <f>'Eclectic C'!AT33</f>
        <v>-</v>
      </c>
      <c r="K33" s="14" t="str">
        <f t="shared" si="1"/>
        <v>-</v>
      </c>
      <c r="L33" s="14" t="str">
        <f t="shared" si="2"/>
        <v>-</v>
      </c>
      <c r="M33" s="14" t="str">
        <f t="shared" si="3"/>
        <v>-</v>
      </c>
      <c r="N33" s="14" t="str">
        <f t="shared" si="4"/>
        <v>-</v>
      </c>
      <c r="O33" s="14" t="str">
        <f t="shared" si="5"/>
        <v>-</v>
      </c>
      <c r="P33" s="14" t="str">
        <f t="shared" si="6"/>
        <v>-</v>
      </c>
      <c r="Q33" s="108" t="e">
        <f>RANK($K33,$K$5:$K$104,1)+COUNTIF(K$5:K33,K33)-1</f>
        <v>#VALUE!</v>
      </c>
      <c r="R33" s="108" t="e">
        <f t="shared" si="7"/>
        <v>#VALUE!</v>
      </c>
      <c r="S33" s="108" t="e">
        <f>RANK($L33,$L$5:$L$104,1)+COUNTIF(L$5:L33,L33)-1</f>
        <v>#VALUE!</v>
      </c>
      <c r="T33" s="108" t="e">
        <f t="shared" si="8"/>
        <v>#VALUE!</v>
      </c>
      <c r="U33" s="108" t="e">
        <f>RANK($M33,$M$5:$M$104,1)+COUNTIF(M$5:M33,M33)-1</f>
        <v>#VALUE!</v>
      </c>
      <c r="V33" s="108" t="e">
        <f t="shared" si="9"/>
        <v>#VALUE!</v>
      </c>
      <c r="W33" s="108" t="e">
        <f>RANK($N33,$N$5:$N$104,1)+COUNTIF(N$5:N33,N33)-1</f>
        <v>#VALUE!</v>
      </c>
      <c r="X33" s="108" t="e">
        <f t="shared" si="10"/>
        <v>#VALUE!</v>
      </c>
      <c r="Y33" s="108" t="e">
        <f>RANK($O33,$O$5:$O$104,1)+COUNTIF(O$5:O33,O33)-1</f>
        <v>#VALUE!</v>
      </c>
      <c r="Z33" s="108" t="e">
        <f t="shared" si="11"/>
        <v>#VALUE!</v>
      </c>
      <c r="AA33" s="108" t="e">
        <f>RANK($P33,$P$5:$P$104,1)+COUNTIF(P$5:P33,P33)-1</f>
        <v>#VALUE!</v>
      </c>
      <c r="AB33" s="108" t="e">
        <f t="shared" si="12"/>
        <v>#VALUE!</v>
      </c>
      <c r="AC33" s="59" t="str">
        <f t="shared" si="13"/>
        <v xml:space="preserve"> </v>
      </c>
      <c r="AD33" s="59" t="str">
        <f t="shared" si="14"/>
        <v>-</v>
      </c>
      <c r="AE33" s="119" t="str">
        <f t="shared" si="15"/>
        <v>-</v>
      </c>
      <c r="AF33" s="119" t="str">
        <f t="shared" si="15"/>
        <v>-</v>
      </c>
      <c r="AG33" s="119" t="str">
        <f t="shared" si="15"/>
        <v>-</v>
      </c>
      <c r="AH33" s="119" t="str">
        <f t="shared" si="15"/>
        <v>-</v>
      </c>
      <c r="AI33" s="119" t="str">
        <f t="shared" si="15"/>
        <v>-</v>
      </c>
      <c r="AJ33" s="119" t="str">
        <f t="shared" si="15"/>
        <v>-</v>
      </c>
      <c r="AM33" s="120">
        <v>29</v>
      </c>
      <c r="AN33" s="58" t="e">
        <f>VLOOKUP(AM33,Q$5:$AJ$104,$AO$2,FALSE)</f>
        <v>#N/A</v>
      </c>
      <c r="AO33" s="93" t="e">
        <f>VLOOKUP(AM33,Q$5:$AJ$104,$AO$2+11,FALSE)</f>
        <v>#N/A</v>
      </c>
      <c r="AP33" s="58" t="e">
        <f t="shared" si="16"/>
        <v>#N/A</v>
      </c>
      <c r="AR33" s="120">
        <v>29</v>
      </c>
      <c r="AS33" s="58" t="e">
        <f>VLOOKUP(AR33,$S$5:$AJ$104,$AT$2,FALSE)</f>
        <v>#N/A</v>
      </c>
      <c r="AT33" s="93" t="e">
        <f>VLOOKUP(AR33,$S$5:$AJ$104,$AT$2+9,FALSE)</f>
        <v>#N/A</v>
      </c>
      <c r="AU33" s="58" t="e">
        <f>VLOOKUP(AS33,$S$5:$AJ$104,$AT$2+12,FALSE)</f>
        <v>#N/A</v>
      </c>
      <c r="AV33" s="75"/>
      <c r="AW33" s="120">
        <v>29</v>
      </c>
      <c r="AX33" s="58" t="e">
        <f>VLOOKUP(AW33,$U$5:$AJ$104,$AY$2,FALSE)</f>
        <v>#N/A</v>
      </c>
      <c r="AY33" s="93" t="e">
        <f>VLOOKUP(AW33,$U$5:$AJ$104,$AY$2+7,FALSE)</f>
        <v>#N/A</v>
      </c>
      <c r="AZ33" s="58" t="e">
        <f>VLOOKUP(AX33,$U$5:$AJ$104,$AY$2+11,FALSE)</f>
        <v>#N/A</v>
      </c>
      <c r="BB33" s="120">
        <v>29</v>
      </c>
      <c r="BC33" s="58" t="e">
        <f>VLOOKUP(BB33,$W$5:$AJ$104,$BD$2,FALSE)</f>
        <v>#N/A</v>
      </c>
      <c r="BD33" s="93" t="e">
        <f>VLOOKUP(BB33,$W$5:$AJ$104,$BD$2+5,FALSE)</f>
        <v>#N/A</v>
      </c>
      <c r="BE33" s="58" t="e">
        <f>VLOOKUP(BC33,$W$5:$AJ$104,$BD$2+10,FALSE)</f>
        <v>#N/A</v>
      </c>
      <c r="BF33" s="75"/>
      <c r="BG33" s="120">
        <v>29</v>
      </c>
      <c r="BH33" s="58" t="e">
        <f>VLOOKUP(BG33,$Y$5:$AJ$104,$BI$2,FALSE)</f>
        <v>#N/A</v>
      </c>
      <c r="BI33" s="93" t="e">
        <f>VLOOKUP(BG33,$Y$5:$AJ$104,$BI$2+3,FALSE)</f>
        <v>#N/A</v>
      </c>
      <c r="BJ33" s="58" t="e">
        <f>VLOOKUP(BH33,$Y$5:$AJ$104,$BI$2+9,FALSE)</f>
        <v>#N/A</v>
      </c>
      <c r="BL33" s="120">
        <v>29</v>
      </c>
      <c r="BM33" s="58" t="e">
        <f>VLOOKUP(BL33,$AA$5:$AJ$104,$BN$2,FALSE)</f>
        <v>#N/A</v>
      </c>
      <c r="BN33" s="93" t="e">
        <f>VLOOKUP(BL33,$AA$5:$AJ$104,$BN$2+1,FALSE)</f>
        <v>#N/A</v>
      </c>
      <c r="BO33" s="58" t="e">
        <f>VLOOKUP(BM33,$AA$5:$AJ$104,$BN$2+8,FALSE)</f>
        <v>#N/A</v>
      </c>
      <c r="BQ33" s="2" t="e">
        <f>'Eclectic C'!CD33</f>
        <v>#N/A</v>
      </c>
      <c r="BR33" s="6" t="e">
        <f>'Eclectic C'!CE33</f>
        <v>#N/A</v>
      </c>
      <c r="BS33" s="103" t="e">
        <f>'Eclectic C'!CF33</f>
        <v>#N/A</v>
      </c>
    </row>
    <row r="34" spans="1:71">
      <c r="A34" s="10" t="str">
        <f>IF(ISBLANK(Players!K32),"",Players!K32)</f>
        <v/>
      </c>
      <c r="B34" s="10" t="str">
        <f>IF(ISBLANK(Players!L32),"",Players!L32)</f>
        <v/>
      </c>
      <c r="C34" s="10" t="str">
        <f>IF(ISBLANK(Players!N32),"",Players!N32)</f>
        <v/>
      </c>
      <c r="D34" s="126" t="str">
        <f>IF(ISNUMBER(C34),MIN((C34*Rules!$N$14/113)+(Rules!$N$13-Rules!$N$12),Rules!$N$37),"-")</f>
        <v>-</v>
      </c>
      <c r="E34" s="126" t="str">
        <f>IF(ISNUMBER(C34),    ROUND( (D34*Rules!$N$11) / 100,0),"-")</f>
        <v>-</v>
      </c>
      <c r="F34" s="36" t="str">
        <f>IF(AND(ISNUMBER(C34),C34&gt;=Rules!$M$24,C34&lt;=Rules!$N$24),"Y","N")</f>
        <v>N</v>
      </c>
      <c r="G34" s="137" t="str">
        <f>'Eclectic C'!M34</f>
        <v>-</v>
      </c>
      <c r="H34" s="137" t="str">
        <f>'Eclectic C'!W34</f>
        <v>-</v>
      </c>
      <c r="I34" s="137" t="str">
        <f>'Eclectic C'!AJ34</f>
        <v>-</v>
      </c>
      <c r="J34" s="137" t="str">
        <f>'Eclectic C'!AT34</f>
        <v>-</v>
      </c>
      <c r="K34" s="14" t="str">
        <f t="shared" si="1"/>
        <v>-</v>
      </c>
      <c r="L34" s="14" t="str">
        <f t="shared" si="2"/>
        <v>-</v>
      </c>
      <c r="M34" s="14" t="str">
        <f t="shared" si="3"/>
        <v>-</v>
      </c>
      <c r="N34" s="14" t="str">
        <f t="shared" si="4"/>
        <v>-</v>
      </c>
      <c r="O34" s="14" t="str">
        <f t="shared" si="5"/>
        <v>-</v>
      </c>
      <c r="P34" s="14" t="str">
        <f t="shared" si="6"/>
        <v>-</v>
      </c>
      <c r="Q34" s="108" t="e">
        <f>RANK($K34,$K$5:$K$104,1)+COUNTIF(K$5:K34,K34)-1</f>
        <v>#VALUE!</v>
      </c>
      <c r="R34" s="108" t="e">
        <f t="shared" si="7"/>
        <v>#VALUE!</v>
      </c>
      <c r="S34" s="108" t="e">
        <f>RANK($L34,$L$5:$L$104,1)+COUNTIF(L$5:L34,L34)-1</f>
        <v>#VALUE!</v>
      </c>
      <c r="T34" s="108" t="e">
        <f t="shared" si="8"/>
        <v>#VALUE!</v>
      </c>
      <c r="U34" s="108" t="e">
        <f>RANK($M34,$M$5:$M$104,1)+COUNTIF(M$5:M34,M34)-1</f>
        <v>#VALUE!</v>
      </c>
      <c r="V34" s="108" t="e">
        <f t="shared" si="9"/>
        <v>#VALUE!</v>
      </c>
      <c r="W34" s="108" t="e">
        <f>RANK($N34,$N$5:$N$104,1)+COUNTIF(N$5:N34,N34)-1</f>
        <v>#VALUE!</v>
      </c>
      <c r="X34" s="108" t="e">
        <f t="shared" si="10"/>
        <v>#VALUE!</v>
      </c>
      <c r="Y34" s="108" t="e">
        <f>RANK($O34,$O$5:$O$104,1)+COUNTIF(O$5:O34,O34)-1</f>
        <v>#VALUE!</v>
      </c>
      <c r="Z34" s="108" t="e">
        <f t="shared" si="11"/>
        <v>#VALUE!</v>
      </c>
      <c r="AA34" s="108" t="e">
        <f>RANK($P34,$P$5:$P$104,1)+COUNTIF(P$5:P34,P34)-1</f>
        <v>#VALUE!</v>
      </c>
      <c r="AB34" s="108" t="e">
        <f t="shared" si="12"/>
        <v>#VALUE!</v>
      </c>
      <c r="AC34" s="59" t="str">
        <f t="shared" si="13"/>
        <v xml:space="preserve"> </v>
      </c>
      <c r="AD34" s="59" t="str">
        <f t="shared" si="14"/>
        <v>-</v>
      </c>
      <c r="AE34" s="119" t="str">
        <f t="shared" si="15"/>
        <v>-</v>
      </c>
      <c r="AF34" s="119" t="str">
        <f t="shared" si="15"/>
        <v>-</v>
      </c>
      <c r="AG34" s="119" t="str">
        <f t="shared" si="15"/>
        <v>-</v>
      </c>
      <c r="AH34" s="119" t="str">
        <f t="shared" si="15"/>
        <v>-</v>
      </c>
      <c r="AI34" s="119" t="str">
        <f t="shared" si="15"/>
        <v>-</v>
      </c>
      <c r="AJ34" s="119" t="str">
        <f t="shared" si="15"/>
        <v>-</v>
      </c>
      <c r="AM34" s="120">
        <v>30</v>
      </c>
      <c r="AN34" s="58" t="e">
        <f>VLOOKUP(AM34,Q$5:$AJ$104,$AO$2,FALSE)</f>
        <v>#N/A</v>
      </c>
      <c r="AO34" s="93" t="e">
        <f>VLOOKUP(AM34,Q$5:$AJ$104,$AO$2+11,FALSE)</f>
        <v>#N/A</v>
      </c>
      <c r="AP34" s="58" t="e">
        <f t="shared" si="16"/>
        <v>#N/A</v>
      </c>
      <c r="AR34" s="120">
        <v>30</v>
      </c>
      <c r="AS34" s="58" t="e">
        <f>VLOOKUP(AR34,$S$5:$AJ$104,$AT$2,FALSE)</f>
        <v>#N/A</v>
      </c>
      <c r="AT34" s="93" t="e">
        <f>VLOOKUP(AR34,$S$5:$AJ$104,$AT$2+9,FALSE)</f>
        <v>#N/A</v>
      </c>
      <c r="AU34" s="58" t="e">
        <f>VLOOKUP(AS34,$S$5:$AJ$104,$AT$2+12,FALSE)</f>
        <v>#N/A</v>
      </c>
      <c r="AV34" s="75"/>
      <c r="AW34" s="120">
        <v>30</v>
      </c>
      <c r="AX34" s="58" t="e">
        <f>VLOOKUP(AW34,$U$5:$AJ$104,$AY$2,FALSE)</f>
        <v>#N/A</v>
      </c>
      <c r="AY34" s="93" t="e">
        <f>VLOOKUP(AW34,$U$5:$AJ$104,$AY$2+7,FALSE)</f>
        <v>#N/A</v>
      </c>
      <c r="AZ34" s="58" t="e">
        <f>VLOOKUP(AX34,$U$5:$AJ$104,$AY$2+11,FALSE)</f>
        <v>#N/A</v>
      </c>
      <c r="BB34" s="120">
        <v>30</v>
      </c>
      <c r="BC34" s="58" t="e">
        <f>VLOOKUP(BB34,$W$5:$AJ$104,$BD$2,FALSE)</f>
        <v>#N/A</v>
      </c>
      <c r="BD34" s="93" t="e">
        <f>VLOOKUP(BB34,$W$5:$AJ$104,$BD$2+5,FALSE)</f>
        <v>#N/A</v>
      </c>
      <c r="BE34" s="58" t="e">
        <f>VLOOKUP(BC34,$W$5:$AJ$104,$BD$2+10,FALSE)</f>
        <v>#N/A</v>
      </c>
      <c r="BF34" s="75"/>
      <c r="BG34" s="120">
        <v>30</v>
      </c>
      <c r="BH34" s="58" t="e">
        <f>VLOOKUP(BG34,$Y$5:$AJ$104,$BI$2,FALSE)</f>
        <v>#N/A</v>
      </c>
      <c r="BI34" s="93" t="e">
        <f>VLOOKUP(BG34,$Y$5:$AJ$104,$BI$2+3,FALSE)</f>
        <v>#N/A</v>
      </c>
      <c r="BJ34" s="58" t="e">
        <f>VLOOKUP(BH34,$Y$5:$AJ$104,$BI$2+9,FALSE)</f>
        <v>#N/A</v>
      </c>
      <c r="BL34" s="120">
        <v>30</v>
      </c>
      <c r="BM34" s="58" t="e">
        <f>VLOOKUP(BL34,$AA$5:$AJ$104,$BN$2,FALSE)</f>
        <v>#N/A</v>
      </c>
      <c r="BN34" s="93" t="e">
        <f>VLOOKUP(BL34,$AA$5:$AJ$104,$BN$2+1,FALSE)</f>
        <v>#N/A</v>
      </c>
      <c r="BO34" s="58" t="e">
        <f>VLOOKUP(BM34,$AA$5:$AJ$104,$BN$2+8,FALSE)</f>
        <v>#N/A</v>
      </c>
      <c r="BQ34" s="2" t="e">
        <f>'Eclectic C'!CD34</f>
        <v>#N/A</v>
      </c>
      <c r="BR34" s="6" t="e">
        <f>'Eclectic C'!CE34</f>
        <v>#N/A</v>
      </c>
      <c r="BS34" s="103" t="e">
        <f>'Eclectic C'!CF34</f>
        <v>#N/A</v>
      </c>
    </row>
    <row r="35" spans="1:71">
      <c r="A35" s="10" t="str">
        <f>IF(ISBLANK(Players!K33),"",Players!K33)</f>
        <v/>
      </c>
      <c r="B35" s="10" t="str">
        <f>IF(ISBLANK(Players!L33),"",Players!L33)</f>
        <v/>
      </c>
      <c r="C35" s="10" t="str">
        <f>IF(ISBLANK(Players!N33),"",Players!N33)</f>
        <v/>
      </c>
      <c r="D35" s="126" t="str">
        <f>IF(ISNUMBER(C35),MIN((C35*Rules!$N$14/113)+(Rules!$N$13-Rules!$N$12),Rules!$N$37),"-")</f>
        <v>-</v>
      </c>
      <c r="E35" s="126" t="str">
        <f>IF(ISNUMBER(C35),    ROUND( (D35*Rules!$N$11) / 100,0),"-")</f>
        <v>-</v>
      </c>
      <c r="F35" s="36" t="str">
        <f>IF(AND(ISNUMBER(C35),C35&gt;=Rules!$M$24,C35&lt;=Rules!$N$24),"Y","N")</f>
        <v>N</v>
      </c>
      <c r="G35" s="137" t="str">
        <f>'Eclectic C'!M35</f>
        <v>-</v>
      </c>
      <c r="H35" s="137" t="str">
        <f>'Eclectic C'!W35</f>
        <v>-</v>
      </c>
      <c r="I35" s="137" t="str">
        <f>'Eclectic C'!AJ35</f>
        <v>-</v>
      </c>
      <c r="J35" s="137" t="str">
        <f>'Eclectic C'!AT35</f>
        <v>-</v>
      </c>
      <c r="K35" s="14" t="str">
        <f t="shared" si="1"/>
        <v>-</v>
      </c>
      <c r="L35" s="14" t="str">
        <f t="shared" si="2"/>
        <v>-</v>
      </c>
      <c r="M35" s="14" t="str">
        <f t="shared" si="3"/>
        <v>-</v>
      </c>
      <c r="N35" s="14" t="str">
        <f t="shared" si="4"/>
        <v>-</v>
      </c>
      <c r="O35" s="14" t="str">
        <f t="shared" si="5"/>
        <v>-</v>
      </c>
      <c r="P35" s="14" t="str">
        <f t="shared" si="6"/>
        <v>-</v>
      </c>
      <c r="Q35" s="108" t="e">
        <f>RANK($K35,$K$5:$K$104,1)+COUNTIF(K$5:K35,K35)-1</f>
        <v>#VALUE!</v>
      </c>
      <c r="R35" s="108" t="e">
        <f t="shared" si="7"/>
        <v>#VALUE!</v>
      </c>
      <c r="S35" s="108" t="e">
        <f>RANK($L35,$L$5:$L$104,1)+COUNTIF(L$5:L35,L35)-1</f>
        <v>#VALUE!</v>
      </c>
      <c r="T35" s="108" t="e">
        <f t="shared" si="8"/>
        <v>#VALUE!</v>
      </c>
      <c r="U35" s="108" t="e">
        <f>RANK($M35,$M$5:$M$104,1)+COUNTIF(M$5:M35,M35)-1</f>
        <v>#VALUE!</v>
      </c>
      <c r="V35" s="108" t="e">
        <f t="shared" si="9"/>
        <v>#VALUE!</v>
      </c>
      <c r="W35" s="108" t="e">
        <f>RANK($N35,$N$5:$N$104,1)+COUNTIF(N$5:N35,N35)-1</f>
        <v>#VALUE!</v>
      </c>
      <c r="X35" s="108" t="e">
        <f t="shared" si="10"/>
        <v>#VALUE!</v>
      </c>
      <c r="Y35" s="108" t="e">
        <f>RANK($O35,$O$5:$O$104,1)+COUNTIF(O$5:O35,O35)-1</f>
        <v>#VALUE!</v>
      </c>
      <c r="Z35" s="108" t="e">
        <f t="shared" si="11"/>
        <v>#VALUE!</v>
      </c>
      <c r="AA35" s="108" t="e">
        <f>RANK($P35,$P$5:$P$104,1)+COUNTIF(P$5:P35,P35)-1</f>
        <v>#VALUE!</v>
      </c>
      <c r="AB35" s="108" t="e">
        <f t="shared" si="12"/>
        <v>#VALUE!</v>
      </c>
      <c r="AC35" s="59" t="str">
        <f t="shared" si="13"/>
        <v xml:space="preserve"> </v>
      </c>
      <c r="AD35" s="59" t="str">
        <f t="shared" si="14"/>
        <v>-</v>
      </c>
      <c r="AE35" s="119" t="str">
        <f t="shared" si="15"/>
        <v>-</v>
      </c>
      <c r="AF35" s="119" t="str">
        <f t="shared" si="15"/>
        <v>-</v>
      </c>
      <c r="AG35" s="119" t="str">
        <f t="shared" si="15"/>
        <v>-</v>
      </c>
      <c r="AH35" s="119" t="str">
        <f t="shared" si="15"/>
        <v>-</v>
      </c>
      <c r="AI35" s="119" t="str">
        <f t="shared" si="15"/>
        <v>-</v>
      </c>
      <c r="AJ35" s="119" t="str">
        <f t="shared" si="15"/>
        <v>-</v>
      </c>
      <c r="AM35" s="120">
        <v>31</v>
      </c>
      <c r="AN35" s="58" t="e">
        <f>VLOOKUP(AM35,Q$5:$AJ$104,$AO$2,FALSE)</f>
        <v>#N/A</v>
      </c>
      <c r="AO35" s="93" t="e">
        <f>VLOOKUP(AM35,Q$5:$AJ$104,$AO$2+11,FALSE)</f>
        <v>#N/A</v>
      </c>
      <c r="AP35" s="58" t="e">
        <f t="shared" si="16"/>
        <v>#N/A</v>
      </c>
      <c r="AR35" s="120">
        <v>31</v>
      </c>
      <c r="AS35" s="58" t="e">
        <f>VLOOKUP(AR35,$S$5:$AJ$104,$AT$2,FALSE)</f>
        <v>#N/A</v>
      </c>
      <c r="AT35" s="93" t="e">
        <f>VLOOKUP(AR35,$S$5:$AJ$104,$AT$2+9,FALSE)</f>
        <v>#N/A</v>
      </c>
      <c r="AU35" s="58" t="e">
        <f>VLOOKUP(AS35,$S$5:$AJ$104,$AT$2+12,FALSE)</f>
        <v>#N/A</v>
      </c>
      <c r="AV35" s="75"/>
      <c r="AW35" s="120">
        <v>31</v>
      </c>
      <c r="AX35" s="58" t="e">
        <f>VLOOKUP(AW35,$U$5:$AJ$104,$AY$2,FALSE)</f>
        <v>#N/A</v>
      </c>
      <c r="AY35" s="93" t="e">
        <f>VLOOKUP(AW35,$U$5:$AJ$104,$AY$2+7,FALSE)</f>
        <v>#N/A</v>
      </c>
      <c r="AZ35" s="58" t="e">
        <f>VLOOKUP(AX35,$U$5:$AJ$104,$AY$2+11,FALSE)</f>
        <v>#N/A</v>
      </c>
      <c r="BB35" s="120">
        <v>31</v>
      </c>
      <c r="BC35" s="58" t="e">
        <f>VLOOKUP(BB35,$W$5:$AJ$104,$BD$2,FALSE)</f>
        <v>#N/A</v>
      </c>
      <c r="BD35" s="93" t="e">
        <f>VLOOKUP(BB35,$W$5:$AJ$104,$BD$2+5,FALSE)</f>
        <v>#N/A</v>
      </c>
      <c r="BE35" s="58" t="e">
        <f>VLOOKUP(BC35,$W$5:$AJ$104,$BD$2+10,FALSE)</f>
        <v>#N/A</v>
      </c>
      <c r="BF35" s="75"/>
      <c r="BG35" s="120">
        <v>31</v>
      </c>
      <c r="BH35" s="58" t="e">
        <f>VLOOKUP(BG35,$Y$5:$AJ$104,$BI$2,FALSE)</f>
        <v>#N/A</v>
      </c>
      <c r="BI35" s="93" t="e">
        <f>VLOOKUP(BG35,$Y$5:$AJ$104,$BI$2+3,FALSE)</f>
        <v>#N/A</v>
      </c>
      <c r="BJ35" s="58" t="e">
        <f>VLOOKUP(BH35,$Y$5:$AJ$104,$BI$2+9,FALSE)</f>
        <v>#N/A</v>
      </c>
      <c r="BL35" s="120">
        <v>31</v>
      </c>
      <c r="BM35" s="58" t="e">
        <f>VLOOKUP(BL35,$AA$5:$AJ$104,$BN$2,FALSE)</f>
        <v>#N/A</v>
      </c>
      <c r="BN35" s="93" t="e">
        <f>VLOOKUP(BL35,$AA$5:$AJ$104,$BN$2+1,FALSE)</f>
        <v>#N/A</v>
      </c>
      <c r="BO35" s="58" t="e">
        <f>VLOOKUP(BM35,$AA$5:$AJ$104,$BN$2+8,FALSE)</f>
        <v>#N/A</v>
      </c>
      <c r="BQ35" s="2" t="e">
        <f>'Eclectic C'!CD35</f>
        <v>#N/A</v>
      </c>
      <c r="BR35" s="6" t="e">
        <f>'Eclectic C'!CE35</f>
        <v>#N/A</v>
      </c>
      <c r="BS35" s="103" t="e">
        <f>'Eclectic C'!CF35</f>
        <v>#N/A</v>
      </c>
    </row>
    <row r="36" spans="1:71">
      <c r="A36" s="10" t="str">
        <f>IF(ISBLANK(Players!K34),"",Players!K34)</f>
        <v/>
      </c>
      <c r="B36" s="10" t="str">
        <f>IF(ISBLANK(Players!L34),"",Players!L34)</f>
        <v/>
      </c>
      <c r="C36" s="10" t="str">
        <f>IF(ISBLANK(Players!N34),"",Players!N34)</f>
        <v/>
      </c>
      <c r="D36" s="126" t="str">
        <f>IF(ISNUMBER(C36),MIN((C36*Rules!$N$14/113)+(Rules!$N$13-Rules!$N$12),Rules!$N$37),"-")</f>
        <v>-</v>
      </c>
      <c r="E36" s="126" t="str">
        <f>IF(ISNUMBER(C36),    ROUND( (D36*Rules!$N$11) / 100,0),"-")</f>
        <v>-</v>
      </c>
      <c r="F36" s="36" t="str">
        <f>IF(AND(ISNUMBER(C36),C36&gt;=Rules!$M$24,C36&lt;=Rules!$N$24),"Y","N")</f>
        <v>N</v>
      </c>
      <c r="G36" s="137" t="str">
        <f>'Eclectic C'!M36</f>
        <v>-</v>
      </c>
      <c r="H36" s="137" t="str">
        <f>'Eclectic C'!W36</f>
        <v>-</v>
      </c>
      <c r="I36" s="137" t="str">
        <f>'Eclectic C'!AJ36</f>
        <v>-</v>
      </c>
      <c r="J36" s="137" t="str">
        <f>'Eclectic C'!AT36</f>
        <v>-</v>
      </c>
      <c r="K36" s="14" t="str">
        <f t="shared" si="1"/>
        <v>-</v>
      </c>
      <c r="L36" s="14" t="str">
        <f t="shared" si="2"/>
        <v>-</v>
      </c>
      <c r="M36" s="14" t="str">
        <f t="shared" si="3"/>
        <v>-</v>
      </c>
      <c r="N36" s="14" t="str">
        <f t="shared" si="4"/>
        <v>-</v>
      </c>
      <c r="O36" s="14" t="str">
        <f t="shared" si="5"/>
        <v>-</v>
      </c>
      <c r="P36" s="14" t="str">
        <f t="shared" si="6"/>
        <v>-</v>
      </c>
      <c r="Q36" s="108" t="e">
        <f>RANK($K36,$K$5:$K$104,1)+COUNTIF(K$5:K36,K36)-1</f>
        <v>#VALUE!</v>
      </c>
      <c r="R36" s="108" t="e">
        <f t="shared" si="7"/>
        <v>#VALUE!</v>
      </c>
      <c r="S36" s="108" t="e">
        <f>RANK($L36,$L$5:$L$104,1)+COUNTIF(L$5:L36,L36)-1</f>
        <v>#VALUE!</v>
      </c>
      <c r="T36" s="108" t="e">
        <f t="shared" si="8"/>
        <v>#VALUE!</v>
      </c>
      <c r="U36" s="108" t="e">
        <f>RANK($M36,$M$5:$M$104,1)+COUNTIF(M$5:M36,M36)-1</f>
        <v>#VALUE!</v>
      </c>
      <c r="V36" s="108" t="e">
        <f t="shared" si="9"/>
        <v>#VALUE!</v>
      </c>
      <c r="W36" s="108" t="e">
        <f>RANK($N36,$N$5:$N$104,1)+COUNTIF(N$5:N36,N36)-1</f>
        <v>#VALUE!</v>
      </c>
      <c r="X36" s="108" t="e">
        <f t="shared" si="10"/>
        <v>#VALUE!</v>
      </c>
      <c r="Y36" s="108" t="e">
        <f>RANK($O36,$O$5:$O$104,1)+COUNTIF(O$5:O36,O36)-1</f>
        <v>#VALUE!</v>
      </c>
      <c r="Z36" s="108" t="e">
        <f t="shared" si="11"/>
        <v>#VALUE!</v>
      </c>
      <c r="AA36" s="108" t="e">
        <f>RANK($P36,$P$5:$P$104,1)+COUNTIF(P$5:P36,P36)-1</f>
        <v>#VALUE!</v>
      </c>
      <c r="AB36" s="108" t="e">
        <f t="shared" si="12"/>
        <v>#VALUE!</v>
      </c>
      <c r="AC36" s="59" t="str">
        <f t="shared" si="13"/>
        <v xml:space="preserve"> </v>
      </c>
      <c r="AD36" s="59" t="str">
        <f t="shared" si="14"/>
        <v>-</v>
      </c>
      <c r="AE36" s="119" t="str">
        <f t="shared" si="15"/>
        <v>-</v>
      </c>
      <c r="AF36" s="119" t="str">
        <f t="shared" si="15"/>
        <v>-</v>
      </c>
      <c r="AG36" s="119" t="str">
        <f t="shared" si="15"/>
        <v>-</v>
      </c>
      <c r="AH36" s="119" t="str">
        <f t="shared" si="15"/>
        <v>-</v>
      </c>
      <c r="AI36" s="119" t="str">
        <f t="shared" si="15"/>
        <v>-</v>
      </c>
      <c r="AJ36" s="119" t="str">
        <f t="shared" si="15"/>
        <v>-</v>
      </c>
      <c r="AM36" s="120">
        <v>32</v>
      </c>
      <c r="AN36" s="58" t="e">
        <f>VLOOKUP(AM36,Q$5:$AJ$104,$AO$2,FALSE)</f>
        <v>#N/A</v>
      </c>
      <c r="AO36" s="93" t="e">
        <f>VLOOKUP(AM36,Q$5:$AJ$104,$AO$2+11,FALSE)</f>
        <v>#N/A</v>
      </c>
      <c r="AP36" s="58" t="e">
        <f t="shared" si="16"/>
        <v>#N/A</v>
      </c>
      <c r="AR36" s="120">
        <v>32</v>
      </c>
      <c r="AS36" s="58" t="e">
        <f>VLOOKUP(AR36,$S$5:$AJ$104,$AT$2,FALSE)</f>
        <v>#N/A</v>
      </c>
      <c r="AT36" s="93" t="e">
        <f>VLOOKUP(AR36,$S$5:$AJ$104,$AT$2+9,FALSE)</f>
        <v>#N/A</v>
      </c>
      <c r="AU36" s="58" t="e">
        <f>VLOOKUP(AS36,$S$5:$AJ$104,$AT$2+12,FALSE)</f>
        <v>#N/A</v>
      </c>
      <c r="AV36" s="75"/>
      <c r="AW36" s="120">
        <v>32</v>
      </c>
      <c r="AX36" s="58" t="e">
        <f>VLOOKUP(AW36,$U$5:$AJ$104,$AY$2,FALSE)</f>
        <v>#N/A</v>
      </c>
      <c r="AY36" s="93" t="e">
        <f>VLOOKUP(AW36,$U$5:$AJ$104,$AY$2+7,FALSE)</f>
        <v>#N/A</v>
      </c>
      <c r="AZ36" s="58" t="e">
        <f>VLOOKUP(AX36,$U$5:$AJ$104,$AY$2+11,FALSE)</f>
        <v>#N/A</v>
      </c>
      <c r="BB36" s="120">
        <v>32</v>
      </c>
      <c r="BC36" s="58" t="e">
        <f>VLOOKUP(BB36,$W$5:$AJ$104,$BD$2,FALSE)</f>
        <v>#N/A</v>
      </c>
      <c r="BD36" s="93" t="e">
        <f>VLOOKUP(BB36,$W$5:$AJ$104,$BD$2+5,FALSE)</f>
        <v>#N/A</v>
      </c>
      <c r="BE36" s="58" t="e">
        <f>VLOOKUP(BC36,$W$5:$AJ$104,$BD$2+10,FALSE)</f>
        <v>#N/A</v>
      </c>
      <c r="BF36" s="75"/>
      <c r="BG36" s="120">
        <v>32</v>
      </c>
      <c r="BH36" s="58" t="e">
        <f>VLOOKUP(BG36,$Y$5:$AJ$104,$BI$2,FALSE)</f>
        <v>#N/A</v>
      </c>
      <c r="BI36" s="93" t="e">
        <f>VLOOKUP(BG36,$Y$5:$AJ$104,$BI$2+3,FALSE)</f>
        <v>#N/A</v>
      </c>
      <c r="BJ36" s="58" t="e">
        <f>VLOOKUP(BH36,$Y$5:$AJ$104,$BI$2+9,FALSE)</f>
        <v>#N/A</v>
      </c>
      <c r="BL36" s="120">
        <v>32</v>
      </c>
      <c r="BM36" s="58" t="e">
        <f>VLOOKUP(BL36,$AA$5:$AJ$104,$BN$2,FALSE)</f>
        <v>#N/A</v>
      </c>
      <c r="BN36" s="93" t="e">
        <f>VLOOKUP(BL36,$AA$5:$AJ$104,$BN$2+1,FALSE)</f>
        <v>#N/A</v>
      </c>
      <c r="BO36" s="58" t="e">
        <f>VLOOKUP(BM36,$AA$5:$AJ$104,$BN$2+8,FALSE)</f>
        <v>#N/A</v>
      </c>
      <c r="BQ36" s="2" t="e">
        <f>'Eclectic C'!CD36</f>
        <v>#N/A</v>
      </c>
      <c r="BR36" s="6" t="e">
        <f>'Eclectic C'!CE36</f>
        <v>#N/A</v>
      </c>
      <c r="BS36" s="103" t="e">
        <f>'Eclectic C'!CF36</f>
        <v>#N/A</v>
      </c>
    </row>
    <row r="37" spans="1:71">
      <c r="A37" s="10" t="str">
        <f>IF(ISBLANK(Players!K35),"",Players!K35)</f>
        <v/>
      </c>
      <c r="B37" s="10" t="str">
        <f>IF(ISBLANK(Players!L35),"",Players!L35)</f>
        <v/>
      </c>
      <c r="C37" s="10" t="str">
        <f>IF(ISBLANK(Players!N35),"",Players!N35)</f>
        <v/>
      </c>
      <c r="D37" s="126" t="str">
        <f>IF(ISNUMBER(C37),MIN((C37*Rules!$N$14/113)+(Rules!$N$13-Rules!$N$12),Rules!$N$37),"-")</f>
        <v>-</v>
      </c>
      <c r="E37" s="126" t="str">
        <f>IF(ISNUMBER(C37),    ROUND( (D37*Rules!$N$11) / 100,0),"-")</f>
        <v>-</v>
      </c>
      <c r="F37" s="36" t="str">
        <f>IF(AND(ISNUMBER(C37),C37&gt;=Rules!$M$24,C37&lt;=Rules!$N$24),"Y","N")</f>
        <v>N</v>
      </c>
      <c r="G37" s="137" t="str">
        <f>'Eclectic C'!M37</f>
        <v>-</v>
      </c>
      <c r="H37" s="137" t="str">
        <f>'Eclectic C'!W37</f>
        <v>-</v>
      </c>
      <c r="I37" s="137" t="str">
        <f>'Eclectic C'!AJ37</f>
        <v>-</v>
      </c>
      <c r="J37" s="137" t="str">
        <f>'Eclectic C'!AT37</f>
        <v>-</v>
      </c>
      <c r="K37" s="14" t="str">
        <f t="shared" si="1"/>
        <v>-</v>
      </c>
      <c r="L37" s="14" t="str">
        <f t="shared" si="2"/>
        <v>-</v>
      </c>
      <c r="M37" s="14" t="str">
        <f t="shared" si="3"/>
        <v>-</v>
      </c>
      <c r="N37" s="14" t="str">
        <f t="shared" si="4"/>
        <v>-</v>
      </c>
      <c r="O37" s="14" t="str">
        <f t="shared" si="5"/>
        <v>-</v>
      </c>
      <c r="P37" s="14" t="str">
        <f t="shared" si="6"/>
        <v>-</v>
      </c>
      <c r="Q37" s="108" t="e">
        <f>RANK($K37,$K$5:$K$104,1)+COUNTIF(K$5:K37,K37)-1</f>
        <v>#VALUE!</v>
      </c>
      <c r="R37" s="108" t="e">
        <f t="shared" si="7"/>
        <v>#VALUE!</v>
      </c>
      <c r="S37" s="108" t="e">
        <f>RANK($L37,$L$5:$L$104,1)+COUNTIF(L$5:L37,L37)-1</f>
        <v>#VALUE!</v>
      </c>
      <c r="T37" s="108" t="e">
        <f t="shared" si="8"/>
        <v>#VALUE!</v>
      </c>
      <c r="U37" s="108" t="e">
        <f>RANK($M37,$M$5:$M$104,1)+COUNTIF(M$5:M37,M37)-1</f>
        <v>#VALUE!</v>
      </c>
      <c r="V37" s="108" t="e">
        <f t="shared" si="9"/>
        <v>#VALUE!</v>
      </c>
      <c r="W37" s="108" t="e">
        <f>RANK($N37,$N$5:$N$104,1)+COUNTIF(N$5:N37,N37)-1</f>
        <v>#VALUE!</v>
      </c>
      <c r="X37" s="108" t="e">
        <f t="shared" si="10"/>
        <v>#VALUE!</v>
      </c>
      <c r="Y37" s="108" t="e">
        <f>RANK($O37,$O$5:$O$104,1)+COUNTIF(O$5:O37,O37)-1</f>
        <v>#VALUE!</v>
      </c>
      <c r="Z37" s="108" t="e">
        <f t="shared" si="11"/>
        <v>#VALUE!</v>
      </c>
      <c r="AA37" s="108" t="e">
        <f>RANK($P37,$P$5:$P$104,1)+COUNTIF(P$5:P37,P37)-1</f>
        <v>#VALUE!</v>
      </c>
      <c r="AB37" s="108" t="e">
        <f t="shared" si="12"/>
        <v>#VALUE!</v>
      </c>
      <c r="AC37" s="59" t="str">
        <f t="shared" si="13"/>
        <v xml:space="preserve"> </v>
      </c>
      <c r="AD37" s="59" t="str">
        <f t="shared" si="14"/>
        <v>-</v>
      </c>
      <c r="AE37" s="119" t="str">
        <f t="shared" si="15"/>
        <v>-</v>
      </c>
      <c r="AF37" s="119" t="str">
        <f t="shared" si="15"/>
        <v>-</v>
      </c>
      <c r="AG37" s="119" t="str">
        <f t="shared" si="15"/>
        <v>-</v>
      </c>
      <c r="AH37" s="119" t="str">
        <f t="shared" si="15"/>
        <v>-</v>
      </c>
      <c r="AI37" s="119" t="str">
        <f t="shared" si="15"/>
        <v>-</v>
      </c>
      <c r="AJ37" s="119" t="str">
        <f t="shared" si="15"/>
        <v>-</v>
      </c>
      <c r="AM37" s="120">
        <v>33</v>
      </c>
      <c r="AN37" s="58" t="e">
        <f>VLOOKUP(AM37,Q$5:$AJ$104,$AO$2,FALSE)</f>
        <v>#N/A</v>
      </c>
      <c r="AO37" s="93" t="e">
        <f>VLOOKUP(AM37,Q$5:$AJ$104,$AO$2+11,FALSE)</f>
        <v>#N/A</v>
      </c>
      <c r="AP37" s="58" t="e">
        <f t="shared" si="16"/>
        <v>#N/A</v>
      </c>
      <c r="AR37" s="120">
        <v>33</v>
      </c>
      <c r="AS37" s="58" t="e">
        <f>VLOOKUP(AR37,$S$5:$AJ$104,$AT$2,FALSE)</f>
        <v>#N/A</v>
      </c>
      <c r="AT37" s="93" t="e">
        <f>VLOOKUP(AR37,$S$5:$AJ$104,$AT$2+9,FALSE)</f>
        <v>#N/A</v>
      </c>
      <c r="AU37" s="58" t="e">
        <f>VLOOKUP(AS37,$S$5:$AJ$104,$AT$2+12,FALSE)</f>
        <v>#N/A</v>
      </c>
      <c r="AV37" s="75"/>
      <c r="AW37" s="120">
        <v>33</v>
      </c>
      <c r="AX37" s="58" t="e">
        <f>VLOOKUP(AW37,$U$5:$AJ$104,$AY$2,FALSE)</f>
        <v>#N/A</v>
      </c>
      <c r="AY37" s="93" t="e">
        <f>VLOOKUP(AW37,$U$5:$AJ$104,$AY$2+7,FALSE)</f>
        <v>#N/A</v>
      </c>
      <c r="AZ37" s="58" t="e">
        <f>VLOOKUP(AX37,$U$5:$AJ$104,$AY$2+11,FALSE)</f>
        <v>#N/A</v>
      </c>
      <c r="BB37" s="120">
        <v>33</v>
      </c>
      <c r="BC37" s="58" t="e">
        <f>VLOOKUP(BB37,$W$5:$AJ$104,$BD$2,FALSE)</f>
        <v>#N/A</v>
      </c>
      <c r="BD37" s="93" t="e">
        <f>VLOOKUP(BB37,$W$5:$AJ$104,$BD$2+5,FALSE)</f>
        <v>#N/A</v>
      </c>
      <c r="BE37" s="58" t="e">
        <f>VLOOKUP(BC37,$W$5:$AJ$104,$BD$2+10,FALSE)</f>
        <v>#N/A</v>
      </c>
      <c r="BF37" s="75"/>
      <c r="BG37" s="120">
        <v>33</v>
      </c>
      <c r="BH37" s="58" t="e">
        <f>VLOOKUP(BG37,$Y$5:$AJ$104,$BI$2,FALSE)</f>
        <v>#N/A</v>
      </c>
      <c r="BI37" s="93" t="e">
        <f>VLOOKUP(BG37,$Y$5:$AJ$104,$BI$2+3,FALSE)</f>
        <v>#N/A</v>
      </c>
      <c r="BJ37" s="58" t="e">
        <f>VLOOKUP(BH37,$Y$5:$AJ$104,$BI$2+9,FALSE)</f>
        <v>#N/A</v>
      </c>
      <c r="BL37" s="120">
        <v>33</v>
      </c>
      <c r="BM37" s="58" t="e">
        <f>VLOOKUP(BL37,$AA$5:$AJ$104,$BN$2,FALSE)</f>
        <v>#N/A</v>
      </c>
      <c r="BN37" s="93" t="e">
        <f>VLOOKUP(BL37,$AA$5:$AJ$104,$BN$2+1,FALSE)</f>
        <v>#N/A</v>
      </c>
      <c r="BO37" s="58" t="e">
        <f>VLOOKUP(BM37,$AA$5:$AJ$104,$BN$2+8,FALSE)</f>
        <v>#N/A</v>
      </c>
      <c r="BQ37" s="2" t="e">
        <f>'Eclectic C'!CD37</f>
        <v>#N/A</v>
      </c>
      <c r="BR37" s="6" t="e">
        <f>'Eclectic C'!CE37</f>
        <v>#N/A</v>
      </c>
      <c r="BS37" s="103" t="e">
        <f>'Eclectic C'!CF37</f>
        <v>#N/A</v>
      </c>
    </row>
    <row r="38" spans="1:71">
      <c r="A38" s="10" t="str">
        <f>IF(ISBLANK(Players!K36),"",Players!K36)</f>
        <v/>
      </c>
      <c r="B38" s="10" t="str">
        <f>IF(ISBLANK(Players!L36),"",Players!L36)</f>
        <v/>
      </c>
      <c r="C38" s="10" t="str">
        <f>IF(ISBLANK(Players!N36),"",Players!N36)</f>
        <v/>
      </c>
      <c r="D38" s="126" t="str">
        <f>IF(ISNUMBER(C38),MIN((C38*Rules!$N$14/113)+(Rules!$N$13-Rules!$N$12),Rules!$N$37),"-")</f>
        <v>-</v>
      </c>
      <c r="E38" s="126" t="str">
        <f>IF(ISNUMBER(C38),    ROUND( (D38*Rules!$N$11) / 100,0),"-")</f>
        <v>-</v>
      </c>
      <c r="F38" s="36" t="str">
        <f>IF(AND(ISNUMBER(C38),C38&gt;=Rules!$M$24,C38&lt;=Rules!$N$24),"Y","N")</f>
        <v>N</v>
      </c>
      <c r="G38" s="137" t="str">
        <f>'Eclectic C'!M38</f>
        <v>-</v>
      </c>
      <c r="H38" s="137" t="str">
        <f>'Eclectic C'!W38</f>
        <v>-</v>
      </c>
      <c r="I38" s="137" t="str">
        <f>'Eclectic C'!AJ38</f>
        <v>-</v>
      </c>
      <c r="J38" s="137" t="str">
        <f>'Eclectic C'!AT38</f>
        <v>-</v>
      </c>
      <c r="K38" s="14" t="str">
        <f t="shared" si="1"/>
        <v>-</v>
      </c>
      <c r="L38" s="14" t="str">
        <f t="shared" si="2"/>
        <v>-</v>
      </c>
      <c r="M38" s="14" t="str">
        <f t="shared" si="3"/>
        <v>-</v>
      </c>
      <c r="N38" s="14" t="str">
        <f t="shared" si="4"/>
        <v>-</v>
      </c>
      <c r="O38" s="14" t="str">
        <f t="shared" si="5"/>
        <v>-</v>
      </c>
      <c r="P38" s="14" t="str">
        <f t="shared" si="6"/>
        <v>-</v>
      </c>
      <c r="Q38" s="108" t="e">
        <f>RANK($K38,$K$5:$K$104,1)+COUNTIF(K$5:K38,K38)-1</f>
        <v>#VALUE!</v>
      </c>
      <c r="R38" s="108" t="e">
        <f t="shared" si="7"/>
        <v>#VALUE!</v>
      </c>
      <c r="S38" s="108" t="e">
        <f>RANK($L38,$L$5:$L$104,1)+COUNTIF(L$5:L38,L38)-1</f>
        <v>#VALUE!</v>
      </c>
      <c r="T38" s="108" t="e">
        <f t="shared" si="8"/>
        <v>#VALUE!</v>
      </c>
      <c r="U38" s="108" t="e">
        <f>RANK($M38,$M$5:$M$104,1)+COUNTIF(M$5:M38,M38)-1</f>
        <v>#VALUE!</v>
      </c>
      <c r="V38" s="108" t="e">
        <f t="shared" si="9"/>
        <v>#VALUE!</v>
      </c>
      <c r="W38" s="108" t="e">
        <f>RANK($N38,$N$5:$N$104,1)+COUNTIF(N$5:N38,N38)-1</f>
        <v>#VALUE!</v>
      </c>
      <c r="X38" s="108" t="e">
        <f t="shared" si="10"/>
        <v>#VALUE!</v>
      </c>
      <c r="Y38" s="108" t="e">
        <f>RANK($O38,$O$5:$O$104,1)+COUNTIF(O$5:O38,O38)-1</f>
        <v>#VALUE!</v>
      </c>
      <c r="Z38" s="108" t="e">
        <f t="shared" si="11"/>
        <v>#VALUE!</v>
      </c>
      <c r="AA38" s="108" t="e">
        <f>RANK($P38,$P$5:$P$104,1)+COUNTIF(P$5:P38,P38)-1</f>
        <v>#VALUE!</v>
      </c>
      <c r="AB38" s="108" t="e">
        <f t="shared" si="12"/>
        <v>#VALUE!</v>
      </c>
      <c r="AC38" s="59" t="str">
        <f t="shared" si="13"/>
        <v xml:space="preserve"> </v>
      </c>
      <c r="AD38" s="59" t="str">
        <f t="shared" si="14"/>
        <v>-</v>
      </c>
      <c r="AE38" s="119" t="str">
        <f t="shared" si="15"/>
        <v>-</v>
      </c>
      <c r="AF38" s="119" t="str">
        <f t="shared" si="15"/>
        <v>-</v>
      </c>
      <c r="AG38" s="119" t="str">
        <f t="shared" si="15"/>
        <v>-</v>
      </c>
      <c r="AH38" s="119" t="str">
        <f t="shared" si="15"/>
        <v>-</v>
      </c>
      <c r="AI38" s="119" t="str">
        <f t="shared" si="15"/>
        <v>-</v>
      </c>
      <c r="AJ38" s="119" t="str">
        <f t="shared" si="15"/>
        <v>-</v>
      </c>
      <c r="AM38" s="120">
        <v>34</v>
      </c>
      <c r="AN38" s="58" t="e">
        <f>VLOOKUP(AM38,Q$5:$AJ$104,$AO$2,FALSE)</f>
        <v>#N/A</v>
      </c>
      <c r="AO38" s="93" t="e">
        <f>VLOOKUP(AM38,Q$5:$AJ$104,$AO$2+11,FALSE)</f>
        <v>#N/A</v>
      </c>
      <c r="AP38" s="58" t="e">
        <f t="shared" si="16"/>
        <v>#N/A</v>
      </c>
      <c r="AR38" s="120">
        <v>34</v>
      </c>
      <c r="AS38" s="58" t="e">
        <f>VLOOKUP(AR38,$S$5:$AJ$104,$AT$2,FALSE)</f>
        <v>#N/A</v>
      </c>
      <c r="AT38" s="93" t="e">
        <f>VLOOKUP(AR38,$S$5:$AJ$104,$AT$2+9,FALSE)</f>
        <v>#N/A</v>
      </c>
      <c r="AU38" s="58" t="e">
        <f>VLOOKUP(AS38,$S$5:$AJ$104,$AT$2+12,FALSE)</f>
        <v>#N/A</v>
      </c>
      <c r="AV38" s="75"/>
      <c r="AW38" s="120">
        <v>34</v>
      </c>
      <c r="AX38" s="58" t="e">
        <f>VLOOKUP(AW38,$U$5:$AJ$104,$AY$2,FALSE)</f>
        <v>#N/A</v>
      </c>
      <c r="AY38" s="93" t="e">
        <f>VLOOKUP(AW38,$U$5:$AJ$104,$AY$2+7,FALSE)</f>
        <v>#N/A</v>
      </c>
      <c r="AZ38" s="58" t="e">
        <f>VLOOKUP(AX38,$U$5:$AJ$104,$AY$2+11,FALSE)</f>
        <v>#N/A</v>
      </c>
      <c r="BB38" s="120">
        <v>34</v>
      </c>
      <c r="BC38" s="58" t="e">
        <f>VLOOKUP(BB38,$W$5:$AJ$104,$BD$2,FALSE)</f>
        <v>#N/A</v>
      </c>
      <c r="BD38" s="93" t="e">
        <f>VLOOKUP(BB38,$W$5:$AJ$104,$BD$2+5,FALSE)</f>
        <v>#N/A</v>
      </c>
      <c r="BE38" s="58" t="e">
        <f>VLOOKUP(BC38,$W$5:$AJ$104,$BD$2+10,FALSE)</f>
        <v>#N/A</v>
      </c>
      <c r="BF38" s="75"/>
      <c r="BG38" s="120">
        <v>34</v>
      </c>
      <c r="BH38" s="58" t="e">
        <f>VLOOKUP(BG38,$Y$5:$AJ$104,$BI$2,FALSE)</f>
        <v>#N/A</v>
      </c>
      <c r="BI38" s="93" t="e">
        <f>VLOOKUP(BG38,$Y$5:$AJ$104,$BI$2+3,FALSE)</f>
        <v>#N/A</v>
      </c>
      <c r="BJ38" s="58" t="e">
        <f>VLOOKUP(BH38,$Y$5:$AJ$104,$BI$2+9,FALSE)</f>
        <v>#N/A</v>
      </c>
      <c r="BL38" s="120">
        <v>34</v>
      </c>
      <c r="BM38" s="58" t="e">
        <f>VLOOKUP(BL38,$AA$5:$AJ$104,$BN$2,FALSE)</f>
        <v>#N/A</v>
      </c>
      <c r="BN38" s="93" t="e">
        <f>VLOOKUP(BL38,$AA$5:$AJ$104,$BN$2+1,FALSE)</f>
        <v>#N/A</v>
      </c>
      <c r="BO38" s="58" t="e">
        <f>VLOOKUP(BM38,$AA$5:$AJ$104,$BN$2+8,FALSE)</f>
        <v>#N/A</v>
      </c>
      <c r="BQ38" s="2" t="e">
        <f>'Eclectic C'!CD38</f>
        <v>#N/A</v>
      </c>
      <c r="BR38" s="6" t="e">
        <f>'Eclectic C'!CE38</f>
        <v>#N/A</v>
      </c>
      <c r="BS38" s="103" t="e">
        <f>'Eclectic C'!CF38</f>
        <v>#N/A</v>
      </c>
    </row>
    <row r="39" spans="1:71">
      <c r="A39" s="10" t="str">
        <f>IF(ISBLANK(Players!K37),"",Players!K37)</f>
        <v/>
      </c>
      <c r="B39" s="10" t="str">
        <f>IF(ISBLANK(Players!L37),"",Players!L37)</f>
        <v/>
      </c>
      <c r="C39" s="10" t="str">
        <f>IF(ISBLANK(Players!N37),"",Players!N37)</f>
        <v/>
      </c>
      <c r="D39" s="126" t="str">
        <f>IF(ISNUMBER(C39),MIN((C39*Rules!$N$14/113)+(Rules!$N$13-Rules!$N$12),Rules!$N$37),"-")</f>
        <v>-</v>
      </c>
      <c r="E39" s="126" t="str">
        <f>IF(ISNUMBER(C39),    ROUND( (D39*Rules!$N$11) / 100,0),"-")</f>
        <v>-</v>
      </c>
      <c r="F39" s="36" t="str">
        <f>IF(AND(ISNUMBER(C39),C39&gt;=Rules!$M$24,C39&lt;=Rules!$N$24),"Y","N")</f>
        <v>N</v>
      </c>
      <c r="G39" s="137" t="str">
        <f>'Eclectic C'!M39</f>
        <v>-</v>
      </c>
      <c r="H39" s="137" t="str">
        <f>'Eclectic C'!W39</f>
        <v>-</v>
      </c>
      <c r="I39" s="137" t="str">
        <f>'Eclectic C'!AJ39</f>
        <v>-</v>
      </c>
      <c r="J39" s="137" t="str">
        <f>'Eclectic C'!AT39</f>
        <v>-</v>
      </c>
      <c r="K39" s="14" t="str">
        <f t="shared" si="1"/>
        <v>-</v>
      </c>
      <c r="L39" s="14" t="str">
        <f t="shared" si="2"/>
        <v>-</v>
      </c>
      <c r="M39" s="14" t="str">
        <f t="shared" si="3"/>
        <v>-</v>
      </c>
      <c r="N39" s="14" t="str">
        <f t="shared" si="4"/>
        <v>-</v>
      </c>
      <c r="O39" s="14" t="str">
        <f t="shared" si="5"/>
        <v>-</v>
      </c>
      <c r="P39" s="14" t="str">
        <f t="shared" si="6"/>
        <v>-</v>
      </c>
      <c r="Q39" s="108" t="e">
        <f>RANK($K39,$K$5:$K$104,1)+COUNTIF(K$5:K39,K39)-1</f>
        <v>#VALUE!</v>
      </c>
      <c r="R39" s="108" t="e">
        <f t="shared" si="7"/>
        <v>#VALUE!</v>
      </c>
      <c r="S39" s="108" t="e">
        <f>RANK($L39,$L$5:$L$104,1)+COUNTIF(L$5:L39,L39)-1</f>
        <v>#VALUE!</v>
      </c>
      <c r="T39" s="108" t="e">
        <f t="shared" si="8"/>
        <v>#VALUE!</v>
      </c>
      <c r="U39" s="108" t="e">
        <f>RANK($M39,$M$5:$M$104,1)+COUNTIF(M$5:M39,M39)-1</f>
        <v>#VALUE!</v>
      </c>
      <c r="V39" s="108" t="e">
        <f t="shared" si="9"/>
        <v>#VALUE!</v>
      </c>
      <c r="W39" s="108" t="e">
        <f>RANK($N39,$N$5:$N$104,1)+COUNTIF(N$5:N39,N39)-1</f>
        <v>#VALUE!</v>
      </c>
      <c r="X39" s="108" t="e">
        <f t="shared" si="10"/>
        <v>#VALUE!</v>
      </c>
      <c r="Y39" s="108" t="e">
        <f>RANK($O39,$O$5:$O$104,1)+COUNTIF(O$5:O39,O39)-1</f>
        <v>#VALUE!</v>
      </c>
      <c r="Z39" s="108" t="e">
        <f t="shared" si="11"/>
        <v>#VALUE!</v>
      </c>
      <c r="AA39" s="108" t="e">
        <f>RANK($P39,$P$5:$P$104,1)+COUNTIF(P$5:P39,P39)-1</f>
        <v>#VALUE!</v>
      </c>
      <c r="AB39" s="108" t="e">
        <f t="shared" si="12"/>
        <v>#VALUE!</v>
      </c>
      <c r="AC39" s="59" t="str">
        <f t="shared" si="13"/>
        <v xml:space="preserve"> </v>
      </c>
      <c r="AD39" s="59" t="str">
        <f t="shared" si="14"/>
        <v>-</v>
      </c>
      <c r="AE39" s="119" t="str">
        <f t="shared" si="15"/>
        <v>-</v>
      </c>
      <c r="AF39" s="119" t="str">
        <f t="shared" si="15"/>
        <v>-</v>
      </c>
      <c r="AG39" s="119" t="str">
        <f t="shared" si="15"/>
        <v>-</v>
      </c>
      <c r="AH39" s="119" t="str">
        <f t="shared" si="15"/>
        <v>-</v>
      </c>
      <c r="AI39" s="119" t="str">
        <f t="shared" si="15"/>
        <v>-</v>
      </c>
      <c r="AJ39" s="119" t="str">
        <f t="shared" si="15"/>
        <v>-</v>
      </c>
      <c r="AM39" s="120">
        <v>35</v>
      </c>
      <c r="AN39" s="58" t="e">
        <f>VLOOKUP(AM39,Q$5:$AJ$104,$AO$2,FALSE)</f>
        <v>#N/A</v>
      </c>
      <c r="AO39" s="93" t="e">
        <f>VLOOKUP(AM39,Q$5:$AJ$104,$AO$2+11,FALSE)</f>
        <v>#N/A</v>
      </c>
      <c r="AP39" s="58" t="e">
        <f t="shared" si="16"/>
        <v>#N/A</v>
      </c>
      <c r="AR39" s="120">
        <v>35</v>
      </c>
      <c r="AS39" s="58" t="e">
        <f>VLOOKUP(AR39,$S$5:$AJ$104,$AT$2,FALSE)</f>
        <v>#N/A</v>
      </c>
      <c r="AT39" s="93" t="e">
        <f>VLOOKUP(AR39,$S$5:$AJ$104,$AT$2+9,FALSE)</f>
        <v>#N/A</v>
      </c>
      <c r="AU39" s="58" t="e">
        <f>VLOOKUP(AS39,$S$5:$AJ$104,$AT$2+12,FALSE)</f>
        <v>#N/A</v>
      </c>
      <c r="AV39" s="75"/>
      <c r="AW39" s="120">
        <v>35</v>
      </c>
      <c r="AX39" s="58" t="e">
        <f>VLOOKUP(AW39,$U$5:$AJ$104,$AY$2,FALSE)</f>
        <v>#N/A</v>
      </c>
      <c r="AY39" s="93" t="e">
        <f>VLOOKUP(AW39,$U$5:$AJ$104,$AY$2+7,FALSE)</f>
        <v>#N/A</v>
      </c>
      <c r="AZ39" s="58" t="e">
        <f>VLOOKUP(AX39,$U$5:$AJ$104,$AY$2+11,FALSE)</f>
        <v>#N/A</v>
      </c>
      <c r="BB39" s="120">
        <v>35</v>
      </c>
      <c r="BC39" s="58" t="e">
        <f>VLOOKUP(BB39,$W$5:$AJ$104,$BD$2,FALSE)</f>
        <v>#N/A</v>
      </c>
      <c r="BD39" s="93" t="e">
        <f>VLOOKUP(BB39,$W$5:$AJ$104,$BD$2+5,FALSE)</f>
        <v>#N/A</v>
      </c>
      <c r="BE39" s="58" t="e">
        <f>VLOOKUP(BC39,$W$5:$AJ$104,$BD$2+10,FALSE)</f>
        <v>#N/A</v>
      </c>
      <c r="BF39" s="75"/>
      <c r="BG39" s="120">
        <v>35</v>
      </c>
      <c r="BH39" s="58" t="e">
        <f>VLOOKUP(BG39,$Y$5:$AJ$104,$BI$2,FALSE)</f>
        <v>#N/A</v>
      </c>
      <c r="BI39" s="93" t="e">
        <f>VLOOKUP(BG39,$Y$5:$AJ$104,$BI$2+3,FALSE)</f>
        <v>#N/A</v>
      </c>
      <c r="BJ39" s="58" t="e">
        <f>VLOOKUP(BH39,$Y$5:$AJ$104,$BI$2+9,FALSE)</f>
        <v>#N/A</v>
      </c>
      <c r="BL39" s="120">
        <v>35</v>
      </c>
      <c r="BM39" s="58" t="e">
        <f>VLOOKUP(BL39,$AA$5:$AJ$104,$BN$2,FALSE)</f>
        <v>#N/A</v>
      </c>
      <c r="BN39" s="93" t="e">
        <f>VLOOKUP(BL39,$AA$5:$AJ$104,$BN$2+1,FALSE)</f>
        <v>#N/A</v>
      </c>
      <c r="BO39" s="58" t="e">
        <f>VLOOKUP(BM39,$AA$5:$AJ$104,$BN$2+8,FALSE)</f>
        <v>#N/A</v>
      </c>
      <c r="BQ39" s="2" t="e">
        <f>'Eclectic C'!CD39</f>
        <v>#N/A</v>
      </c>
      <c r="BR39" s="6" t="e">
        <f>'Eclectic C'!CE39</f>
        <v>#N/A</v>
      </c>
      <c r="BS39" s="103" t="e">
        <f>'Eclectic C'!CF39</f>
        <v>#N/A</v>
      </c>
    </row>
    <row r="40" spans="1:71">
      <c r="A40" s="10" t="str">
        <f>IF(ISBLANK(Players!K38),"",Players!K38)</f>
        <v/>
      </c>
      <c r="B40" s="10" t="str">
        <f>IF(ISBLANK(Players!L38),"",Players!L38)</f>
        <v/>
      </c>
      <c r="C40" s="10" t="str">
        <f>IF(ISBLANK(Players!N38),"",Players!N38)</f>
        <v/>
      </c>
      <c r="D40" s="126" t="str">
        <f>IF(ISNUMBER(C40),MIN((C40*Rules!$N$14/113)+(Rules!$N$13-Rules!$N$12),Rules!$N$37),"-")</f>
        <v>-</v>
      </c>
      <c r="E40" s="126" t="str">
        <f>IF(ISNUMBER(C40),    ROUND( (D40*Rules!$N$11) / 100,0),"-")</f>
        <v>-</v>
      </c>
      <c r="F40" s="36" t="str">
        <f>IF(AND(ISNUMBER(C40),C40&gt;=Rules!$M$24,C40&lt;=Rules!$N$24),"Y","N")</f>
        <v>N</v>
      </c>
      <c r="G40" s="137" t="str">
        <f>'Eclectic C'!M40</f>
        <v>-</v>
      </c>
      <c r="H40" s="137" t="str">
        <f>'Eclectic C'!W40</f>
        <v>-</v>
      </c>
      <c r="I40" s="137" t="str">
        <f>'Eclectic C'!AJ40</f>
        <v>-</v>
      </c>
      <c r="J40" s="137" t="str">
        <f>'Eclectic C'!AT40</f>
        <v>-</v>
      </c>
      <c r="K40" s="14" t="str">
        <f t="shared" si="1"/>
        <v>-</v>
      </c>
      <c r="L40" s="14" t="str">
        <f t="shared" si="2"/>
        <v>-</v>
      </c>
      <c r="M40" s="14" t="str">
        <f t="shared" si="3"/>
        <v>-</v>
      </c>
      <c r="N40" s="14" t="str">
        <f t="shared" si="4"/>
        <v>-</v>
      </c>
      <c r="O40" s="14" t="str">
        <f t="shared" si="5"/>
        <v>-</v>
      </c>
      <c r="P40" s="14" t="str">
        <f t="shared" si="6"/>
        <v>-</v>
      </c>
      <c r="Q40" s="108" t="e">
        <f>RANK($K40,$K$5:$K$104,1)+COUNTIF(K$5:K40,K40)-1</f>
        <v>#VALUE!</v>
      </c>
      <c r="R40" s="108" t="e">
        <f t="shared" si="7"/>
        <v>#VALUE!</v>
      </c>
      <c r="S40" s="108" t="e">
        <f>RANK($L40,$L$5:$L$104,1)+COUNTIF(L$5:L40,L40)-1</f>
        <v>#VALUE!</v>
      </c>
      <c r="T40" s="108" t="e">
        <f t="shared" si="8"/>
        <v>#VALUE!</v>
      </c>
      <c r="U40" s="108" t="e">
        <f>RANK($M40,$M$5:$M$104,1)+COUNTIF(M$5:M40,M40)-1</f>
        <v>#VALUE!</v>
      </c>
      <c r="V40" s="108" t="e">
        <f t="shared" si="9"/>
        <v>#VALUE!</v>
      </c>
      <c r="W40" s="108" t="e">
        <f>RANK($N40,$N$5:$N$104,1)+COUNTIF(N$5:N40,N40)-1</f>
        <v>#VALUE!</v>
      </c>
      <c r="X40" s="108" t="e">
        <f t="shared" si="10"/>
        <v>#VALUE!</v>
      </c>
      <c r="Y40" s="108" t="e">
        <f>RANK($O40,$O$5:$O$104,1)+COUNTIF(O$5:O40,O40)-1</f>
        <v>#VALUE!</v>
      </c>
      <c r="Z40" s="108" t="e">
        <f t="shared" si="11"/>
        <v>#VALUE!</v>
      </c>
      <c r="AA40" s="108" t="e">
        <f>RANK($P40,$P$5:$P$104,1)+COUNTIF(P$5:P40,P40)-1</f>
        <v>#VALUE!</v>
      </c>
      <c r="AB40" s="108" t="e">
        <f t="shared" si="12"/>
        <v>#VALUE!</v>
      </c>
      <c r="AC40" s="59" t="str">
        <f t="shared" si="13"/>
        <v xml:space="preserve"> </v>
      </c>
      <c r="AD40" s="59" t="str">
        <f t="shared" si="14"/>
        <v>-</v>
      </c>
      <c r="AE40" s="119" t="str">
        <f t="shared" si="15"/>
        <v>-</v>
      </c>
      <c r="AF40" s="119" t="str">
        <f t="shared" si="15"/>
        <v>-</v>
      </c>
      <c r="AG40" s="119" t="str">
        <f t="shared" si="15"/>
        <v>-</v>
      </c>
      <c r="AH40" s="119" t="str">
        <f t="shared" si="15"/>
        <v>-</v>
      </c>
      <c r="AI40" s="119" t="str">
        <f t="shared" si="15"/>
        <v>-</v>
      </c>
      <c r="AJ40" s="119" t="str">
        <f t="shared" si="15"/>
        <v>-</v>
      </c>
      <c r="AM40" s="120">
        <v>36</v>
      </c>
      <c r="AN40" s="58" t="e">
        <f>VLOOKUP(AM40,Q$5:$AJ$104,$AO$2,FALSE)</f>
        <v>#N/A</v>
      </c>
      <c r="AO40" s="93" t="e">
        <f>VLOOKUP(AM40,Q$5:$AJ$104,$AO$2+11,FALSE)</f>
        <v>#N/A</v>
      </c>
      <c r="AP40" s="58" t="e">
        <f t="shared" si="16"/>
        <v>#N/A</v>
      </c>
      <c r="AR40" s="120">
        <v>36</v>
      </c>
      <c r="AS40" s="58" t="e">
        <f>VLOOKUP(AR40,$S$5:$AJ$104,$AT$2,FALSE)</f>
        <v>#N/A</v>
      </c>
      <c r="AT40" s="93" t="e">
        <f>VLOOKUP(AR40,$S$5:$AJ$104,$AT$2+9,FALSE)</f>
        <v>#N/A</v>
      </c>
      <c r="AU40" s="58" t="e">
        <f>VLOOKUP(AS40,$S$5:$AJ$104,$AT$2+12,FALSE)</f>
        <v>#N/A</v>
      </c>
      <c r="AV40" s="75"/>
      <c r="AW40" s="120">
        <v>36</v>
      </c>
      <c r="AX40" s="58" t="e">
        <f>VLOOKUP(AW40,$U$5:$AJ$104,$AY$2,FALSE)</f>
        <v>#N/A</v>
      </c>
      <c r="AY40" s="93" t="e">
        <f>VLOOKUP(AW40,$U$5:$AJ$104,$AY$2+7,FALSE)</f>
        <v>#N/A</v>
      </c>
      <c r="AZ40" s="58" t="e">
        <f>VLOOKUP(AX40,$U$5:$AJ$104,$AY$2+11,FALSE)</f>
        <v>#N/A</v>
      </c>
      <c r="BB40" s="120">
        <v>36</v>
      </c>
      <c r="BC40" s="58" t="e">
        <f>VLOOKUP(BB40,$W$5:$AJ$104,$BD$2,FALSE)</f>
        <v>#N/A</v>
      </c>
      <c r="BD40" s="93" t="e">
        <f>VLOOKUP(BB40,$W$5:$AJ$104,$BD$2+5,FALSE)</f>
        <v>#N/A</v>
      </c>
      <c r="BE40" s="58" t="e">
        <f>VLOOKUP(BC40,$W$5:$AJ$104,$BD$2+10,FALSE)</f>
        <v>#N/A</v>
      </c>
      <c r="BF40" s="75"/>
      <c r="BG40" s="120">
        <v>36</v>
      </c>
      <c r="BH40" s="58" t="e">
        <f>VLOOKUP(BG40,$Y$5:$AJ$104,$BI$2,FALSE)</f>
        <v>#N/A</v>
      </c>
      <c r="BI40" s="93" t="e">
        <f>VLOOKUP(BG40,$Y$5:$AJ$104,$BI$2+3,FALSE)</f>
        <v>#N/A</v>
      </c>
      <c r="BJ40" s="58" t="e">
        <f>VLOOKUP(BH40,$Y$5:$AJ$104,$BI$2+9,FALSE)</f>
        <v>#N/A</v>
      </c>
      <c r="BL40" s="120">
        <v>36</v>
      </c>
      <c r="BM40" s="58" t="e">
        <f>VLOOKUP(BL40,$AA$5:$AJ$104,$BN$2,FALSE)</f>
        <v>#N/A</v>
      </c>
      <c r="BN40" s="93" t="e">
        <f>VLOOKUP(BL40,$AA$5:$AJ$104,$BN$2+1,FALSE)</f>
        <v>#N/A</v>
      </c>
      <c r="BO40" s="58" t="e">
        <f>VLOOKUP(BM40,$AA$5:$AJ$104,$BN$2+8,FALSE)</f>
        <v>#N/A</v>
      </c>
      <c r="BQ40" s="2" t="e">
        <f>'Eclectic C'!CD40</f>
        <v>#N/A</v>
      </c>
      <c r="BR40" s="6" t="e">
        <f>'Eclectic C'!CE40</f>
        <v>#N/A</v>
      </c>
      <c r="BS40" s="103" t="e">
        <f>'Eclectic C'!CF40</f>
        <v>#N/A</v>
      </c>
    </row>
    <row r="41" spans="1:71">
      <c r="A41" s="10" t="str">
        <f>IF(ISBLANK(Players!K39),"",Players!K39)</f>
        <v/>
      </c>
      <c r="B41" s="10" t="str">
        <f>IF(ISBLANK(Players!L39),"",Players!L39)</f>
        <v/>
      </c>
      <c r="C41" s="10" t="str">
        <f>IF(ISBLANK(Players!N39),"",Players!N39)</f>
        <v/>
      </c>
      <c r="D41" s="126" t="str">
        <f>IF(ISNUMBER(C41),MIN((C41*Rules!$N$14/113)+(Rules!$N$13-Rules!$N$12),Rules!$N$37),"-")</f>
        <v>-</v>
      </c>
      <c r="E41" s="126" t="str">
        <f>IF(ISNUMBER(C41),    ROUND( (D41*Rules!$N$11) / 100,0),"-")</f>
        <v>-</v>
      </c>
      <c r="F41" s="36" t="str">
        <f>IF(AND(ISNUMBER(C41),C41&gt;=Rules!$M$24,C41&lt;=Rules!$N$24),"Y","N")</f>
        <v>N</v>
      </c>
      <c r="G41" s="137" t="str">
        <f>'Eclectic C'!M41</f>
        <v>-</v>
      </c>
      <c r="H41" s="137" t="str">
        <f>'Eclectic C'!W41</f>
        <v>-</v>
      </c>
      <c r="I41" s="137" t="str">
        <f>'Eclectic C'!AJ41</f>
        <v>-</v>
      </c>
      <c r="J41" s="137" t="str">
        <f>'Eclectic C'!AT41</f>
        <v>-</v>
      </c>
      <c r="K41" s="14" t="str">
        <f t="shared" si="1"/>
        <v>-</v>
      </c>
      <c r="L41" s="14" t="str">
        <f t="shared" si="2"/>
        <v>-</v>
      </c>
      <c r="M41" s="14" t="str">
        <f t="shared" si="3"/>
        <v>-</v>
      </c>
      <c r="N41" s="14" t="str">
        <f t="shared" si="4"/>
        <v>-</v>
      </c>
      <c r="O41" s="14" t="str">
        <f t="shared" si="5"/>
        <v>-</v>
      </c>
      <c r="P41" s="14" t="str">
        <f t="shared" si="6"/>
        <v>-</v>
      </c>
      <c r="Q41" s="108" t="e">
        <f>RANK($K41,$K$5:$K$104,1)+COUNTIF(K$5:K41,K41)-1</f>
        <v>#VALUE!</v>
      </c>
      <c r="R41" s="108" t="e">
        <f t="shared" si="7"/>
        <v>#VALUE!</v>
      </c>
      <c r="S41" s="108" t="e">
        <f>RANK($L41,$L$5:$L$104,1)+COUNTIF(L$5:L41,L41)-1</f>
        <v>#VALUE!</v>
      </c>
      <c r="T41" s="108" t="e">
        <f t="shared" si="8"/>
        <v>#VALUE!</v>
      </c>
      <c r="U41" s="108" t="e">
        <f>RANK($M41,$M$5:$M$104,1)+COUNTIF(M$5:M41,M41)-1</f>
        <v>#VALUE!</v>
      </c>
      <c r="V41" s="108" t="e">
        <f t="shared" si="9"/>
        <v>#VALUE!</v>
      </c>
      <c r="W41" s="108" t="e">
        <f>RANK($N41,$N$5:$N$104,1)+COUNTIF(N$5:N41,N41)-1</f>
        <v>#VALUE!</v>
      </c>
      <c r="X41" s="108" t="e">
        <f t="shared" si="10"/>
        <v>#VALUE!</v>
      </c>
      <c r="Y41" s="108" t="e">
        <f>RANK($O41,$O$5:$O$104,1)+COUNTIF(O$5:O41,O41)-1</f>
        <v>#VALUE!</v>
      </c>
      <c r="Z41" s="108" t="e">
        <f t="shared" si="11"/>
        <v>#VALUE!</v>
      </c>
      <c r="AA41" s="108" t="e">
        <f>RANK($P41,$P$5:$P$104,1)+COUNTIF(P$5:P41,P41)-1</f>
        <v>#VALUE!</v>
      </c>
      <c r="AB41" s="108" t="e">
        <f t="shared" si="12"/>
        <v>#VALUE!</v>
      </c>
      <c r="AC41" s="59" t="str">
        <f t="shared" si="13"/>
        <v xml:space="preserve"> </v>
      </c>
      <c r="AD41" s="59" t="str">
        <f t="shared" si="14"/>
        <v>-</v>
      </c>
      <c r="AE41" s="119" t="str">
        <f t="shared" si="15"/>
        <v>-</v>
      </c>
      <c r="AF41" s="119" t="str">
        <f t="shared" si="15"/>
        <v>-</v>
      </c>
      <c r="AG41" s="119" t="str">
        <f t="shared" si="15"/>
        <v>-</v>
      </c>
      <c r="AH41" s="119" t="str">
        <f t="shared" si="15"/>
        <v>-</v>
      </c>
      <c r="AI41" s="119" t="str">
        <f t="shared" si="15"/>
        <v>-</v>
      </c>
      <c r="AJ41" s="119" t="str">
        <f t="shared" si="15"/>
        <v>-</v>
      </c>
      <c r="AM41" s="120">
        <v>37</v>
      </c>
      <c r="AN41" s="58" t="e">
        <f>VLOOKUP(AM41,Q$5:$AJ$104,$AO$2,FALSE)</f>
        <v>#N/A</v>
      </c>
      <c r="AO41" s="93" t="e">
        <f>VLOOKUP(AM41,Q$5:$AJ$104,$AO$2+11,FALSE)</f>
        <v>#N/A</v>
      </c>
      <c r="AP41" s="58" t="e">
        <f t="shared" si="16"/>
        <v>#N/A</v>
      </c>
      <c r="AR41" s="120">
        <v>37</v>
      </c>
      <c r="AS41" s="58" t="e">
        <f>VLOOKUP(AR41,$S$5:$AJ$104,$AT$2,FALSE)</f>
        <v>#N/A</v>
      </c>
      <c r="AT41" s="93" t="e">
        <f>VLOOKUP(AR41,$S$5:$AJ$104,$AT$2+9,FALSE)</f>
        <v>#N/A</v>
      </c>
      <c r="AU41" s="58" t="e">
        <f>VLOOKUP(AS41,$S$5:$AJ$104,$AT$2+12,FALSE)</f>
        <v>#N/A</v>
      </c>
      <c r="AV41" s="75"/>
      <c r="AW41" s="120">
        <v>37</v>
      </c>
      <c r="AX41" s="58" t="e">
        <f>VLOOKUP(AW41,$U$5:$AJ$104,$AY$2,FALSE)</f>
        <v>#N/A</v>
      </c>
      <c r="AY41" s="93" t="e">
        <f>VLOOKUP(AW41,$U$5:$AJ$104,$AY$2+7,FALSE)</f>
        <v>#N/A</v>
      </c>
      <c r="AZ41" s="58" t="e">
        <f>VLOOKUP(AX41,$U$5:$AJ$104,$AY$2+11,FALSE)</f>
        <v>#N/A</v>
      </c>
      <c r="BB41" s="120">
        <v>37</v>
      </c>
      <c r="BC41" s="58" t="e">
        <f>VLOOKUP(BB41,$W$5:$AJ$104,$BD$2,FALSE)</f>
        <v>#N/A</v>
      </c>
      <c r="BD41" s="93" t="e">
        <f>VLOOKUP(BB41,$W$5:$AJ$104,$BD$2+5,FALSE)</f>
        <v>#N/A</v>
      </c>
      <c r="BE41" s="58" t="e">
        <f>VLOOKUP(BC41,$W$5:$AJ$104,$BD$2+10,FALSE)</f>
        <v>#N/A</v>
      </c>
      <c r="BF41" s="75"/>
      <c r="BG41" s="120">
        <v>37</v>
      </c>
      <c r="BH41" s="58" t="e">
        <f>VLOOKUP(BG41,$Y$5:$AJ$104,$BI$2,FALSE)</f>
        <v>#N/A</v>
      </c>
      <c r="BI41" s="93" t="e">
        <f>VLOOKUP(BG41,$Y$5:$AJ$104,$BI$2+3,FALSE)</f>
        <v>#N/A</v>
      </c>
      <c r="BJ41" s="58" t="e">
        <f>VLOOKUP(BH41,$Y$5:$AJ$104,$BI$2+9,FALSE)</f>
        <v>#N/A</v>
      </c>
      <c r="BL41" s="120">
        <v>37</v>
      </c>
      <c r="BM41" s="58" t="e">
        <f>VLOOKUP(BL41,$AA$5:$AJ$104,$BN$2,FALSE)</f>
        <v>#N/A</v>
      </c>
      <c r="BN41" s="93" t="e">
        <f>VLOOKUP(BL41,$AA$5:$AJ$104,$BN$2+1,FALSE)</f>
        <v>#N/A</v>
      </c>
      <c r="BO41" s="58" t="e">
        <f>VLOOKUP(BM41,$AA$5:$AJ$104,$BN$2+8,FALSE)</f>
        <v>#N/A</v>
      </c>
      <c r="BQ41" s="2" t="e">
        <f>'Eclectic C'!CD41</f>
        <v>#N/A</v>
      </c>
      <c r="BR41" s="6" t="e">
        <f>'Eclectic C'!CE41</f>
        <v>#N/A</v>
      </c>
      <c r="BS41" s="103" t="e">
        <f>'Eclectic C'!CF41</f>
        <v>#N/A</v>
      </c>
    </row>
    <row r="42" spans="1:71">
      <c r="A42" s="10" t="str">
        <f>IF(ISBLANK(Players!K40),"",Players!K40)</f>
        <v/>
      </c>
      <c r="B42" s="10" t="str">
        <f>IF(ISBLANK(Players!L40),"",Players!L40)</f>
        <v/>
      </c>
      <c r="C42" s="10" t="str">
        <f>IF(ISBLANK(Players!N40),"",Players!N40)</f>
        <v/>
      </c>
      <c r="D42" s="126" t="str">
        <f>IF(ISNUMBER(C42),MIN((C42*Rules!$N$14/113)+(Rules!$N$13-Rules!$N$12),Rules!$N$37),"-")</f>
        <v>-</v>
      </c>
      <c r="E42" s="126" t="str">
        <f>IF(ISNUMBER(C42),    ROUND( (D42*Rules!$N$11) / 100,0),"-")</f>
        <v>-</v>
      </c>
      <c r="F42" s="36" t="str">
        <f>IF(AND(ISNUMBER(C42),C42&gt;=Rules!$M$24,C42&lt;=Rules!$N$24),"Y","N")</f>
        <v>N</v>
      </c>
      <c r="G42" s="137" t="str">
        <f>'Eclectic C'!M42</f>
        <v>-</v>
      </c>
      <c r="H42" s="137" t="str">
        <f>'Eclectic C'!W42</f>
        <v>-</v>
      </c>
      <c r="I42" s="137" t="str">
        <f>'Eclectic C'!AJ42</f>
        <v>-</v>
      </c>
      <c r="J42" s="137" t="str">
        <f>'Eclectic C'!AT42</f>
        <v>-</v>
      </c>
      <c r="K42" s="14" t="str">
        <f t="shared" si="1"/>
        <v>-</v>
      </c>
      <c r="L42" s="14" t="str">
        <f t="shared" si="2"/>
        <v>-</v>
      </c>
      <c r="M42" s="14" t="str">
        <f t="shared" si="3"/>
        <v>-</v>
      </c>
      <c r="N42" s="14" t="str">
        <f t="shared" si="4"/>
        <v>-</v>
      </c>
      <c r="O42" s="14" t="str">
        <f t="shared" si="5"/>
        <v>-</v>
      </c>
      <c r="P42" s="14" t="str">
        <f t="shared" si="6"/>
        <v>-</v>
      </c>
      <c r="Q42" s="108" t="e">
        <f>RANK($K42,$K$5:$K$104,1)+COUNTIF(K$5:K42,K42)-1</f>
        <v>#VALUE!</v>
      </c>
      <c r="R42" s="108" t="e">
        <f t="shared" si="7"/>
        <v>#VALUE!</v>
      </c>
      <c r="S42" s="108" t="e">
        <f>RANK($L42,$L$5:$L$104,1)+COUNTIF(L$5:L42,L42)-1</f>
        <v>#VALUE!</v>
      </c>
      <c r="T42" s="108" t="e">
        <f t="shared" si="8"/>
        <v>#VALUE!</v>
      </c>
      <c r="U42" s="108" t="e">
        <f>RANK($M42,$M$5:$M$104,1)+COUNTIF(M$5:M42,M42)-1</f>
        <v>#VALUE!</v>
      </c>
      <c r="V42" s="108" t="e">
        <f t="shared" si="9"/>
        <v>#VALUE!</v>
      </c>
      <c r="W42" s="108" t="e">
        <f>RANK($N42,$N$5:$N$104,1)+COUNTIF(N$5:N42,N42)-1</f>
        <v>#VALUE!</v>
      </c>
      <c r="X42" s="108" t="e">
        <f t="shared" si="10"/>
        <v>#VALUE!</v>
      </c>
      <c r="Y42" s="108" t="e">
        <f>RANK($O42,$O$5:$O$104,1)+COUNTIF(O$5:O42,O42)-1</f>
        <v>#VALUE!</v>
      </c>
      <c r="Z42" s="108" t="e">
        <f t="shared" si="11"/>
        <v>#VALUE!</v>
      </c>
      <c r="AA42" s="108" t="e">
        <f>RANK($P42,$P$5:$P$104,1)+COUNTIF(P$5:P42,P42)-1</f>
        <v>#VALUE!</v>
      </c>
      <c r="AB42" s="108" t="e">
        <f t="shared" si="12"/>
        <v>#VALUE!</v>
      </c>
      <c r="AC42" s="59" t="str">
        <f t="shared" si="13"/>
        <v xml:space="preserve"> </v>
      </c>
      <c r="AD42" s="59" t="str">
        <f t="shared" si="14"/>
        <v>-</v>
      </c>
      <c r="AE42" s="119" t="str">
        <f t="shared" si="15"/>
        <v>-</v>
      </c>
      <c r="AF42" s="119" t="str">
        <f t="shared" si="15"/>
        <v>-</v>
      </c>
      <c r="AG42" s="119" t="str">
        <f t="shared" si="15"/>
        <v>-</v>
      </c>
      <c r="AH42" s="119" t="str">
        <f t="shared" si="15"/>
        <v>-</v>
      </c>
      <c r="AI42" s="119" t="str">
        <f t="shared" si="15"/>
        <v>-</v>
      </c>
      <c r="AJ42" s="119" t="str">
        <f t="shared" si="15"/>
        <v>-</v>
      </c>
      <c r="AM42" s="120">
        <v>38</v>
      </c>
      <c r="AN42" s="58" t="e">
        <f>VLOOKUP(AM42,Q$5:$AJ$104,$AO$2,FALSE)</f>
        <v>#N/A</v>
      </c>
      <c r="AO42" s="93" t="e">
        <f>VLOOKUP(AM42,Q$5:$AJ$104,$AO$2+11,FALSE)</f>
        <v>#N/A</v>
      </c>
      <c r="AP42" s="58" t="e">
        <f t="shared" si="16"/>
        <v>#N/A</v>
      </c>
      <c r="AR42" s="120">
        <v>38</v>
      </c>
      <c r="AS42" s="58" t="e">
        <f>VLOOKUP(AR42,$S$5:$AJ$104,$AT$2,FALSE)</f>
        <v>#N/A</v>
      </c>
      <c r="AT42" s="93" t="e">
        <f>VLOOKUP(AR42,$S$5:$AJ$104,$AT$2+9,FALSE)</f>
        <v>#N/A</v>
      </c>
      <c r="AU42" s="58" t="e">
        <f>VLOOKUP(AS42,$S$5:$AJ$104,$AT$2+12,FALSE)</f>
        <v>#N/A</v>
      </c>
      <c r="AV42" s="75"/>
      <c r="AW42" s="120">
        <v>38</v>
      </c>
      <c r="AX42" s="58" t="e">
        <f>VLOOKUP(AW42,$U$5:$AJ$104,$AY$2,FALSE)</f>
        <v>#N/A</v>
      </c>
      <c r="AY42" s="93" t="e">
        <f>VLOOKUP(AW42,$U$5:$AJ$104,$AY$2+7,FALSE)</f>
        <v>#N/A</v>
      </c>
      <c r="AZ42" s="58" t="e">
        <f>VLOOKUP(AX42,$U$5:$AJ$104,$AY$2+11,FALSE)</f>
        <v>#N/A</v>
      </c>
      <c r="BB42" s="120">
        <v>38</v>
      </c>
      <c r="BC42" s="58" t="e">
        <f>VLOOKUP(BB42,$W$5:$AJ$104,$BD$2,FALSE)</f>
        <v>#N/A</v>
      </c>
      <c r="BD42" s="93" t="e">
        <f>VLOOKUP(BB42,$W$5:$AJ$104,$BD$2+5,FALSE)</f>
        <v>#N/A</v>
      </c>
      <c r="BE42" s="58" t="e">
        <f>VLOOKUP(BC42,$W$5:$AJ$104,$BD$2+10,FALSE)</f>
        <v>#N/A</v>
      </c>
      <c r="BF42" s="75"/>
      <c r="BG42" s="120">
        <v>38</v>
      </c>
      <c r="BH42" s="58" t="e">
        <f>VLOOKUP(BG42,$Y$5:$AJ$104,$BI$2,FALSE)</f>
        <v>#N/A</v>
      </c>
      <c r="BI42" s="93" t="e">
        <f>VLOOKUP(BG42,$Y$5:$AJ$104,$BI$2+3,FALSE)</f>
        <v>#N/A</v>
      </c>
      <c r="BJ42" s="58" t="e">
        <f>VLOOKUP(BH42,$Y$5:$AJ$104,$BI$2+9,FALSE)</f>
        <v>#N/A</v>
      </c>
      <c r="BL42" s="120">
        <v>38</v>
      </c>
      <c r="BM42" s="58" t="e">
        <f>VLOOKUP(BL42,$AA$5:$AJ$104,$BN$2,FALSE)</f>
        <v>#N/A</v>
      </c>
      <c r="BN42" s="93" t="e">
        <f>VLOOKUP(BL42,$AA$5:$AJ$104,$BN$2+1,FALSE)</f>
        <v>#N/A</v>
      </c>
      <c r="BO42" s="58" t="e">
        <f>VLOOKUP(BM42,$AA$5:$AJ$104,$BN$2+8,FALSE)</f>
        <v>#N/A</v>
      </c>
      <c r="BQ42" s="2" t="e">
        <f>'Eclectic C'!CD42</f>
        <v>#N/A</v>
      </c>
      <c r="BR42" s="6" t="e">
        <f>'Eclectic C'!CE42</f>
        <v>#N/A</v>
      </c>
      <c r="BS42" s="103" t="e">
        <f>'Eclectic C'!CF42</f>
        <v>#N/A</v>
      </c>
    </row>
    <row r="43" spans="1:71">
      <c r="A43" s="10" t="str">
        <f>IF(ISBLANK(Players!K41),"",Players!K41)</f>
        <v/>
      </c>
      <c r="B43" s="10" t="str">
        <f>IF(ISBLANK(Players!L41),"",Players!L41)</f>
        <v/>
      </c>
      <c r="C43" s="10" t="str">
        <f>IF(ISBLANK(Players!N41),"",Players!N41)</f>
        <v/>
      </c>
      <c r="D43" s="126" t="str">
        <f>IF(ISNUMBER(C43),MIN((C43*Rules!$N$14/113)+(Rules!$N$13-Rules!$N$12),Rules!$N$37),"-")</f>
        <v>-</v>
      </c>
      <c r="E43" s="126" t="str">
        <f>IF(ISNUMBER(C43),    ROUND( (D43*Rules!$N$11) / 100,0),"-")</f>
        <v>-</v>
      </c>
      <c r="F43" s="36" t="str">
        <f>IF(AND(ISNUMBER(C43),C43&gt;=Rules!$M$24,C43&lt;=Rules!$N$24),"Y","N")</f>
        <v>N</v>
      </c>
      <c r="G43" s="137" t="str">
        <f>'Eclectic C'!M43</f>
        <v>-</v>
      </c>
      <c r="H43" s="137" t="str">
        <f>'Eclectic C'!W43</f>
        <v>-</v>
      </c>
      <c r="I43" s="137" t="str">
        <f>'Eclectic C'!AJ43</f>
        <v>-</v>
      </c>
      <c r="J43" s="137" t="str">
        <f>'Eclectic C'!AT43</f>
        <v>-</v>
      </c>
      <c r="K43" s="14" t="str">
        <f t="shared" si="1"/>
        <v>-</v>
      </c>
      <c r="L43" s="14" t="str">
        <f t="shared" si="2"/>
        <v>-</v>
      </c>
      <c r="M43" s="14" t="str">
        <f t="shared" si="3"/>
        <v>-</v>
      </c>
      <c r="N43" s="14" t="str">
        <f t="shared" si="4"/>
        <v>-</v>
      </c>
      <c r="O43" s="14" t="str">
        <f t="shared" si="5"/>
        <v>-</v>
      </c>
      <c r="P43" s="14" t="str">
        <f t="shared" si="6"/>
        <v>-</v>
      </c>
      <c r="Q43" s="108" t="e">
        <f>RANK($K43,$K$5:$K$104,1)+COUNTIF(K$5:K43,K43)-1</f>
        <v>#VALUE!</v>
      </c>
      <c r="R43" s="108" t="e">
        <f t="shared" si="7"/>
        <v>#VALUE!</v>
      </c>
      <c r="S43" s="108" t="e">
        <f>RANK($L43,$L$5:$L$104,1)+COUNTIF(L$5:L43,L43)-1</f>
        <v>#VALUE!</v>
      </c>
      <c r="T43" s="108" t="e">
        <f t="shared" si="8"/>
        <v>#VALUE!</v>
      </c>
      <c r="U43" s="108" t="e">
        <f>RANK($M43,$M$5:$M$104,1)+COUNTIF(M$5:M43,M43)-1</f>
        <v>#VALUE!</v>
      </c>
      <c r="V43" s="108" t="e">
        <f t="shared" si="9"/>
        <v>#VALUE!</v>
      </c>
      <c r="W43" s="108" t="e">
        <f>RANK($N43,$N$5:$N$104,1)+COUNTIF(N$5:N43,N43)-1</f>
        <v>#VALUE!</v>
      </c>
      <c r="X43" s="108" t="e">
        <f t="shared" si="10"/>
        <v>#VALUE!</v>
      </c>
      <c r="Y43" s="108" t="e">
        <f>RANK($O43,$O$5:$O$104,1)+COUNTIF(O$5:O43,O43)-1</f>
        <v>#VALUE!</v>
      </c>
      <c r="Z43" s="108" t="e">
        <f t="shared" si="11"/>
        <v>#VALUE!</v>
      </c>
      <c r="AA43" s="108" t="e">
        <f>RANK($P43,$P$5:$P$104,1)+COUNTIF(P$5:P43,P43)-1</f>
        <v>#VALUE!</v>
      </c>
      <c r="AB43" s="108" t="e">
        <f t="shared" si="12"/>
        <v>#VALUE!</v>
      </c>
      <c r="AC43" s="59" t="str">
        <f t="shared" si="13"/>
        <v xml:space="preserve"> </v>
      </c>
      <c r="AD43" s="59" t="str">
        <f t="shared" si="14"/>
        <v>-</v>
      </c>
      <c r="AE43" s="119" t="str">
        <f t="shared" si="15"/>
        <v>-</v>
      </c>
      <c r="AF43" s="119" t="str">
        <f t="shared" si="15"/>
        <v>-</v>
      </c>
      <c r="AG43" s="119" t="str">
        <f t="shared" si="15"/>
        <v>-</v>
      </c>
      <c r="AH43" s="119" t="str">
        <f t="shared" si="15"/>
        <v>-</v>
      </c>
      <c r="AI43" s="119" t="str">
        <f t="shared" si="15"/>
        <v>-</v>
      </c>
      <c r="AJ43" s="119" t="str">
        <f t="shared" si="15"/>
        <v>-</v>
      </c>
      <c r="AM43" s="120">
        <v>39</v>
      </c>
      <c r="AN43" s="58" t="e">
        <f>VLOOKUP(AM43,Q$5:$AJ$104,$AO$2,FALSE)</f>
        <v>#N/A</v>
      </c>
      <c r="AO43" s="93" t="e">
        <f>VLOOKUP(AM43,Q$5:$AJ$104,$AO$2+11,FALSE)</f>
        <v>#N/A</v>
      </c>
      <c r="AP43" s="58" t="e">
        <f t="shared" si="16"/>
        <v>#N/A</v>
      </c>
      <c r="AR43" s="120">
        <v>39</v>
      </c>
      <c r="AS43" s="58" t="e">
        <f>VLOOKUP(AR43,$S$5:$AJ$104,$AT$2,FALSE)</f>
        <v>#N/A</v>
      </c>
      <c r="AT43" s="93" t="e">
        <f>VLOOKUP(AR43,$S$5:$AJ$104,$AT$2+9,FALSE)</f>
        <v>#N/A</v>
      </c>
      <c r="AU43" s="58" t="e">
        <f>VLOOKUP(AS43,$S$5:$AJ$104,$AT$2+12,FALSE)</f>
        <v>#N/A</v>
      </c>
      <c r="AV43" s="75"/>
      <c r="AW43" s="120">
        <v>39</v>
      </c>
      <c r="AX43" s="58" t="e">
        <f>VLOOKUP(AW43,$U$5:$AJ$104,$AY$2,FALSE)</f>
        <v>#N/A</v>
      </c>
      <c r="AY43" s="93" t="e">
        <f>VLOOKUP(AW43,$U$5:$AJ$104,$AY$2+7,FALSE)</f>
        <v>#N/A</v>
      </c>
      <c r="AZ43" s="58" t="e">
        <f>VLOOKUP(AX43,$U$5:$AJ$104,$AY$2+11,FALSE)</f>
        <v>#N/A</v>
      </c>
      <c r="BB43" s="120">
        <v>39</v>
      </c>
      <c r="BC43" s="58" t="e">
        <f>VLOOKUP(BB43,$W$5:$AJ$104,$BD$2,FALSE)</f>
        <v>#N/A</v>
      </c>
      <c r="BD43" s="93" t="e">
        <f>VLOOKUP(BB43,$W$5:$AJ$104,$BD$2+5,FALSE)</f>
        <v>#N/A</v>
      </c>
      <c r="BE43" s="58" t="e">
        <f>VLOOKUP(BC43,$W$5:$AJ$104,$BD$2+10,FALSE)</f>
        <v>#N/A</v>
      </c>
      <c r="BF43" s="75"/>
      <c r="BG43" s="120">
        <v>39</v>
      </c>
      <c r="BH43" s="58" t="e">
        <f>VLOOKUP(BG43,$Y$5:$AJ$104,$BI$2,FALSE)</f>
        <v>#N/A</v>
      </c>
      <c r="BI43" s="93" t="e">
        <f>VLOOKUP(BG43,$Y$5:$AJ$104,$BI$2+3,FALSE)</f>
        <v>#N/A</v>
      </c>
      <c r="BJ43" s="58" t="e">
        <f>VLOOKUP(BH43,$Y$5:$AJ$104,$BI$2+9,FALSE)</f>
        <v>#N/A</v>
      </c>
      <c r="BL43" s="120">
        <v>39</v>
      </c>
      <c r="BM43" s="58" t="e">
        <f>VLOOKUP(BL43,$AA$5:$AJ$104,$BN$2,FALSE)</f>
        <v>#N/A</v>
      </c>
      <c r="BN43" s="93" t="e">
        <f>VLOOKUP(BL43,$AA$5:$AJ$104,$BN$2+1,FALSE)</f>
        <v>#N/A</v>
      </c>
      <c r="BO43" s="58" t="e">
        <f>VLOOKUP(BM43,$AA$5:$AJ$104,$BN$2+8,FALSE)</f>
        <v>#N/A</v>
      </c>
      <c r="BQ43" s="2" t="e">
        <f>'Eclectic C'!CD43</f>
        <v>#N/A</v>
      </c>
      <c r="BR43" s="6" t="e">
        <f>'Eclectic C'!CE43</f>
        <v>#N/A</v>
      </c>
      <c r="BS43" s="103" t="e">
        <f>'Eclectic C'!CF43</f>
        <v>#N/A</v>
      </c>
    </row>
    <row r="44" spans="1:71">
      <c r="A44" s="10" t="str">
        <f>IF(ISBLANK(Players!K42),"",Players!K42)</f>
        <v/>
      </c>
      <c r="B44" s="10" t="str">
        <f>IF(ISBLANK(Players!L42),"",Players!L42)</f>
        <v/>
      </c>
      <c r="C44" s="10" t="str">
        <f>IF(ISBLANK(Players!N42),"",Players!N42)</f>
        <v/>
      </c>
      <c r="D44" s="126" t="str">
        <f>IF(ISNUMBER(C44),MIN((C44*Rules!$N$14/113)+(Rules!$N$13-Rules!$N$12),Rules!$N$37),"-")</f>
        <v>-</v>
      </c>
      <c r="E44" s="126" t="str">
        <f>IF(ISNUMBER(C44),    ROUND( (D44*Rules!$N$11) / 100,0),"-")</f>
        <v>-</v>
      </c>
      <c r="F44" s="36" t="str">
        <f>IF(AND(ISNUMBER(C44),C44&gt;=Rules!$M$24,C44&lt;=Rules!$N$24),"Y","N")</f>
        <v>N</v>
      </c>
      <c r="G44" s="137" t="str">
        <f>'Eclectic C'!M44</f>
        <v>-</v>
      </c>
      <c r="H44" s="137" t="str">
        <f>'Eclectic C'!W44</f>
        <v>-</v>
      </c>
      <c r="I44" s="137" t="str">
        <f>'Eclectic C'!AJ44</f>
        <v>-</v>
      </c>
      <c r="J44" s="137" t="str">
        <f>'Eclectic C'!AT44</f>
        <v>-</v>
      </c>
      <c r="K44" s="14" t="str">
        <f t="shared" si="1"/>
        <v>-</v>
      </c>
      <c r="L44" s="14" t="str">
        <f t="shared" si="2"/>
        <v>-</v>
      </c>
      <c r="M44" s="14" t="str">
        <f t="shared" si="3"/>
        <v>-</v>
      </c>
      <c r="N44" s="14" t="str">
        <f t="shared" si="4"/>
        <v>-</v>
      </c>
      <c r="O44" s="14" t="str">
        <f t="shared" si="5"/>
        <v>-</v>
      </c>
      <c r="P44" s="14" t="str">
        <f t="shared" si="6"/>
        <v>-</v>
      </c>
      <c r="Q44" s="108" t="e">
        <f>RANK($K44,$K$5:$K$104,1)+COUNTIF(K$5:K44,K44)-1</f>
        <v>#VALUE!</v>
      </c>
      <c r="R44" s="108" t="e">
        <f t="shared" si="7"/>
        <v>#VALUE!</v>
      </c>
      <c r="S44" s="108" t="e">
        <f>RANK($L44,$L$5:$L$104,1)+COUNTIF(L$5:L44,L44)-1</f>
        <v>#VALUE!</v>
      </c>
      <c r="T44" s="108" t="e">
        <f t="shared" si="8"/>
        <v>#VALUE!</v>
      </c>
      <c r="U44" s="108" t="e">
        <f>RANK($M44,$M$5:$M$104,1)+COUNTIF(M$5:M44,M44)-1</f>
        <v>#VALUE!</v>
      </c>
      <c r="V44" s="108" t="e">
        <f t="shared" si="9"/>
        <v>#VALUE!</v>
      </c>
      <c r="W44" s="108" t="e">
        <f>RANK($N44,$N$5:$N$104,1)+COUNTIF(N$5:N44,N44)-1</f>
        <v>#VALUE!</v>
      </c>
      <c r="X44" s="108" t="e">
        <f t="shared" si="10"/>
        <v>#VALUE!</v>
      </c>
      <c r="Y44" s="108" t="e">
        <f>RANK($O44,$O$5:$O$104,1)+COUNTIF(O$5:O44,O44)-1</f>
        <v>#VALUE!</v>
      </c>
      <c r="Z44" s="108" t="e">
        <f t="shared" si="11"/>
        <v>#VALUE!</v>
      </c>
      <c r="AA44" s="108" t="e">
        <f>RANK($P44,$P$5:$P$104,1)+COUNTIF(P$5:P44,P44)-1</f>
        <v>#VALUE!</v>
      </c>
      <c r="AB44" s="108" t="e">
        <f t="shared" si="12"/>
        <v>#VALUE!</v>
      </c>
      <c r="AC44" s="59" t="str">
        <f t="shared" si="13"/>
        <v xml:space="preserve"> </v>
      </c>
      <c r="AD44" s="59" t="str">
        <f t="shared" si="14"/>
        <v>-</v>
      </c>
      <c r="AE44" s="119" t="str">
        <f t="shared" si="15"/>
        <v>-</v>
      </c>
      <c r="AF44" s="119" t="str">
        <f t="shared" si="15"/>
        <v>-</v>
      </c>
      <c r="AG44" s="119" t="str">
        <f t="shared" si="15"/>
        <v>-</v>
      </c>
      <c r="AH44" s="119" t="str">
        <f t="shared" si="15"/>
        <v>-</v>
      </c>
      <c r="AI44" s="119" t="str">
        <f t="shared" si="15"/>
        <v>-</v>
      </c>
      <c r="AJ44" s="119" t="str">
        <f t="shared" si="15"/>
        <v>-</v>
      </c>
      <c r="AM44" s="120">
        <v>40</v>
      </c>
      <c r="AN44" s="58" t="e">
        <f>VLOOKUP(AM44,Q$5:$AJ$104,$AO$2,FALSE)</f>
        <v>#N/A</v>
      </c>
      <c r="AO44" s="93" t="e">
        <f>VLOOKUP(AM44,Q$5:$AJ$104,$AO$2+11,FALSE)</f>
        <v>#N/A</v>
      </c>
      <c r="AP44" s="58" t="e">
        <f t="shared" si="16"/>
        <v>#N/A</v>
      </c>
      <c r="AR44" s="120">
        <v>40</v>
      </c>
      <c r="AS44" s="58" t="e">
        <f>VLOOKUP(AR44,$S$5:$AJ$104,$AT$2,FALSE)</f>
        <v>#N/A</v>
      </c>
      <c r="AT44" s="93" t="e">
        <f>VLOOKUP(AR44,$S$5:$AJ$104,$AT$2+9,FALSE)</f>
        <v>#N/A</v>
      </c>
      <c r="AU44" s="58" t="e">
        <f>VLOOKUP(AS44,$S$5:$AJ$104,$AT$2+12,FALSE)</f>
        <v>#N/A</v>
      </c>
      <c r="AV44" s="75"/>
      <c r="AW44" s="120">
        <v>40</v>
      </c>
      <c r="AX44" s="58" t="e">
        <f>VLOOKUP(AW44,$U$5:$AJ$104,$AY$2,FALSE)</f>
        <v>#N/A</v>
      </c>
      <c r="AY44" s="93" t="e">
        <f>VLOOKUP(AW44,$U$5:$AJ$104,$AY$2+7,FALSE)</f>
        <v>#N/A</v>
      </c>
      <c r="AZ44" s="58" t="e">
        <f>VLOOKUP(AX44,$U$5:$AJ$104,$AY$2+11,FALSE)</f>
        <v>#N/A</v>
      </c>
      <c r="BB44" s="120">
        <v>40</v>
      </c>
      <c r="BC44" s="58" t="e">
        <f>VLOOKUP(BB44,$W$5:$AJ$104,$BD$2,FALSE)</f>
        <v>#N/A</v>
      </c>
      <c r="BD44" s="93" t="e">
        <f>VLOOKUP(BB44,$W$5:$AJ$104,$BD$2+5,FALSE)</f>
        <v>#N/A</v>
      </c>
      <c r="BE44" s="58" t="e">
        <f>VLOOKUP(BC44,$W$5:$AJ$104,$BD$2+10,FALSE)</f>
        <v>#N/A</v>
      </c>
      <c r="BF44" s="75"/>
      <c r="BG44" s="120">
        <v>40</v>
      </c>
      <c r="BH44" s="58" t="e">
        <f>VLOOKUP(BG44,$Y$5:$AJ$104,$BI$2,FALSE)</f>
        <v>#N/A</v>
      </c>
      <c r="BI44" s="93" t="e">
        <f>VLOOKUP(BG44,$Y$5:$AJ$104,$BI$2+3,FALSE)</f>
        <v>#N/A</v>
      </c>
      <c r="BJ44" s="58" t="e">
        <f>VLOOKUP(BH44,$Y$5:$AJ$104,$BI$2+9,FALSE)</f>
        <v>#N/A</v>
      </c>
      <c r="BL44" s="120">
        <v>40</v>
      </c>
      <c r="BM44" s="58" t="e">
        <f>VLOOKUP(BL44,$AA$5:$AJ$104,$BN$2,FALSE)</f>
        <v>#N/A</v>
      </c>
      <c r="BN44" s="93" t="e">
        <f>VLOOKUP(BL44,$AA$5:$AJ$104,$BN$2+1,FALSE)</f>
        <v>#N/A</v>
      </c>
      <c r="BO44" s="58" t="e">
        <f>VLOOKUP(BM44,$AA$5:$AJ$104,$BN$2+8,FALSE)</f>
        <v>#N/A</v>
      </c>
      <c r="BQ44" s="2" t="e">
        <f>'Eclectic C'!CD44</f>
        <v>#N/A</v>
      </c>
      <c r="BR44" s="6" t="e">
        <f>'Eclectic C'!CE44</f>
        <v>#N/A</v>
      </c>
      <c r="BS44" s="103" t="e">
        <f>'Eclectic C'!CF44</f>
        <v>#N/A</v>
      </c>
    </row>
    <row r="45" spans="1:71">
      <c r="A45" s="10" t="str">
        <f>IF(ISBLANK(Players!K43),"",Players!K43)</f>
        <v/>
      </c>
      <c r="B45" s="10" t="str">
        <f>IF(ISBLANK(Players!L43),"",Players!L43)</f>
        <v/>
      </c>
      <c r="C45" s="10" t="str">
        <f>IF(ISBLANK(Players!N43),"",Players!N43)</f>
        <v/>
      </c>
      <c r="D45" s="126" t="str">
        <f>IF(ISNUMBER(C45),MIN((C45*Rules!$N$14/113)+(Rules!$N$13-Rules!$N$12),Rules!$N$37),"-")</f>
        <v>-</v>
      </c>
      <c r="E45" s="126" t="str">
        <f>IF(ISNUMBER(C45),    ROUND( (D45*Rules!$N$11) / 100,0),"-")</f>
        <v>-</v>
      </c>
      <c r="F45" s="36" t="str">
        <f>IF(AND(ISNUMBER(C45),C45&gt;=Rules!$M$24,C45&lt;=Rules!$N$24),"Y","N")</f>
        <v>N</v>
      </c>
      <c r="G45" s="137" t="str">
        <f>'Eclectic C'!M45</f>
        <v>-</v>
      </c>
      <c r="H45" s="137" t="str">
        <f>'Eclectic C'!W45</f>
        <v>-</v>
      </c>
      <c r="I45" s="137" t="str">
        <f>'Eclectic C'!AJ45</f>
        <v>-</v>
      </c>
      <c r="J45" s="137" t="str">
        <f>'Eclectic C'!AT45</f>
        <v>-</v>
      </c>
      <c r="K45" s="14" t="str">
        <f t="shared" si="1"/>
        <v>-</v>
      </c>
      <c r="L45" s="14" t="str">
        <f t="shared" si="2"/>
        <v>-</v>
      </c>
      <c r="M45" s="14" t="str">
        <f t="shared" si="3"/>
        <v>-</v>
      </c>
      <c r="N45" s="14" t="str">
        <f t="shared" si="4"/>
        <v>-</v>
      </c>
      <c r="O45" s="14" t="str">
        <f t="shared" si="5"/>
        <v>-</v>
      </c>
      <c r="P45" s="14" t="str">
        <f t="shared" si="6"/>
        <v>-</v>
      </c>
      <c r="Q45" s="108" t="e">
        <f>RANK($K45,$K$5:$K$104,1)+COUNTIF(K$5:K45,K45)-1</f>
        <v>#VALUE!</v>
      </c>
      <c r="R45" s="108" t="e">
        <f t="shared" si="7"/>
        <v>#VALUE!</v>
      </c>
      <c r="S45" s="108" t="e">
        <f>RANK($L45,$L$5:$L$104,1)+COUNTIF(L$5:L45,L45)-1</f>
        <v>#VALUE!</v>
      </c>
      <c r="T45" s="108" t="e">
        <f t="shared" si="8"/>
        <v>#VALUE!</v>
      </c>
      <c r="U45" s="108" t="e">
        <f>RANK($M45,$M$5:$M$104,1)+COUNTIF(M$5:M45,M45)-1</f>
        <v>#VALUE!</v>
      </c>
      <c r="V45" s="108" t="e">
        <f t="shared" si="9"/>
        <v>#VALUE!</v>
      </c>
      <c r="W45" s="108" t="e">
        <f>RANK($N45,$N$5:$N$104,1)+COUNTIF(N$5:N45,N45)-1</f>
        <v>#VALUE!</v>
      </c>
      <c r="X45" s="108" t="e">
        <f t="shared" si="10"/>
        <v>#VALUE!</v>
      </c>
      <c r="Y45" s="108" t="e">
        <f>RANK($O45,$O$5:$O$104,1)+COUNTIF(O$5:O45,O45)-1</f>
        <v>#VALUE!</v>
      </c>
      <c r="Z45" s="108" t="e">
        <f t="shared" si="11"/>
        <v>#VALUE!</v>
      </c>
      <c r="AA45" s="108" t="e">
        <f>RANK($P45,$P$5:$P$104,1)+COUNTIF(P$5:P45,P45)-1</f>
        <v>#VALUE!</v>
      </c>
      <c r="AB45" s="108" t="e">
        <f t="shared" si="12"/>
        <v>#VALUE!</v>
      </c>
      <c r="AC45" s="59" t="str">
        <f t="shared" si="13"/>
        <v xml:space="preserve"> </v>
      </c>
      <c r="AD45" s="59" t="str">
        <f t="shared" si="14"/>
        <v>-</v>
      </c>
      <c r="AE45" s="119" t="str">
        <f t="shared" si="15"/>
        <v>-</v>
      </c>
      <c r="AF45" s="119" t="str">
        <f t="shared" si="15"/>
        <v>-</v>
      </c>
      <c r="AG45" s="119" t="str">
        <f t="shared" si="15"/>
        <v>-</v>
      </c>
      <c r="AH45" s="119" t="str">
        <f t="shared" si="15"/>
        <v>-</v>
      </c>
      <c r="AI45" s="119" t="str">
        <f t="shared" si="15"/>
        <v>-</v>
      </c>
      <c r="AJ45" s="119" t="str">
        <f t="shared" si="15"/>
        <v>-</v>
      </c>
      <c r="AM45" s="120">
        <v>41</v>
      </c>
      <c r="AN45" s="58" t="e">
        <f>VLOOKUP(AM45,Q$5:$AJ$104,$AO$2,FALSE)</f>
        <v>#N/A</v>
      </c>
      <c r="AO45" s="93" t="e">
        <f>VLOOKUP(AM45,Q$5:$AJ$104,$AO$2+11,FALSE)</f>
        <v>#N/A</v>
      </c>
      <c r="AP45" s="58" t="e">
        <f t="shared" si="16"/>
        <v>#N/A</v>
      </c>
      <c r="AR45" s="120">
        <v>41</v>
      </c>
      <c r="AS45" s="58" t="e">
        <f>VLOOKUP(AR45,$S$5:$AJ$104,$AT$2,FALSE)</f>
        <v>#N/A</v>
      </c>
      <c r="AT45" s="93" t="e">
        <f>VLOOKUP(AR45,$S$5:$AJ$104,$AT$2+9,FALSE)</f>
        <v>#N/A</v>
      </c>
      <c r="AU45" s="58" t="e">
        <f>VLOOKUP(AS45,$S$5:$AJ$104,$AT$2+12,FALSE)</f>
        <v>#N/A</v>
      </c>
      <c r="AV45" s="75"/>
      <c r="AW45" s="120">
        <v>41</v>
      </c>
      <c r="AX45" s="58" t="e">
        <f>VLOOKUP(AW45,$U$5:$AJ$104,$AY$2,FALSE)</f>
        <v>#N/A</v>
      </c>
      <c r="AY45" s="93" t="e">
        <f>VLOOKUP(AW45,$U$5:$AJ$104,$AY$2+7,FALSE)</f>
        <v>#N/A</v>
      </c>
      <c r="AZ45" s="58" t="e">
        <f>VLOOKUP(AX45,$U$5:$AJ$104,$AY$2+11,FALSE)</f>
        <v>#N/A</v>
      </c>
      <c r="BB45" s="120">
        <v>41</v>
      </c>
      <c r="BC45" s="58" t="e">
        <f>VLOOKUP(BB45,$W$5:$AJ$104,$BD$2,FALSE)</f>
        <v>#N/A</v>
      </c>
      <c r="BD45" s="93" t="e">
        <f>VLOOKUP(BB45,$W$5:$AJ$104,$BD$2+5,FALSE)</f>
        <v>#N/A</v>
      </c>
      <c r="BE45" s="58" t="e">
        <f>VLOOKUP(BC45,$W$5:$AJ$104,$BD$2+10,FALSE)</f>
        <v>#N/A</v>
      </c>
      <c r="BF45" s="75"/>
      <c r="BG45" s="120">
        <v>41</v>
      </c>
      <c r="BH45" s="58" t="e">
        <f>VLOOKUP(BG45,$Y$5:$AJ$104,$BI$2,FALSE)</f>
        <v>#N/A</v>
      </c>
      <c r="BI45" s="93" t="e">
        <f>VLOOKUP(BG45,$Y$5:$AJ$104,$BI$2+3,FALSE)</f>
        <v>#N/A</v>
      </c>
      <c r="BJ45" s="58" t="e">
        <f>VLOOKUP(BH45,$Y$5:$AJ$104,$BI$2+9,FALSE)</f>
        <v>#N/A</v>
      </c>
      <c r="BL45" s="120">
        <v>41</v>
      </c>
      <c r="BM45" s="58" t="e">
        <f>VLOOKUP(BL45,$AA$5:$AJ$104,$BN$2,FALSE)</f>
        <v>#N/A</v>
      </c>
      <c r="BN45" s="93" t="e">
        <f>VLOOKUP(BL45,$AA$5:$AJ$104,$BN$2+1,FALSE)</f>
        <v>#N/A</v>
      </c>
      <c r="BO45" s="58" t="e">
        <f>VLOOKUP(BM45,$AA$5:$AJ$104,$BN$2+8,FALSE)</f>
        <v>#N/A</v>
      </c>
      <c r="BQ45" s="2" t="e">
        <f>'Eclectic C'!CD45</f>
        <v>#N/A</v>
      </c>
      <c r="BR45" s="6" t="e">
        <f>'Eclectic C'!CE45</f>
        <v>#N/A</v>
      </c>
      <c r="BS45" s="103" t="e">
        <f>'Eclectic C'!CF45</f>
        <v>#N/A</v>
      </c>
    </row>
    <row r="46" spans="1:71">
      <c r="A46" s="10" t="str">
        <f>IF(ISBLANK(Players!K44),"",Players!K44)</f>
        <v/>
      </c>
      <c r="B46" s="10" t="str">
        <f>IF(ISBLANK(Players!L44),"",Players!L44)</f>
        <v/>
      </c>
      <c r="C46" s="10" t="str">
        <f>IF(ISBLANK(Players!N44),"",Players!N44)</f>
        <v/>
      </c>
      <c r="D46" s="126" t="str">
        <f>IF(ISNUMBER(C46),MIN((C46*Rules!$N$14/113)+(Rules!$N$13-Rules!$N$12),Rules!$N$37),"-")</f>
        <v>-</v>
      </c>
      <c r="E46" s="126" t="str">
        <f>IF(ISNUMBER(C46),    ROUND( (D46*Rules!$N$11) / 100,0),"-")</f>
        <v>-</v>
      </c>
      <c r="F46" s="36" t="str">
        <f>IF(AND(ISNUMBER(C46),C46&gt;=Rules!$M$24,C46&lt;=Rules!$N$24),"Y","N")</f>
        <v>N</v>
      </c>
      <c r="G46" s="137" t="str">
        <f>'Eclectic C'!M46</f>
        <v>-</v>
      </c>
      <c r="H46" s="137" t="str">
        <f>'Eclectic C'!W46</f>
        <v>-</v>
      </c>
      <c r="I46" s="137" t="str">
        <f>'Eclectic C'!AJ46</f>
        <v>-</v>
      </c>
      <c r="J46" s="137" t="str">
        <f>'Eclectic C'!AT46</f>
        <v>-</v>
      </c>
      <c r="K46" s="14" t="str">
        <f t="shared" si="1"/>
        <v>-</v>
      </c>
      <c r="L46" s="14" t="str">
        <f t="shared" si="2"/>
        <v>-</v>
      </c>
      <c r="M46" s="14" t="str">
        <f t="shared" si="3"/>
        <v>-</v>
      </c>
      <c r="N46" s="14" t="str">
        <f t="shared" si="4"/>
        <v>-</v>
      </c>
      <c r="O46" s="14" t="str">
        <f t="shared" si="5"/>
        <v>-</v>
      </c>
      <c r="P46" s="14" t="str">
        <f t="shared" si="6"/>
        <v>-</v>
      </c>
      <c r="Q46" s="108" t="e">
        <f>RANK($K46,$K$5:$K$104,1)+COUNTIF(K$5:K46,K46)-1</f>
        <v>#VALUE!</v>
      </c>
      <c r="R46" s="108" t="e">
        <f t="shared" si="7"/>
        <v>#VALUE!</v>
      </c>
      <c r="S46" s="108" t="e">
        <f>RANK($L46,$L$5:$L$104,1)+COUNTIF(L$5:L46,L46)-1</f>
        <v>#VALUE!</v>
      </c>
      <c r="T46" s="108" t="e">
        <f t="shared" si="8"/>
        <v>#VALUE!</v>
      </c>
      <c r="U46" s="108" t="e">
        <f>RANK($M46,$M$5:$M$104,1)+COUNTIF(M$5:M46,M46)-1</f>
        <v>#VALUE!</v>
      </c>
      <c r="V46" s="108" t="e">
        <f t="shared" si="9"/>
        <v>#VALUE!</v>
      </c>
      <c r="W46" s="108" t="e">
        <f>RANK($N46,$N$5:$N$104,1)+COUNTIF(N$5:N46,N46)-1</f>
        <v>#VALUE!</v>
      </c>
      <c r="X46" s="108" t="e">
        <f t="shared" si="10"/>
        <v>#VALUE!</v>
      </c>
      <c r="Y46" s="108" t="e">
        <f>RANK($O46,$O$5:$O$104,1)+COUNTIF(O$5:O46,O46)-1</f>
        <v>#VALUE!</v>
      </c>
      <c r="Z46" s="108" t="e">
        <f t="shared" si="11"/>
        <v>#VALUE!</v>
      </c>
      <c r="AA46" s="108" t="e">
        <f>RANK($P46,$P$5:$P$104,1)+COUNTIF(P$5:P46,P46)-1</f>
        <v>#VALUE!</v>
      </c>
      <c r="AB46" s="108" t="e">
        <f t="shared" si="12"/>
        <v>#VALUE!</v>
      </c>
      <c r="AC46" s="59" t="str">
        <f t="shared" si="13"/>
        <v xml:space="preserve"> </v>
      </c>
      <c r="AD46" s="59" t="str">
        <f t="shared" si="14"/>
        <v>-</v>
      </c>
      <c r="AE46" s="119" t="str">
        <f t="shared" si="15"/>
        <v>-</v>
      </c>
      <c r="AF46" s="119" t="str">
        <f t="shared" si="15"/>
        <v>-</v>
      </c>
      <c r="AG46" s="119" t="str">
        <f t="shared" si="15"/>
        <v>-</v>
      </c>
      <c r="AH46" s="119" t="str">
        <f t="shared" si="15"/>
        <v>-</v>
      </c>
      <c r="AI46" s="119" t="str">
        <f t="shared" si="15"/>
        <v>-</v>
      </c>
      <c r="AJ46" s="119" t="str">
        <f t="shared" si="15"/>
        <v>-</v>
      </c>
      <c r="AM46" s="120">
        <v>42</v>
      </c>
      <c r="AN46" s="58" t="e">
        <f>VLOOKUP(AM46,Q$5:$AJ$104,$AO$2,FALSE)</f>
        <v>#N/A</v>
      </c>
      <c r="AO46" s="93" t="e">
        <f>VLOOKUP(AM46,Q$5:$AJ$104,$AO$2+11,FALSE)</f>
        <v>#N/A</v>
      </c>
      <c r="AP46" s="58" t="e">
        <f t="shared" si="16"/>
        <v>#N/A</v>
      </c>
      <c r="AR46" s="120">
        <v>42</v>
      </c>
      <c r="AS46" s="58" t="e">
        <f>VLOOKUP(AR46,$S$5:$AJ$104,$AT$2,FALSE)</f>
        <v>#N/A</v>
      </c>
      <c r="AT46" s="93" t="e">
        <f>VLOOKUP(AR46,$S$5:$AJ$104,$AT$2+9,FALSE)</f>
        <v>#N/A</v>
      </c>
      <c r="AU46" s="58" t="e">
        <f>VLOOKUP(AS46,$S$5:$AJ$104,$AT$2+12,FALSE)</f>
        <v>#N/A</v>
      </c>
      <c r="AV46" s="75"/>
      <c r="AW46" s="120">
        <v>42</v>
      </c>
      <c r="AX46" s="58" t="e">
        <f>VLOOKUP(AW46,$U$5:$AJ$104,$AY$2,FALSE)</f>
        <v>#N/A</v>
      </c>
      <c r="AY46" s="93" t="e">
        <f>VLOOKUP(AW46,$U$5:$AJ$104,$AY$2+7,FALSE)</f>
        <v>#N/A</v>
      </c>
      <c r="AZ46" s="58" t="e">
        <f>VLOOKUP(AX46,$U$5:$AJ$104,$AY$2+11,FALSE)</f>
        <v>#N/A</v>
      </c>
      <c r="BB46" s="120">
        <v>42</v>
      </c>
      <c r="BC46" s="58" t="e">
        <f>VLOOKUP(BB46,$W$5:$AJ$104,$BD$2,FALSE)</f>
        <v>#N/A</v>
      </c>
      <c r="BD46" s="93" t="e">
        <f>VLOOKUP(BB46,$W$5:$AJ$104,$BD$2+5,FALSE)</f>
        <v>#N/A</v>
      </c>
      <c r="BE46" s="58" t="e">
        <f>VLOOKUP(BC46,$W$5:$AJ$104,$BD$2+10,FALSE)</f>
        <v>#N/A</v>
      </c>
      <c r="BF46" s="75"/>
      <c r="BG46" s="120">
        <v>42</v>
      </c>
      <c r="BH46" s="58" t="e">
        <f>VLOOKUP(BG46,$Y$5:$AJ$104,$BI$2,FALSE)</f>
        <v>#N/A</v>
      </c>
      <c r="BI46" s="93" t="e">
        <f>VLOOKUP(BG46,$Y$5:$AJ$104,$BI$2+3,FALSE)</f>
        <v>#N/A</v>
      </c>
      <c r="BJ46" s="58" t="e">
        <f>VLOOKUP(BH46,$Y$5:$AJ$104,$BI$2+9,FALSE)</f>
        <v>#N/A</v>
      </c>
      <c r="BL46" s="120">
        <v>42</v>
      </c>
      <c r="BM46" s="58" t="e">
        <f>VLOOKUP(BL46,$AA$5:$AJ$104,$BN$2,FALSE)</f>
        <v>#N/A</v>
      </c>
      <c r="BN46" s="93" t="e">
        <f>VLOOKUP(BL46,$AA$5:$AJ$104,$BN$2+1,FALSE)</f>
        <v>#N/A</v>
      </c>
      <c r="BO46" s="58" t="e">
        <f>VLOOKUP(BM46,$AA$5:$AJ$104,$BN$2+8,FALSE)</f>
        <v>#N/A</v>
      </c>
      <c r="BQ46" s="2" t="e">
        <f>'Eclectic C'!CD46</f>
        <v>#N/A</v>
      </c>
      <c r="BR46" s="6" t="e">
        <f>'Eclectic C'!CE46</f>
        <v>#N/A</v>
      </c>
      <c r="BS46" s="103" t="e">
        <f>'Eclectic C'!CF46</f>
        <v>#N/A</v>
      </c>
    </row>
    <row r="47" spans="1:71">
      <c r="A47" s="10" t="str">
        <f>IF(ISBLANK(Players!K45),"",Players!K45)</f>
        <v/>
      </c>
      <c r="B47" s="10" t="str">
        <f>IF(ISBLANK(Players!L45),"",Players!L45)</f>
        <v/>
      </c>
      <c r="C47" s="10" t="str">
        <f>IF(ISBLANK(Players!N45),"",Players!N45)</f>
        <v/>
      </c>
      <c r="D47" s="126" t="str">
        <f>IF(ISNUMBER(C47),MIN((C47*Rules!$N$14/113)+(Rules!$N$13-Rules!$N$12),Rules!$N$37),"-")</f>
        <v>-</v>
      </c>
      <c r="E47" s="126" t="str">
        <f>IF(ISNUMBER(C47),    ROUND( (D47*Rules!$N$11) / 100,0),"-")</f>
        <v>-</v>
      </c>
      <c r="F47" s="36" t="str">
        <f>IF(AND(ISNUMBER(C47),C47&gt;=Rules!$M$24,C47&lt;=Rules!$N$24),"Y","N")</f>
        <v>N</v>
      </c>
      <c r="G47" s="137" t="str">
        <f>'Eclectic C'!M47</f>
        <v>-</v>
      </c>
      <c r="H47" s="137" t="str">
        <f>'Eclectic C'!W47</f>
        <v>-</v>
      </c>
      <c r="I47" s="137" t="str">
        <f>'Eclectic C'!AJ47</f>
        <v>-</v>
      </c>
      <c r="J47" s="137" t="str">
        <f>'Eclectic C'!AT47</f>
        <v>-</v>
      </c>
      <c r="K47" s="14" t="str">
        <f t="shared" si="1"/>
        <v>-</v>
      </c>
      <c r="L47" s="14" t="str">
        <f t="shared" si="2"/>
        <v>-</v>
      </c>
      <c r="M47" s="14" t="str">
        <f t="shared" si="3"/>
        <v>-</v>
      </c>
      <c r="N47" s="14" t="str">
        <f t="shared" si="4"/>
        <v>-</v>
      </c>
      <c r="O47" s="14" t="str">
        <f t="shared" si="5"/>
        <v>-</v>
      </c>
      <c r="P47" s="14" t="str">
        <f t="shared" si="6"/>
        <v>-</v>
      </c>
      <c r="Q47" s="108" t="e">
        <f>RANK($K47,$K$5:$K$104,1)+COUNTIF(K$5:K47,K47)-1</f>
        <v>#VALUE!</v>
      </c>
      <c r="R47" s="108" t="e">
        <f t="shared" si="7"/>
        <v>#VALUE!</v>
      </c>
      <c r="S47" s="108" t="e">
        <f>RANK($L47,$L$5:$L$104,1)+COUNTIF(L$5:L47,L47)-1</f>
        <v>#VALUE!</v>
      </c>
      <c r="T47" s="108" t="e">
        <f t="shared" si="8"/>
        <v>#VALUE!</v>
      </c>
      <c r="U47" s="108" t="e">
        <f>RANK($M47,$M$5:$M$104,1)+COUNTIF(M$5:M47,M47)-1</f>
        <v>#VALUE!</v>
      </c>
      <c r="V47" s="108" t="e">
        <f t="shared" si="9"/>
        <v>#VALUE!</v>
      </c>
      <c r="W47" s="108" t="e">
        <f>RANK($N47,$N$5:$N$104,1)+COUNTIF(N$5:N47,N47)-1</f>
        <v>#VALUE!</v>
      </c>
      <c r="X47" s="108" t="e">
        <f t="shared" si="10"/>
        <v>#VALUE!</v>
      </c>
      <c r="Y47" s="108" t="e">
        <f>RANK($O47,$O$5:$O$104,1)+COUNTIF(O$5:O47,O47)-1</f>
        <v>#VALUE!</v>
      </c>
      <c r="Z47" s="108" t="e">
        <f t="shared" si="11"/>
        <v>#VALUE!</v>
      </c>
      <c r="AA47" s="108" t="e">
        <f>RANK($P47,$P$5:$P$104,1)+COUNTIF(P$5:P47,P47)-1</f>
        <v>#VALUE!</v>
      </c>
      <c r="AB47" s="108" t="e">
        <f t="shared" si="12"/>
        <v>#VALUE!</v>
      </c>
      <c r="AC47" s="59" t="str">
        <f t="shared" si="13"/>
        <v xml:space="preserve"> </v>
      </c>
      <c r="AD47" s="59" t="str">
        <f t="shared" si="14"/>
        <v>-</v>
      </c>
      <c r="AE47" s="119" t="str">
        <f t="shared" si="15"/>
        <v>-</v>
      </c>
      <c r="AF47" s="119" t="str">
        <f t="shared" si="15"/>
        <v>-</v>
      </c>
      <c r="AG47" s="119" t="str">
        <f t="shared" si="15"/>
        <v>-</v>
      </c>
      <c r="AH47" s="119" t="str">
        <f t="shared" si="15"/>
        <v>-</v>
      </c>
      <c r="AI47" s="119" t="str">
        <f t="shared" si="15"/>
        <v>-</v>
      </c>
      <c r="AJ47" s="119" t="str">
        <f t="shared" si="15"/>
        <v>-</v>
      </c>
      <c r="AM47" s="120">
        <v>43</v>
      </c>
      <c r="AN47" s="58" t="e">
        <f>VLOOKUP(AM47,Q$5:$AJ$104,$AO$2,FALSE)</f>
        <v>#N/A</v>
      </c>
      <c r="AO47" s="93" t="e">
        <f>VLOOKUP(AM47,Q$5:$AJ$104,$AO$2+11,FALSE)</f>
        <v>#N/A</v>
      </c>
      <c r="AP47" s="58" t="e">
        <f t="shared" si="16"/>
        <v>#N/A</v>
      </c>
      <c r="AR47" s="120">
        <v>43</v>
      </c>
      <c r="AS47" s="58" t="e">
        <f>VLOOKUP(AR47,$S$5:$AJ$104,$AT$2,FALSE)</f>
        <v>#N/A</v>
      </c>
      <c r="AT47" s="93" t="e">
        <f>VLOOKUP(AR47,$S$5:$AJ$104,$AT$2+9,FALSE)</f>
        <v>#N/A</v>
      </c>
      <c r="AU47" s="58" t="e">
        <f>VLOOKUP(AS47,$S$5:$AJ$104,$AT$2+12,FALSE)</f>
        <v>#N/A</v>
      </c>
      <c r="AV47" s="75"/>
      <c r="AW47" s="120">
        <v>43</v>
      </c>
      <c r="AX47" s="58" t="e">
        <f>VLOOKUP(AW47,$U$5:$AJ$104,$AY$2,FALSE)</f>
        <v>#N/A</v>
      </c>
      <c r="AY47" s="93" t="e">
        <f>VLOOKUP(AW47,$U$5:$AJ$104,$AY$2+7,FALSE)</f>
        <v>#N/A</v>
      </c>
      <c r="AZ47" s="58" t="e">
        <f>VLOOKUP(AX47,$U$5:$AJ$104,$AY$2+11,FALSE)</f>
        <v>#N/A</v>
      </c>
      <c r="BB47" s="120">
        <v>43</v>
      </c>
      <c r="BC47" s="58" t="e">
        <f>VLOOKUP(BB47,$W$5:$AJ$104,$BD$2,FALSE)</f>
        <v>#N/A</v>
      </c>
      <c r="BD47" s="93" t="e">
        <f>VLOOKUP(BB47,$W$5:$AJ$104,$BD$2+5,FALSE)</f>
        <v>#N/A</v>
      </c>
      <c r="BE47" s="58" t="e">
        <f>VLOOKUP(BC47,$W$5:$AJ$104,$BD$2+10,FALSE)</f>
        <v>#N/A</v>
      </c>
      <c r="BF47" s="75"/>
      <c r="BG47" s="120">
        <v>43</v>
      </c>
      <c r="BH47" s="58" t="e">
        <f>VLOOKUP(BG47,$Y$5:$AJ$104,$BI$2,FALSE)</f>
        <v>#N/A</v>
      </c>
      <c r="BI47" s="93" t="e">
        <f>VLOOKUP(BG47,$Y$5:$AJ$104,$BI$2+3,FALSE)</f>
        <v>#N/A</v>
      </c>
      <c r="BJ47" s="58" t="e">
        <f>VLOOKUP(BH47,$Y$5:$AJ$104,$BI$2+9,FALSE)</f>
        <v>#N/A</v>
      </c>
      <c r="BL47" s="120">
        <v>43</v>
      </c>
      <c r="BM47" s="58" t="e">
        <f>VLOOKUP(BL47,$AA$5:$AJ$104,$BN$2,FALSE)</f>
        <v>#N/A</v>
      </c>
      <c r="BN47" s="93" t="e">
        <f>VLOOKUP(BL47,$AA$5:$AJ$104,$BN$2+1,FALSE)</f>
        <v>#N/A</v>
      </c>
      <c r="BO47" s="58" t="e">
        <f>VLOOKUP(BM47,$AA$5:$AJ$104,$BN$2+8,FALSE)</f>
        <v>#N/A</v>
      </c>
      <c r="BQ47" s="2" t="e">
        <f>'Eclectic C'!CD47</f>
        <v>#N/A</v>
      </c>
      <c r="BR47" s="6" t="e">
        <f>'Eclectic C'!CE47</f>
        <v>#N/A</v>
      </c>
      <c r="BS47" s="103" t="e">
        <f>'Eclectic C'!CF47</f>
        <v>#N/A</v>
      </c>
    </row>
    <row r="48" spans="1:71">
      <c r="A48" s="10" t="str">
        <f>IF(ISBLANK(Players!K46),"",Players!K46)</f>
        <v/>
      </c>
      <c r="B48" s="10" t="str">
        <f>IF(ISBLANK(Players!L46),"",Players!L46)</f>
        <v/>
      </c>
      <c r="C48" s="10" t="str">
        <f>IF(ISBLANK(Players!N46),"",Players!N46)</f>
        <v/>
      </c>
      <c r="D48" s="126" t="str">
        <f>IF(ISNUMBER(C48),MIN((C48*Rules!$N$14/113)+(Rules!$N$13-Rules!$N$12),Rules!$N$37),"-")</f>
        <v>-</v>
      </c>
      <c r="E48" s="126" t="str">
        <f>IF(ISNUMBER(C48),    ROUND( (D48*Rules!$N$11) / 100,0),"-")</f>
        <v>-</v>
      </c>
      <c r="F48" s="36" t="str">
        <f>IF(AND(ISNUMBER(C48),C48&gt;=Rules!$M$24,C48&lt;=Rules!$N$24),"Y","N")</f>
        <v>N</v>
      </c>
      <c r="G48" s="137" t="str">
        <f>'Eclectic C'!M48</f>
        <v>-</v>
      </c>
      <c r="H48" s="137" t="str">
        <f>'Eclectic C'!W48</f>
        <v>-</v>
      </c>
      <c r="I48" s="137" t="str">
        <f>'Eclectic C'!AJ48</f>
        <v>-</v>
      </c>
      <c r="J48" s="137" t="str">
        <f>'Eclectic C'!AT48</f>
        <v>-</v>
      </c>
      <c r="K48" s="14" t="str">
        <f t="shared" si="1"/>
        <v>-</v>
      </c>
      <c r="L48" s="14" t="str">
        <f t="shared" si="2"/>
        <v>-</v>
      </c>
      <c r="M48" s="14" t="str">
        <f t="shared" si="3"/>
        <v>-</v>
      </c>
      <c r="N48" s="14" t="str">
        <f t="shared" si="4"/>
        <v>-</v>
      </c>
      <c r="O48" s="14" t="str">
        <f t="shared" si="5"/>
        <v>-</v>
      </c>
      <c r="P48" s="14" t="str">
        <f t="shared" si="6"/>
        <v>-</v>
      </c>
      <c r="Q48" s="108" t="e">
        <f>RANK($K48,$K$5:$K$104,1)+COUNTIF(K$5:K48,K48)-1</f>
        <v>#VALUE!</v>
      </c>
      <c r="R48" s="108" t="e">
        <f t="shared" si="7"/>
        <v>#VALUE!</v>
      </c>
      <c r="S48" s="108" t="e">
        <f>RANK($L48,$L$5:$L$104,1)+COUNTIF(L$5:L48,L48)-1</f>
        <v>#VALUE!</v>
      </c>
      <c r="T48" s="108" t="e">
        <f t="shared" si="8"/>
        <v>#VALUE!</v>
      </c>
      <c r="U48" s="108" t="e">
        <f>RANK($M48,$M$5:$M$104,1)+COUNTIF(M$5:M48,M48)-1</f>
        <v>#VALUE!</v>
      </c>
      <c r="V48" s="108" t="e">
        <f t="shared" si="9"/>
        <v>#VALUE!</v>
      </c>
      <c r="W48" s="108" t="e">
        <f>RANK($N48,$N$5:$N$104,1)+COUNTIF(N$5:N48,N48)-1</f>
        <v>#VALUE!</v>
      </c>
      <c r="X48" s="108" t="e">
        <f t="shared" si="10"/>
        <v>#VALUE!</v>
      </c>
      <c r="Y48" s="108" t="e">
        <f>RANK($O48,$O$5:$O$104,1)+COUNTIF(O$5:O48,O48)-1</f>
        <v>#VALUE!</v>
      </c>
      <c r="Z48" s="108" t="e">
        <f t="shared" si="11"/>
        <v>#VALUE!</v>
      </c>
      <c r="AA48" s="108" t="e">
        <f>RANK($P48,$P$5:$P$104,1)+COUNTIF(P$5:P48,P48)-1</f>
        <v>#VALUE!</v>
      </c>
      <c r="AB48" s="108" t="e">
        <f t="shared" si="12"/>
        <v>#VALUE!</v>
      </c>
      <c r="AC48" s="59" t="str">
        <f t="shared" si="13"/>
        <v xml:space="preserve"> </v>
      </c>
      <c r="AD48" s="59" t="str">
        <f t="shared" si="14"/>
        <v>-</v>
      </c>
      <c r="AE48" s="119" t="str">
        <f t="shared" si="15"/>
        <v>-</v>
      </c>
      <c r="AF48" s="119" t="str">
        <f t="shared" si="15"/>
        <v>-</v>
      </c>
      <c r="AG48" s="119" t="str">
        <f t="shared" si="15"/>
        <v>-</v>
      </c>
      <c r="AH48" s="119" t="str">
        <f t="shared" ref="AH48:AJ104" si="17">N48</f>
        <v>-</v>
      </c>
      <c r="AI48" s="119" t="str">
        <f t="shared" si="17"/>
        <v>-</v>
      </c>
      <c r="AJ48" s="119" t="str">
        <f t="shared" si="17"/>
        <v>-</v>
      </c>
      <c r="AM48" s="120">
        <v>44</v>
      </c>
      <c r="AN48" s="58" t="e">
        <f>VLOOKUP(AM48,Q$5:$AJ$104,$AO$2,FALSE)</f>
        <v>#N/A</v>
      </c>
      <c r="AO48" s="93" t="e">
        <f>VLOOKUP(AM48,Q$5:$AJ$104,$AO$2+11,FALSE)</f>
        <v>#N/A</v>
      </c>
      <c r="AP48" s="58" t="e">
        <f t="shared" si="16"/>
        <v>#N/A</v>
      </c>
      <c r="AR48" s="120">
        <v>44</v>
      </c>
      <c r="AS48" s="58" t="e">
        <f>VLOOKUP(AR48,$S$5:$AJ$104,$AT$2,FALSE)</f>
        <v>#N/A</v>
      </c>
      <c r="AT48" s="93" t="e">
        <f>VLOOKUP(AR48,$S$5:$AJ$104,$AT$2+9,FALSE)</f>
        <v>#N/A</v>
      </c>
      <c r="AU48" s="58" t="e">
        <f>VLOOKUP(AS48,$S$5:$AJ$104,$AT$2+12,FALSE)</f>
        <v>#N/A</v>
      </c>
      <c r="AV48" s="75"/>
      <c r="AW48" s="120">
        <v>44</v>
      </c>
      <c r="AX48" s="58" t="e">
        <f>VLOOKUP(AW48,$U$5:$AJ$104,$AY$2,FALSE)</f>
        <v>#N/A</v>
      </c>
      <c r="AY48" s="93" t="e">
        <f>VLOOKUP(AW48,$U$5:$AJ$104,$AY$2+7,FALSE)</f>
        <v>#N/A</v>
      </c>
      <c r="AZ48" s="58" t="e">
        <f>VLOOKUP(AX48,$U$5:$AJ$104,$AY$2+11,FALSE)</f>
        <v>#N/A</v>
      </c>
      <c r="BB48" s="120">
        <v>44</v>
      </c>
      <c r="BC48" s="58" t="e">
        <f>VLOOKUP(BB48,$W$5:$AJ$104,$BD$2,FALSE)</f>
        <v>#N/A</v>
      </c>
      <c r="BD48" s="93" t="e">
        <f>VLOOKUP(BB48,$W$5:$AJ$104,$BD$2+5,FALSE)</f>
        <v>#N/A</v>
      </c>
      <c r="BE48" s="58" t="e">
        <f>VLOOKUP(BC48,$W$5:$AJ$104,$BD$2+10,FALSE)</f>
        <v>#N/A</v>
      </c>
      <c r="BF48" s="75"/>
      <c r="BG48" s="120">
        <v>44</v>
      </c>
      <c r="BH48" s="58" t="e">
        <f>VLOOKUP(BG48,$Y$5:$AJ$104,$BI$2,FALSE)</f>
        <v>#N/A</v>
      </c>
      <c r="BI48" s="93" t="e">
        <f>VLOOKUP(BG48,$Y$5:$AJ$104,$BI$2+3,FALSE)</f>
        <v>#N/A</v>
      </c>
      <c r="BJ48" s="58" t="e">
        <f>VLOOKUP(BH48,$Y$5:$AJ$104,$BI$2+9,FALSE)</f>
        <v>#N/A</v>
      </c>
      <c r="BL48" s="120">
        <v>44</v>
      </c>
      <c r="BM48" s="58" t="e">
        <f>VLOOKUP(BL48,$AA$5:$AJ$104,$BN$2,FALSE)</f>
        <v>#N/A</v>
      </c>
      <c r="BN48" s="93" t="e">
        <f>VLOOKUP(BL48,$AA$5:$AJ$104,$BN$2+1,FALSE)</f>
        <v>#N/A</v>
      </c>
      <c r="BO48" s="58" t="e">
        <f>VLOOKUP(BM48,$AA$5:$AJ$104,$BN$2+8,FALSE)</f>
        <v>#N/A</v>
      </c>
      <c r="BQ48" s="2" t="e">
        <f>'Eclectic C'!CD48</f>
        <v>#N/A</v>
      </c>
      <c r="BR48" s="6" t="e">
        <f>'Eclectic C'!CE48</f>
        <v>#N/A</v>
      </c>
      <c r="BS48" s="103" t="e">
        <f>'Eclectic C'!CF48</f>
        <v>#N/A</v>
      </c>
    </row>
    <row r="49" spans="1:71">
      <c r="A49" s="10" t="str">
        <f>IF(ISBLANK(Players!K47),"",Players!K47)</f>
        <v/>
      </c>
      <c r="B49" s="10" t="str">
        <f>IF(ISBLANK(Players!L47),"",Players!L47)</f>
        <v/>
      </c>
      <c r="C49" s="10" t="str">
        <f>IF(ISBLANK(Players!N47),"",Players!N47)</f>
        <v/>
      </c>
      <c r="D49" s="126" t="str">
        <f>IF(ISNUMBER(C49),MIN((C49*Rules!$N$14/113)+(Rules!$N$13-Rules!$N$12),Rules!$N$37),"-")</f>
        <v>-</v>
      </c>
      <c r="E49" s="126" t="str">
        <f>IF(ISNUMBER(C49),    ROUND( (D49*Rules!$N$11) / 100,0),"-")</f>
        <v>-</v>
      </c>
      <c r="F49" s="36" t="str">
        <f>IF(AND(ISNUMBER(C49),C49&gt;=Rules!$M$24,C49&lt;=Rules!$N$24),"Y","N")</f>
        <v>N</v>
      </c>
      <c r="G49" s="137" t="str">
        <f>'Eclectic C'!M49</f>
        <v>-</v>
      </c>
      <c r="H49" s="137" t="str">
        <f>'Eclectic C'!W49</f>
        <v>-</v>
      </c>
      <c r="I49" s="137" t="str">
        <f>'Eclectic C'!AJ49</f>
        <v>-</v>
      </c>
      <c r="J49" s="137" t="str">
        <f>'Eclectic C'!AT49</f>
        <v>-</v>
      </c>
      <c r="K49" s="14" t="str">
        <f t="shared" si="1"/>
        <v>-</v>
      </c>
      <c r="L49" s="14" t="str">
        <f t="shared" si="2"/>
        <v>-</v>
      </c>
      <c r="M49" s="14" t="str">
        <f t="shared" si="3"/>
        <v>-</v>
      </c>
      <c r="N49" s="14" t="str">
        <f t="shared" si="4"/>
        <v>-</v>
      </c>
      <c r="O49" s="14" t="str">
        <f t="shared" si="5"/>
        <v>-</v>
      </c>
      <c r="P49" s="14" t="str">
        <f t="shared" si="6"/>
        <v>-</v>
      </c>
      <c r="Q49" s="108" t="e">
        <f>RANK($K49,$K$5:$K$104,1)+COUNTIF(K$5:K49,K49)-1</f>
        <v>#VALUE!</v>
      </c>
      <c r="R49" s="108" t="e">
        <f t="shared" si="7"/>
        <v>#VALUE!</v>
      </c>
      <c r="S49" s="108" t="e">
        <f>RANK($L49,$L$5:$L$104,1)+COUNTIF(L$5:L49,L49)-1</f>
        <v>#VALUE!</v>
      </c>
      <c r="T49" s="108" t="e">
        <f t="shared" si="8"/>
        <v>#VALUE!</v>
      </c>
      <c r="U49" s="108" t="e">
        <f>RANK($M49,$M$5:$M$104,1)+COUNTIF(M$5:M49,M49)-1</f>
        <v>#VALUE!</v>
      </c>
      <c r="V49" s="108" t="e">
        <f t="shared" si="9"/>
        <v>#VALUE!</v>
      </c>
      <c r="W49" s="108" t="e">
        <f>RANK($N49,$N$5:$N$104,1)+COUNTIF(N$5:N49,N49)-1</f>
        <v>#VALUE!</v>
      </c>
      <c r="X49" s="108" t="e">
        <f t="shared" si="10"/>
        <v>#VALUE!</v>
      </c>
      <c r="Y49" s="108" t="e">
        <f>RANK($O49,$O$5:$O$104,1)+COUNTIF(O$5:O49,O49)-1</f>
        <v>#VALUE!</v>
      </c>
      <c r="Z49" s="108" t="e">
        <f t="shared" si="11"/>
        <v>#VALUE!</v>
      </c>
      <c r="AA49" s="108" t="e">
        <f>RANK($P49,$P$5:$P$104,1)+COUNTIF(P$5:P49,P49)-1</f>
        <v>#VALUE!</v>
      </c>
      <c r="AB49" s="108" t="e">
        <f t="shared" si="12"/>
        <v>#VALUE!</v>
      </c>
      <c r="AC49" s="59" t="str">
        <f t="shared" si="13"/>
        <v xml:space="preserve"> </v>
      </c>
      <c r="AD49" s="59" t="str">
        <f t="shared" si="14"/>
        <v>-</v>
      </c>
      <c r="AE49" s="119" t="str">
        <f t="shared" ref="AE49:AG104" si="18">K49</f>
        <v>-</v>
      </c>
      <c r="AF49" s="119" t="str">
        <f t="shared" si="18"/>
        <v>-</v>
      </c>
      <c r="AG49" s="119" t="str">
        <f t="shared" si="18"/>
        <v>-</v>
      </c>
      <c r="AH49" s="119" t="str">
        <f t="shared" si="17"/>
        <v>-</v>
      </c>
      <c r="AI49" s="119" t="str">
        <f t="shared" si="17"/>
        <v>-</v>
      </c>
      <c r="AJ49" s="119" t="str">
        <f t="shared" si="17"/>
        <v>-</v>
      </c>
      <c r="AM49" s="120">
        <v>45</v>
      </c>
      <c r="AN49" s="58" t="e">
        <f>VLOOKUP(AM49,Q$5:$AJ$104,$AO$2,FALSE)</f>
        <v>#N/A</v>
      </c>
      <c r="AO49" s="93" t="e">
        <f>VLOOKUP(AM49,Q$5:$AJ$104,$AO$2+11,FALSE)</f>
        <v>#N/A</v>
      </c>
      <c r="AP49" s="58" t="e">
        <f t="shared" si="16"/>
        <v>#N/A</v>
      </c>
      <c r="AR49" s="120">
        <v>45</v>
      </c>
      <c r="AS49" s="58" t="e">
        <f>VLOOKUP(AR49,$S$5:$AJ$104,$AT$2,FALSE)</f>
        <v>#N/A</v>
      </c>
      <c r="AT49" s="93" t="e">
        <f>VLOOKUP(AR49,$S$5:$AJ$104,$AT$2+9,FALSE)</f>
        <v>#N/A</v>
      </c>
      <c r="AU49" s="58" t="e">
        <f>VLOOKUP(AS49,$S$5:$AJ$104,$AT$2+12,FALSE)</f>
        <v>#N/A</v>
      </c>
      <c r="AV49" s="75"/>
      <c r="AW49" s="120">
        <v>45</v>
      </c>
      <c r="AX49" s="58" t="e">
        <f>VLOOKUP(AW49,$U$5:$AJ$104,$AY$2,FALSE)</f>
        <v>#N/A</v>
      </c>
      <c r="AY49" s="93" t="e">
        <f>VLOOKUP(AW49,$U$5:$AJ$104,$AY$2+7,FALSE)</f>
        <v>#N/A</v>
      </c>
      <c r="AZ49" s="58" t="e">
        <f>VLOOKUP(AX49,$U$5:$AJ$104,$AY$2+11,FALSE)</f>
        <v>#N/A</v>
      </c>
      <c r="BB49" s="120">
        <v>45</v>
      </c>
      <c r="BC49" s="58" t="e">
        <f>VLOOKUP(BB49,$W$5:$AJ$104,$BD$2,FALSE)</f>
        <v>#N/A</v>
      </c>
      <c r="BD49" s="93" t="e">
        <f>VLOOKUP(BB49,$W$5:$AJ$104,$BD$2+5,FALSE)</f>
        <v>#N/A</v>
      </c>
      <c r="BE49" s="58" t="e">
        <f>VLOOKUP(BC49,$W$5:$AJ$104,$BD$2+10,FALSE)</f>
        <v>#N/A</v>
      </c>
      <c r="BF49" s="75"/>
      <c r="BG49" s="120">
        <v>45</v>
      </c>
      <c r="BH49" s="58" t="e">
        <f>VLOOKUP(BG49,$Y$5:$AJ$104,$BI$2,FALSE)</f>
        <v>#N/A</v>
      </c>
      <c r="BI49" s="93" t="e">
        <f>VLOOKUP(BG49,$Y$5:$AJ$104,$BI$2+3,FALSE)</f>
        <v>#N/A</v>
      </c>
      <c r="BJ49" s="58" t="e">
        <f>VLOOKUP(BH49,$Y$5:$AJ$104,$BI$2+9,FALSE)</f>
        <v>#N/A</v>
      </c>
      <c r="BL49" s="120">
        <v>45</v>
      </c>
      <c r="BM49" s="58" t="e">
        <f>VLOOKUP(BL49,$AA$5:$AJ$104,$BN$2,FALSE)</f>
        <v>#N/A</v>
      </c>
      <c r="BN49" s="93" t="e">
        <f>VLOOKUP(BL49,$AA$5:$AJ$104,$BN$2+1,FALSE)</f>
        <v>#N/A</v>
      </c>
      <c r="BO49" s="58" t="e">
        <f>VLOOKUP(BM49,$AA$5:$AJ$104,$BN$2+8,FALSE)</f>
        <v>#N/A</v>
      </c>
      <c r="BQ49" s="2" t="e">
        <f>'Eclectic C'!CD49</f>
        <v>#N/A</v>
      </c>
      <c r="BR49" s="6" t="e">
        <f>'Eclectic C'!CE49</f>
        <v>#N/A</v>
      </c>
      <c r="BS49" s="103" t="e">
        <f>'Eclectic C'!CF49</f>
        <v>#N/A</v>
      </c>
    </row>
    <row r="50" spans="1:71">
      <c r="A50" s="10" t="str">
        <f>IF(ISBLANK(Players!K48),"",Players!K48)</f>
        <v/>
      </c>
      <c r="B50" s="10" t="str">
        <f>IF(ISBLANK(Players!L48),"",Players!L48)</f>
        <v/>
      </c>
      <c r="C50" s="10" t="str">
        <f>IF(ISBLANK(Players!N48),"",Players!N48)</f>
        <v/>
      </c>
      <c r="D50" s="126" t="str">
        <f>IF(ISNUMBER(C50),MIN((C50*Rules!$N$14/113)+(Rules!$N$13-Rules!$N$12),Rules!$N$37),"-")</f>
        <v>-</v>
      </c>
      <c r="E50" s="126" t="str">
        <f>IF(ISNUMBER(C50),    ROUND( (D50*Rules!$N$11) / 100,0),"-")</f>
        <v>-</v>
      </c>
      <c r="F50" s="36" t="str">
        <f>IF(AND(ISNUMBER(C50),C50&gt;=Rules!$M$24,C50&lt;=Rules!$N$24),"Y","N")</f>
        <v>N</v>
      </c>
      <c r="G50" s="137" t="str">
        <f>'Eclectic C'!M50</f>
        <v>-</v>
      </c>
      <c r="H50" s="137" t="str">
        <f>'Eclectic C'!W50</f>
        <v>-</v>
      </c>
      <c r="I50" s="137" t="str">
        <f>'Eclectic C'!AJ50</f>
        <v>-</v>
      </c>
      <c r="J50" s="137" t="str">
        <f>'Eclectic C'!AT50</f>
        <v>-</v>
      </c>
      <c r="K50" s="14" t="str">
        <f t="shared" si="1"/>
        <v>-</v>
      </c>
      <c r="L50" s="14" t="str">
        <f t="shared" si="2"/>
        <v>-</v>
      </c>
      <c r="M50" s="14" t="str">
        <f t="shared" si="3"/>
        <v>-</v>
      </c>
      <c r="N50" s="14" t="str">
        <f t="shared" si="4"/>
        <v>-</v>
      </c>
      <c r="O50" s="14" t="str">
        <f t="shared" si="5"/>
        <v>-</v>
      </c>
      <c r="P50" s="14" t="str">
        <f t="shared" si="6"/>
        <v>-</v>
      </c>
      <c r="Q50" s="108" t="e">
        <f>RANK($K50,$K$5:$K$104,1)+COUNTIF(K$5:K50,K50)-1</f>
        <v>#VALUE!</v>
      </c>
      <c r="R50" s="108" t="e">
        <f t="shared" si="7"/>
        <v>#VALUE!</v>
      </c>
      <c r="S50" s="108" t="e">
        <f>RANK($L50,$L$5:$L$104,1)+COUNTIF(L$5:L50,L50)-1</f>
        <v>#VALUE!</v>
      </c>
      <c r="T50" s="108" t="e">
        <f t="shared" si="8"/>
        <v>#VALUE!</v>
      </c>
      <c r="U50" s="108" t="e">
        <f>RANK($M50,$M$5:$M$104,1)+COUNTIF(M$5:M50,M50)-1</f>
        <v>#VALUE!</v>
      </c>
      <c r="V50" s="108" t="e">
        <f t="shared" si="9"/>
        <v>#VALUE!</v>
      </c>
      <c r="W50" s="108" t="e">
        <f>RANK($N50,$N$5:$N$104,1)+COUNTIF(N$5:N50,N50)-1</f>
        <v>#VALUE!</v>
      </c>
      <c r="X50" s="108" t="e">
        <f t="shared" si="10"/>
        <v>#VALUE!</v>
      </c>
      <c r="Y50" s="108" t="e">
        <f>RANK($O50,$O$5:$O$104,1)+COUNTIF(O$5:O50,O50)-1</f>
        <v>#VALUE!</v>
      </c>
      <c r="Z50" s="108" t="e">
        <f t="shared" si="11"/>
        <v>#VALUE!</v>
      </c>
      <c r="AA50" s="108" t="e">
        <f>RANK($P50,$P$5:$P$104,1)+COUNTIF(P$5:P50,P50)-1</f>
        <v>#VALUE!</v>
      </c>
      <c r="AB50" s="108" t="e">
        <f t="shared" si="12"/>
        <v>#VALUE!</v>
      </c>
      <c r="AC50" s="59" t="str">
        <f t="shared" si="13"/>
        <v xml:space="preserve"> </v>
      </c>
      <c r="AD50" s="59" t="str">
        <f t="shared" si="14"/>
        <v>-</v>
      </c>
      <c r="AE50" s="119" t="str">
        <f t="shared" si="18"/>
        <v>-</v>
      </c>
      <c r="AF50" s="119" t="str">
        <f t="shared" si="18"/>
        <v>-</v>
      </c>
      <c r="AG50" s="119" t="str">
        <f t="shared" si="18"/>
        <v>-</v>
      </c>
      <c r="AH50" s="119" t="str">
        <f t="shared" si="17"/>
        <v>-</v>
      </c>
      <c r="AI50" s="119" t="str">
        <f t="shared" si="17"/>
        <v>-</v>
      </c>
      <c r="AJ50" s="119" t="str">
        <f t="shared" si="17"/>
        <v>-</v>
      </c>
      <c r="AM50" s="120">
        <v>46</v>
      </c>
      <c r="AN50" s="58" t="e">
        <f>VLOOKUP(AM50,Q$5:$AJ$104,$AO$2,FALSE)</f>
        <v>#N/A</v>
      </c>
      <c r="AO50" s="93" t="e">
        <f>VLOOKUP(AM50,Q$5:$AJ$104,$AO$2+11,FALSE)</f>
        <v>#N/A</v>
      </c>
      <c r="AP50" s="58" t="e">
        <f t="shared" si="16"/>
        <v>#N/A</v>
      </c>
      <c r="AR50" s="120">
        <v>46</v>
      </c>
      <c r="AS50" s="58" t="e">
        <f>VLOOKUP(AR50,$S$5:$AJ$104,$AT$2,FALSE)</f>
        <v>#N/A</v>
      </c>
      <c r="AT50" s="93" t="e">
        <f>VLOOKUP(AR50,$S$5:$AJ$104,$AT$2+9,FALSE)</f>
        <v>#N/A</v>
      </c>
      <c r="AU50" s="58" t="e">
        <f>VLOOKUP(AS50,$S$5:$AJ$104,$AT$2+12,FALSE)</f>
        <v>#N/A</v>
      </c>
      <c r="AV50" s="75"/>
      <c r="AW50" s="120">
        <v>46</v>
      </c>
      <c r="AX50" s="58" t="e">
        <f>VLOOKUP(AW50,$U$5:$AJ$104,$AY$2,FALSE)</f>
        <v>#N/A</v>
      </c>
      <c r="AY50" s="93" t="e">
        <f>VLOOKUP(AW50,$U$5:$AJ$104,$AY$2+7,FALSE)</f>
        <v>#N/A</v>
      </c>
      <c r="AZ50" s="58" t="e">
        <f>VLOOKUP(AX50,$U$5:$AJ$104,$AY$2+11,FALSE)</f>
        <v>#N/A</v>
      </c>
      <c r="BB50" s="120">
        <v>46</v>
      </c>
      <c r="BC50" s="58" t="e">
        <f>VLOOKUP(BB50,$W$5:$AJ$104,$BD$2,FALSE)</f>
        <v>#N/A</v>
      </c>
      <c r="BD50" s="93" t="e">
        <f>VLOOKUP(BB50,$W$5:$AJ$104,$BD$2+5,FALSE)</f>
        <v>#N/A</v>
      </c>
      <c r="BE50" s="58" t="e">
        <f>VLOOKUP(BC50,$W$5:$AJ$104,$BD$2+10,FALSE)</f>
        <v>#N/A</v>
      </c>
      <c r="BF50" s="75"/>
      <c r="BG50" s="120">
        <v>46</v>
      </c>
      <c r="BH50" s="58" t="e">
        <f>VLOOKUP(BG50,$Y$5:$AJ$104,$BI$2,FALSE)</f>
        <v>#N/A</v>
      </c>
      <c r="BI50" s="93" t="e">
        <f>VLOOKUP(BG50,$Y$5:$AJ$104,$BI$2+3,FALSE)</f>
        <v>#N/A</v>
      </c>
      <c r="BJ50" s="58" t="e">
        <f>VLOOKUP(BH50,$Y$5:$AJ$104,$BI$2+9,FALSE)</f>
        <v>#N/A</v>
      </c>
      <c r="BL50" s="120">
        <v>46</v>
      </c>
      <c r="BM50" s="58" t="e">
        <f>VLOOKUP(BL50,$AA$5:$AJ$104,$BN$2,FALSE)</f>
        <v>#N/A</v>
      </c>
      <c r="BN50" s="93" t="e">
        <f>VLOOKUP(BL50,$AA$5:$AJ$104,$BN$2+1,FALSE)</f>
        <v>#N/A</v>
      </c>
      <c r="BO50" s="58" t="e">
        <f>VLOOKUP(BM50,$AA$5:$AJ$104,$BN$2+8,FALSE)</f>
        <v>#N/A</v>
      </c>
      <c r="BQ50" s="2" t="e">
        <f>'Eclectic C'!CD50</f>
        <v>#N/A</v>
      </c>
      <c r="BR50" s="6" t="e">
        <f>'Eclectic C'!CE50</f>
        <v>#N/A</v>
      </c>
      <c r="BS50" s="103" t="e">
        <f>'Eclectic C'!CF50</f>
        <v>#N/A</v>
      </c>
    </row>
    <row r="51" spans="1:71">
      <c r="A51" s="10" t="str">
        <f>IF(ISBLANK(Players!K49),"",Players!K49)</f>
        <v/>
      </c>
      <c r="B51" s="10" t="str">
        <f>IF(ISBLANK(Players!L49),"",Players!L49)</f>
        <v/>
      </c>
      <c r="C51" s="10" t="str">
        <f>IF(ISBLANK(Players!N49),"",Players!N49)</f>
        <v/>
      </c>
      <c r="D51" s="126" t="str">
        <f>IF(ISNUMBER(C51),MIN((C51*Rules!$N$14/113)+(Rules!$N$13-Rules!$N$12),Rules!$N$37),"-")</f>
        <v>-</v>
      </c>
      <c r="E51" s="126" t="str">
        <f>IF(ISNUMBER(C51),    ROUND( (D51*Rules!$N$11) / 100,0),"-")</f>
        <v>-</v>
      </c>
      <c r="F51" s="36" t="str">
        <f>IF(AND(ISNUMBER(C51),C51&gt;=Rules!$M$24,C51&lt;=Rules!$N$24),"Y","N")</f>
        <v>N</v>
      </c>
      <c r="G51" s="137" t="str">
        <f>'Eclectic C'!M51</f>
        <v>-</v>
      </c>
      <c r="H51" s="137" t="str">
        <f>'Eclectic C'!W51</f>
        <v>-</v>
      </c>
      <c r="I51" s="137" t="str">
        <f>'Eclectic C'!AJ51</f>
        <v>-</v>
      </c>
      <c r="J51" s="137" t="str">
        <f>'Eclectic C'!AT51</f>
        <v>-</v>
      </c>
      <c r="K51" s="14" t="str">
        <f t="shared" si="1"/>
        <v>-</v>
      </c>
      <c r="L51" s="14" t="str">
        <f t="shared" si="2"/>
        <v>-</v>
      </c>
      <c r="M51" s="14" t="str">
        <f t="shared" si="3"/>
        <v>-</v>
      </c>
      <c r="N51" s="14" t="str">
        <f t="shared" si="4"/>
        <v>-</v>
      </c>
      <c r="O51" s="14" t="str">
        <f t="shared" si="5"/>
        <v>-</v>
      </c>
      <c r="P51" s="14" t="str">
        <f t="shared" si="6"/>
        <v>-</v>
      </c>
      <c r="Q51" s="108" t="e">
        <f>RANK($K51,$K$5:$K$104,1)+COUNTIF(K$5:K51,K51)-1</f>
        <v>#VALUE!</v>
      </c>
      <c r="R51" s="108" t="e">
        <f t="shared" si="7"/>
        <v>#VALUE!</v>
      </c>
      <c r="S51" s="108" t="e">
        <f>RANK($L51,$L$5:$L$104,1)+COUNTIF(L$5:L51,L51)-1</f>
        <v>#VALUE!</v>
      </c>
      <c r="T51" s="108" t="e">
        <f t="shared" si="8"/>
        <v>#VALUE!</v>
      </c>
      <c r="U51" s="108" t="e">
        <f>RANK($M51,$M$5:$M$104,1)+COUNTIF(M$5:M51,M51)-1</f>
        <v>#VALUE!</v>
      </c>
      <c r="V51" s="108" t="e">
        <f t="shared" si="9"/>
        <v>#VALUE!</v>
      </c>
      <c r="W51" s="108" t="e">
        <f>RANK($N51,$N$5:$N$104,1)+COUNTIF(N$5:N51,N51)-1</f>
        <v>#VALUE!</v>
      </c>
      <c r="X51" s="108" t="e">
        <f t="shared" si="10"/>
        <v>#VALUE!</v>
      </c>
      <c r="Y51" s="108" t="e">
        <f>RANK($O51,$O$5:$O$104,1)+COUNTIF(O$5:O51,O51)-1</f>
        <v>#VALUE!</v>
      </c>
      <c r="Z51" s="108" t="e">
        <f t="shared" si="11"/>
        <v>#VALUE!</v>
      </c>
      <c r="AA51" s="108" t="e">
        <f>RANK($P51,$P$5:$P$104,1)+COUNTIF(P$5:P51,P51)-1</f>
        <v>#VALUE!</v>
      </c>
      <c r="AB51" s="108" t="e">
        <f t="shared" si="12"/>
        <v>#VALUE!</v>
      </c>
      <c r="AC51" s="59" t="str">
        <f t="shared" si="13"/>
        <v xml:space="preserve"> </v>
      </c>
      <c r="AD51" s="59" t="str">
        <f t="shared" si="14"/>
        <v>-</v>
      </c>
      <c r="AE51" s="119" t="str">
        <f t="shared" si="18"/>
        <v>-</v>
      </c>
      <c r="AF51" s="119" t="str">
        <f t="shared" si="18"/>
        <v>-</v>
      </c>
      <c r="AG51" s="119" t="str">
        <f t="shared" si="18"/>
        <v>-</v>
      </c>
      <c r="AH51" s="119" t="str">
        <f t="shared" si="17"/>
        <v>-</v>
      </c>
      <c r="AI51" s="119" t="str">
        <f t="shared" si="17"/>
        <v>-</v>
      </c>
      <c r="AJ51" s="119" t="str">
        <f t="shared" si="17"/>
        <v>-</v>
      </c>
      <c r="AM51" s="120">
        <v>47</v>
      </c>
      <c r="AN51" s="58" t="e">
        <f>VLOOKUP(AM51,Q$5:$AJ$104,$AO$2,FALSE)</f>
        <v>#N/A</v>
      </c>
      <c r="AO51" s="93" t="e">
        <f>VLOOKUP(AM51,Q$5:$AJ$104,$AO$2+11,FALSE)</f>
        <v>#N/A</v>
      </c>
      <c r="AP51" s="58" t="e">
        <f t="shared" si="16"/>
        <v>#N/A</v>
      </c>
      <c r="AR51" s="120">
        <v>47</v>
      </c>
      <c r="AS51" s="58" t="e">
        <f>VLOOKUP(AR51,$S$5:$AJ$104,$AT$2,FALSE)</f>
        <v>#N/A</v>
      </c>
      <c r="AT51" s="93" t="e">
        <f>VLOOKUP(AR51,$S$5:$AJ$104,$AT$2+9,FALSE)</f>
        <v>#N/A</v>
      </c>
      <c r="AU51" s="58" t="e">
        <f>VLOOKUP(AS51,$S$5:$AJ$104,$AT$2+12,FALSE)</f>
        <v>#N/A</v>
      </c>
      <c r="AV51" s="75"/>
      <c r="AW51" s="120">
        <v>47</v>
      </c>
      <c r="AX51" s="58" t="e">
        <f>VLOOKUP(AW51,$U$5:$AJ$104,$AY$2,FALSE)</f>
        <v>#N/A</v>
      </c>
      <c r="AY51" s="93" t="e">
        <f>VLOOKUP(AW51,$U$5:$AJ$104,$AY$2+7,FALSE)</f>
        <v>#N/A</v>
      </c>
      <c r="AZ51" s="58" t="e">
        <f>VLOOKUP(AX51,$U$5:$AJ$104,$AY$2+11,FALSE)</f>
        <v>#N/A</v>
      </c>
      <c r="BB51" s="120">
        <v>47</v>
      </c>
      <c r="BC51" s="58" t="e">
        <f>VLOOKUP(BB51,$W$5:$AJ$104,$BD$2,FALSE)</f>
        <v>#N/A</v>
      </c>
      <c r="BD51" s="93" t="e">
        <f>VLOOKUP(BB51,$W$5:$AJ$104,$BD$2+5,FALSE)</f>
        <v>#N/A</v>
      </c>
      <c r="BE51" s="58" t="e">
        <f>VLOOKUP(BC51,$W$5:$AJ$104,$BD$2+10,FALSE)</f>
        <v>#N/A</v>
      </c>
      <c r="BF51" s="75"/>
      <c r="BG51" s="120">
        <v>47</v>
      </c>
      <c r="BH51" s="58" t="e">
        <f>VLOOKUP(BG51,$Y$5:$AJ$104,$BI$2,FALSE)</f>
        <v>#N/A</v>
      </c>
      <c r="BI51" s="93" t="e">
        <f>VLOOKUP(BG51,$Y$5:$AJ$104,$BI$2+3,FALSE)</f>
        <v>#N/A</v>
      </c>
      <c r="BJ51" s="58" t="e">
        <f>VLOOKUP(BH51,$Y$5:$AJ$104,$BI$2+9,FALSE)</f>
        <v>#N/A</v>
      </c>
      <c r="BL51" s="120">
        <v>47</v>
      </c>
      <c r="BM51" s="58" t="e">
        <f>VLOOKUP(BL51,$AA$5:$AJ$104,$BN$2,FALSE)</f>
        <v>#N/A</v>
      </c>
      <c r="BN51" s="93" t="e">
        <f>VLOOKUP(BL51,$AA$5:$AJ$104,$BN$2+1,FALSE)</f>
        <v>#N/A</v>
      </c>
      <c r="BO51" s="58" t="e">
        <f>VLOOKUP(BM51,$AA$5:$AJ$104,$BN$2+8,FALSE)</f>
        <v>#N/A</v>
      </c>
      <c r="BQ51" s="2" t="e">
        <f>'Eclectic C'!CD51</f>
        <v>#N/A</v>
      </c>
      <c r="BR51" s="6" t="e">
        <f>'Eclectic C'!CE51</f>
        <v>#N/A</v>
      </c>
      <c r="BS51" s="103" t="e">
        <f>'Eclectic C'!CF51</f>
        <v>#N/A</v>
      </c>
    </row>
    <row r="52" spans="1:71">
      <c r="A52" s="10" t="str">
        <f>IF(ISBLANK(Players!K50),"",Players!K50)</f>
        <v/>
      </c>
      <c r="B52" s="10" t="str">
        <f>IF(ISBLANK(Players!L50),"",Players!L50)</f>
        <v/>
      </c>
      <c r="C52" s="10" t="str">
        <f>IF(ISBLANK(Players!N50),"",Players!N50)</f>
        <v/>
      </c>
      <c r="D52" s="126" t="str">
        <f>IF(ISNUMBER(C52),MIN((C52*Rules!$N$14/113)+(Rules!$N$13-Rules!$N$12),Rules!$N$37),"-")</f>
        <v>-</v>
      </c>
      <c r="E52" s="126" t="str">
        <f>IF(ISNUMBER(C52),    ROUND( (D52*Rules!$N$11) / 100,0),"-")</f>
        <v>-</v>
      </c>
      <c r="F52" s="36" t="str">
        <f>IF(AND(ISNUMBER(C52),C52&gt;=Rules!$M$24,C52&lt;=Rules!$N$24),"Y","N")</f>
        <v>N</v>
      </c>
      <c r="G52" s="137" t="str">
        <f>'Eclectic C'!M52</f>
        <v>-</v>
      </c>
      <c r="H52" s="137" t="str">
        <f>'Eclectic C'!W52</f>
        <v>-</v>
      </c>
      <c r="I52" s="137" t="str">
        <f>'Eclectic C'!AJ52</f>
        <v>-</v>
      </c>
      <c r="J52" s="137" t="str">
        <f>'Eclectic C'!AT52</f>
        <v>-</v>
      </c>
      <c r="K52" s="14" t="str">
        <f t="shared" si="1"/>
        <v>-</v>
      </c>
      <c r="L52" s="14" t="str">
        <f t="shared" si="2"/>
        <v>-</v>
      </c>
      <c r="M52" s="14" t="str">
        <f t="shared" si="3"/>
        <v>-</v>
      </c>
      <c r="N52" s="14" t="str">
        <f t="shared" si="4"/>
        <v>-</v>
      </c>
      <c r="O52" s="14" t="str">
        <f t="shared" si="5"/>
        <v>-</v>
      </c>
      <c r="P52" s="14" t="str">
        <f t="shared" si="6"/>
        <v>-</v>
      </c>
      <c r="Q52" s="108" t="e">
        <f>RANK($K52,$K$5:$K$104,1)+COUNTIF(K$5:K52,K52)-1</f>
        <v>#VALUE!</v>
      </c>
      <c r="R52" s="108" t="e">
        <f t="shared" si="7"/>
        <v>#VALUE!</v>
      </c>
      <c r="S52" s="108" t="e">
        <f>RANK($L52,$L$5:$L$104,1)+COUNTIF(L$5:L52,L52)-1</f>
        <v>#VALUE!</v>
      </c>
      <c r="T52" s="108" t="e">
        <f t="shared" si="8"/>
        <v>#VALUE!</v>
      </c>
      <c r="U52" s="108" t="e">
        <f>RANK($M52,$M$5:$M$104,1)+COUNTIF(M$5:M52,M52)-1</f>
        <v>#VALUE!</v>
      </c>
      <c r="V52" s="108" t="e">
        <f t="shared" si="9"/>
        <v>#VALUE!</v>
      </c>
      <c r="W52" s="108" t="e">
        <f>RANK($N52,$N$5:$N$104,1)+COUNTIF(N$5:N52,N52)-1</f>
        <v>#VALUE!</v>
      </c>
      <c r="X52" s="108" t="e">
        <f t="shared" si="10"/>
        <v>#VALUE!</v>
      </c>
      <c r="Y52" s="108" t="e">
        <f>RANK($O52,$O$5:$O$104,1)+COUNTIF(O$5:O52,O52)-1</f>
        <v>#VALUE!</v>
      </c>
      <c r="Z52" s="108" t="e">
        <f t="shared" si="11"/>
        <v>#VALUE!</v>
      </c>
      <c r="AA52" s="108" t="e">
        <f>RANK($P52,$P$5:$P$104,1)+COUNTIF(P$5:P52,P52)-1</f>
        <v>#VALUE!</v>
      </c>
      <c r="AB52" s="108" t="e">
        <f t="shared" si="12"/>
        <v>#VALUE!</v>
      </c>
      <c r="AC52" s="59" t="str">
        <f t="shared" si="13"/>
        <v xml:space="preserve"> </v>
      </c>
      <c r="AD52" s="59" t="str">
        <f t="shared" si="14"/>
        <v>-</v>
      </c>
      <c r="AE52" s="119" t="str">
        <f t="shared" si="18"/>
        <v>-</v>
      </c>
      <c r="AF52" s="119" t="str">
        <f t="shared" si="18"/>
        <v>-</v>
      </c>
      <c r="AG52" s="119" t="str">
        <f t="shared" si="18"/>
        <v>-</v>
      </c>
      <c r="AH52" s="119" t="str">
        <f t="shared" si="17"/>
        <v>-</v>
      </c>
      <c r="AI52" s="119" t="str">
        <f t="shared" si="17"/>
        <v>-</v>
      </c>
      <c r="AJ52" s="119" t="str">
        <f t="shared" si="17"/>
        <v>-</v>
      </c>
      <c r="AM52" s="120">
        <v>48</v>
      </c>
      <c r="AN52" s="58" t="e">
        <f>VLOOKUP(AM52,Q$5:$AJ$104,$AO$2,FALSE)</f>
        <v>#N/A</v>
      </c>
      <c r="AO52" s="93" t="e">
        <f>VLOOKUP(AM52,Q$5:$AJ$104,$AO$2+11,FALSE)</f>
        <v>#N/A</v>
      </c>
      <c r="AP52" s="58" t="e">
        <f t="shared" si="16"/>
        <v>#N/A</v>
      </c>
      <c r="AR52" s="120">
        <v>48</v>
      </c>
      <c r="AS52" s="58" t="e">
        <f>VLOOKUP(AR52,$S$5:$AJ$104,$AT$2,FALSE)</f>
        <v>#N/A</v>
      </c>
      <c r="AT52" s="93" t="e">
        <f>VLOOKUP(AR52,$S$5:$AJ$104,$AT$2+9,FALSE)</f>
        <v>#N/A</v>
      </c>
      <c r="AU52" s="58" t="e">
        <f>VLOOKUP(AS52,$S$5:$AJ$104,$AT$2+12,FALSE)</f>
        <v>#N/A</v>
      </c>
      <c r="AV52" s="75"/>
      <c r="AW52" s="120">
        <v>48</v>
      </c>
      <c r="AX52" s="58" t="e">
        <f>VLOOKUP(AW52,$U$5:$AJ$104,$AY$2,FALSE)</f>
        <v>#N/A</v>
      </c>
      <c r="AY52" s="93" t="e">
        <f>VLOOKUP(AW52,$U$5:$AJ$104,$AY$2+7,FALSE)</f>
        <v>#N/A</v>
      </c>
      <c r="AZ52" s="58" t="e">
        <f>VLOOKUP(AX52,$U$5:$AJ$104,$AY$2+11,FALSE)</f>
        <v>#N/A</v>
      </c>
      <c r="BB52" s="120">
        <v>48</v>
      </c>
      <c r="BC52" s="58" t="e">
        <f>VLOOKUP(BB52,$W$5:$AJ$104,$BD$2,FALSE)</f>
        <v>#N/A</v>
      </c>
      <c r="BD52" s="93" t="e">
        <f>VLOOKUP(BB52,$W$5:$AJ$104,$BD$2+5,FALSE)</f>
        <v>#N/A</v>
      </c>
      <c r="BE52" s="58" t="e">
        <f>VLOOKUP(BC52,$W$5:$AJ$104,$BD$2+10,FALSE)</f>
        <v>#N/A</v>
      </c>
      <c r="BF52" s="75"/>
      <c r="BG52" s="120">
        <v>48</v>
      </c>
      <c r="BH52" s="58" t="e">
        <f>VLOOKUP(BG52,$Y$5:$AJ$104,$BI$2,FALSE)</f>
        <v>#N/A</v>
      </c>
      <c r="BI52" s="93" t="e">
        <f>VLOOKUP(BG52,$Y$5:$AJ$104,$BI$2+3,FALSE)</f>
        <v>#N/A</v>
      </c>
      <c r="BJ52" s="58" t="e">
        <f>VLOOKUP(BH52,$Y$5:$AJ$104,$BI$2+9,FALSE)</f>
        <v>#N/A</v>
      </c>
      <c r="BL52" s="120">
        <v>48</v>
      </c>
      <c r="BM52" s="58" t="e">
        <f>VLOOKUP(BL52,$AA$5:$AJ$104,$BN$2,FALSE)</f>
        <v>#N/A</v>
      </c>
      <c r="BN52" s="93" t="e">
        <f>VLOOKUP(BL52,$AA$5:$AJ$104,$BN$2+1,FALSE)</f>
        <v>#N/A</v>
      </c>
      <c r="BO52" s="58" t="e">
        <f>VLOOKUP(BM52,$AA$5:$AJ$104,$BN$2+8,FALSE)</f>
        <v>#N/A</v>
      </c>
      <c r="BQ52" s="2" t="e">
        <f>'Eclectic C'!CD52</f>
        <v>#N/A</v>
      </c>
      <c r="BR52" s="6" t="e">
        <f>'Eclectic C'!CE52</f>
        <v>#N/A</v>
      </c>
      <c r="BS52" s="103" t="e">
        <f>'Eclectic C'!CF52</f>
        <v>#N/A</v>
      </c>
    </row>
    <row r="53" spans="1:71">
      <c r="A53" s="10" t="str">
        <f>IF(ISBLANK(Players!K51),"",Players!K51)</f>
        <v/>
      </c>
      <c r="B53" s="10" t="str">
        <f>IF(ISBLANK(Players!L51),"",Players!L51)</f>
        <v/>
      </c>
      <c r="C53" s="10" t="str">
        <f>IF(ISBLANK(Players!N51),"",Players!N51)</f>
        <v/>
      </c>
      <c r="D53" s="126" t="str">
        <f>IF(ISNUMBER(C53),MIN((C53*Rules!$N$14/113)+(Rules!$N$13-Rules!$N$12),Rules!$N$37),"-")</f>
        <v>-</v>
      </c>
      <c r="E53" s="126" t="str">
        <f>IF(ISNUMBER(C53),    ROUND( (D53*Rules!$N$11) / 100,0),"-")</f>
        <v>-</v>
      </c>
      <c r="F53" s="36" t="str">
        <f>IF(AND(ISNUMBER(C53),C53&gt;=Rules!$M$24,C53&lt;=Rules!$N$24),"Y","N")</f>
        <v>N</v>
      </c>
      <c r="G53" s="137" t="str">
        <f>'Eclectic C'!M53</f>
        <v>-</v>
      </c>
      <c r="H53" s="137" t="str">
        <f>'Eclectic C'!W53</f>
        <v>-</v>
      </c>
      <c r="I53" s="137" t="str">
        <f>'Eclectic C'!AJ53</f>
        <v>-</v>
      </c>
      <c r="J53" s="137" t="str">
        <f>'Eclectic C'!AT53</f>
        <v>-</v>
      </c>
      <c r="K53" s="14" t="str">
        <f t="shared" si="1"/>
        <v>-</v>
      </c>
      <c r="L53" s="14" t="str">
        <f t="shared" si="2"/>
        <v>-</v>
      </c>
      <c r="M53" s="14" t="str">
        <f t="shared" si="3"/>
        <v>-</v>
      </c>
      <c r="N53" s="14" t="str">
        <f t="shared" si="4"/>
        <v>-</v>
      </c>
      <c r="O53" s="14" t="str">
        <f t="shared" si="5"/>
        <v>-</v>
      </c>
      <c r="P53" s="14" t="str">
        <f t="shared" si="6"/>
        <v>-</v>
      </c>
      <c r="Q53" s="108" t="e">
        <f>RANK($K53,$K$5:$K$104,1)+COUNTIF(K$5:K53,K53)-1</f>
        <v>#VALUE!</v>
      </c>
      <c r="R53" s="108" t="e">
        <f t="shared" si="7"/>
        <v>#VALUE!</v>
      </c>
      <c r="S53" s="108" t="e">
        <f>RANK($L53,$L$5:$L$104,1)+COUNTIF(L$5:L53,L53)-1</f>
        <v>#VALUE!</v>
      </c>
      <c r="T53" s="108" t="e">
        <f t="shared" si="8"/>
        <v>#VALUE!</v>
      </c>
      <c r="U53" s="108" t="e">
        <f>RANK($M53,$M$5:$M$104,1)+COUNTIF(M$5:M53,M53)-1</f>
        <v>#VALUE!</v>
      </c>
      <c r="V53" s="108" t="e">
        <f t="shared" si="9"/>
        <v>#VALUE!</v>
      </c>
      <c r="W53" s="108" t="e">
        <f>RANK($N53,$N$5:$N$104,1)+COUNTIF(N$5:N53,N53)-1</f>
        <v>#VALUE!</v>
      </c>
      <c r="X53" s="108" t="e">
        <f t="shared" si="10"/>
        <v>#VALUE!</v>
      </c>
      <c r="Y53" s="108" t="e">
        <f>RANK($O53,$O$5:$O$104,1)+COUNTIF(O$5:O53,O53)-1</f>
        <v>#VALUE!</v>
      </c>
      <c r="Z53" s="108" t="e">
        <f t="shared" si="11"/>
        <v>#VALUE!</v>
      </c>
      <c r="AA53" s="108" t="e">
        <f>RANK($P53,$P$5:$P$104,1)+COUNTIF(P$5:P53,P53)-1</f>
        <v>#VALUE!</v>
      </c>
      <c r="AB53" s="108" t="e">
        <f t="shared" si="12"/>
        <v>#VALUE!</v>
      </c>
      <c r="AC53" s="59" t="str">
        <f t="shared" si="13"/>
        <v xml:space="preserve"> </v>
      </c>
      <c r="AD53" s="59" t="str">
        <f t="shared" si="14"/>
        <v>-</v>
      </c>
      <c r="AE53" s="119" t="str">
        <f t="shared" si="18"/>
        <v>-</v>
      </c>
      <c r="AF53" s="119" t="str">
        <f t="shared" si="18"/>
        <v>-</v>
      </c>
      <c r="AG53" s="119" t="str">
        <f t="shared" si="18"/>
        <v>-</v>
      </c>
      <c r="AH53" s="119" t="str">
        <f t="shared" si="17"/>
        <v>-</v>
      </c>
      <c r="AI53" s="119" t="str">
        <f t="shared" si="17"/>
        <v>-</v>
      </c>
      <c r="AJ53" s="119" t="str">
        <f t="shared" si="17"/>
        <v>-</v>
      </c>
      <c r="AM53" s="120">
        <v>49</v>
      </c>
      <c r="AN53" s="58" t="e">
        <f>VLOOKUP(AM53,Q$5:$AJ$104,$AO$2,FALSE)</f>
        <v>#N/A</v>
      </c>
      <c r="AO53" s="93" t="e">
        <f>VLOOKUP(AM53,Q$5:$AJ$104,$AO$2+11,FALSE)</f>
        <v>#N/A</v>
      </c>
      <c r="AP53" s="58" t="e">
        <f t="shared" si="16"/>
        <v>#N/A</v>
      </c>
      <c r="AR53" s="120">
        <v>49</v>
      </c>
      <c r="AS53" s="58" t="e">
        <f>VLOOKUP(AR53,$S$5:$AJ$104,$AT$2,FALSE)</f>
        <v>#N/A</v>
      </c>
      <c r="AT53" s="93" t="e">
        <f>VLOOKUP(AR53,$S$5:$AJ$104,$AT$2+9,FALSE)</f>
        <v>#N/A</v>
      </c>
      <c r="AU53" s="58" t="e">
        <f>VLOOKUP(AS53,$S$5:$AJ$104,$AT$2+12,FALSE)</f>
        <v>#N/A</v>
      </c>
      <c r="AV53" s="75"/>
      <c r="AW53" s="120">
        <v>49</v>
      </c>
      <c r="AX53" s="58" t="e">
        <f>VLOOKUP(AW53,$U$5:$AJ$104,$AY$2,FALSE)</f>
        <v>#N/A</v>
      </c>
      <c r="AY53" s="93" t="e">
        <f>VLOOKUP(AW53,$U$5:$AJ$104,$AY$2+7,FALSE)</f>
        <v>#N/A</v>
      </c>
      <c r="AZ53" s="58" t="e">
        <f>VLOOKUP(AX53,$U$5:$AJ$104,$AY$2+11,FALSE)</f>
        <v>#N/A</v>
      </c>
      <c r="BB53" s="120">
        <v>49</v>
      </c>
      <c r="BC53" s="58" t="e">
        <f>VLOOKUP(BB53,$W$5:$AJ$104,$BD$2,FALSE)</f>
        <v>#N/A</v>
      </c>
      <c r="BD53" s="93" t="e">
        <f>VLOOKUP(BB53,$W$5:$AJ$104,$BD$2+5,FALSE)</f>
        <v>#N/A</v>
      </c>
      <c r="BE53" s="58" t="e">
        <f>VLOOKUP(BC53,$W$5:$AJ$104,$BD$2+10,FALSE)</f>
        <v>#N/A</v>
      </c>
      <c r="BF53" s="75"/>
      <c r="BG53" s="120">
        <v>49</v>
      </c>
      <c r="BH53" s="58" t="e">
        <f>VLOOKUP(BG53,$Y$5:$AJ$104,$BI$2,FALSE)</f>
        <v>#N/A</v>
      </c>
      <c r="BI53" s="93" t="e">
        <f>VLOOKUP(BG53,$Y$5:$AJ$104,$BI$2+3,FALSE)</f>
        <v>#N/A</v>
      </c>
      <c r="BJ53" s="58" t="e">
        <f>VLOOKUP(BH53,$Y$5:$AJ$104,$BI$2+9,FALSE)</f>
        <v>#N/A</v>
      </c>
      <c r="BL53" s="120">
        <v>49</v>
      </c>
      <c r="BM53" s="58" t="e">
        <f>VLOOKUP(BL53,$AA$5:$AJ$104,$BN$2,FALSE)</f>
        <v>#N/A</v>
      </c>
      <c r="BN53" s="93" t="e">
        <f>VLOOKUP(BL53,$AA$5:$AJ$104,$BN$2+1,FALSE)</f>
        <v>#N/A</v>
      </c>
      <c r="BO53" s="58" t="e">
        <f>VLOOKUP(BM53,$AA$5:$AJ$104,$BN$2+8,FALSE)</f>
        <v>#N/A</v>
      </c>
      <c r="BQ53" s="2" t="e">
        <f>'Eclectic C'!CD53</f>
        <v>#N/A</v>
      </c>
      <c r="BR53" s="6" t="e">
        <f>'Eclectic C'!CE53</f>
        <v>#N/A</v>
      </c>
      <c r="BS53" s="103" t="e">
        <f>'Eclectic C'!CF53</f>
        <v>#N/A</v>
      </c>
    </row>
    <row r="54" spans="1:71">
      <c r="A54" s="10" t="str">
        <f>IF(ISBLANK(Players!K52),"",Players!K52)</f>
        <v/>
      </c>
      <c r="B54" s="10" t="str">
        <f>IF(ISBLANK(Players!L52),"",Players!L52)</f>
        <v/>
      </c>
      <c r="C54" s="10" t="str">
        <f>IF(ISBLANK(Players!N52),"",Players!N52)</f>
        <v/>
      </c>
      <c r="D54" s="126" t="str">
        <f>IF(ISNUMBER(C54),MIN((C54*Rules!$N$14/113)+(Rules!$N$13-Rules!$N$12),Rules!$N$37),"-")</f>
        <v>-</v>
      </c>
      <c r="E54" s="126" t="str">
        <f>IF(ISNUMBER(C54),    ROUND( (D54*Rules!$N$11) / 100,0),"-")</f>
        <v>-</v>
      </c>
      <c r="F54" s="36" t="str">
        <f>IF(AND(ISNUMBER(C54),C54&gt;=Rules!$M$24,C54&lt;=Rules!$N$24),"Y","N")</f>
        <v>N</v>
      </c>
      <c r="G54" s="137" t="str">
        <f>'Eclectic C'!M54</f>
        <v>-</v>
      </c>
      <c r="H54" s="137" t="str">
        <f>'Eclectic C'!W54</f>
        <v>-</v>
      </c>
      <c r="I54" s="137" t="str">
        <f>'Eclectic C'!AJ54</f>
        <v>-</v>
      </c>
      <c r="J54" s="137" t="str">
        <f>'Eclectic C'!AT54</f>
        <v>-</v>
      </c>
      <c r="K54" s="14" t="str">
        <f t="shared" si="1"/>
        <v>-</v>
      </c>
      <c r="L54" s="14" t="str">
        <f t="shared" si="2"/>
        <v>-</v>
      </c>
      <c r="M54" s="14" t="str">
        <f t="shared" si="3"/>
        <v>-</v>
      </c>
      <c r="N54" s="14" t="str">
        <f t="shared" si="4"/>
        <v>-</v>
      </c>
      <c r="O54" s="14" t="str">
        <f t="shared" si="5"/>
        <v>-</v>
      </c>
      <c r="P54" s="14" t="str">
        <f t="shared" si="6"/>
        <v>-</v>
      </c>
      <c r="Q54" s="108" t="e">
        <f>RANK($K54,$K$5:$K$104,1)+COUNTIF(K$5:K54,K54)-1</f>
        <v>#VALUE!</v>
      </c>
      <c r="R54" s="108" t="e">
        <f t="shared" si="7"/>
        <v>#VALUE!</v>
      </c>
      <c r="S54" s="108" t="e">
        <f>RANK($L54,$L$5:$L$104,1)+COUNTIF(L$5:L54,L54)-1</f>
        <v>#VALUE!</v>
      </c>
      <c r="T54" s="108" t="e">
        <f t="shared" si="8"/>
        <v>#VALUE!</v>
      </c>
      <c r="U54" s="108" t="e">
        <f>RANK($M54,$M$5:$M$104,1)+COUNTIF(M$5:M54,M54)-1</f>
        <v>#VALUE!</v>
      </c>
      <c r="V54" s="108" t="e">
        <f t="shared" si="9"/>
        <v>#VALUE!</v>
      </c>
      <c r="W54" s="108" t="e">
        <f>RANK($N54,$N$5:$N$104,1)+COUNTIF(N$5:N54,N54)-1</f>
        <v>#VALUE!</v>
      </c>
      <c r="X54" s="108" t="e">
        <f t="shared" si="10"/>
        <v>#VALUE!</v>
      </c>
      <c r="Y54" s="108" t="e">
        <f>RANK($O54,$O$5:$O$104,1)+COUNTIF(O$5:O54,O54)-1</f>
        <v>#VALUE!</v>
      </c>
      <c r="Z54" s="108" t="e">
        <f t="shared" si="11"/>
        <v>#VALUE!</v>
      </c>
      <c r="AA54" s="108" t="e">
        <f>RANK($P54,$P$5:$P$104,1)+COUNTIF(P$5:P54,P54)-1</f>
        <v>#VALUE!</v>
      </c>
      <c r="AB54" s="108" t="e">
        <f t="shared" si="12"/>
        <v>#VALUE!</v>
      </c>
      <c r="AC54" s="59" t="str">
        <f t="shared" si="13"/>
        <v xml:space="preserve"> </v>
      </c>
      <c r="AD54" s="59" t="str">
        <f t="shared" si="14"/>
        <v>-</v>
      </c>
      <c r="AE54" s="119" t="str">
        <f t="shared" si="18"/>
        <v>-</v>
      </c>
      <c r="AF54" s="119" t="str">
        <f t="shared" si="18"/>
        <v>-</v>
      </c>
      <c r="AG54" s="119" t="str">
        <f t="shared" si="18"/>
        <v>-</v>
      </c>
      <c r="AH54" s="119" t="str">
        <f t="shared" si="17"/>
        <v>-</v>
      </c>
      <c r="AI54" s="119" t="str">
        <f t="shared" si="17"/>
        <v>-</v>
      </c>
      <c r="AJ54" s="119" t="str">
        <f t="shared" si="17"/>
        <v>-</v>
      </c>
      <c r="AM54" s="120">
        <v>50</v>
      </c>
      <c r="AN54" s="58" t="e">
        <f>VLOOKUP(AM54,Q$5:$AJ$104,$AO$2,FALSE)</f>
        <v>#N/A</v>
      </c>
      <c r="AO54" s="93" t="e">
        <f>VLOOKUP(AM54,Q$5:$AJ$104,$AO$2+11,FALSE)</f>
        <v>#N/A</v>
      </c>
      <c r="AP54" s="58" t="e">
        <f t="shared" si="16"/>
        <v>#N/A</v>
      </c>
      <c r="AR54" s="120">
        <v>50</v>
      </c>
      <c r="AS54" s="58" t="e">
        <f>VLOOKUP(AR54,$S$5:$AJ$104,$AT$2,FALSE)</f>
        <v>#N/A</v>
      </c>
      <c r="AT54" s="93" t="e">
        <f>VLOOKUP(AR54,$S$5:$AJ$104,$AT$2+9,FALSE)</f>
        <v>#N/A</v>
      </c>
      <c r="AU54" s="58" t="e">
        <f>VLOOKUP(AS54,$S$5:$AJ$104,$AT$2+12,FALSE)</f>
        <v>#N/A</v>
      </c>
      <c r="AV54" s="75"/>
      <c r="AW54" s="120">
        <v>50</v>
      </c>
      <c r="AX54" s="58" t="e">
        <f>VLOOKUP(AW54,$U$5:$AJ$104,$AY$2,FALSE)</f>
        <v>#N/A</v>
      </c>
      <c r="AY54" s="93" t="e">
        <f>VLOOKUP(AW54,$U$5:$AJ$104,$AY$2+7,FALSE)</f>
        <v>#N/A</v>
      </c>
      <c r="AZ54" s="58" t="e">
        <f>VLOOKUP(AX54,$U$5:$AJ$104,$AY$2+11,FALSE)</f>
        <v>#N/A</v>
      </c>
      <c r="BB54" s="120">
        <v>50</v>
      </c>
      <c r="BC54" s="58" t="e">
        <f>VLOOKUP(BB54,$W$5:$AJ$104,$BD$2,FALSE)</f>
        <v>#N/A</v>
      </c>
      <c r="BD54" s="93" t="e">
        <f>VLOOKUP(BB54,$W$5:$AJ$104,$BD$2+5,FALSE)</f>
        <v>#N/A</v>
      </c>
      <c r="BE54" s="58" t="e">
        <f>VLOOKUP(BC54,$W$5:$AJ$104,$BD$2+10,FALSE)</f>
        <v>#N/A</v>
      </c>
      <c r="BF54" s="75"/>
      <c r="BG54" s="120">
        <v>50</v>
      </c>
      <c r="BH54" s="58" t="e">
        <f>VLOOKUP(BG54,$Y$5:$AJ$104,$BI$2,FALSE)</f>
        <v>#N/A</v>
      </c>
      <c r="BI54" s="93" t="e">
        <f>VLOOKUP(BG54,$Y$5:$AJ$104,$BI$2+3,FALSE)</f>
        <v>#N/A</v>
      </c>
      <c r="BJ54" s="58" t="e">
        <f>VLOOKUP(BH54,$Y$5:$AJ$104,$BI$2+9,FALSE)</f>
        <v>#N/A</v>
      </c>
      <c r="BL54" s="120">
        <v>50</v>
      </c>
      <c r="BM54" s="58" t="e">
        <f>VLOOKUP(BL54,$AA$5:$AJ$104,$BN$2,FALSE)</f>
        <v>#N/A</v>
      </c>
      <c r="BN54" s="93" t="e">
        <f>VLOOKUP(BL54,$AA$5:$AJ$104,$BN$2+1,FALSE)</f>
        <v>#N/A</v>
      </c>
      <c r="BO54" s="58" t="e">
        <f>VLOOKUP(BM54,$AA$5:$AJ$104,$BN$2+8,FALSE)</f>
        <v>#N/A</v>
      </c>
      <c r="BQ54" s="2" t="e">
        <f>'Eclectic C'!CD54</f>
        <v>#N/A</v>
      </c>
      <c r="BR54" s="6" t="e">
        <f>'Eclectic C'!CE54</f>
        <v>#N/A</v>
      </c>
      <c r="BS54" s="103" t="e">
        <f>'Eclectic C'!CF54</f>
        <v>#N/A</v>
      </c>
    </row>
    <row r="55" spans="1:71">
      <c r="A55" s="10" t="str">
        <f>IF(ISBLANK(Players!K53),"",Players!K53)</f>
        <v/>
      </c>
      <c r="B55" s="10" t="str">
        <f>IF(ISBLANK(Players!L53),"",Players!L53)</f>
        <v/>
      </c>
      <c r="C55" s="10" t="str">
        <f>IF(ISBLANK(Players!N53),"",Players!N53)</f>
        <v/>
      </c>
      <c r="D55" s="126" t="str">
        <f>IF(ISNUMBER(C55),MIN((C55*Rules!$N$14/113)+(Rules!$N$13-Rules!$N$12),Rules!$N$37),"-")</f>
        <v>-</v>
      </c>
      <c r="E55" s="126" t="str">
        <f>IF(ISNUMBER(C55),    ROUND( (D55*Rules!$N$11) / 100,0),"-")</f>
        <v>-</v>
      </c>
      <c r="F55" s="36" t="str">
        <f>IF(AND(ISNUMBER(C55),C55&gt;=Rules!$M$24,C55&lt;=Rules!$N$24),"Y","N")</f>
        <v>N</v>
      </c>
      <c r="G55" s="137" t="str">
        <f>'Eclectic C'!M55</f>
        <v>-</v>
      </c>
      <c r="H55" s="137" t="str">
        <f>'Eclectic C'!W55</f>
        <v>-</v>
      </c>
      <c r="I55" s="137" t="str">
        <f>'Eclectic C'!AJ55</f>
        <v>-</v>
      </c>
      <c r="J55" s="137" t="str">
        <f>'Eclectic C'!AT55</f>
        <v>-</v>
      </c>
      <c r="K55" s="14" t="str">
        <f t="shared" si="1"/>
        <v>-</v>
      </c>
      <c r="L55" s="14" t="str">
        <f t="shared" si="2"/>
        <v>-</v>
      </c>
      <c r="M55" s="14" t="str">
        <f t="shared" si="3"/>
        <v>-</v>
      </c>
      <c r="N55" s="14" t="str">
        <f t="shared" si="4"/>
        <v>-</v>
      </c>
      <c r="O55" s="14" t="str">
        <f t="shared" si="5"/>
        <v>-</v>
      </c>
      <c r="P55" s="14" t="str">
        <f t="shared" si="6"/>
        <v>-</v>
      </c>
      <c r="Q55" s="108" t="e">
        <f>RANK($K55,$K$5:$K$104,1)+COUNTIF(K$5:K55,K55)-1</f>
        <v>#VALUE!</v>
      </c>
      <c r="R55" s="108" t="e">
        <f t="shared" si="7"/>
        <v>#VALUE!</v>
      </c>
      <c r="S55" s="108" t="e">
        <f>RANK($L55,$L$5:$L$104,1)+COUNTIF(L$5:L55,L55)-1</f>
        <v>#VALUE!</v>
      </c>
      <c r="T55" s="108" t="e">
        <f t="shared" si="8"/>
        <v>#VALUE!</v>
      </c>
      <c r="U55" s="108" t="e">
        <f>RANK($M55,$M$5:$M$104,1)+COUNTIF(M$5:M55,M55)-1</f>
        <v>#VALUE!</v>
      </c>
      <c r="V55" s="108" t="e">
        <f t="shared" si="9"/>
        <v>#VALUE!</v>
      </c>
      <c r="W55" s="108" t="e">
        <f>RANK($N55,$N$5:$N$104,1)+COUNTIF(N$5:N55,N55)-1</f>
        <v>#VALUE!</v>
      </c>
      <c r="X55" s="108" t="e">
        <f t="shared" si="10"/>
        <v>#VALUE!</v>
      </c>
      <c r="Y55" s="108" t="e">
        <f>RANK($O55,$O$5:$O$104,1)+COUNTIF(O$5:O55,O55)-1</f>
        <v>#VALUE!</v>
      </c>
      <c r="Z55" s="108" t="e">
        <f t="shared" si="11"/>
        <v>#VALUE!</v>
      </c>
      <c r="AA55" s="108" t="e">
        <f>RANK($P55,$P$5:$P$104,1)+COUNTIF(P$5:P55,P55)-1</f>
        <v>#VALUE!</v>
      </c>
      <c r="AB55" s="108" t="e">
        <f t="shared" si="12"/>
        <v>#VALUE!</v>
      </c>
      <c r="AC55" s="59" t="str">
        <f t="shared" si="13"/>
        <v xml:space="preserve"> </v>
      </c>
      <c r="AD55" s="59" t="str">
        <f t="shared" si="14"/>
        <v>-</v>
      </c>
      <c r="AE55" s="119" t="str">
        <f t="shared" si="18"/>
        <v>-</v>
      </c>
      <c r="AF55" s="119" t="str">
        <f t="shared" si="18"/>
        <v>-</v>
      </c>
      <c r="AG55" s="119" t="str">
        <f t="shared" si="18"/>
        <v>-</v>
      </c>
      <c r="AH55" s="119" t="str">
        <f t="shared" si="17"/>
        <v>-</v>
      </c>
      <c r="AI55" s="119" t="str">
        <f t="shared" si="17"/>
        <v>-</v>
      </c>
      <c r="AJ55" s="119" t="str">
        <f t="shared" si="17"/>
        <v>-</v>
      </c>
      <c r="AM55" s="120">
        <v>51</v>
      </c>
      <c r="AN55" s="58" t="e">
        <f>VLOOKUP(AM55,Q$5:$AJ$104,$AO$2,FALSE)</f>
        <v>#N/A</v>
      </c>
      <c r="AO55" s="93" t="e">
        <f>VLOOKUP(AM55,Q$5:$AJ$104,$AO$2+11,FALSE)</f>
        <v>#N/A</v>
      </c>
      <c r="AP55" s="58" t="e">
        <f t="shared" si="16"/>
        <v>#N/A</v>
      </c>
      <c r="AR55" s="120">
        <v>51</v>
      </c>
      <c r="AS55" s="58" t="e">
        <f>VLOOKUP(AR55,$S$5:$AJ$104,$AT$2,FALSE)</f>
        <v>#N/A</v>
      </c>
      <c r="AT55" s="93" t="e">
        <f>VLOOKUP(AR55,$S$5:$AJ$104,$AT$2+9,FALSE)</f>
        <v>#N/A</v>
      </c>
      <c r="AU55" s="58" t="e">
        <f>VLOOKUP(AS55,$S$5:$AJ$104,$AT$2+12,FALSE)</f>
        <v>#N/A</v>
      </c>
      <c r="AV55" s="75"/>
      <c r="AW55" s="120">
        <v>51</v>
      </c>
      <c r="AX55" s="58" t="e">
        <f>VLOOKUP(AW55,$U$5:$AJ$104,$AY$2,FALSE)</f>
        <v>#N/A</v>
      </c>
      <c r="AY55" s="93" t="e">
        <f>VLOOKUP(AW55,$U$5:$AJ$104,$AY$2+7,FALSE)</f>
        <v>#N/A</v>
      </c>
      <c r="AZ55" s="58" t="e">
        <f>VLOOKUP(AX55,$U$5:$AJ$104,$AY$2+11,FALSE)</f>
        <v>#N/A</v>
      </c>
      <c r="BB55" s="120">
        <v>51</v>
      </c>
      <c r="BC55" s="58" t="e">
        <f>VLOOKUP(BB55,$W$5:$AJ$104,$BD$2,FALSE)</f>
        <v>#N/A</v>
      </c>
      <c r="BD55" s="93" t="e">
        <f>VLOOKUP(BB55,$W$5:$AJ$104,$BD$2+5,FALSE)</f>
        <v>#N/A</v>
      </c>
      <c r="BE55" s="58" t="e">
        <f>VLOOKUP(BC55,$W$5:$AJ$104,$BD$2+10,FALSE)</f>
        <v>#N/A</v>
      </c>
      <c r="BF55" s="75"/>
      <c r="BG55" s="120">
        <v>51</v>
      </c>
      <c r="BH55" s="58" t="e">
        <f>VLOOKUP(BG55,$Y$5:$AJ$104,$BI$2,FALSE)</f>
        <v>#N/A</v>
      </c>
      <c r="BI55" s="93" t="e">
        <f>VLOOKUP(BG55,$Y$5:$AJ$104,$BI$2+3,FALSE)</f>
        <v>#N/A</v>
      </c>
      <c r="BJ55" s="58" t="e">
        <f>VLOOKUP(BH55,$Y$5:$AJ$104,$BI$2+9,FALSE)</f>
        <v>#N/A</v>
      </c>
      <c r="BL55" s="120">
        <v>51</v>
      </c>
      <c r="BM55" s="58" t="e">
        <f>VLOOKUP(BL55,$AA$5:$AJ$104,$BN$2,FALSE)</f>
        <v>#N/A</v>
      </c>
      <c r="BN55" s="93" t="e">
        <f>VLOOKUP(BL55,$AA$5:$AJ$104,$BN$2+1,FALSE)</f>
        <v>#N/A</v>
      </c>
      <c r="BO55" s="58" t="e">
        <f>VLOOKUP(BM55,$AA$5:$AJ$104,$BN$2+8,FALSE)</f>
        <v>#N/A</v>
      </c>
      <c r="BQ55" s="2" t="e">
        <f>'Eclectic C'!CD55</f>
        <v>#N/A</v>
      </c>
      <c r="BR55" s="6" t="e">
        <f>'Eclectic C'!CE55</f>
        <v>#N/A</v>
      </c>
      <c r="BS55" s="103" t="e">
        <f>'Eclectic C'!CF55</f>
        <v>#N/A</v>
      </c>
    </row>
    <row r="56" spans="1:71">
      <c r="A56" s="10" t="str">
        <f>IF(ISBLANK(Players!K54),"",Players!K54)</f>
        <v/>
      </c>
      <c r="B56" s="10" t="str">
        <f>IF(ISBLANK(Players!L54),"",Players!L54)</f>
        <v/>
      </c>
      <c r="C56" s="10" t="str">
        <f>IF(ISBLANK(Players!N54),"",Players!N54)</f>
        <v/>
      </c>
      <c r="D56" s="126" t="str">
        <f>IF(ISNUMBER(C56),MIN((C56*Rules!$N$14/113)+(Rules!$N$13-Rules!$N$12),Rules!$N$37),"-")</f>
        <v>-</v>
      </c>
      <c r="E56" s="126" t="str">
        <f>IF(ISNUMBER(C56),    ROUND( (D56*Rules!$N$11) / 100,0),"-")</f>
        <v>-</v>
      </c>
      <c r="F56" s="36" t="str">
        <f>IF(AND(ISNUMBER(C56),C56&gt;=Rules!$M$24,C56&lt;=Rules!$N$24),"Y","N")</f>
        <v>N</v>
      </c>
      <c r="G56" s="137" t="str">
        <f>'Eclectic C'!M56</f>
        <v>-</v>
      </c>
      <c r="H56" s="137" t="str">
        <f>'Eclectic C'!W56</f>
        <v>-</v>
      </c>
      <c r="I56" s="137" t="str">
        <f>'Eclectic C'!AJ56</f>
        <v>-</v>
      </c>
      <c r="J56" s="137" t="str">
        <f>'Eclectic C'!AT56</f>
        <v>-</v>
      </c>
      <c r="K56" s="14" t="str">
        <f t="shared" si="1"/>
        <v>-</v>
      </c>
      <c r="L56" s="14" t="str">
        <f t="shared" si="2"/>
        <v>-</v>
      </c>
      <c r="M56" s="14" t="str">
        <f t="shared" si="3"/>
        <v>-</v>
      </c>
      <c r="N56" s="14" t="str">
        <f t="shared" si="4"/>
        <v>-</v>
      </c>
      <c r="O56" s="14" t="str">
        <f t="shared" si="5"/>
        <v>-</v>
      </c>
      <c r="P56" s="14" t="str">
        <f t="shared" si="6"/>
        <v>-</v>
      </c>
      <c r="Q56" s="108" t="e">
        <f>RANK($K56,$K$5:$K$104,1)+COUNTIF(K$5:K56,K56)-1</f>
        <v>#VALUE!</v>
      </c>
      <c r="R56" s="108" t="e">
        <f t="shared" si="7"/>
        <v>#VALUE!</v>
      </c>
      <c r="S56" s="108" t="e">
        <f>RANK($L56,$L$5:$L$104,1)+COUNTIF(L$5:L56,L56)-1</f>
        <v>#VALUE!</v>
      </c>
      <c r="T56" s="108" t="e">
        <f t="shared" si="8"/>
        <v>#VALUE!</v>
      </c>
      <c r="U56" s="108" t="e">
        <f>RANK($M56,$M$5:$M$104,1)+COUNTIF(M$5:M56,M56)-1</f>
        <v>#VALUE!</v>
      </c>
      <c r="V56" s="108" t="e">
        <f t="shared" si="9"/>
        <v>#VALUE!</v>
      </c>
      <c r="W56" s="108" t="e">
        <f>RANK($N56,$N$5:$N$104,1)+COUNTIF(N$5:N56,N56)-1</f>
        <v>#VALUE!</v>
      </c>
      <c r="X56" s="108" t="e">
        <f t="shared" si="10"/>
        <v>#VALUE!</v>
      </c>
      <c r="Y56" s="108" t="e">
        <f>RANK($O56,$O$5:$O$104,1)+COUNTIF(O$5:O56,O56)-1</f>
        <v>#VALUE!</v>
      </c>
      <c r="Z56" s="108" t="e">
        <f t="shared" si="11"/>
        <v>#VALUE!</v>
      </c>
      <c r="AA56" s="108" t="e">
        <f>RANK($P56,$P$5:$P$104,1)+COUNTIF(P$5:P56,P56)-1</f>
        <v>#VALUE!</v>
      </c>
      <c r="AB56" s="108" t="e">
        <f t="shared" si="12"/>
        <v>#VALUE!</v>
      </c>
      <c r="AC56" s="59" t="str">
        <f t="shared" si="13"/>
        <v xml:space="preserve"> </v>
      </c>
      <c r="AD56" s="59" t="str">
        <f t="shared" si="14"/>
        <v>-</v>
      </c>
      <c r="AE56" s="119" t="str">
        <f t="shared" si="18"/>
        <v>-</v>
      </c>
      <c r="AF56" s="119" t="str">
        <f t="shared" si="18"/>
        <v>-</v>
      </c>
      <c r="AG56" s="119" t="str">
        <f t="shared" si="18"/>
        <v>-</v>
      </c>
      <c r="AH56" s="119" t="str">
        <f t="shared" si="17"/>
        <v>-</v>
      </c>
      <c r="AI56" s="119" t="str">
        <f t="shared" si="17"/>
        <v>-</v>
      </c>
      <c r="AJ56" s="119" t="str">
        <f t="shared" si="17"/>
        <v>-</v>
      </c>
      <c r="AM56" s="120">
        <v>52</v>
      </c>
      <c r="AN56" s="58" t="e">
        <f>VLOOKUP(AM56,Q$5:$AJ$104,$AO$2,FALSE)</f>
        <v>#N/A</v>
      </c>
      <c r="AO56" s="93" t="e">
        <f>VLOOKUP(AM56,Q$5:$AJ$104,$AO$2+11,FALSE)</f>
        <v>#N/A</v>
      </c>
      <c r="AP56" s="58" t="e">
        <f t="shared" si="16"/>
        <v>#N/A</v>
      </c>
      <c r="AR56" s="120">
        <v>52</v>
      </c>
      <c r="AS56" s="58" t="e">
        <f>VLOOKUP(AR56,$S$5:$AJ$104,$AT$2,FALSE)</f>
        <v>#N/A</v>
      </c>
      <c r="AT56" s="93" t="e">
        <f>VLOOKUP(AR56,$S$5:$AJ$104,$AT$2+9,FALSE)</f>
        <v>#N/A</v>
      </c>
      <c r="AU56" s="58" t="e">
        <f>VLOOKUP(AS56,$S$5:$AJ$104,$AT$2+12,FALSE)</f>
        <v>#N/A</v>
      </c>
      <c r="AV56" s="75"/>
      <c r="AW56" s="120">
        <v>52</v>
      </c>
      <c r="AX56" s="58" t="e">
        <f>VLOOKUP(AW56,$U$5:$AJ$104,$AY$2,FALSE)</f>
        <v>#N/A</v>
      </c>
      <c r="AY56" s="93" t="e">
        <f>VLOOKUP(AW56,$U$5:$AJ$104,$AY$2+7,FALSE)</f>
        <v>#N/A</v>
      </c>
      <c r="AZ56" s="58" t="e">
        <f>VLOOKUP(AX56,$U$5:$AJ$104,$AY$2+11,FALSE)</f>
        <v>#N/A</v>
      </c>
      <c r="BB56" s="120">
        <v>52</v>
      </c>
      <c r="BC56" s="58" t="e">
        <f>VLOOKUP(BB56,$W$5:$AJ$104,$BD$2,FALSE)</f>
        <v>#N/A</v>
      </c>
      <c r="BD56" s="93" t="e">
        <f>VLOOKUP(BB56,$W$5:$AJ$104,$BD$2+5,FALSE)</f>
        <v>#N/A</v>
      </c>
      <c r="BE56" s="58" t="e">
        <f>VLOOKUP(BC56,$W$5:$AJ$104,$BD$2+10,FALSE)</f>
        <v>#N/A</v>
      </c>
      <c r="BF56" s="75"/>
      <c r="BG56" s="120">
        <v>52</v>
      </c>
      <c r="BH56" s="58" t="e">
        <f>VLOOKUP(BG56,$Y$5:$AJ$104,$BI$2,FALSE)</f>
        <v>#N/A</v>
      </c>
      <c r="BI56" s="93" t="e">
        <f>VLOOKUP(BG56,$Y$5:$AJ$104,$BI$2+3,FALSE)</f>
        <v>#N/A</v>
      </c>
      <c r="BJ56" s="58" t="e">
        <f>VLOOKUP(BH56,$Y$5:$AJ$104,$BI$2+9,FALSE)</f>
        <v>#N/A</v>
      </c>
      <c r="BL56" s="120">
        <v>52</v>
      </c>
      <c r="BM56" s="58" t="e">
        <f>VLOOKUP(BL56,$AA$5:$AJ$104,$BN$2,FALSE)</f>
        <v>#N/A</v>
      </c>
      <c r="BN56" s="93" t="e">
        <f>VLOOKUP(BL56,$AA$5:$AJ$104,$BN$2+1,FALSE)</f>
        <v>#N/A</v>
      </c>
      <c r="BO56" s="58" t="e">
        <f>VLOOKUP(BM56,$AA$5:$AJ$104,$BN$2+8,FALSE)</f>
        <v>#N/A</v>
      </c>
      <c r="BQ56" s="2" t="e">
        <f>'Eclectic C'!CD56</f>
        <v>#N/A</v>
      </c>
      <c r="BR56" s="6" t="e">
        <f>'Eclectic C'!CE56</f>
        <v>#N/A</v>
      </c>
      <c r="BS56" s="103" t="e">
        <f>'Eclectic C'!CF56</f>
        <v>#N/A</v>
      </c>
    </row>
    <row r="57" spans="1:71">
      <c r="A57" s="10" t="str">
        <f>IF(ISBLANK(Players!K55),"",Players!K55)</f>
        <v/>
      </c>
      <c r="B57" s="10" t="str">
        <f>IF(ISBLANK(Players!L55),"",Players!L55)</f>
        <v/>
      </c>
      <c r="C57" s="10" t="str">
        <f>IF(ISBLANK(Players!N55),"",Players!N55)</f>
        <v/>
      </c>
      <c r="D57" s="126" t="str">
        <f>IF(ISNUMBER(C57),MIN((C57*Rules!$N$14/113)+(Rules!$N$13-Rules!$N$12),Rules!$N$37),"-")</f>
        <v>-</v>
      </c>
      <c r="E57" s="126" t="str">
        <f>IF(ISNUMBER(C57),    ROUND( (D57*Rules!$N$11) / 100,0),"-")</f>
        <v>-</v>
      </c>
      <c r="F57" s="36" t="str">
        <f>IF(AND(ISNUMBER(C57),C57&gt;=Rules!$M$24,C57&lt;=Rules!$N$24),"Y","N")</f>
        <v>N</v>
      </c>
      <c r="G57" s="137" t="str">
        <f>'Eclectic C'!M57</f>
        <v>-</v>
      </c>
      <c r="H57" s="137" t="str">
        <f>'Eclectic C'!W57</f>
        <v>-</v>
      </c>
      <c r="I57" s="137" t="str">
        <f>'Eclectic C'!AJ57</f>
        <v>-</v>
      </c>
      <c r="J57" s="137" t="str">
        <f>'Eclectic C'!AT57</f>
        <v>-</v>
      </c>
      <c r="K57" s="14" t="str">
        <f t="shared" si="1"/>
        <v>-</v>
      </c>
      <c r="L57" s="14" t="str">
        <f t="shared" si="2"/>
        <v>-</v>
      </c>
      <c r="M57" s="14" t="str">
        <f t="shared" si="3"/>
        <v>-</v>
      </c>
      <c r="N57" s="14" t="str">
        <f t="shared" si="4"/>
        <v>-</v>
      </c>
      <c r="O57" s="14" t="str">
        <f t="shared" si="5"/>
        <v>-</v>
      </c>
      <c r="P57" s="14" t="str">
        <f t="shared" si="6"/>
        <v>-</v>
      </c>
      <c r="Q57" s="108" t="e">
        <f>RANK($K57,$K$5:$K$104,1)+COUNTIF(K$5:K57,K57)-1</f>
        <v>#VALUE!</v>
      </c>
      <c r="R57" s="108" t="e">
        <f t="shared" si="7"/>
        <v>#VALUE!</v>
      </c>
      <c r="S57" s="108" t="e">
        <f>RANK($L57,$L$5:$L$104,1)+COUNTIF(L$5:L57,L57)-1</f>
        <v>#VALUE!</v>
      </c>
      <c r="T57" s="108" t="e">
        <f t="shared" si="8"/>
        <v>#VALUE!</v>
      </c>
      <c r="U57" s="108" t="e">
        <f>RANK($M57,$M$5:$M$104,1)+COUNTIF(M$5:M57,M57)-1</f>
        <v>#VALUE!</v>
      </c>
      <c r="V57" s="108" t="e">
        <f t="shared" si="9"/>
        <v>#VALUE!</v>
      </c>
      <c r="W57" s="108" t="e">
        <f>RANK($N57,$N$5:$N$104,1)+COUNTIF(N$5:N57,N57)-1</f>
        <v>#VALUE!</v>
      </c>
      <c r="X57" s="108" t="e">
        <f t="shared" si="10"/>
        <v>#VALUE!</v>
      </c>
      <c r="Y57" s="108" t="e">
        <f>RANK($O57,$O$5:$O$104,1)+COUNTIF(O$5:O57,O57)-1</f>
        <v>#VALUE!</v>
      </c>
      <c r="Z57" s="108" t="e">
        <f t="shared" si="11"/>
        <v>#VALUE!</v>
      </c>
      <c r="AA57" s="108" t="e">
        <f>RANK($P57,$P$5:$P$104,1)+COUNTIF(P$5:P57,P57)-1</f>
        <v>#VALUE!</v>
      </c>
      <c r="AB57" s="108" t="e">
        <f t="shared" si="12"/>
        <v>#VALUE!</v>
      </c>
      <c r="AC57" s="59" t="str">
        <f t="shared" si="13"/>
        <v xml:space="preserve"> </v>
      </c>
      <c r="AD57" s="59" t="str">
        <f t="shared" si="14"/>
        <v>-</v>
      </c>
      <c r="AE57" s="119" t="str">
        <f t="shared" si="18"/>
        <v>-</v>
      </c>
      <c r="AF57" s="119" t="str">
        <f t="shared" si="18"/>
        <v>-</v>
      </c>
      <c r="AG57" s="119" t="str">
        <f t="shared" si="18"/>
        <v>-</v>
      </c>
      <c r="AH57" s="119" t="str">
        <f t="shared" si="17"/>
        <v>-</v>
      </c>
      <c r="AI57" s="119" t="str">
        <f t="shared" si="17"/>
        <v>-</v>
      </c>
      <c r="AJ57" s="119" t="str">
        <f t="shared" si="17"/>
        <v>-</v>
      </c>
      <c r="AM57" s="120">
        <v>53</v>
      </c>
      <c r="AN57" s="58" t="e">
        <f>VLOOKUP(AM57,Q$5:$AJ$104,$AO$2,FALSE)</f>
        <v>#N/A</v>
      </c>
      <c r="AO57" s="93" t="e">
        <f>VLOOKUP(AM57,Q$5:$AJ$104,$AO$2+11,FALSE)</f>
        <v>#N/A</v>
      </c>
      <c r="AP57" s="58" t="e">
        <f t="shared" si="16"/>
        <v>#N/A</v>
      </c>
      <c r="AR57" s="120">
        <v>53</v>
      </c>
      <c r="AS57" s="58" t="e">
        <f>VLOOKUP(AR57,$S$5:$AJ$104,$AT$2,FALSE)</f>
        <v>#N/A</v>
      </c>
      <c r="AT57" s="93" t="e">
        <f>VLOOKUP(AR57,$S$5:$AJ$104,$AT$2+9,FALSE)</f>
        <v>#N/A</v>
      </c>
      <c r="AU57" s="58" t="e">
        <f>VLOOKUP(AS57,$S$5:$AJ$104,$AT$2+12,FALSE)</f>
        <v>#N/A</v>
      </c>
      <c r="AV57" s="75"/>
      <c r="AW57" s="120">
        <v>53</v>
      </c>
      <c r="AX57" s="58" t="e">
        <f>VLOOKUP(AW57,$U$5:$AJ$104,$AY$2,FALSE)</f>
        <v>#N/A</v>
      </c>
      <c r="AY57" s="93" t="e">
        <f>VLOOKUP(AW57,$U$5:$AJ$104,$AY$2+7,FALSE)</f>
        <v>#N/A</v>
      </c>
      <c r="AZ57" s="58" t="e">
        <f>VLOOKUP(AX57,$U$5:$AJ$104,$AY$2+11,FALSE)</f>
        <v>#N/A</v>
      </c>
      <c r="BB57" s="120">
        <v>53</v>
      </c>
      <c r="BC57" s="58" t="e">
        <f>VLOOKUP(BB57,$W$5:$AJ$104,$BD$2,FALSE)</f>
        <v>#N/A</v>
      </c>
      <c r="BD57" s="93" t="e">
        <f>VLOOKUP(BB57,$W$5:$AJ$104,$BD$2+5,FALSE)</f>
        <v>#N/A</v>
      </c>
      <c r="BE57" s="58" t="e">
        <f>VLOOKUP(BC57,$W$5:$AJ$104,$BD$2+10,FALSE)</f>
        <v>#N/A</v>
      </c>
      <c r="BF57" s="75"/>
      <c r="BG57" s="120">
        <v>53</v>
      </c>
      <c r="BH57" s="58" t="e">
        <f>VLOOKUP(BG57,$Y$5:$AJ$104,$BI$2,FALSE)</f>
        <v>#N/A</v>
      </c>
      <c r="BI57" s="93" t="e">
        <f>VLOOKUP(BG57,$Y$5:$AJ$104,$BI$2+3,FALSE)</f>
        <v>#N/A</v>
      </c>
      <c r="BJ57" s="58" t="e">
        <f>VLOOKUP(BH57,$Y$5:$AJ$104,$BI$2+9,FALSE)</f>
        <v>#N/A</v>
      </c>
      <c r="BL57" s="120">
        <v>53</v>
      </c>
      <c r="BM57" s="58" t="e">
        <f>VLOOKUP(BL57,$AA$5:$AJ$104,$BN$2,FALSE)</f>
        <v>#N/A</v>
      </c>
      <c r="BN57" s="93" t="e">
        <f>VLOOKUP(BL57,$AA$5:$AJ$104,$BN$2+1,FALSE)</f>
        <v>#N/A</v>
      </c>
      <c r="BO57" s="58" t="e">
        <f>VLOOKUP(BM57,$AA$5:$AJ$104,$BN$2+8,FALSE)</f>
        <v>#N/A</v>
      </c>
      <c r="BQ57" s="2" t="e">
        <f>'Eclectic C'!CD57</f>
        <v>#N/A</v>
      </c>
      <c r="BR57" s="6" t="e">
        <f>'Eclectic C'!CE57</f>
        <v>#N/A</v>
      </c>
      <c r="BS57" s="103" t="e">
        <f>'Eclectic C'!CF57</f>
        <v>#N/A</v>
      </c>
    </row>
    <row r="58" spans="1:71">
      <c r="A58" s="10" t="str">
        <f>IF(ISBLANK(Players!K56),"",Players!K56)</f>
        <v/>
      </c>
      <c r="B58" s="10" t="str">
        <f>IF(ISBLANK(Players!L56),"",Players!L56)</f>
        <v/>
      </c>
      <c r="C58" s="10" t="str">
        <f>IF(ISBLANK(Players!N56),"",Players!N56)</f>
        <v/>
      </c>
      <c r="D58" s="126" t="str">
        <f>IF(ISNUMBER(C58),MIN((C58*Rules!$N$14/113)+(Rules!$N$13-Rules!$N$12),Rules!$N$37),"-")</f>
        <v>-</v>
      </c>
      <c r="E58" s="126" t="str">
        <f>IF(ISNUMBER(C58),    ROUND( (D58*Rules!$N$11) / 100,0),"-")</f>
        <v>-</v>
      </c>
      <c r="F58" s="36" t="str">
        <f>IF(AND(ISNUMBER(C58),C58&gt;=Rules!$M$24,C58&lt;=Rules!$N$24),"Y","N")</f>
        <v>N</v>
      </c>
      <c r="G58" s="137" t="str">
        <f>'Eclectic C'!M58</f>
        <v>-</v>
      </c>
      <c r="H58" s="137" t="str">
        <f>'Eclectic C'!W58</f>
        <v>-</v>
      </c>
      <c r="I58" s="137" t="str">
        <f>'Eclectic C'!AJ58</f>
        <v>-</v>
      </c>
      <c r="J58" s="137" t="str">
        <f>'Eclectic C'!AT58</f>
        <v>-</v>
      </c>
      <c r="K58" s="14" t="str">
        <f t="shared" si="1"/>
        <v>-</v>
      </c>
      <c r="L58" s="14" t="str">
        <f t="shared" si="2"/>
        <v>-</v>
      </c>
      <c r="M58" s="14" t="str">
        <f t="shared" si="3"/>
        <v>-</v>
      </c>
      <c r="N58" s="14" t="str">
        <f t="shared" si="4"/>
        <v>-</v>
      </c>
      <c r="O58" s="14" t="str">
        <f t="shared" si="5"/>
        <v>-</v>
      </c>
      <c r="P58" s="14" t="str">
        <f t="shared" si="6"/>
        <v>-</v>
      </c>
      <c r="Q58" s="108" t="e">
        <f>RANK($K58,$K$5:$K$104,1)+COUNTIF(K$5:K58,K58)-1</f>
        <v>#VALUE!</v>
      </c>
      <c r="R58" s="108" t="e">
        <f t="shared" si="7"/>
        <v>#VALUE!</v>
      </c>
      <c r="S58" s="108" t="e">
        <f>RANK($L58,$L$5:$L$104,1)+COUNTIF(L$5:L58,L58)-1</f>
        <v>#VALUE!</v>
      </c>
      <c r="T58" s="108" t="e">
        <f t="shared" si="8"/>
        <v>#VALUE!</v>
      </c>
      <c r="U58" s="108" t="e">
        <f>RANK($M58,$M$5:$M$104,1)+COUNTIF(M$5:M58,M58)-1</f>
        <v>#VALUE!</v>
      </c>
      <c r="V58" s="108" t="e">
        <f t="shared" si="9"/>
        <v>#VALUE!</v>
      </c>
      <c r="W58" s="108" t="e">
        <f>RANK($N58,$N$5:$N$104,1)+COUNTIF(N$5:N58,N58)-1</f>
        <v>#VALUE!</v>
      </c>
      <c r="X58" s="108" t="e">
        <f t="shared" si="10"/>
        <v>#VALUE!</v>
      </c>
      <c r="Y58" s="108" t="e">
        <f>RANK($O58,$O$5:$O$104,1)+COUNTIF(O$5:O58,O58)-1</f>
        <v>#VALUE!</v>
      </c>
      <c r="Z58" s="108" t="e">
        <f t="shared" si="11"/>
        <v>#VALUE!</v>
      </c>
      <c r="AA58" s="108" t="e">
        <f>RANK($P58,$P$5:$P$104,1)+COUNTIF(P$5:P58,P58)-1</f>
        <v>#VALUE!</v>
      </c>
      <c r="AB58" s="108" t="e">
        <f t="shared" si="12"/>
        <v>#VALUE!</v>
      </c>
      <c r="AC58" s="59" t="str">
        <f t="shared" si="13"/>
        <v xml:space="preserve"> </v>
      </c>
      <c r="AD58" s="59" t="str">
        <f t="shared" si="14"/>
        <v>-</v>
      </c>
      <c r="AE58" s="119" t="str">
        <f t="shared" si="18"/>
        <v>-</v>
      </c>
      <c r="AF58" s="119" t="str">
        <f t="shared" si="18"/>
        <v>-</v>
      </c>
      <c r="AG58" s="119" t="str">
        <f t="shared" si="18"/>
        <v>-</v>
      </c>
      <c r="AH58" s="119" t="str">
        <f t="shared" si="17"/>
        <v>-</v>
      </c>
      <c r="AI58" s="119" t="str">
        <f t="shared" si="17"/>
        <v>-</v>
      </c>
      <c r="AJ58" s="119" t="str">
        <f t="shared" si="17"/>
        <v>-</v>
      </c>
      <c r="AM58" s="120">
        <v>54</v>
      </c>
      <c r="AN58" s="58" t="e">
        <f>VLOOKUP(AM58,Q$5:$AJ$104,$AO$2,FALSE)</f>
        <v>#N/A</v>
      </c>
      <c r="AO58" s="93" t="e">
        <f>VLOOKUP(AM58,Q$5:$AJ$104,$AO$2+11,FALSE)</f>
        <v>#N/A</v>
      </c>
      <c r="AP58" s="58" t="e">
        <f t="shared" si="16"/>
        <v>#N/A</v>
      </c>
      <c r="AR58" s="120">
        <v>54</v>
      </c>
      <c r="AS58" s="58" t="e">
        <f>VLOOKUP(AR58,$S$5:$AJ$104,$AT$2,FALSE)</f>
        <v>#N/A</v>
      </c>
      <c r="AT58" s="93" t="e">
        <f>VLOOKUP(AR58,$S$5:$AJ$104,$AT$2+9,FALSE)</f>
        <v>#N/A</v>
      </c>
      <c r="AU58" s="58" t="e">
        <f>VLOOKUP(AS58,$S$5:$AJ$104,$AT$2+12,FALSE)</f>
        <v>#N/A</v>
      </c>
      <c r="AV58" s="75"/>
      <c r="AW58" s="120">
        <v>54</v>
      </c>
      <c r="AX58" s="58" t="e">
        <f>VLOOKUP(AW58,$U$5:$AJ$104,$AY$2,FALSE)</f>
        <v>#N/A</v>
      </c>
      <c r="AY58" s="93" t="e">
        <f>VLOOKUP(AW58,$U$5:$AJ$104,$AY$2+7,FALSE)</f>
        <v>#N/A</v>
      </c>
      <c r="AZ58" s="58" t="e">
        <f>VLOOKUP(AX58,$U$5:$AJ$104,$AY$2+11,FALSE)</f>
        <v>#N/A</v>
      </c>
      <c r="BB58" s="120">
        <v>54</v>
      </c>
      <c r="BC58" s="58" t="e">
        <f>VLOOKUP(BB58,$W$5:$AJ$104,$BD$2,FALSE)</f>
        <v>#N/A</v>
      </c>
      <c r="BD58" s="93" t="e">
        <f>VLOOKUP(BB58,$W$5:$AJ$104,$BD$2+5,FALSE)</f>
        <v>#N/A</v>
      </c>
      <c r="BE58" s="58" t="e">
        <f>VLOOKUP(BC58,$W$5:$AJ$104,$BD$2+10,FALSE)</f>
        <v>#N/A</v>
      </c>
      <c r="BF58" s="75"/>
      <c r="BG58" s="120">
        <v>54</v>
      </c>
      <c r="BH58" s="58" t="e">
        <f>VLOOKUP(BG58,$Y$5:$AJ$104,$BI$2,FALSE)</f>
        <v>#N/A</v>
      </c>
      <c r="BI58" s="93" t="e">
        <f>VLOOKUP(BG58,$Y$5:$AJ$104,$BI$2+3,FALSE)</f>
        <v>#N/A</v>
      </c>
      <c r="BJ58" s="58" t="e">
        <f>VLOOKUP(BH58,$Y$5:$AJ$104,$BI$2+9,FALSE)</f>
        <v>#N/A</v>
      </c>
      <c r="BL58" s="120">
        <v>54</v>
      </c>
      <c r="BM58" s="58" t="e">
        <f>VLOOKUP(BL58,$AA$5:$AJ$104,$BN$2,FALSE)</f>
        <v>#N/A</v>
      </c>
      <c r="BN58" s="93" t="e">
        <f>VLOOKUP(BL58,$AA$5:$AJ$104,$BN$2+1,FALSE)</f>
        <v>#N/A</v>
      </c>
      <c r="BO58" s="58" t="e">
        <f>VLOOKUP(BM58,$AA$5:$AJ$104,$BN$2+8,FALSE)</f>
        <v>#N/A</v>
      </c>
      <c r="BQ58" s="2" t="e">
        <f>'Eclectic C'!CD58</f>
        <v>#N/A</v>
      </c>
      <c r="BR58" s="6" t="e">
        <f>'Eclectic C'!CE58</f>
        <v>#N/A</v>
      </c>
      <c r="BS58" s="103" t="e">
        <f>'Eclectic C'!CF58</f>
        <v>#N/A</v>
      </c>
    </row>
    <row r="59" spans="1:71">
      <c r="A59" s="10" t="str">
        <f>IF(ISBLANK(Players!K57),"",Players!K57)</f>
        <v/>
      </c>
      <c r="B59" s="10" t="str">
        <f>IF(ISBLANK(Players!L57),"",Players!L57)</f>
        <v/>
      </c>
      <c r="C59" s="10" t="str">
        <f>IF(ISBLANK(Players!N57),"",Players!N57)</f>
        <v/>
      </c>
      <c r="D59" s="126" t="str">
        <f>IF(ISNUMBER(C59),MIN((C59*Rules!$N$14/113)+(Rules!$N$13-Rules!$N$12),Rules!$N$37),"-")</f>
        <v>-</v>
      </c>
      <c r="E59" s="126" t="str">
        <f>IF(ISNUMBER(C59),    ROUND( (D59*Rules!$N$11) / 100,0),"-")</f>
        <v>-</v>
      </c>
      <c r="F59" s="36" t="str">
        <f>IF(AND(ISNUMBER(C59),C59&gt;=Rules!$M$24,C59&lt;=Rules!$N$24),"Y","N")</f>
        <v>N</v>
      </c>
      <c r="G59" s="137" t="str">
        <f>'Eclectic C'!M59</f>
        <v>-</v>
      </c>
      <c r="H59" s="137" t="str">
        <f>'Eclectic C'!W59</f>
        <v>-</v>
      </c>
      <c r="I59" s="137" t="str">
        <f>'Eclectic C'!AJ59</f>
        <v>-</v>
      </c>
      <c r="J59" s="137" t="str">
        <f>'Eclectic C'!AT59</f>
        <v>-</v>
      </c>
      <c r="K59" s="14" t="str">
        <f t="shared" si="1"/>
        <v>-</v>
      </c>
      <c r="L59" s="14" t="str">
        <f t="shared" si="2"/>
        <v>-</v>
      </c>
      <c r="M59" s="14" t="str">
        <f t="shared" si="3"/>
        <v>-</v>
      </c>
      <c r="N59" s="14" t="str">
        <f t="shared" si="4"/>
        <v>-</v>
      </c>
      <c r="O59" s="14" t="str">
        <f t="shared" si="5"/>
        <v>-</v>
      </c>
      <c r="P59" s="14" t="str">
        <f t="shared" si="6"/>
        <v>-</v>
      </c>
      <c r="Q59" s="108" t="e">
        <f>RANK($K59,$K$5:$K$104,1)+COUNTIF(K$5:K59,K59)-1</f>
        <v>#VALUE!</v>
      </c>
      <c r="R59" s="108" t="e">
        <f t="shared" si="7"/>
        <v>#VALUE!</v>
      </c>
      <c r="S59" s="108" t="e">
        <f>RANK($L59,$L$5:$L$104,1)+COUNTIF(L$5:L59,L59)-1</f>
        <v>#VALUE!</v>
      </c>
      <c r="T59" s="108" t="e">
        <f t="shared" si="8"/>
        <v>#VALUE!</v>
      </c>
      <c r="U59" s="108" t="e">
        <f>RANK($M59,$M$5:$M$104,1)+COUNTIF(M$5:M59,M59)-1</f>
        <v>#VALUE!</v>
      </c>
      <c r="V59" s="108" t="e">
        <f t="shared" si="9"/>
        <v>#VALUE!</v>
      </c>
      <c r="W59" s="108" t="e">
        <f>RANK($N59,$N$5:$N$104,1)+COUNTIF(N$5:N59,N59)-1</f>
        <v>#VALUE!</v>
      </c>
      <c r="X59" s="108" t="e">
        <f t="shared" si="10"/>
        <v>#VALUE!</v>
      </c>
      <c r="Y59" s="108" t="e">
        <f>RANK($O59,$O$5:$O$104,1)+COUNTIF(O$5:O59,O59)-1</f>
        <v>#VALUE!</v>
      </c>
      <c r="Z59" s="108" t="e">
        <f t="shared" si="11"/>
        <v>#VALUE!</v>
      </c>
      <c r="AA59" s="108" t="e">
        <f>RANK($P59,$P$5:$P$104,1)+COUNTIF(P$5:P59,P59)-1</f>
        <v>#VALUE!</v>
      </c>
      <c r="AB59" s="108" t="e">
        <f t="shared" si="12"/>
        <v>#VALUE!</v>
      </c>
      <c r="AC59" s="59" t="str">
        <f t="shared" si="13"/>
        <v xml:space="preserve"> </v>
      </c>
      <c r="AD59" s="59" t="str">
        <f t="shared" si="14"/>
        <v>-</v>
      </c>
      <c r="AE59" s="119" t="str">
        <f t="shared" si="18"/>
        <v>-</v>
      </c>
      <c r="AF59" s="119" t="str">
        <f t="shared" si="18"/>
        <v>-</v>
      </c>
      <c r="AG59" s="119" t="str">
        <f t="shared" si="18"/>
        <v>-</v>
      </c>
      <c r="AH59" s="119" t="str">
        <f t="shared" si="17"/>
        <v>-</v>
      </c>
      <c r="AI59" s="119" t="str">
        <f t="shared" si="17"/>
        <v>-</v>
      </c>
      <c r="AJ59" s="119" t="str">
        <f t="shared" si="17"/>
        <v>-</v>
      </c>
      <c r="AM59" s="120">
        <v>55</v>
      </c>
      <c r="AN59" s="58" t="e">
        <f>VLOOKUP(AM59,Q$5:$AJ$104,$AO$2,FALSE)</f>
        <v>#N/A</v>
      </c>
      <c r="AO59" s="93" t="e">
        <f>VLOOKUP(AM59,Q$5:$AJ$104,$AO$2+11,FALSE)</f>
        <v>#N/A</v>
      </c>
      <c r="AP59" s="58" t="e">
        <f t="shared" si="16"/>
        <v>#N/A</v>
      </c>
      <c r="AR59" s="120">
        <v>55</v>
      </c>
      <c r="AS59" s="58" t="e">
        <f>VLOOKUP(AR59,$S$5:$AJ$104,$AT$2,FALSE)</f>
        <v>#N/A</v>
      </c>
      <c r="AT59" s="93" t="e">
        <f>VLOOKUP(AR59,$S$5:$AJ$104,$AT$2+9,FALSE)</f>
        <v>#N/A</v>
      </c>
      <c r="AU59" s="58" t="e">
        <f>VLOOKUP(AS59,$S$5:$AJ$104,$AT$2+12,FALSE)</f>
        <v>#N/A</v>
      </c>
      <c r="AV59" s="75"/>
      <c r="AW59" s="120">
        <v>55</v>
      </c>
      <c r="AX59" s="58" t="e">
        <f>VLOOKUP(AW59,$U$5:$AJ$104,$AY$2,FALSE)</f>
        <v>#N/A</v>
      </c>
      <c r="AY59" s="93" t="e">
        <f>VLOOKUP(AW59,$U$5:$AJ$104,$AY$2+7,FALSE)</f>
        <v>#N/A</v>
      </c>
      <c r="AZ59" s="58" t="e">
        <f>VLOOKUP(AX59,$U$5:$AJ$104,$AY$2+11,FALSE)</f>
        <v>#N/A</v>
      </c>
      <c r="BB59" s="120">
        <v>55</v>
      </c>
      <c r="BC59" s="58" t="e">
        <f>VLOOKUP(BB59,$W$5:$AJ$104,$BD$2,FALSE)</f>
        <v>#N/A</v>
      </c>
      <c r="BD59" s="93" t="e">
        <f>VLOOKUP(BB59,$W$5:$AJ$104,$BD$2+5,FALSE)</f>
        <v>#N/A</v>
      </c>
      <c r="BE59" s="58" t="e">
        <f>VLOOKUP(BC59,$W$5:$AJ$104,$BD$2+10,FALSE)</f>
        <v>#N/A</v>
      </c>
      <c r="BF59" s="75"/>
      <c r="BG59" s="120">
        <v>55</v>
      </c>
      <c r="BH59" s="58" t="e">
        <f>VLOOKUP(BG59,$Y$5:$AJ$104,$BI$2,FALSE)</f>
        <v>#N/A</v>
      </c>
      <c r="BI59" s="93" t="e">
        <f>VLOOKUP(BG59,$Y$5:$AJ$104,$BI$2+3,FALSE)</f>
        <v>#N/A</v>
      </c>
      <c r="BJ59" s="58" t="e">
        <f>VLOOKUP(BH59,$Y$5:$AJ$104,$BI$2+9,FALSE)</f>
        <v>#N/A</v>
      </c>
      <c r="BL59" s="120">
        <v>55</v>
      </c>
      <c r="BM59" s="58" t="e">
        <f>VLOOKUP(BL59,$AA$5:$AJ$104,$BN$2,FALSE)</f>
        <v>#N/A</v>
      </c>
      <c r="BN59" s="93" t="e">
        <f>VLOOKUP(BL59,$AA$5:$AJ$104,$BN$2+1,FALSE)</f>
        <v>#N/A</v>
      </c>
      <c r="BO59" s="58" t="e">
        <f>VLOOKUP(BM59,$AA$5:$AJ$104,$BN$2+8,FALSE)</f>
        <v>#N/A</v>
      </c>
      <c r="BQ59" s="2" t="e">
        <f>'Eclectic C'!CD59</f>
        <v>#N/A</v>
      </c>
      <c r="BR59" s="6" t="e">
        <f>'Eclectic C'!CE59</f>
        <v>#N/A</v>
      </c>
      <c r="BS59" s="103" t="e">
        <f>'Eclectic C'!CF59</f>
        <v>#N/A</v>
      </c>
    </row>
    <row r="60" spans="1:71">
      <c r="A60" s="10" t="str">
        <f>IF(ISBLANK(Players!K58),"",Players!K58)</f>
        <v/>
      </c>
      <c r="B60" s="10" t="str">
        <f>IF(ISBLANK(Players!L58),"",Players!L58)</f>
        <v/>
      </c>
      <c r="C60" s="10" t="str">
        <f>IF(ISBLANK(Players!N58),"",Players!N58)</f>
        <v/>
      </c>
      <c r="D60" s="126" t="str">
        <f>IF(ISNUMBER(C60),MIN((C60*Rules!$N$14/113)+(Rules!$N$13-Rules!$N$12),Rules!$N$37),"-")</f>
        <v>-</v>
      </c>
      <c r="E60" s="126" t="str">
        <f>IF(ISNUMBER(C60),    ROUND( (D60*Rules!$N$11) / 100,0),"-")</f>
        <v>-</v>
      </c>
      <c r="F60" s="36" t="str">
        <f>IF(AND(ISNUMBER(C60),C60&gt;=Rules!$M$24,C60&lt;=Rules!$N$24),"Y","N")</f>
        <v>N</v>
      </c>
      <c r="G60" s="137" t="str">
        <f>'Eclectic C'!M60</f>
        <v>-</v>
      </c>
      <c r="H60" s="137" t="str">
        <f>'Eclectic C'!W60</f>
        <v>-</v>
      </c>
      <c r="I60" s="137" t="str">
        <f>'Eclectic C'!AJ60</f>
        <v>-</v>
      </c>
      <c r="J60" s="137" t="str">
        <f>'Eclectic C'!AT60</f>
        <v>-</v>
      </c>
      <c r="K60" s="14" t="str">
        <f t="shared" si="1"/>
        <v>-</v>
      </c>
      <c r="L60" s="14" t="str">
        <f t="shared" si="2"/>
        <v>-</v>
      </c>
      <c r="M60" s="14" t="str">
        <f t="shared" si="3"/>
        <v>-</v>
      </c>
      <c r="N60" s="14" t="str">
        <f t="shared" si="4"/>
        <v>-</v>
      </c>
      <c r="O60" s="14" t="str">
        <f t="shared" si="5"/>
        <v>-</v>
      </c>
      <c r="P60" s="14" t="str">
        <f t="shared" si="6"/>
        <v>-</v>
      </c>
      <c r="Q60" s="108" t="e">
        <f>RANK($K60,$K$5:$K$104,1)+COUNTIF(K$5:K60,K60)-1</f>
        <v>#VALUE!</v>
      </c>
      <c r="R60" s="108" t="e">
        <f t="shared" si="7"/>
        <v>#VALUE!</v>
      </c>
      <c r="S60" s="108" t="e">
        <f>RANK($L60,$L$5:$L$104,1)+COUNTIF(L$5:L60,L60)-1</f>
        <v>#VALUE!</v>
      </c>
      <c r="T60" s="108" t="e">
        <f t="shared" si="8"/>
        <v>#VALUE!</v>
      </c>
      <c r="U60" s="108" t="e">
        <f>RANK($M60,$M$5:$M$104,1)+COUNTIF(M$5:M60,M60)-1</f>
        <v>#VALUE!</v>
      </c>
      <c r="V60" s="108" t="e">
        <f t="shared" si="9"/>
        <v>#VALUE!</v>
      </c>
      <c r="W60" s="108" t="e">
        <f>RANK($N60,$N$5:$N$104,1)+COUNTIF(N$5:N60,N60)-1</f>
        <v>#VALUE!</v>
      </c>
      <c r="X60" s="108" t="e">
        <f t="shared" si="10"/>
        <v>#VALUE!</v>
      </c>
      <c r="Y60" s="108" t="e">
        <f>RANK($O60,$O$5:$O$104,1)+COUNTIF(O$5:O60,O60)-1</f>
        <v>#VALUE!</v>
      </c>
      <c r="Z60" s="108" t="e">
        <f t="shared" si="11"/>
        <v>#VALUE!</v>
      </c>
      <c r="AA60" s="108" t="e">
        <f>RANK($P60,$P$5:$P$104,1)+COUNTIF(P$5:P60,P60)-1</f>
        <v>#VALUE!</v>
      </c>
      <c r="AB60" s="108" t="e">
        <f t="shared" si="12"/>
        <v>#VALUE!</v>
      </c>
      <c r="AC60" s="59" t="str">
        <f t="shared" si="13"/>
        <v xml:space="preserve"> </v>
      </c>
      <c r="AD60" s="59" t="str">
        <f t="shared" si="14"/>
        <v>-</v>
      </c>
      <c r="AE60" s="119" t="str">
        <f t="shared" si="18"/>
        <v>-</v>
      </c>
      <c r="AF60" s="119" t="str">
        <f t="shared" si="18"/>
        <v>-</v>
      </c>
      <c r="AG60" s="119" t="str">
        <f t="shared" si="18"/>
        <v>-</v>
      </c>
      <c r="AH60" s="119" t="str">
        <f t="shared" si="17"/>
        <v>-</v>
      </c>
      <c r="AI60" s="119" t="str">
        <f t="shared" si="17"/>
        <v>-</v>
      </c>
      <c r="AJ60" s="119" t="str">
        <f t="shared" si="17"/>
        <v>-</v>
      </c>
      <c r="AM60" s="120">
        <v>56</v>
      </c>
      <c r="AN60" s="58" t="e">
        <f>VLOOKUP(AM60,Q$5:$AJ$104,$AO$2,FALSE)</f>
        <v>#N/A</v>
      </c>
      <c r="AO60" s="93" t="e">
        <f>VLOOKUP(AM60,Q$5:$AJ$104,$AO$2+11,FALSE)</f>
        <v>#N/A</v>
      </c>
      <c r="AP60" s="58" t="e">
        <f t="shared" si="16"/>
        <v>#N/A</v>
      </c>
      <c r="AR60" s="120">
        <v>56</v>
      </c>
      <c r="AS60" s="58" t="e">
        <f>VLOOKUP(AR60,$S$5:$AJ$104,$AT$2,FALSE)</f>
        <v>#N/A</v>
      </c>
      <c r="AT60" s="93" t="e">
        <f>VLOOKUP(AR60,$S$5:$AJ$104,$AT$2+9,FALSE)</f>
        <v>#N/A</v>
      </c>
      <c r="AU60" s="58" t="e">
        <f>VLOOKUP(AS60,$S$5:$AJ$104,$AT$2+12,FALSE)</f>
        <v>#N/A</v>
      </c>
      <c r="AV60" s="75"/>
      <c r="AW60" s="120">
        <v>56</v>
      </c>
      <c r="AX60" s="58" t="e">
        <f>VLOOKUP(AW60,$U$5:$AJ$104,$AY$2,FALSE)</f>
        <v>#N/A</v>
      </c>
      <c r="AY60" s="93" t="e">
        <f>VLOOKUP(AW60,$U$5:$AJ$104,$AY$2+7,FALSE)</f>
        <v>#N/A</v>
      </c>
      <c r="AZ60" s="58" t="e">
        <f>VLOOKUP(AX60,$U$5:$AJ$104,$AY$2+11,FALSE)</f>
        <v>#N/A</v>
      </c>
      <c r="BB60" s="120">
        <v>56</v>
      </c>
      <c r="BC60" s="58" t="e">
        <f>VLOOKUP(BB60,$W$5:$AJ$104,$BD$2,FALSE)</f>
        <v>#N/A</v>
      </c>
      <c r="BD60" s="93" t="e">
        <f>VLOOKUP(BB60,$W$5:$AJ$104,$BD$2+5,FALSE)</f>
        <v>#N/A</v>
      </c>
      <c r="BE60" s="58" t="e">
        <f>VLOOKUP(BC60,$W$5:$AJ$104,$BD$2+10,FALSE)</f>
        <v>#N/A</v>
      </c>
      <c r="BF60" s="75"/>
      <c r="BG60" s="120">
        <v>56</v>
      </c>
      <c r="BH60" s="58" t="e">
        <f>VLOOKUP(BG60,$Y$5:$AJ$104,$BI$2,FALSE)</f>
        <v>#N/A</v>
      </c>
      <c r="BI60" s="93" t="e">
        <f>VLOOKUP(BG60,$Y$5:$AJ$104,$BI$2+3,FALSE)</f>
        <v>#N/A</v>
      </c>
      <c r="BJ60" s="58" t="e">
        <f>VLOOKUP(BH60,$Y$5:$AJ$104,$BI$2+9,FALSE)</f>
        <v>#N/A</v>
      </c>
      <c r="BL60" s="120">
        <v>56</v>
      </c>
      <c r="BM60" s="58" t="e">
        <f>VLOOKUP(BL60,$AA$5:$AJ$104,$BN$2,FALSE)</f>
        <v>#N/A</v>
      </c>
      <c r="BN60" s="93" t="e">
        <f>VLOOKUP(BL60,$AA$5:$AJ$104,$BN$2+1,FALSE)</f>
        <v>#N/A</v>
      </c>
      <c r="BO60" s="58" t="e">
        <f>VLOOKUP(BM60,$AA$5:$AJ$104,$BN$2+8,FALSE)</f>
        <v>#N/A</v>
      </c>
      <c r="BQ60" s="2" t="e">
        <f>'Eclectic C'!CD60</f>
        <v>#N/A</v>
      </c>
      <c r="BR60" s="6" t="e">
        <f>'Eclectic C'!CE60</f>
        <v>#N/A</v>
      </c>
      <c r="BS60" s="103" t="e">
        <f>'Eclectic C'!CF60</f>
        <v>#N/A</v>
      </c>
    </row>
    <row r="61" spans="1:71">
      <c r="A61" s="10" t="str">
        <f>IF(ISBLANK(Players!K59),"",Players!K59)</f>
        <v/>
      </c>
      <c r="B61" s="10" t="str">
        <f>IF(ISBLANK(Players!L59),"",Players!L59)</f>
        <v/>
      </c>
      <c r="C61" s="10" t="str">
        <f>IF(ISBLANK(Players!N59),"",Players!N59)</f>
        <v/>
      </c>
      <c r="D61" s="126" t="str">
        <f>IF(ISNUMBER(C61),MIN((C61*Rules!$N$14/113)+(Rules!$N$13-Rules!$N$12),Rules!$N$37),"-")</f>
        <v>-</v>
      </c>
      <c r="E61" s="126" t="str">
        <f>IF(ISNUMBER(C61),    ROUND( (D61*Rules!$N$11) / 100,0),"-")</f>
        <v>-</v>
      </c>
      <c r="F61" s="36" t="str">
        <f>IF(AND(ISNUMBER(C61),C61&gt;=Rules!$M$24,C61&lt;=Rules!$N$24),"Y","N")</f>
        <v>N</v>
      </c>
      <c r="G61" s="137" t="str">
        <f>'Eclectic C'!M61</f>
        <v>-</v>
      </c>
      <c r="H61" s="137" t="str">
        <f>'Eclectic C'!W61</f>
        <v>-</v>
      </c>
      <c r="I61" s="137" t="str">
        <f>'Eclectic C'!AJ61</f>
        <v>-</v>
      </c>
      <c r="J61" s="137" t="str">
        <f>'Eclectic C'!AT61</f>
        <v>-</v>
      </c>
      <c r="K61" s="14" t="str">
        <f t="shared" si="1"/>
        <v>-</v>
      </c>
      <c r="L61" s="14" t="str">
        <f t="shared" si="2"/>
        <v>-</v>
      </c>
      <c r="M61" s="14" t="str">
        <f t="shared" si="3"/>
        <v>-</v>
      </c>
      <c r="N61" s="14" t="str">
        <f t="shared" si="4"/>
        <v>-</v>
      </c>
      <c r="O61" s="14" t="str">
        <f t="shared" si="5"/>
        <v>-</v>
      </c>
      <c r="P61" s="14" t="str">
        <f t="shared" si="6"/>
        <v>-</v>
      </c>
      <c r="Q61" s="108" t="e">
        <f>RANK($K61,$K$5:$K$104,1)+COUNTIF(K$5:K61,K61)-1</f>
        <v>#VALUE!</v>
      </c>
      <c r="R61" s="108" t="e">
        <f t="shared" si="7"/>
        <v>#VALUE!</v>
      </c>
      <c r="S61" s="108" t="e">
        <f>RANK($L61,$L$5:$L$104,1)+COUNTIF(L$5:L61,L61)-1</f>
        <v>#VALUE!</v>
      </c>
      <c r="T61" s="108" t="e">
        <f t="shared" si="8"/>
        <v>#VALUE!</v>
      </c>
      <c r="U61" s="108" t="e">
        <f>RANK($M61,$M$5:$M$104,1)+COUNTIF(M$5:M61,M61)-1</f>
        <v>#VALUE!</v>
      </c>
      <c r="V61" s="108" t="e">
        <f t="shared" si="9"/>
        <v>#VALUE!</v>
      </c>
      <c r="W61" s="108" t="e">
        <f>RANK($N61,$N$5:$N$104,1)+COUNTIF(N$5:N61,N61)-1</f>
        <v>#VALUE!</v>
      </c>
      <c r="X61" s="108" t="e">
        <f t="shared" si="10"/>
        <v>#VALUE!</v>
      </c>
      <c r="Y61" s="108" t="e">
        <f>RANK($O61,$O$5:$O$104,1)+COUNTIF(O$5:O61,O61)-1</f>
        <v>#VALUE!</v>
      </c>
      <c r="Z61" s="108" t="e">
        <f t="shared" si="11"/>
        <v>#VALUE!</v>
      </c>
      <c r="AA61" s="108" t="e">
        <f>RANK($P61,$P$5:$P$104,1)+COUNTIF(P$5:P61,P61)-1</f>
        <v>#VALUE!</v>
      </c>
      <c r="AB61" s="108" t="e">
        <f t="shared" si="12"/>
        <v>#VALUE!</v>
      </c>
      <c r="AC61" s="59" t="str">
        <f t="shared" si="13"/>
        <v xml:space="preserve"> </v>
      </c>
      <c r="AD61" s="59" t="str">
        <f t="shared" si="14"/>
        <v>-</v>
      </c>
      <c r="AE61" s="119" t="str">
        <f t="shared" si="18"/>
        <v>-</v>
      </c>
      <c r="AF61" s="119" t="str">
        <f t="shared" si="18"/>
        <v>-</v>
      </c>
      <c r="AG61" s="119" t="str">
        <f t="shared" si="18"/>
        <v>-</v>
      </c>
      <c r="AH61" s="119" t="str">
        <f t="shared" si="17"/>
        <v>-</v>
      </c>
      <c r="AI61" s="119" t="str">
        <f t="shared" si="17"/>
        <v>-</v>
      </c>
      <c r="AJ61" s="119" t="str">
        <f t="shared" si="17"/>
        <v>-</v>
      </c>
      <c r="AM61" s="120">
        <v>57</v>
      </c>
      <c r="AN61" s="58" t="e">
        <f>VLOOKUP(AM61,Q$5:$AJ$104,$AO$2,FALSE)</f>
        <v>#N/A</v>
      </c>
      <c r="AO61" s="93" t="e">
        <f>VLOOKUP(AM61,Q$5:$AJ$104,$AO$2+11,FALSE)</f>
        <v>#N/A</v>
      </c>
      <c r="AP61" s="58" t="e">
        <f t="shared" si="16"/>
        <v>#N/A</v>
      </c>
      <c r="AR61" s="120">
        <v>57</v>
      </c>
      <c r="AS61" s="58" t="e">
        <f>VLOOKUP(AR61,$S$5:$AJ$104,$AT$2,FALSE)</f>
        <v>#N/A</v>
      </c>
      <c r="AT61" s="93" t="e">
        <f>VLOOKUP(AR61,$S$5:$AJ$104,$AT$2+9,FALSE)</f>
        <v>#N/A</v>
      </c>
      <c r="AU61" s="58" t="e">
        <f>VLOOKUP(AS61,$S$5:$AJ$104,$AT$2+12,FALSE)</f>
        <v>#N/A</v>
      </c>
      <c r="AV61" s="75"/>
      <c r="AW61" s="120">
        <v>57</v>
      </c>
      <c r="AX61" s="58" t="e">
        <f>VLOOKUP(AW61,$U$5:$AJ$104,$AY$2,FALSE)</f>
        <v>#N/A</v>
      </c>
      <c r="AY61" s="93" t="e">
        <f>VLOOKUP(AW61,$U$5:$AJ$104,$AY$2+7,FALSE)</f>
        <v>#N/A</v>
      </c>
      <c r="AZ61" s="58" t="e">
        <f>VLOOKUP(AX61,$U$5:$AJ$104,$AY$2+11,FALSE)</f>
        <v>#N/A</v>
      </c>
      <c r="BB61" s="120">
        <v>57</v>
      </c>
      <c r="BC61" s="58" t="e">
        <f>VLOOKUP(BB61,$W$5:$AJ$104,$BD$2,FALSE)</f>
        <v>#N/A</v>
      </c>
      <c r="BD61" s="93" t="e">
        <f>VLOOKUP(BB61,$W$5:$AJ$104,$BD$2+5,FALSE)</f>
        <v>#N/A</v>
      </c>
      <c r="BE61" s="58" t="e">
        <f>VLOOKUP(BC61,$W$5:$AJ$104,$BD$2+10,FALSE)</f>
        <v>#N/A</v>
      </c>
      <c r="BF61" s="75"/>
      <c r="BG61" s="120">
        <v>57</v>
      </c>
      <c r="BH61" s="58" t="e">
        <f>VLOOKUP(BG61,$Y$5:$AJ$104,$BI$2,FALSE)</f>
        <v>#N/A</v>
      </c>
      <c r="BI61" s="93" t="e">
        <f>VLOOKUP(BG61,$Y$5:$AJ$104,$BI$2+3,FALSE)</f>
        <v>#N/A</v>
      </c>
      <c r="BJ61" s="58" t="e">
        <f>VLOOKUP(BH61,$Y$5:$AJ$104,$BI$2+9,FALSE)</f>
        <v>#N/A</v>
      </c>
      <c r="BL61" s="120">
        <v>57</v>
      </c>
      <c r="BM61" s="58" t="e">
        <f>VLOOKUP(BL61,$AA$5:$AJ$104,$BN$2,FALSE)</f>
        <v>#N/A</v>
      </c>
      <c r="BN61" s="93" t="e">
        <f>VLOOKUP(BL61,$AA$5:$AJ$104,$BN$2+1,FALSE)</f>
        <v>#N/A</v>
      </c>
      <c r="BO61" s="58" t="e">
        <f>VLOOKUP(BM61,$AA$5:$AJ$104,$BN$2+8,FALSE)</f>
        <v>#N/A</v>
      </c>
      <c r="BQ61" s="2" t="e">
        <f>'Eclectic C'!CD61</f>
        <v>#N/A</v>
      </c>
      <c r="BR61" s="6" t="e">
        <f>'Eclectic C'!CE61</f>
        <v>#N/A</v>
      </c>
      <c r="BS61" s="103" t="e">
        <f>'Eclectic C'!CF61</f>
        <v>#N/A</v>
      </c>
    </row>
    <row r="62" spans="1:71">
      <c r="A62" s="10" t="str">
        <f>IF(ISBLANK(Players!K60),"",Players!K60)</f>
        <v/>
      </c>
      <c r="B62" s="10" t="str">
        <f>IF(ISBLANK(Players!L60),"",Players!L60)</f>
        <v/>
      </c>
      <c r="C62" s="10" t="str">
        <f>IF(ISBLANK(Players!N60),"",Players!N60)</f>
        <v/>
      </c>
      <c r="D62" s="126" t="str">
        <f>IF(ISNUMBER(C62),MIN((C62*Rules!$N$14/113)+(Rules!$N$13-Rules!$N$12),Rules!$N$37),"-")</f>
        <v>-</v>
      </c>
      <c r="E62" s="126" t="str">
        <f>IF(ISNUMBER(C62),    ROUND( (D62*Rules!$N$11) / 100,0),"-")</f>
        <v>-</v>
      </c>
      <c r="F62" s="36" t="str">
        <f>IF(AND(ISNUMBER(C62),C62&gt;=Rules!$M$24,C62&lt;=Rules!$N$24),"Y","N")</f>
        <v>N</v>
      </c>
      <c r="G62" s="137" t="str">
        <f>'Eclectic C'!M62</f>
        <v>-</v>
      </c>
      <c r="H62" s="137" t="str">
        <f>'Eclectic C'!W62</f>
        <v>-</v>
      </c>
      <c r="I62" s="137" t="str">
        <f>'Eclectic C'!AJ62</f>
        <v>-</v>
      </c>
      <c r="J62" s="137" t="str">
        <f>'Eclectic C'!AT62</f>
        <v>-</v>
      </c>
      <c r="K62" s="14" t="str">
        <f t="shared" si="1"/>
        <v>-</v>
      </c>
      <c r="L62" s="14" t="str">
        <f t="shared" si="2"/>
        <v>-</v>
      </c>
      <c r="M62" s="14" t="str">
        <f t="shared" si="3"/>
        <v>-</v>
      </c>
      <c r="N62" s="14" t="str">
        <f t="shared" si="4"/>
        <v>-</v>
      </c>
      <c r="O62" s="14" t="str">
        <f t="shared" si="5"/>
        <v>-</v>
      </c>
      <c r="P62" s="14" t="str">
        <f t="shared" si="6"/>
        <v>-</v>
      </c>
      <c r="Q62" s="108" t="e">
        <f>RANK($K62,$K$5:$K$104,1)+COUNTIF(K$5:K62,K62)-1</f>
        <v>#VALUE!</v>
      </c>
      <c r="R62" s="108" t="e">
        <f t="shared" si="7"/>
        <v>#VALUE!</v>
      </c>
      <c r="S62" s="108" t="e">
        <f>RANK($L62,$L$5:$L$104,1)+COUNTIF(L$5:L62,L62)-1</f>
        <v>#VALUE!</v>
      </c>
      <c r="T62" s="108" t="e">
        <f t="shared" si="8"/>
        <v>#VALUE!</v>
      </c>
      <c r="U62" s="108" t="e">
        <f>RANK($M62,$M$5:$M$104,1)+COUNTIF(M$5:M62,M62)-1</f>
        <v>#VALUE!</v>
      </c>
      <c r="V62" s="108" t="e">
        <f t="shared" si="9"/>
        <v>#VALUE!</v>
      </c>
      <c r="W62" s="108" t="e">
        <f>RANK($N62,$N$5:$N$104,1)+COUNTIF(N$5:N62,N62)-1</f>
        <v>#VALUE!</v>
      </c>
      <c r="X62" s="108" t="e">
        <f t="shared" si="10"/>
        <v>#VALUE!</v>
      </c>
      <c r="Y62" s="108" t="e">
        <f>RANK($O62,$O$5:$O$104,1)+COUNTIF(O$5:O62,O62)-1</f>
        <v>#VALUE!</v>
      </c>
      <c r="Z62" s="108" t="e">
        <f t="shared" si="11"/>
        <v>#VALUE!</v>
      </c>
      <c r="AA62" s="108" t="e">
        <f>RANK($P62,$P$5:$P$104,1)+COUNTIF(P$5:P62,P62)-1</f>
        <v>#VALUE!</v>
      </c>
      <c r="AB62" s="108" t="e">
        <f t="shared" si="12"/>
        <v>#VALUE!</v>
      </c>
      <c r="AC62" s="59" t="str">
        <f t="shared" si="13"/>
        <v xml:space="preserve"> </v>
      </c>
      <c r="AD62" s="59" t="str">
        <f t="shared" si="14"/>
        <v>-</v>
      </c>
      <c r="AE62" s="119" t="str">
        <f t="shared" si="18"/>
        <v>-</v>
      </c>
      <c r="AF62" s="119" t="str">
        <f t="shared" si="18"/>
        <v>-</v>
      </c>
      <c r="AG62" s="119" t="str">
        <f t="shared" si="18"/>
        <v>-</v>
      </c>
      <c r="AH62" s="119" t="str">
        <f t="shared" si="17"/>
        <v>-</v>
      </c>
      <c r="AI62" s="119" t="str">
        <f t="shared" si="17"/>
        <v>-</v>
      </c>
      <c r="AJ62" s="119" t="str">
        <f t="shared" si="17"/>
        <v>-</v>
      </c>
      <c r="AM62" s="120">
        <v>58</v>
      </c>
      <c r="AN62" s="58" t="e">
        <f>VLOOKUP(AM62,Q$5:$AJ$104,$AO$2,FALSE)</f>
        <v>#N/A</v>
      </c>
      <c r="AO62" s="93" t="e">
        <f>VLOOKUP(AM62,Q$5:$AJ$104,$AO$2+11,FALSE)</f>
        <v>#N/A</v>
      </c>
      <c r="AP62" s="58" t="e">
        <f t="shared" si="16"/>
        <v>#N/A</v>
      </c>
      <c r="AR62" s="120">
        <v>58</v>
      </c>
      <c r="AS62" s="58" t="e">
        <f>VLOOKUP(AR62,$S$5:$AJ$104,$AT$2,FALSE)</f>
        <v>#N/A</v>
      </c>
      <c r="AT62" s="93" t="e">
        <f>VLOOKUP(AR62,$S$5:$AJ$104,$AT$2+9,FALSE)</f>
        <v>#N/A</v>
      </c>
      <c r="AU62" s="58" t="e">
        <f>VLOOKUP(AS62,$S$5:$AJ$104,$AT$2+12,FALSE)</f>
        <v>#N/A</v>
      </c>
      <c r="AV62" s="75"/>
      <c r="AW62" s="120">
        <v>58</v>
      </c>
      <c r="AX62" s="58" t="e">
        <f>VLOOKUP(AW62,$U$5:$AJ$104,$AY$2,FALSE)</f>
        <v>#N/A</v>
      </c>
      <c r="AY62" s="93" t="e">
        <f>VLOOKUP(AW62,$U$5:$AJ$104,$AY$2+7,FALSE)</f>
        <v>#N/A</v>
      </c>
      <c r="AZ62" s="58" t="e">
        <f>VLOOKUP(AX62,$U$5:$AJ$104,$AY$2+11,FALSE)</f>
        <v>#N/A</v>
      </c>
      <c r="BB62" s="120">
        <v>58</v>
      </c>
      <c r="BC62" s="58" t="e">
        <f>VLOOKUP(BB62,$W$5:$AJ$104,$BD$2,FALSE)</f>
        <v>#N/A</v>
      </c>
      <c r="BD62" s="93" t="e">
        <f>VLOOKUP(BB62,$W$5:$AJ$104,$BD$2+5,FALSE)</f>
        <v>#N/A</v>
      </c>
      <c r="BE62" s="58" t="e">
        <f>VLOOKUP(BC62,$W$5:$AJ$104,$BD$2+10,FALSE)</f>
        <v>#N/A</v>
      </c>
      <c r="BF62" s="75"/>
      <c r="BG62" s="120">
        <v>58</v>
      </c>
      <c r="BH62" s="58" t="e">
        <f>VLOOKUP(BG62,$Y$5:$AJ$104,$BI$2,FALSE)</f>
        <v>#N/A</v>
      </c>
      <c r="BI62" s="93" t="e">
        <f>VLOOKUP(BG62,$Y$5:$AJ$104,$BI$2+3,FALSE)</f>
        <v>#N/A</v>
      </c>
      <c r="BJ62" s="58" t="e">
        <f>VLOOKUP(BH62,$Y$5:$AJ$104,$BI$2+9,FALSE)</f>
        <v>#N/A</v>
      </c>
      <c r="BL62" s="120">
        <v>58</v>
      </c>
      <c r="BM62" s="58" t="e">
        <f>VLOOKUP(BL62,$AA$5:$AJ$104,$BN$2,FALSE)</f>
        <v>#N/A</v>
      </c>
      <c r="BN62" s="93" t="e">
        <f>VLOOKUP(BL62,$AA$5:$AJ$104,$BN$2+1,FALSE)</f>
        <v>#N/A</v>
      </c>
      <c r="BO62" s="58" t="e">
        <f>VLOOKUP(BM62,$AA$5:$AJ$104,$BN$2+8,FALSE)</f>
        <v>#N/A</v>
      </c>
      <c r="BQ62" s="2" t="e">
        <f>'Eclectic C'!CD62</f>
        <v>#N/A</v>
      </c>
      <c r="BR62" s="6" t="e">
        <f>'Eclectic C'!CE62</f>
        <v>#N/A</v>
      </c>
      <c r="BS62" s="103" t="e">
        <f>'Eclectic C'!CF62</f>
        <v>#N/A</v>
      </c>
    </row>
    <row r="63" spans="1:71">
      <c r="A63" s="10" t="str">
        <f>IF(ISBLANK(Players!K61),"",Players!K61)</f>
        <v/>
      </c>
      <c r="B63" s="10" t="str">
        <f>IF(ISBLANK(Players!L61),"",Players!L61)</f>
        <v/>
      </c>
      <c r="C63" s="10" t="str">
        <f>IF(ISBLANK(Players!N61),"",Players!N61)</f>
        <v/>
      </c>
      <c r="D63" s="126" t="str">
        <f>IF(ISNUMBER(C63),MIN((C63*Rules!$N$14/113)+(Rules!$N$13-Rules!$N$12),Rules!$N$37),"-")</f>
        <v>-</v>
      </c>
      <c r="E63" s="126" t="str">
        <f>IF(ISNUMBER(C63),    ROUND( (D63*Rules!$N$11) / 100,0),"-")</f>
        <v>-</v>
      </c>
      <c r="F63" s="36" t="str">
        <f>IF(AND(ISNUMBER(C63),C63&gt;=Rules!$M$24,C63&lt;=Rules!$N$24),"Y","N")</f>
        <v>N</v>
      </c>
      <c r="G63" s="137" t="str">
        <f>'Eclectic C'!M63</f>
        <v>-</v>
      </c>
      <c r="H63" s="137" t="str">
        <f>'Eclectic C'!W63</f>
        <v>-</v>
      </c>
      <c r="I63" s="137" t="str">
        <f>'Eclectic C'!AJ63</f>
        <v>-</v>
      </c>
      <c r="J63" s="137" t="str">
        <f>'Eclectic C'!AT63</f>
        <v>-</v>
      </c>
      <c r="K63" s="14" t="str">
        <f t="shared" si="1"/>
        <v>-</v>
      </c>
      <c r="L63" s="14" t="str">
        <f t="shared" si="2"/>
        <v>-</v>
      </c>
      <c r="M63" s="14" t="str">
        <f t="shared" si="3"/>
        <v>-</v>
      </c>
      <c r="N63" s="14" t="str">
        <f t="shared" si="4"/>
        <v>-</v>
      </c>
      <c r="O63" s="14" t="str">
        <f t="shared" si="5"/>
        <v>-</v>
      </c>
      <c r="P63" s="14" t="str">
        <f t="shared" si="6"/>
        <v>-</v>
      </c>
      <c r="Q63" s="108" t="e">
        <f>RANK($K63,$K$5:$K$104,1)+COUNTIF(K$5:K63,K63)-1</f>
        <v>#VALUE!</v>
      </c>
      <c r="R63" s="108" t="e">
        <f t="shared" si="7"/>
        <v>#VALUE!</v>
      </c>
      <c r="S63" s="108" t="e">
        <f>RANK($L63,$L$5:$L$104,1)+COUNTIF(L$5:L63,L63)-1</f>
        <v>#VALUE!</v>
      </c>
      <c r="T63" s="108" t="e">
        <f t="shared" si="8"/>
        <v>#VALUE!</v>
      </c>
      <c r="U63" s="108" t="e">
        <f>RANK($M63,$M$5:$M$104,1)+COUNTIF(M$5:M63,M63)-1</f>
        <v>#VALUE!</v>
      </c>
      <c r="V63" s="108" t="e">
        <f t="shared" si="9"/>
        <v>#VALUE!</v>
      </c>
      <c r="W63" s="108" t="e">
        <f>RANK($N63,$N$5:$N$104,1)+COUNTIF(N$5:N63,N63)-1</f>
        <v>#VALUE!</v>
      </c>
      <c r="X63" s="108" t="e">
        <f t="shared" si="10"/>
        <v>#VALUE!</v>
      </c>
      <c r="Y63" s="108" t="e">
        <f>RANK($O63,$O$5:$O$104,1)+COUNTIF(O$5:O63,O63)-1</f>
        <v>#VALUE!</v>
      </c>
      <c r="Z63" s="108" t="e">
        <f t="shared" si="11"/>
        <v>#VALUE!</v>
      </c>
      <c r="AA63" s="108" t="e">
        <f>RANK($P63,$P$5:$P$104,1)+COUNTIF(P$5:P63,P63)-1</f>
        <v>#VALUE!</v>
      </c>
      <c r="AB63" s="108" t="e">
        <f t="shared" si="12"/>
        <v>#VALUE!</v>
      </c>
      <c r="AC63" s="59" t="str">
        <f t="shared" si="13"/>
        <v xml:space="preserve"> </v>
      </c>
      <c r="AD63" s="59" t="str">
        <f t="shared" si="14"/>
        <v>-</v>
      </c>
      <c r="AE63" s="119" t="str">
        <f t="shared" si="18"/>
        <v>-</v>
      </c>
      <c r="AF63" s="119" t="str">
        <f t="shared" si="18"/>
        <v>-</v>
      </c>
      <c r="AG63" s="119" t="str">
        <f t="shared" si="18"/>
        <v>-</v>
      </c>
      <c r="AH63" s="119" t="str">
        <f t="shared" si="17"/>
        <v>-</v>
      </c>
      <c r="AI63" s="119" t="str">
        <f t="shared" si="17"/>
        <v>-</v>
      </c>
      <c r="AJ63" s="119" t="str">
        <f t="shared" si="17"/>
        <v>-</v>
      </c>
      <c r="AM63" s="120">
        <v>59</v>
      </c>
      <c r="AN63" s="58" t="e">
        <f>VLOOKUP(AM63,Q$5:$AJ$104,$AO$2,FALSE)</f>
        <v>#N/A</v>
      </c>
      <c r="AO63" s="93" t="e">
        <f>VLOOKUP(AM63,Q$5:$AJ$104,$AO$2+11,FALSE)</f>
        <v>#N/A</v>
      </c>
      <c r="AP63" s="58" t="e">
        <f t="shared" si="16"/>
        <v>#N/A</v>
      </c>
      <c r="AR63" s="120">
        <v>59</v>
      </c>
      <c r="AS63" s="58" t="e">
        <f>VLOOKUP(AR63,$S$5:$AJ$104,$AT$2,FALSE)</f>
        <v>#N/A</v>
      </c>
      <c r="AT63" s="93" t="e">
        <f>VLOOKUP(AR63,$S$5:$AJ$104,$AT$2+9,FALSE)</f>
        <v>#N/A</v>
      </c>
      <c r="AU63" s="58" t="e">
        <f>VLOOKUP(AS63,$S$5:$AJ$104,$AT$2+12,FALSE)</f>
        <v>#N/A</v>
      </c>
      <c r="AV63" s="75"/>
      <c r="AW63" s="120">
        <v>59</v>
      </c>
      <c r="AX63" s="58" t="e">
        <f>VLOOKUP(AW63,$U$5:$AJ$104,$AY$2,FALSE)</f>
        <v>#N/A</v>
      </c>
      <c r="AY63" s="93" t="e">
        <f>VLOOKUP(AW63,$U$5:$AJ$104,$AY$2+7,FALSE)</f>
        <v>#N/A</v>
      </c>
      <c r="AZ63" s="58" t="e">
        <f>VLOOKUP(AX63,$U$5:$AJ$104,$AY$2+11,FALSE)</f>
        <v>#N/A</v>
      </c>
      <c r="BB63" s="120">
        <v>59</v>
      </c>
      <c r="BC63" s="58" t="e">
        <f>VLOOKUP(BB63,$W$5:$AJ$104,$BD$2,FALSE)</f>
        <v>#N/A</v>
      </c>
      <c r="BD63" s="93" t="e">
        <f>VLOOKUP(BB63,$W$5:$AJ$104,$BD$2+5,FALSE)</f>
        <v>#N/A</v>
      </c>
      <c r="BE63" s="58" t="e">
        <f>VLOOKUP(BC63,$W$5:$AJ$104,$BD$2+10,FALSE)</f>
        <v>#N/A</v>
      </c>
      <c r="BF63" s="75"/>
      <c r="BG63" s="120">
        <v>59</v>
      </c>
      <c r="BH63" s="58" t="e">
        <f>VLOOKUP(BG63,$Y$5:$AJ$104,$BI$2,FALSE)</f>
        <v>#N/A</v>
      </c>
      <c r="BI63" s="93" t="e">
        <f>VLOOKUP(BG63,$Y$5:$AJ$104,$BI$2+3,FALSE)</f>
        <v>#N/A</v>
      </c>
      <c r="BJ63" s="58" t="e">
        <f>VLOOKUP(BH63,$Y$5:$AJ$104,$BI$2+9,FALSE)</f>
        <v>#N/A</v>
      </c>
      <c r="BL63" s="120">
        <v>59</v>
      </c>
      <c r="BM63" s="58" t="e">
        <f>VLOOKUP(BL63,$AA$5:$AJ$104,$BN$2,FALSE)</f>
        <v>#N/A</v>
      </c>
      <c r="BN63" s="93" t="e">
        <f>VLOOKUP(BL63,$AA$5:$AJ$104,$BN$2+1,FALSE)</f>
        <v>#N/A</v>
      </c>
      <c r="BO63" s="58" t="e">
        <f>VLOOKUP(BM63,$AA$5:$AJ$104,$BN$2+8,FALSE)</f>
        <v>#N/A</v>
      </c>
      <c r="BQ63" s="2" t="e">
        <f>'Eclectic C'!CD63</f>
        <v>#N/A</v>
      </c>
      <c r="BR63" s="6" t="e">
        <f>'Eclectic C'!CE63</f>
        <v>#N/A</v>
      </c>
      <c r="BS63" s="103" t="e">
        <f>'Eclectic C'!CF63</f>
        <v>#N/A</v>
      </c>
    </row>
    <row r="64" spans="1:71">
      <c r="A64" s="10" t="str">
        <f>IF(ISBLANK(Players!K62),"",Players!K62)</f>
        <v/>
      </c>
      <c r="B64" s="10" t="str">
        <f>IF(ISBLANK(Players!L62),"",Players!L62)</f>
        <v/>
      </c>
      <c r="C64" s="10" t="str">
        <f>IF(ISBLANK(Players!N62),"",Players!N62)</f>
        <v/>
      </c>
      <c r="D64" s="126" t="str">
        <f>IF(ISNUMBER(C64),MIN((C64*Rules!$N$14/113)+(Rules!$N$13-Rules!$N$12),Rules!$N$37),"-")</f>
        <v>-</v>
      </c>
      <c r="E64" s="126" t="str">
        <f>IF(ISNUMBER(C64),    ROUND( (D64*Rules!$N$11) / 100,0),"-")</f>
        <v>-</v>
      </c>
      <c r="F64" s="36" t="str">
        <f>IF(AND(ISNUMBER(C64),C64&gt;=Rules!$M$24,C64&lt;=Rules!$N$24),"Y","N")</f>
        <v>N</v>
      </c>
      <c r="G64" s="137" t="str">
        <f>'Eclectic C'!M64</f>
        <v>-</v>
      </c>
      <c r="H64" s="137" t="str">
        <f>'Eclectic C'!W64</f>
        <v>-</v>
      </c>
      <c r="I64" s="137" t="str">
        <f>'Eclectic C'!AJ64</f>
        <v>-</v>
      </c>
      <c r="J64" s="137" t="str">
        <f>'Eclectic C'!AT64</f>
        <v>-</v>
      </c>
      <c r="K64" s="14" t="str">
        <f t="shared" si="1"/>
        <v>-</v>
      </c>
      <c r="L64" s="14" t="str">
        <f t="shared" si="2"/>
        <v>-</v>
      </c>
      <c r="M64" s="14" t="str">
        <f t="shared" si="3"/>
        <v>-</v>
      </c>
      <c r="N64" s="14" t="str">
        <f t="shared" si="4"/>
        <v>-</v>
      </c>
      <c r="O64" s="14" t="str">
        <f t="shared" si="5"/>
        <v>-</v>
      </c>
      <c r="P64" s="14" t="str">
        <f t="shared" si="6"/>
        <v>-</v>
      </c>
      <c r="Q64" s="108" t="e">
        <f>RANK($K64,$K$5:$K$104,1)+COUNTIF(K$5:K64,K64)-1</f>
        <v>#VALUE!</v>
      </c>
      <c r="R64" s="108" t="e">
        <f t="shared" si="7"/>
        <v>#VALUE!</v>
      </c>
      <c r="S64" s="108" t="e">
        <f>RANK($L64,$L$5:$L$104,1)+COUNTIF(L$5:L64,L64)-1</f>
        <v>#VALUE!</v>
      </c>
      <c r="T64" s="108" t="e">
        <f t="shared" si="8"/>
        <v>#VALUE!</v>
      </c>
      <c r="U64" s="108" t="e">
        <f>RANK($M64,$M$5:$M$104,1)+COUNTIF(M$5:M64,M64)-1</f>
        <v>#VALUE!</v>
      </c>
      <c r="V64" s="108" t="e">
        <f t="shared" si="9"/>
        <v>#VALUE!</v>
      </c>
      <c r="W64" s="108" t="e">
        <f>RANK($N64,$N$5:$N$104,1)+COUNTIF(N$5:N64,N64)-1</f>
        <v>#VALUE!</v>
      </c>
      <c r="X64" s="108" t="e">
        <f t="shared" si="10"/>
        <v>#VALUE!</v>
      </c>
      <c r="Y64" s="108" t="e">
        <f>RANK($O64,$O$5:$O$104,1)+COUNTIF(O$5:O64,O64)-1</f>
        <v>#VALUE!</v>
      </c>
      <c r="Z64" s="108" t="e">
        <f t="shared" si="11"/>
        <v>#VALUE!</v>
      </c>
      <c r="AA64" s="108" t="e">
        <f>RANK($P64,$P$5:$P$104,1)+COUNTIF(P$5:P64,P64)-1</f>
        <v>#VALUE!</v>
      </c>
      <c r="AB64" s="108" t="e">
        <f t="shared" si="12"/>
        <v>#VALUE!</v>
      </c>
      <c r="AC64" s="59" t="str">
        <f t="shared" si="13"/>
        <v xml:space="preserve"> </v>
      </c>
      <c r="AD64" s="59" t="str">
        <f t="shared" si="14"/>
        <v>-</v>
      </c>
      <c r="AE64" s="119" t="str">
        <f t="shared" si="18"/>
        <v>-</v>
      </c>
      <c r="AF64" s="119" t="str">
        <f t="shared" si="18"/>
        <v>-</v>
      </c>
      <c r="AG64" s="119" t="str">
        <f t="shared" si="18"/>
        <v>-</v>
      </c>
      <c r="AH64" s="119" t="str">
        <f t="shared" si="17"/>
        <v>-</v>
      </c>
      <c r="AI64" s="119" t="str">
        <f t="shared" si="17"/>
        <v>-</v>
      </c>
      <c r="AJ64" s="119" t="str">
        <f t="shared" si="17"/>
        <v>-</v>
      </c>
      <c r="AM64" s="120">
        <v>60</v>
      </c>
      <c r="AN64" s="58" t="e">
        <f>VLOOKUP(AM64,Q$5:$AJ$104,$AO$2,FALSE)</f>
        <v>#N/A</v>
      </c>
      <c r="AO64" s="93" t="e">
        <f>VLOOKUP(AM64,Q$5:$AJ$104,$AO$2+11,FALSE)</f>
        <v>#N/A</v>
      </c>
      <c r="AP64" s="58" t="e">
        <f t="shared" si="16"/>
        <v>#N/A</v>
      </c>
      <c r="AR64" s="120">
        <v>60</v>
      </c>
      <c r="AS64" s="58" t="e">
        <f>VLOOKUP(AR64,$S$5:$AJ$104,$AT$2,FALSE)</f>
        <v>#N/A</v>
      </c>
      <c r="AT64" s="93" t="e">
        <f>VLOOKUP(AR64,$S$5:$AJ$104,$AT$2+9,FALSE)</f>
        <v>#N/A</v>
      </c>
      <c r="AU64" s="58" t="e">
        <f>VLOOKUP(AS64,$S$5:$AJ$104,$AT$2+12,FALSE)</f>
        <v>#N/A</v>
      </c>
      <c r="AV64" s="75"/>
      <c r="AW64" s="120">
        <v>60</v>
      </c>
      <c r="AX64" s="58" t="e">
        <f>VLOOKUP(AW64,$U$5:$AJ$104,$AY$2,FALSE)</f>
        <v>#N/A</v>
      </c>
      <c r="AY64" s="93" t="e">
        <f>VLOOKUP(AW64,$U$5:$AJ$104,$AY$2+7,FALSE)</f>
        <v>#N/A</v>
      </c>
      <c r="AZ64" s="58" t="e">
        <f>VLOOKUP(AX64,$U$5:$AJ$104,$AY$2+11,FALSE)</f>
        <v>#N/A</v>
      </c>
      <c r="BB64" s="120">
        <v>60</v>
      </c>
      <c r="BC64" s="58" t="e">
        <f>VLOOKUP(BB64,$W$5:$AJ$104,$BD$2,FALSE)</f>
        <v>#N/A</v>
      </c>
      <c r="BD64" s="93" t="e">
        <f>VLOOKUP(BB64,$W$5:$AJ$104,$BD$2+5,FALSE)</f>
        <v>#N/A</v>
      </c>
      <c r="BE64" s="58" t="e">
        <f>VLOOKUP(BC64,$W$5:$AJ$104,$BD$2+10,FALSE)</f>
        <v>#N/A</v>
      </c>
      <c r="BF64" s="75"/>
      <c r="BG64" s="120">
        <v>60</v>
      </c>
      <c r="BH64" s="58" t="e">
        <f>VLOOKUP(BG64,$Y$5:$AJ$104,$BI$2,FALSE)</f>
        <v>#N/A</v>
      </c>
      <c r="BI64" s="93" t="e">
        <f>VLOOKUP(BG64,$Y$5:$AJ$104,$BI$2+3,FALSE)</f>
        <v>#N/A</v>
      </c>
      <c r="BJ64" s="58" t="e">
        <f>VLOOKUP(BH64,$Y$5:$AJ$104,$BI$2+9,FALSE)</f>
        <v>#N/A</v>
      </c>
      <c r="BL64" s="120">
        <v>60</v>
      </c>
      <c r="BM64" s="58" t="e">
        <f>VLOOKUP(BL64,$AA$5:$AJ$104,$BN$2,FALSE)</f>
        <v>#N/A</v>
      </c>
      <c r="BN64" s="93" t="e">
        <f>VLOOKUP(BL64,$AA$5:$AJ$104,$BN$2+1,FALSE)</f>
        <v>#N/A</v>
      </c>
      <c r="BO64" s="58" t="e">
        <f>VLOOKUP(BM64,$AA$5:$AJ$104,$BN$2+8,FALSE)</f>
        <v>#N/A</v>
      </c>
      <c r="BQ64" s="2" t="e">
        <f>'Eclectic C'!CD64</f>
        <v>#N/A</v>
      </c>
      <c r="BR64" s="6" t="e">
        <f>'Eclectic C'!CE64</f>
        <v>#N/A</v>
      </c>
      <c r="BS64" s="103" t="e">
        <f>'Eclectic C'!CF64</f>
        <v>#N/A</v>
      </c>
    </row>
    <row r="65" spans="1:71">
      <c r="A65" s="10" t="str">
        <f>IF(ISBLANK(Players!K63),"",Players!K63)</f>
        <v/>
      </c>
      <c r="B65" s="10" t="str">
        <f>IF(ISBLANK(Players!L63),"",Players!L63)</f>
        <v/>
      </c>
      <c r="C65" s="10" t="str">
        <f>IF(ISBLANK(Players!N63),"",Players!N63)</f>
        <v/>
      </c>
      <c r="D65" s="126" t="str">
        <f>IF(ISNUMBER(C65),MIN((C65*Rules!$N$14/113)+(Rules!$N$13-Rules!$N$12),Rules!$N$37),"-")</f>
        <v>-</v>
      </c>
      <c r="E65" s="126" t="str">
        <f>IF(ISNUMBER(C65),    ROUND( (D65*Rules!$N$11) / 100,0),"-")</f>
        <v>-</v>
      </c>
      <c r="F65" s="36" t="str">
        <f>IF(AND(ISNUMBER(C65),C65&gt;=Rules!$M$24,C65&lt;=Rules!$N$24),"Y","N")</f>
        <v>N</v>
      </c>
      <c r="G65" s="137" t="str">
        <f>'Eclectic C'!M65</f>
        <v>-</v>
      </c>
      <c r="H65" s="137" t="str">
        <f>'Eclectic C'!W65</f>
        <v>-</v>
      </c>
      <c r="I65" s="137" t="str">
        <f>'Eclectic C'!AJ65</f>
        <v>-</v>
      </c>
      <c r="J65" s="137" t="str">
        <f>'Eclectic C'!AT65</f>
        <v>-</v>
      </c>
      <c r="K65" s="14" t="str">
        <f t="shared" si="1"/>
        <v>-</v>
      </c>
      <c r="L65" s="14" t="str">
        <f t="shared" si="2"/>
        <v>-</v>
      </c>
      <c r="M65" s="14" t="str">
        <f t="shared" si="3"/>
        <v>-</v>
      </c>
      <c r="N65" s="14" t="str">
        <f t="shared" si="4"/>
        <v>-</v>
      </c>
      <c r="O65" s="14" t="str">
        <f t="shared" si="5"/>
        <v>-</v>
      </c>
      <c r="P65" s="14" t="str">
        <f t="shared" si="6"/>
        <v>-</v>
      </c>
      <c r="Q65" s="108" t="e">
        <f>RANK($K65,$K$5:$K$104,1)+COUNTIF(K$5:K65,K65)-1</f>
        <v>#VALUE!</v>
      </c>
      <c r="R65" s="108" t="e">
        <f t="shared" si="7"/>
        <v>#VALUE!</v>
      </c>
      <c r="S65" s="108" t="e">
        <f>RANK($L65,$L$5:$L$104,1)+COUNTIF(L$5:L65,L65)-1</f>
        <v>#VALUE!</v>
      </c>
      <c r="T65" s="108" t="e">
        <f t="shared" si="8"/>
        <v>#VALUE!</v>
      </c>
      <c r="U65" s="108" t="e">
        <f>RANK($M65,$M$5:$M$104,1)+COUNTIF(M$5:M65,M65)-1</f>
        <v>#VALUE!</v>
      </c>
      <c r="V65" s="108" t="e">
        <f t="shared" si="9"/>
        <v>#VALUE!</v>
      </c>
      <c r="W65" s="108" t="e">
        <f>RANK($N65,$N$5:$N$104,1)+COUNTIF(N$5:N65,N65)-1</f>
        <v>#VALUE!</v>
      </c>
      <c r="X65" s="108" t="e">
        <f t="shared" si="10"/>
        <v>#VALUE!</v>
      </c>
      <c r="Y65" s="108" t="e">
        <f>RANK($O65,$O$5:$O$104,1)+COUNTIF(O$5:O65,O65)-1</f>
        <v>#VALUE!</v>
      </c>
      <c r="Z65" s="108" t="e">
        <f t="shared" si="11"/>
        <v>#VALUE!</v>
      </c>
      <c r="AA65" s="108" t="e">
        <f>RANK($P65,$P$5:$P$104,1)+COUNTIF(P$5:P65,P65)-1</f>
        <v>#VALUE!</v>
      </c>
      <c r="AB65" s="108" t="e">
        <f t="shared" si="12"/>
        <v>#VALUE!</v>
      </c>
      <c r="AC65" s="59" t="str">
        <f t="shared" si="13"/>
        <v xml:space="preserve"> </v>
      </c>
      <c r="AD65" s="59" t="str">
        <f t="shared" si="14"/>
        <v>-</v>
      </c>
      <c r="AE65" s="119" t="str">
        <f t="shared" si="18"/>
        <v>-</v>
      </c>
      <c r="AF65" s="119" t="str">
        <f t="shared" si="18"/>
        <v>-</v>
      </c>
      <c r="AG65" s="119" t="str">
        <f t="shared" si="18"/>
        <v>-</v>
      </c>
      <c r="AH65" s="119" t="str">
        <f t="shared" si="17"/>
        <v>-</v>
      </c>
      <c r="AI65" s="119" t="str">
        <f t="shared" si="17"/>
        <v>-</v>
      </c>
      <c r="AJ65" s="119" t="str">
        <f t="shared" si="17"/>
        <v>-</v>
      </c>
      <c r="AM65" s="120">
        <v>61</v>
      </c>
      <c r="AN65" s="58" t="e">
        <f>VLOOKUP(AM65,Q$5:$AJ$104,$AO$2,FALSE)</f>
        <v>#N/A</v>
      </c>
      <c r="AO65" s="93" t="e">
        <f>VLOOKUP(AM65,Q$5:$AJ$104,$AO$2+11,FALSE)</f>
        <v>#N/A</v>
      </c>
      <c r="AP65" s="58" t="e">
        <f t="shared" si="16"/>
        <v>#N/A</v>
      </c>
      <c r="AR65" s="120">
        <v>61</v>
      </c>
      <c r="AS65" s="58" t="e">
        <f>VLOOKUP(AR65,$S$5:$AJ$104,$AT$2,FALSE)</f>
        <v>#N/A</v>
      </c>
      <c r="AT65" s="93" t="e">
        <f>VLOOKUP(AR65,$S$5:$AJ$104,$AT$2+9,FALSE)</f>
        <v>#N/A</v>
      </c>
      <c r="AU65" s="58" t="e">
        <f>VLOOKUP(AS65,$S$5:$AJ$104,$AT$2+12,FALSE)</f>
        <v>#N/A</v>
      </c>
      <c r="AV65" s="75"/>
      <c r="AW65" s="120">
        <v>61</v>
      </c>
      <c r="AX65" s="58" t="e">
        <f>VLOOKUP(AW65,$U$5:$AJ$104,$AY$2,FALSE)</f>
        <v>#N/A</v>
      </c>
      <c r="AY65" s="93" t="e">
        <f>VLOOKUP(AW65,$U$5:$AJ$104,$AY$2+7,FALSE)</f>
        <v>#N/A</v>
      </c>
      <c r="AZ65" s="58" t="e">
        <f>VLOOKUP(AX65,$U$5:$AJ$104,$AY$2+11,FALSE)</f>
        <v>#N/A</v>
      </c>
      <c r="BB65" s="120">
        <v>61</v>
      </c>
      <c r="BC65" s="58" t="e">
        <f>VLOOKUP(BB65,$W$5:$AJ$104,$BD$2,FALSE)</f>
        <v>#N/A</v>
      </c>
      <c r="BD65" s="93" t="e">
        <f>VLOOKUP(BB65,$W$5:$AJ$104,$BD$2+5,FALSE)</f>
        <v>#N/A</v>
      </c>
      <c r="BE65" s="58" t="e">
        <f>VLOOKUP(BC65,$W$5:$AJ$104,$BD$2+10,FALSE)</f>
        <v>#N/A</v>
      </c>
      <c r="BF65" s="75"/>
      <c r="BG65" s="120">
        <v>61</v>
      </c>
      <c r="BH65" s="58" t="e">
        <f>VLOOKUP(BG65,$Y$5:$AJ$104,$BI$2,FALSE)</f>
        <v>#N/A</v>
      </c>
      <c r="BI65" s="93" t="e">
        <f>VLOOKUP(BG65,$Y$5:$AJ$104,$BI$2+3,FALSE)</f>
        <v>#N/A</v>
      </c>
      <c r="BJ65" s="58" t="e">
        <f>VLOOKUP(BH65,$Y$5:$AJ$104,$BI$2+9,FALSE)</f>
        <v>#N/A</v>
      </c>
      <c r="BL65" s="120">
        <v>61</v>
      </c>
      <c r="BM65" s="58" t="e">
        <f>VLOOKUP(BL65,$AA$5:$AJ$104,$BN$2,FALSE)</f>
        <v>#N/A</v>
      </c>
      <c r="BN65" s="93" t="e">
        <f>VLOOKUP(BL65,$AA$5:$AJ$104,$BN$2+1,FALSE)</f>
        <v>#N/A</v>
      </c>
      <c r="BO65" s="58" t="e">
        <f>VLOOKUP(BM65,$AA$5:$AJ$104,$BN$2+8,FALSE)</f>
        <v>#N/A</v>
      </c>
      <c r="BQ65" s="2" t="e">
        <f>'Eclectic C'!CD65</f>
        <v>#N/A</v>
      </c>
      <c r="BR65" s="6" t="e">
        <f>'Eclectic C'!CE65</f>
        <v>#N/A</v>
      </c>
      <c r="BS65" s="103" t="e">
        <f>'Eclectic C'!CF65</f>
        <v>#N/A</v>
      </c>
    </row>
    <row r="66" spans="1:71">
      <c r="A66" s="10" t="str">
        <f>IF(ISBLANK(Players!K64),"",Players!K64)</f>
        <v/>
      </c>
      <c r="B66" s="10" t="str">
        <f>IF(ISBLANK(Players!L64),"",Players!L64)</f>
        <v/>
      </c>
      <c r="C66" s="10" t="str">
        <f>IF(ISBLANK(Players!N64),"",Players!N64)</f>
        <v/>
      </c>
      <c r="D66" s="126" t="str">
        <f>IF(ISNUMBER(C66),MIN((C66*Rules!$N$14/113)+(Rules!$N$13-Rules!$N$12),Rules!$N$37),"-")</f>
        <v>-</v>
      </c>
      <c r="E66" s="126" t="str">
        <f>IF(ISNUMBER(C66),    ROUND( (D66*Rules!$N$11) / 100,0),"-")</f>
        <v>-</v>
      </c>
      <c r="F66" s="36" t="str">
        <f>IF(AND(ISNUMBER(C66),C66&gt;=Rules!$M$24,C66&lt;=Rules!$N$24),"Y","N")</f>
        <v>N</v>
      </c>
      <c r="G66" s="137" t="str">
        <f>'Eclectic C'!M66</f>
        <v>-</v>
      </c>
      <c r="H66" s="137" t="str">
        <f>'Eclectic C'!W66</f>
        <v>-</v>
      </c>
      <c r="I66" s="137" t="str">
        <f>'Eclectic C'!AJ66</f>
        <v>-</v>
      </c>
      <c r="J66" s="137" t="str">
        <f>'Eclectic C'!AT66</f>
        <v>-</v>
      </c>
      <c r="K66" s="14" t="str">
        <f t="shared" si="1"/>
        <v>-</v>
      </c>
      <c r="L66" s="14" t="str">
        <f t="shared" si="2"/>
        <v>-</v>
      </c>
      <c r="M66" s="14" t="str">
        <f t="shared" si="3"/>
        <v>-</v>
      </c>
      <c r="N66" s="14" t="str">
        <f t="shared" si="4"/>
        <v>-</v>
      </c>
      <c r="O66" s="14" t="str">
        <f t="shared" si="5"/>
        <v>-</v>
      </c>
      <c r="P66" s="14" t="str">
        <f t="shared" si="6"/>
        <v>-</v>
      </c>
      <c r="Q66" s="108" t="e">
        <f>RANK($K66,$K$5:$K$104,1)+COUNTIF(K$5:K66,K66)-1</f>
        <v>#VALUE!</v>
      </c>
      <c r="R66" s="108" t="e">
        <f t="shared" si="7"/>
        <v>#VALUE!</v>
      </c>
      <c r="S66" s="108" t="e">
        <f>RANK($L66,$L$5:$L$104,1)+COUNTIF(L$5:L66,L66)-1</f>
        <v>#VALUE!</v>
      </c>
      <c r="T66" s="108" t="e">
        <f t="shared" si="8"/>
        <v>#VALUE!</v>
      </c>
      <c r="U66" s="108" t="e">
        <f>RANK($M66,$M$5:$M$104,1)+COUNTIF(M$5:M66,M66)-1</f>
        <v>#VALUE!</v>
      </c>
      <c r="V66" s="108" t="e">
        <f t="shared" si="9"/>
        <v>#VALUE!</v>
      </c>
      <c r="W66" s="108" t="e">
        <f>RANK($N66,$N$5:$N$104,1)+COUNTIF(N$5:N66,N66)-1</f>
        <v>#VALUE!</v>
      </c>
      <c r="X66" s="108" t="e">
        <f t="shared" si="10"/>
        <v>#VALUE!</v>
      </c>
      <c r="Y66" s="108" t="e">
        <f>RANK($O66,$O$5:$O$104,1)+COUNTIF(O$5:O66,O66)-1</f>
        <v>#VALUE!</v>
      </c>
      <c r="Z66" s="108" t="e">
        <f t="shared" si="11"/>
        <v>#VALUE!</v>
      </c>
      <c r="AA66" s="108" t="e">
        <f>RANK($P66,$P$5:$P$104,1)+COUNTIF(P$5:P66,P66)-1</f>
        <v>#VALUE!</v>
      </c>
      <c r="AB66" s="108" t="e">
        <f t="shared" si="12"/>
        <v>#VALUE!</v>
      </c>
      <c r="AC66" s="59" t="str">
        <f t="shared" si="13"/>
        <v xml:space="preserve"> </v>
      </c>
      <c r="AD66" s="59" t="str">
        <f t="shared" si="14"/>
        <v>-</v>
      </c>
      <c r="AE66" s="119" t="str">
        <f t="shared" si="18"/>
        <v>-</v>
      </c>
      <c r="AF66" s="119" t="str">
        <f t="shared" si="18"/>
        <v>-</v>
      </c>
      <c r="AG66" s="119" t="str">
        <f t="shared" si="18"/>
        <v>-</v>
      </c>
      <c r="AH66" s="119" t="str">
        <f t="shared" si="17"/>
        <v>-</v>
      </c>
      <c r="AI66" s="119" t="str">
        <f t="shared" si="17"/>
        <v>-</v>
      </c>
      <c r="AJ66" s="119" t="str">
        <f t="shared" si="17"/>
        <v>-</v>
      </c>
      <c r="AM66" s="120">
        <v>62</v>
      </c>
      <c r="AN66" s="58" t="e">
        <f>VLOOKUP(AM66,Q$5:$AJ$104,$AO$2,FALSE)</f>
        <v>#N/A</v>
      </c>
      <c r="AO66" s="93" t="e">
        <f>VLOOKUP(AM66,Q$5:$AJ$104,$AO$2+11,FALSE)</f>
        <v>#N/A</v>
      </c>
      <c r="AP66" s="58" t="e">
        <f t="shared" si="16"/>
        <v>#N/A</v>
      </c>
      <c r="AR66" s="120">
        <v>62</v>
      </c>
      <c r="AS66" s="58" t="e">
        <f>VLOOKUP(AR66,$S$5:$AJ$104,$AT$2,FALSE)</f>
        <v>#N/A</v>
      </c>
      <c r="AT66" s="93" t="e">
        <f>VLOOKUP(AR66,$S$5:$AJ$104,$AT$2+9,FALSE)</f>
        <v>#N/A</v>
      </c>
      <c r="AU66" s="58" t="e">
        <f>VLOOKUP(AS66,$S$5:$AJ$104,$AT$2+12,FALSE)</f>
        <v>#N/A</v>
      </c>
      <c r="AV66" s="75"/>
      <c r="AW66" s="120">
        <v>62</v>
      </c>
      <c r="AX66" s="58" t="e">
        <f>VLOOKUP(AW66,$U$5:$AJ$104,$AY$2,FALSE)</f>
        <v>#N/A</v>
      </c>
      <c r="AY66" s="93" t="e">
        <f>VLOOKUP(AW66,$U$5:$AJ$104,$AY$2+7,FALSE)</f>
        <v>#N/A</v>
      </c>
      <c r="AZ66" s="58" t="e">
        <f>VLOOKUP(AX66,$U$5:$AJ$104,$AY$2+11,FALSE)</f>
        <v>#N/A</v>
      </c>
      <c r="BB66" s="120">
        <v>62</v>
      </c>
      <c r="BC66" s="58" t="e">
        <f>VLOOKUP(BB66,$W$5:$AJ$104,$BD$2,FALSE)</f>
        <v>#N/A</v>
      </c>
      <c r="BD66" s="93" t="e">
        <f>VLOOKUP(BB66,$W$5:$AJ$104,$BD$2+5,FALSE)</f>
        <v>#N/A</v>
      </c>
      <c r="BE66" s="58" t="e">
        <f>VLOOKUP(BC66,$W$5:$AJ$104,$BD$2+10,FALSE)</f>
        <v>#N/A</v>
      </c>
      <c r="BF66" s="75"/>
      <c r="BG66" s="120">
        <v>62</v>
      </c>
      <c r="BH66" s="58" t="e">
        <f>VLOOKUP(BG66,$Y$5:$AJ$104,$BI$2,FALSE)</f>
        <v>#N/A</v>
      </c>
      <c r="BI66" s="93" t="e">
        <f>VLOOKUP(BG66,$Y$5:$AJ$104,$BI$2+3,FALSE)</f>
        <v>#N/A</v>
      </c>
      <c r="BJ66" s="58" t="e">
        <f>VLOOKUP(BH66,$Y$5:$AJ$104,$BI$2+9,FALSE)</f>
        <v>#N/A</v>
      </c>
      <c r="BL66" s="120">
        <v>62</v>
      </c>
      <c r="BM66" s="58" t="e">
        <f>VLOOKUP(BL66,$AA$5:$AJ$104,$BN$2,FALSE)</f>
        <v>#N/A</v>
      </c>
      <c r="BN66" s="93" t="e">
        <f>VLOOKUP(BL66,$AA$5:$AJ$104,$BN$2+1,FALSE)</f>
        <v>#N/A</v>
      </c>
      <c r="BO66" s="58" t="e">
        <f>VLOOKUP(BM66,$AA$5:$AJ$104,$BN$2+8,FALSE)</f>
        <v>#N/A</v>
      </c>
      <c r="BQ66" s="2" t="e">
        <f>'Eclectic C'!CD66</f>
        <v>#N/A</v>
      </c>
      <c r="BR66" s="6" t="e">
        <f>'Eclectic C'!CE66</f>
        <v>#N/A</v>
      </c>
      <c r="BS66" s="103" t="e">
        <f>'Eclectic C'!CF66</f>
        <v>#N/A</v>
      </c>
    </row>
    <row r="67" spans="1:71">
      <c r="A67" s="10" t="str">
        <f>IF(ISBLANK(Players!K65),"",Players!K65)</f>
        <v/>
      </c>
      <c r="B67" s="10" t="str">
        <f>IF(ISBLANK(Players!L65),"",Players!L65)</f>
        <v/>
      </c>
      <c r="C67" s="10" t="str">
        <f>IF(ISBLANK(Players!N65),"",Players!N65)</f>
        <v/>
      </c>
      <c r="D67" s="126" t="str">
        <f>IF(ISNUMBER(C67),MIN((C67*Rules!$N$14/113)+(Rules!$N$13-Rules!$N$12),Rules!$N$37),"-")</f>
        <v>-</v>
      </c>
      <c r="E67" s="126" t="str">
        <f>IF(ISNUMBER(C67),    ROUND( (D67*Rules!$N$11) / 100,0),"-")</f>
        <v>-</v>
      </c>
      <c r="F67" s="36" t="str">
        <f>IF(AND(ISNUMBER(C67),C67&gt;=Rules!$M$24,C67&lt;=Rules!$N$24),"Y","N")</f>
        <v>N</v>
      </c>
      <c r="G67" s="137" t="str">
        <f>'Eclectic C'!M67</f>
        <v>-</v>
      </c>
      <c r="H67" s="137" t="str">
        <f>'Eclectic C'!W67</f>
        <v>-</v>
      </c>
      <c r="I67" s="137" t="str">
        <f>'Eclectic C'!AJ67</f>
        <v>-</v>
      </c>
      <c r="J67" s="137" t="str">
        <f>'Eclectic C'!AT67</f>
        <v>-</v>
      </c>
      <c r="K67" s="14" t="str">
        <f t="shared" si="1"/>
        <v>-</v>
      </c>
      <c r="L67" s="14" t="str">
        <f t="shared" si="2"/>
        <v>-</v>
      </c>
      <c r="M67" s="14" t="str">
        <f t="shared" si="3"/>
        <v>-</v>
      </c>
      <c r="N67" s="14" t="str">
        <f t="shared" si="4"/>
        <v>-</v>
      </c>
      <c r="O67" s="14" t="str">
        <f t="shared" si="5"/>
        <v>-</v>
      </c>
      <c r="P67" s="14" t="str">
        <f t="shared" si="6"/>
        <v>-</v>
      </c>
      <c r="Q67" s="108" t="e">
        <f>RANK($K67,$K$5:$K$104,1)+COUNTIF(K$5:K67,K67)-1</f>
        <v>#VALUE!</v>
      </c>
      <c r="R67" s="108" t="e">
        <f t="shared" si="7"/>
        <v>#VALUE!</v>
      </c>
      <c r="S67" s="108" t="e">
        <f>RANK($L67,$L$5:$L$104,1)+COUNTIF(L$5:L67,L67)-1</f>
        <v>#VALUE!</v>
      </c>
      <c r="T67" s="108" t="e">
        <f t="shared" si="8"/>
        <v>#VALUE!</v>
      </c>
      <c r="U67" s="108" t="e">
        <f>RANK($M67,$M$5:$M$104,1)+COUNTIF(M$5:M67,M67)-1</f>
        <v>#VALUE!</v>
      </c>
      <c r="V67" s="108" t="e">
        <f t="shared" si="9"/>
        <v>#VALUE!</v>
      </c>
      <c r="W67" s="108" t="e">
        <f>RANK($N67,$N$5:$N$104,1)+COUNTIF(N$5:N67,N67)-1</f>
        <v>#VALUE!</v>
      </c>
      <c r="X67" s="108" t="e">
        <f t="shared" si="10"/>
        <v>#VALUE!</v>
      </c>
      <c r="Y67" s="108" t="e">
        <f>RANK($O67,$O$5:$O$104,1)+COUNTIF(O$5:O67,O67)-1</f>
        <v>#VALUE!</v>
      </c>
      <c r="Z67" s="108" t="e">
        <f t="shared" si="11"/>
        <v>#VALUE!</v>
      </c>
      <c r="AA67" s="108" t="e">
        <f>RANK($P67,$P$5:$P$104,1)+COUNTIF(P$5:P67,P67)-1</f>
        <v>#VALUE!</v>
      </c>
      <c r="AB67" s="108" t="e">
        <f t="shared" si="12"/>
        <v>#VALUE!</v>
      </c>
      <c r="AC67" s="59" t="str">
        <f t="shared" si="13"/>
        <v xml:space="preserve"> </v>
      </c>
      <c r="AD67" s="59" t="str">
        <f t="shared" si="14"/>
        <v>-</v>
      </c>
      <c r="AE67" s="119" t="str">
        <f t="shared" si="18"/>
        <v>-</v>
      </c>
      <c r="AF67" s="119" t="str">
        <f t="shared" si="18"/>
        <v>-</v>
      </c>
      <c r="AG67" s="119" t="str">
        <f t="shared" si="18"/>
        <v>-</v>
      </c>
      <c r="AH67" s="119" t="str">
        <f t="shared" si="17"/>
        <v>-</v>
      </c>
      <c r="AI67" s="119" t="str">
        <f t="shared" si="17"/>
        <v>-</v>
      </c>
      <c r="AJ67" s="119" t="str">
        <f t="shared" si="17"/>
        <v>-</v>
      </c>
      <c r="AM67" s="120">
        <v>63</v>
      </c>
      <c r="AN67" s="58" t="e">
        <f>VLOOKUP(AM67,Q$5:$AJ$104,$AO$2,FALSE)</f>
        <v>#N/A</v>
      </c>
      <c r="AO67" s="93" t="e">
        <f>VLOOKUP(AM67,Q$5:$AJ$104,$AO$2+11,FALSE)</f>
        <v>#N/A</v>
      </c>
      <c r="AP67" s="58" t="e">
        <f t="shared" si="16"/>
        <v>#N/A</v>
      </c>
      <c r="AR67" s="120">
        <v>63</v>
      </c>
      <c r="AS67" s="58" t="e">
        <f>VLOOKUP(AR67,$S$5:$AJ$104,$AT$2,FALSE)</f>
        <v>#N/A</v>
      </c>
      <c r="AT67" s="93" t="e">
        <f>VLOOKUP(AR67,$S$5:$AJ$104,$AT$2+9,FALSE)</f>
        <v>#N/A</v>
      </c>
      <c r="AU67" s="58" t="e">
        <f>VLOOKUP(AS67,$S$5:$AJ$104,$AT$2+12,FALSE)</f>
        <v>#N/A</v>
      </c>
      <c r="AV67" s="75"/>
      <c r="AW67" s="120">
        <v>63</v>
      </c>
      <c r="AX67" s="58" t="e">
        <f>VLOOKUP(AW67,$U$5:$AJ$104,$AY$2,FALSE)</f>
        <v>#N/A</v>
      </c>
      <c r="AY67" s="93" t="e">
        <f>VLOOKUP(AW67,$U$5:$AJ$104,$AY$2+7,FALSE)</f>
        <v>#N/A</v>
      </c>
      <c r="AZ67" s="58" t="e">
        <f>VLOOKUP(AX67,$U$5:$AJ$104,$AY$2+11,FALSE)</f>
        <v>#N/A</v>
      </c>
      <c r="BB67" s="120">
        <v>63</v>
      </c>
      <c r="BC67" s="58" t="e">
        <f>VLOOKUP(BB67,$W$5:$AJ$104,$BD$2,FALSE)</f>
        <v>#N/A</v>
      </c>
      <c r="BD67" s="93" t="e">
        <f>VLOOKUP(BB67,$W$5:$AJ$104,$BD$2+5,FALSE)</f>
        <v>#N/A</v>
      </c>
      <c r="BE67" s="58" t="e">
        <f>VLOOKUP(BC67,$W$5:$AJ$104,$BD$2+10,FALSE)</f>
        <v>#N/A</v>
      </c>
      <c r="BF67" s="75"/>
      <c r="BG67" s="120">
        <v>63</v>
      </c>
      <c r="BH67" s="58" t="e">
        <f>VLOOKUP(BG67,$Y$5:$AJ$104,$BI$2,FALSE)</f>
        <v>#N/A</v>
      </c>
      <c r="BI67" s="93" t="e">
        <f>VLOOKUP(BG67,$Y$5:$AJ$104,$BI$2+3,FALSE)</f>
        <v>#N/A</v>
      </c>
      <c r="BJ67" s="58" t="e">
        <f>VLOOKUP(BH67,$Y$5:$AJ$104,$BI$2+9,FALSE)</f>
        <v>#N/A</v>
      </c>
      <c r="BL67" s="120">
        <v>63</v>
      </c>
      <c r="BM67" s="58" t="e">
        <f>VLOOKUP(BL67,$AA$5:$AJ$104,$BN$2,FALSE)</f>
        <v>#N/A</v>
      </c>
      <c r="BN67" s="93" t="e">
        <f>VLOOKUP(BL67,$AA$5:$AJ$104,$BN$2+1,FALSE)</f>
        <v>#N/A</v>
      </c>
      <c r="BO67" s="58" t="e">
        <f>VLOOKUP(BM67,$AA$5:$AJ$104,$BN$2+8,FALSE)</f>
        <v>#N/A</v>
      </c>
      <c r="BQ67" s="2" t="e">
        <f>'Eclectic C'!CD67</f>
        <v>#N/A</v>
      </c>
      <c r="BR67" s="6" t="e">
        <f>'Eclectic C'!CE67</f>
        <v>#N/A</v>
      </c>
      <c r="BS67" s="103" t="e">
        <f>'Eclectic C'!CF67</f>
        <v>#N/A</v>
      </c>
    </row>
    <row r="68" spans="1:71">
      <c r="A68" s="10" t="str">
        <f>IF(ISBLANK(Players!K66),"",Players!K66)</f>
        <v/>
      </c>
      <c r="B68" s="10" t="str">
        <f>IF(ISBLANK(Players!L66),"",Players!L66)</f>
        <v/>
      </c>
      <c r="C68" s="10" t="str">
        <f>IF(ISBLANK(Players!N66),"",Players!N66)</f>
        <v/>
      </c>
      <c r="D68" s="126" t="str">
        <f>IF(ISNUMBER(C68),MIN((C68*Rules!$N$14/113)+(Rules!$N$13-Rules!$N$12),Rules!$N$37),"-")</f>
        <v>-</v>
      </c>
      <c r="E68" s="126" t="str">
        <f>IF(ISNUMBER(C68),    ROUND( (D68*Rules!$N$11) / 100,0),"-")</f>
        <v>-</v>
      </c>
      <c r="F68" s="36" t="str">
        <f>IF(AND(ISNUMBER(C68),C68&gt;=Rules!$M$24,C68&lt;=Rules!$N$24),"Y","N")</f>
        <v>N</v>
      </c>
      <c r="G68" s="137" t="str">
        <f>'Eclectic C'!M68</f>
        <v>-</v>
      </c>
      <c r="H68" s="137" t="str">
        <f>'Eclectic C'!W68</f>
        <v>-</v>
      </c>
      <c r="I68" s="137" t="str">
        <f>'Eclectic C'!AJ68</f>
        <v>-</v>
      </c>
      <c r="J68" s="137" t="str">
        <f>'Eclectic C'!AT68</f>
        <v>-</v>
      </c>
      <c r="K68" s="14" t="str">
        <f t="shared" si="1"/>
        <v>-</v>
      </c>
      <c r="L68" s="14" t="str">
        <f t="shared" si="2"/>
        <v>-</v>
      </c>
      <c r="M68" s="14" t="str">
        <f t="shared" si="3"/>
        <v>-</v>
      </c>
      <c r="N68" s="14" t="str">
        <f t="shared" si="4"/>
        <v>-</v>
      </c>
      <c r="O68" s="14" t="str">
        <f t="shared" si="5"/>
        <v>-</v>
      </c>
      <c r="P68" s="14" t="str">
        <f t="shared" si="6"/>
        <v>-</v>
      </c>
      <c r="Q68" s="108" t="e">
        <f>RANK($K68,$K$5:$K$104,1)+COUNTIF(K$5:K68,K68)-1</f>
        <v>#VALUE!</v>
      </c>
      <c r="R68" s="108" t="e">
        <f t="shared" si="7"/>
        <v>#VALUE!</v>
      </c>
      <c r="S68" s="108" t="e">
        <f>RANK($L68,$L$5:$L$104,1)+COUNTIF(L$5:L68,L68)-1</f>
        <v>#VALUE!</v>
      </c>
      <c r="T68" s="108" t="e">
        <f t="shared" si="8"/>
        <v>#VALUE!</v>
      </c>
      <c r="U68" s="108" t="e">
        <f>RANK($M68,$M$5:$M$104,1)+COUNTIF(M$5:M68,M68)-1</f>
        <v>#VALUE!</v>
      </c>
      <c r="V68" s="108" t="e">
        <f t="shared" si="9"/>
        <v>#VALUE!</v>
      </c>
      <c r="W68" s="108" t="e">
        <f>RANK($N68,$N$5:$N$104,1)+COUNTIF(N$5:N68,N68)-1</f>
        <v>#VALUE!</v>
      </c>
      <c r="X68" s="108" t="e">
        <f t="shared" si="10"/>
        <v>#VALUE!</v>
      </c>
      <c r="Y68" s="108" t="e">
        <f>RANK($O68,$O$5:$O$104,1)+COUNTIF(O$5:O68,O68)-1</f>
        <v>#VALUE!</v>
      </c>
      <c r="Z68" s="108" t="e">
        <f t="shared" si="11"/>
        <v>#VALUE!</v>
      </c>
      <c r="AA68" s="108" t="e">
        <f>RANK($P68,$P$5:$P$104,1)+COUNTIF(P$5:P68,P68)-1</f>
        <v>#VALUE!</v>
      </c>
      <c r="AB68" s="108" t="e">
        <f t="shared" si="12"/>
        <v>#VALUE!</v>
      </c>
      <c r="AC68" s="59" t="str">
        <f t="shared" si="13"/>
        <v xml:space="preserve"> </v>
      </c>
      <c r="AD68" s="59" t="str">
        <f t="shared" si="14"/>
        <v>-</v>
      </c>
      <c r="AE68" s="119" t="str">
        <f t="shared" si="18"/>
        <v>-</v>
      </c>
      <c r="AF68" s="119" t="str">
        <f t="shared" si="18"/>
        <v>-</v>
      </c>
      <c r="AG68" s="119" t="str">
        <f t="shared" si="18"/>
        <v>-</v>
      </c>
      <c r="AH68" s="119" t="str">
        <f t="shared" si="17"/>
        <v>-</v>
      </c>
      <c r="AI68" s="119" t="str">
        <f t="shared" si="17"/>
        <v>-</v>
      </c>
      <c r="AJ68" s="119" t="str">
        <f t="shared" si="17"/>
        <v>-</v>
      </c>
      <c r="AM68" s="120">
        <v>64</v>
      </c>
      <c r="AN68" s="58" t="e">
        <f>VLOOKUP(AM68,Q$5:$AJ$104,$AO$2,FALSE)</f>
        <v>#N/A</v>
      </c>
      <c r="AO68" s="93" t="e">
        <f>VLOOKUP(AM68,Q$5:$AJ$104,$AO$2+11,FALSE)</f>
        <v>#N/A</v>
      </c>
      <c r="AP68" s="58" t="e">
        <f t="shared" si="16"/>
        <v>#N/A</v>
      </c>
      <c r="AR68" s="120">
        <v>64</v>
      </c>
      <c r="AS68" s="58" t="e">
        <f>VLOOKUP(AR68,$S$5:$AJ$104,$AT$2,FALSE)</f>
        <v>#N/A</v>
      </c>
      <c r="AT68" s="93" t="e">
        <f>VLOOKUP(AR68,$S$5:$AJ$104,$AT$2+9,FALSE)</f>
        <v>#N/A</v>
      </c>
      <c r="AU68" s="58" t="e">
        <f>VLOOKUP(AS68,$S$5:$AJ$104,$AT$2+12,FALSE)</f>
        <v>#N/A</v>
      </c>
      <c r="AV68" s="75"/>
      <c r="AW68" s="120">
        <v>64</v>
      </c>
      <c r="AX68" s="58" t="e">
        <f>VLOOKUP(AW68,$U$5:$AJ$104,$AY$2,FALSE)</f>
        <v>#N/A</v>
      </c>
      <c r="AY68" s="93" t="e">
        <f>VLOOKUP(AW68,$U$5:$AJ$104,$AY$2+7,FALSE)</f>
        <v>#N/A</v>
      </c>
      <c r="AZ68" s="58" t="e">
        <f>VLOOKUP(AX68,$U$5:$AJ$104,$AY$2+11,FALSE)</f>
        <v>#N/A</v>
      </c>
      <c r="BB68" s="120">
        <v>64</v>
      </c>
      <c r="BC68" s="58" t="e">
        <f>VLOOKUP(BB68,$W$5:$AJ$104,$BD$2,FALSE)</f>
        <v>#N/A</v>
      </c>
      <c r="BD68" s="93" t="e">
        <f>VLOOKUP(BB68,$W$5:$AJ$104,$BD$2+5,FALSE)</f>
        <v>#N/A</v>
      </c>
      <c r="BE68" s="58" t="e">
        <f>VLOOKUP(BC68,$W$5:$AJ$104,$BD$2+10,FALSE)</f>
        <v>#N/A</v>
      </c>
      <c r="BF68" s="75"/>
      <c r="BG68" s="120">
        <v>64</v>
      </c>
      <c r="BH68" s="58" t="e">
        <f>VLOOKUP(BG68,$Y$5:$AJ$104,$BI$2,FALSE)</f>
        <v>#N/A</v>
      </c>
      <c r="BI68" s="93" t="e">
        <f>VLOOKUP(BG68,$Y$5:$AJ$104,$BI$2+3,FALSE)</f>
        <v>#N/A</v>
      </c>
      <c r="BJ68" s="58" t="e">
        <f>VLOOKUP(BH68,$Y$5:$AJ$104,$BI$2+9,FALSE)</f>
        <v>#N/A</v>
      </c>
      <c r="BL68" s="120">
        <v>64</v>
      </c>
      <c r="BM68" s="58" t="e">
        <f>VLOOKUP(BL68,$AA$5:$AJ$104,$BN$2,FALSE)</f>
        <v>#N/A</v>
      </c>
      <c r="BN68" s="93" t="e">
        <f>VLOOKUP(BL68,$AA$5:$AJ$104,$BN$2+1,FALSE)</f>
        <v>#N/A</v>
      </c>
      <c r="BO68" s="58" t="e">
        <f>VLOOKUP(BM68,$AA$5:$AJ$104,$BN$2+8,FALSE)</f>
        <v>#N/A</v>
      </c>
      <c r="BQ68" s="2" t="e">
        <f>'Eclectic C'!CD68</f>
        <v>#N/A</v>
      </c>
      <c r="BR68" s="6" t="e">
        <f>'Eclectic C'!CE68</f>
        <v>#N/A</v>
      </c>
      <c r="BS68" s="103" t="e">
        <f>'Eclectic C'!CF68</f>
        <v>#N/A</v>
      </c>
    </row>
    <row r="69" spans="1:71">
      <c r="A69" s="10" t="str">
        <f>IF(ISBLANK(Players!K67),"",Players!K67)</f>
        <v/>
      </c>
      <c r="B69" s="10" t="str">
        <f>IF(ISBLANK(Players!L67),"",Players!L67)</f>
        <v/>
      </c>
      <c r="C69" s="10" t="str">
        <f>IF(ISBLANK(Players!N67),"",Players!N67)</f>
        <v/>
      </c>
      <c r="D69" s="126" t="str">
        <f>IF(ISNUMBER(C69),MIN((C69*Rules!$N$14/113)+(Rules!$N$13-Rules!$N$12),Rules!$N$37),"-")</f>
        <v>-</v>
      </c>
      <c r="E69" s="126" t="str">
        <f>IF(ISNUMBER(C69),    ROUND( (D69*Rules!$N$11) / 100,0),"-")</f>
        <v>-</v>
      </c>
      <c r="F69" s="36" t="str">
        <f>IF(AND(ISNUMBER(C69),C69&gt;=Rules!$M$24,C69&lt;=Rules!$N$24),"Y","N")</f>
        <v>N</v>
      </c>
      <c r="G69" s="137" t="str">
        <f>'Eclectic C'!M69</f>
        <v>-</v>
      </c>
      <c r="H69" s="137" t="str">
        <f>'Eclectic C'!W69</f>
        <v>-</v>
      </c>
      <c r="I69" s="137" t="str">
        <f>'Eclectic C'!AJ69</f>
        <v>-</v>
      </c>
      <c r="J69" s="137" t="str">
        <f>'Eclectic C'!AT69</f>
        <v>-</v>
      </c>
      <c r="K69" s="14" t="str">
        <f t="shared" si="1"/>
        <v>-</v>
      </c>
      <c r="L69" s="14" t="str">
        <f t="shared" si="2"/>
        <v>-</v>
      </c>
      <c r="M69" s="14" t="str">
        <f t="shared" si="3"/>
        <v>-</v>
      </c>
      <c r="N69" s="14" t="str">
        <f t="shared" si="4"/>
        <v>-</v>
      </c>
      <c r="O69" s="14" t="str">
        <f t="shared" si="5"/>
        <v>-</v>
      </c>
      <c r="P69" s="14" t="str">
        <f t="shared" si="6"/>
        <v>-</v>
      </c>
      <c r="Q69" s="108" t="e">
        <f>RANK($K69,$K$5:$K$104,1)+COUNTIF(K$5:K69,K69)-1</f>
        <v>#VALUE!</v>
      </c>
      <c r="R69" s="108" t="e">
        <f t="shared" si="7"/>
        <v>#VALUE!</v>
      </c>
      <c r="S69" s="108" t="e">
        <f>RANK($L69,$L$5:$L$104,1)+COUNTIF(L$5:L69,L69)-1</f>
        <v>#VALUE!</v>
      </c>
      <c r="T69" s="108" t="e">
        <f t="shared" si="8"/>
        <v>#VALUE!</v>
      </c>
      <c r="U69" s="108" t="e">
        <f>RANK($M69,$M$5:$M$104,1)+COUNTIF(M$5:M69,M69)-1</f>
        <v>#VALUE!</v>
      </c>
      <c r="V69" s="108" t="e">
        <f t="shared" si="9"/>
        <v>#VALUE!</v>
      </c>
      <c r="W69" s="108" t="e">
        <f>RANK($N69,$N$5:$N$104,1)+COUNTIF(N$5:N69,N69)-1</f>
        <v>#VALUE!</v>
      </c>
      <c r="X69" s="108" t="e">
        <f t="shared" si="10"/>
        <v>#VALUE!</v>
      </c>
      <c r="Y69" s="108" t="e">
        <f>RANK($O69,$O$5:$O$104,1)+COUNTIF(O$5:O69,O69)-1</f>
        <v>#VALUE!</v>
      </c>
      <c r="Z69" s="108" t="e">
        <f t="shared" si="11"/>
        <v>#VALUE!</v>
      </c>
      <c r="AA69" s="108" t="e">
        <f>RANK($P69,$P$5:$P$104,1)+COUNTIF(P$5:P69,P69)-1</f>
        <v>#VALUE!</v>
      </c>
      <c r="AB69" s="108" t="e">
        <f t="shared" si="12"/>
        <v>#VALUE!</v>
      </c>
      <c r="AC69" s="59" t="str">
        <f t="shared" si="13"/>
        <v xml:space="preserve"> </v>
      </c>
      <c r="AD69" s="59" t="str">
        <f t="shared" si="14"/>
        <v>-</v>
      </c>
      <c r="AE69" s="119" t="str">
        <f t="shared" si="18"/>
        <v>-</v>
      </c>
      <c r="AF69" s="119" t="str">
        <f t="shared" si="18"/>
        <v>-</v>
      </c>
      <c r="AG69" s="119" t="str">
        <f t="shared" si="18"/>
        <v>-</v>
      </c>
      <c r="AH69" s="119" t="str">
        <f t="shared" si="17"/>
        <v>-</v>
      </c>
      <c r="AI69" s="119" t="str">
        <f t="shared" si="17"/>
        <v>-</v>
      </c>
      <c r="AJ69" s="119" t="str">
        <f t="shared" si="17"/>
        <v>-</v>
      </c>
      <c r="AM69" s="120">
        <v>65</v>
      </c>
      <c r="AN69" s="58" t="e">
        <f>VLOOKUP(AM69,Q$5:$AJ$104,$AO$2,FALSE)</f>
        <v>#N/A</v>
      </c>
      <c r="AO69" s="93" t="e">
        <f>VLOOKUP(AM69,Q$5:$AJ$104,$AO$2+11,FALSE)</f>
        <v>#N/A</v>
      </c>
      <c r="AP69" s="58" t="e">
        <f t="shared" si="16"/>
        <v>#N/A</v>
      </c>
      <c r="AR69" s="120">
        <v>65</v>
      </c>
      <c r="AS69" s="58" t="e">
        <f>VLOOKUP(AR69,$S$5:$AJ$104,$AT$2,FALSE)</f>
        <v>#N/A</v>
      </c>
      <c r="AT69" s="93" t="e">
        <f>VLOOKUP(AR69,$S$5:$AJ$104,$AT$2+9,FALSE)</f>
        <v>#N/A</v>
      </c>
      <c r="AU69" s="58" t="e">
        <f>VLOOKUP(AS69,$S$5:$AJ$104,$AT$2+12,FALSE)</f>
        <v>#N/A</v>
      </c>
      <c r="AV69" s="75"/>
      <c r="AW69" s="120">
        <v>65</v>
      </c>
      <c r="AX69" s="58" t="e">
        <f>VLOOKUP(AW69,$U$5:$AJ$104,$AY$2,FALSE)</f>
        <v>#N/A</v>
      </c>
      <c r="AY69" s="93" t="e">
        <f>VLOOKUP(AW69,$U$5:$AJ$104,$AY$2+7,FALSE)</f>
        <v>#N/A</v>
      </c>
      <c r="AZ69" s="58" t="e">
        <f>VLOOKUP(AX69,$U$5:$AJ$104,$AY$2+11,FALSE)</f>
        <v>#N/A</v>
      </c>
      <c r="BB69" s="120">
        <v>65</v>
      </c>
      <c r="BC69" s="58" t="e">
        <f>VLOOKUP(BB69,$W$5:$AJ$104,$BD$2,FALSE)</f>
        <v>#N/A</v>
      </c>
      <c r="BD69" s="93" t="e">
        <f>VLOOKUP(BB69,$W$5:$AJ$104,$BD$2+5,FALSE)</f>
        <v>#N/A</v>
      </c>
      <c r="BE69" s="58" t="e">
        <f>VLOOKUP(BC69,$W$5:$AJ$104,$BD$2+10,FALSE)</f>
        <v>#N/A</v>
      </c>
      <c r="BF69" s="75"/>
      <c r="BG69" s="120">
        <v>65</v>
      </c>
      <c r="BH69" s="58" t="e">
        <f>VLOOKUP(BG69,$Y$5:$AJ$104,$BI$2,FALSE)</f>
        <v>#N/A</v>
      </c>
      <c r="BI69" s="93" t="e">
        <f>VLOOKUP(BG69,$Y$5:$AJ$104,$BI$2+3,FALSE)</f>
        <v>#N/A</v>
      </c>
      <c r="BJ69" s="58" t="e">
        <f>VLOOKUP(BH69,$Y$5:$AJ$104,$BI$2+9,FALSE)</f>
        <v>#N/A</v>
      </c>
      <c r="BL69" s="120">
        <v>65</v>
      </c>
      <c r="BM69" s="58" t="e">
        <f>VLOOKUP(BL69,$AA$5:$AJ$104,$BN$2,FALSE)</f>
        <v>#N/A</v>
      </c>
      <c r="BN69" s="93" t="e">
        <f>VLOOKUP(BL69,$AA$5:$AJ$104,$BN$2+1,FALSE)</f>
        <v>#N/A</v>
      </c>
      <c r="BO69" s="58" t="e">
        <f>VLOOKUP(BM69,$AA$5:$AJ$104,$BN$2+8,FALSE)</f>
        <v>#N/A</v>
      </c>
      <c r="BQ69" s="2" t="e">
        <f>'Eclectic C'!CD69</f>
        <v>#N/A</v>
      </c>
      <c r="BR69" s="6" t="e">
        <f>'Eclectic C'!CE69</f>
        <v>#N/A</v>
      </c>
      <c r="BS69" s="103" t="e">
        <f>'Eclectic C'!CF69</f>
        <v>#N/A</v>
      </c>
    </row>
    <row r="70" spans="1:71">
      <c r="A70" s="10" t="str">
        <f>IF(ISBLANK(Players!K68),"",Players!K68)</f>
        <v/>
      </c>
      <c r="B70" s="10" t="str">
        <f>IF(ISBLANK(Players!L68),"",Players!L68)</f>
        <v/>
      </c>
      <c r="C70" s="10" t="str">
        <f>IF(ISBLANK(Players!N68),"",Players!N68)</f>
        <v/>
      </c>
      <c r="D70" s="126" t="str">
        <f>IF(ISNUMBER(C70),MIN((C70*Rules!$N$14/113)+(Rules!$N$13-Rules!$N$12),Rules!$N$37),"-")</f>
        <v>-</v>
      </c>
      <c r="E70" s="126" t="str">
        <f>IF(ISNUMBER(C70),    ROUND( (D70*Rules!$N$11) / 100,0),"-")</f>
        <v>-</v>
      </c>
      <c r="F70" s="36" t="str">
        <f>IF(AND(ISNUMBER(C70),C70&gt;=Rules!$M$24,C70&lt;=Rules!$N$24),"Y","N")</f>
        <v>N</v>
      </c>
      <c r="G70" s="137" t="str">
        <f>'Eclectic C'!M70</f>
        <v>-</v>
      </c>
      <c r="H70" s="137" t="str">
        <f>'Eclectic C'!W70</f>
        <v>-</v>
      </c>
      <c r="I70" s="137" t="str">
        <f>'Eclectic C'!AJ70</f>
        <v>-</v>
      </c>
      <c r="J70" s="137" t="str">
        <f>'Eclectic C'!AT70</f>
        <v>-</v>
      </c>
      <c r="K70" s="14" t="str">
        <f t="shared" ref="K70:K104" si="19">IF(AND(ISNUMBER(G70), ISNUMBER(H70)),G70+H70,"-")</f>
        <v>-</v>
      </c>
      <c r="L70" s="14" t="str">
        <f t="shared" ref="L70:L104" si="20">IF(AND(ISNUMBER(G70), ISNUMBER(H70)),K70-E70,"-")</f>
        <v>-</v>
      </c>
      <c r="M70" s="14" t="str">
        <f t="shared" ref="M70:M104" si="21">IF(AND(ISNUMBER(I70), ISNUMBER(J70)),I70+J70,"-")</f>
        <v>-</v>
      </c>
      <c r="N70" s="14" t="str">
        <f t="shared" ref="N70:N104" si="22">IF(AND(ISNUMBER(I70), ISNUMBER(J70)),M70-E70,"-")</f>
        <v>-</v>
      </c>
      <c r="O70" s="14" t="str">
        <f t="shared" ref="O70:O104" si="23">IF(AND(ISNUMBER(K70), ISNUMBER(M70)),K70+M70,"-")</f>
        <v>-</v>
      </c>
      <c r="P70" s="14" t="str">
        <f t="shared" ref="P70:P104" si="24">IF(AND(ISNUMBER(L70), ISNUMBER(N70)),L70+N70,"-")</f>
        <v>-</v>
      </c>
      <c r="Q70" s="108" t="e">
        <f>RANK($K70,$K$5:$K$104,1)+COUNTIF(K$5:K70,K70)-1</f>
        <v>#VALUE!</v>
      </c>
      <c r="R70" s="108" t="e">
        <f t="shared" ref="R70:R104" si="25">RANK($K70,$K$5:$K$105,1)</f>
        <v>#VALUE!</v>
      </c>
      <c r="S70" s="108" t="e">
        <f>RANK($L70,$L$5:$L$104,1)+COUNTIF(L$5:L70,L70)-1</f>
        <v>#VALUE!</v>
      </c>
      <c r="T70" s="108" t="e">
        <f t="shared" ref="T70:T104" si="26">RANK($L70,$L$5:$L$105,1)</f>
        <v>#VALUE!</v>
      </c>
      <c r="U70" s="108" t="e">
        <f>RANK($M70,$M$5:$M$104,1)+COUNTIF(M$5:M70,M70)-1</f>
        <v>#VALUE!</v>
      </c>
      <c r="V70" s="108" t="e">
        <f t="shared" ref="V70:V104" si="27">RANK($M70,$M$5:$M$105,1)</f>
        <v>#VALUE!</v>
      </c>
      <c r="W70" s="108" t="e">
        <f>RANK($N70,$N$5:$N$104,1)+COUNTIF(N$5:N70,N70)-1</f>
        <v>#VALUE!</v>
      </c>
      <c r="X70" s="108" t="e">
        <f t="shared" ref="X70:X104" si="28">RANK($N70,$N$5:$N$105,1)</f>
        <v>#VALUE!</v>
      </c>
      <c r="Y70" s="108" t="e">
        <f>RANK($O70,$O$5:$O$104,1)+COUNTIF(O$5:O70,O70)-1</f>
        <v>#VALUE!</v>
      </c>
      <c r="Z70" s="108" t="e">
        <f t="shared" ref="Z70:Z104" si="29">RANK($O70,$O$5:$O$105,1)</f>
        <v>#VALUE!</v>
      </c>
      <c r="AA70" s="108" t="e">
        <f>RANK($P70,$P$5:$P$104,1)+COUNTIF(P$5:P70,P70)-1</f>
        <v>#VALUE!</v>
      </c>
      <c r="AB70" s="108" t="e">
        <f t="shared" ref="AB70:AB104" si="30">RANK($P70,$P$5:$P$105,1)</f>
        <v>#VALUE!</v>
      </c>
      <c r="AC70" s="59" t="str">
        <f t="shared" ref="AC70:AC104" si="31">A70 &amp; " " &amp; B70</f>
        <v xml:space="preserve"> </v>
      </c>
      <c r="AD70" s="59" t="str">
        <f t="shared" ref="AD70:AD104" si="32">D70</f>
        <v>-</v>
      </c>
      <c r="AE70" s="119" t="str">
        <f t="shared" si="18"/>
        <v>-</v>
      </c>
      <c r="AF70" s="119" t="str">
        <f t="shared" si="18"/>
        <v>-</v>
      </c>
      <c r="AG70" s="119" t="str">
        <f t="shared" si="18"/>
        <v>-</v>
      </c>
      <c r="AH70" s="119" t="str">
        <f t="shared" si="17"/>
        <v>-</v>
      </c>
      <c r="AI70" s="119" t="str">
        <f t="shared" si="17"/>
        <v>-</v>
      </c>
      <c r="AJ70" s="119" t="str">
        <f t="shared" si="17"/>
        <v>-</v>
      </c>
      <c r="AM70" s="120">
        <v>66</v>
      </c>
      <c r="AN70" s="58" t="e">
        <f>VLOOKUP(AM70,Q$5:$AJ$104,$AO$2,FALSE)</f>
        <v>#N/A</v>
      </c>
      <c r="AO70" s="93" t="e">
        <f>VLOOKUP(AM70,Q$5:$AJ$104,$AO$2+11,FALSE)</f>
        <v>#N/A</v>
      </c>
      <c r="AP70" s="58" t="e">
        <f t="shared" ref="AP70:AP104" si="33">VLOOKUP(AN70,$Q$5:$AJ$104,$AO$2+13,FALSE)</f>
        <v>#N/A</v>
      </c>
      <c r="AR70" s="120">
        <v>66</v>
      </c>
      <c r="AS70" s="58" t="e">
        <f>VLOOKUP(AR70,$S$5:$AJ$104,$AT$2,FALSE)</f>
        <v>#N/A</v>
      </c>
      <c r="AT70" s="93" t="e">
        <f>VLOOKUP(AR70,$S$5:$AJ$104,$AT$2+9,FALSE)</f>
        <v>#N/A</v>
      </c>
      <c r="AU70" s="58" t="e">
        <f>VLOOKUP(AS70,$S$5:$AJ$104,$AT$2+12,FALSE)</f>
        <v>#N/A</v>
      </c>
      <c r="AV70" s="75"/>
      <c r="AW70" s="120">
        <v>66</v>
      </c>
      <c r="AX70" s="58" t="e">
        <f>VLOOKUP(AW70,$U$5:$AJ$104,$AY$2,FALSE)</f>
        <v>#N/A</v>
      </c>
      <c r="AY70" s="93" t="e">
        <f>VLOOKUP(AW70,$U$5:$AJ$104,$AY$2+7,FALSE)</f>
        <v>#N/A</v>
      </c>
      <c r="AZ70" s="58" t="e">
        <f>VLOOKUP(AX70,$U$5:$AJ$104,$AY$2+11,FALSE)</f>
        <v>#N/A</v>
      </c>
      <c r="BB70" s="120">
        <v>66</v>
      </c>
      <c r="BC70" s="58" t="e">
        <f>VLOOKUP(BB70,$W$5:$AJ$104,$BD$2,FALSE)</f>
        <v>#N/A</v>
      </c>
      <c r="BD70" s="93" t="e">
        <f>VLOOKUP(BB70,$W$5:$AJ$104,$BD$2+5,FALSE)</f>
        <v>#N/A</v>
      </c>
      <c r="BE70" s="58" t="e">
        <f>VLOOKUP(BC70,$W$5:$AJ$104,$BD$2+10,FALSE)</f>
        <v>#N/A</v>
      </c>
      <c r="BF70" s="75"/>
      <c r="BG70" s="120">
        <v>66</v>
      </c>
      <c r="BH70" s="58" t="e">
        <f>VLOOKUP(BG70,$Y$5:$AJ$104,$BI$2,FALSE)</f>
        <v>#N/A</v>
      </c>
      <c r="BI70" s="93" t="e">
        <f>VLOOKUP(BG70,$Y$5:$AJ$104,$BI$2+3,FALSE)</f>
        <v>#N/A</v>
      </c>
      <c r="BJ70" s="58" t="e">
        <f>VLOOKUP(BH70,$Y$5:$AJ$104,$BI$2+9,FALSE)</f>
        <v>#N/A</v>
      </c>
      <c r="BL70" s="120">
        <v>66</v>
      </c>
      <c r="BM70" s="58" t="e">
        <f>VLOOKUP(BL70,$AA$5:$AJ$104,$BN$2,FALSE)</f>
        <v>#N/A</v>
      </c>
      <c r="BN70" s="93" t="e">
        <f>VLOOKUP(BL70,$AA$5:$AJ$104,$BN$2+1,FALSE)</f>
        <v>#N/A</v>
      </c>
      <c r="BO70" s="58" t="e">
        <f>VLOOKUP(BM70,$AA$5:$AJ$104,$BN$2+8,FALSE)</f>
        <v>#N/A</v>
      </c>
      <c r="BQ70" s="2" t="e">
        <f>'Eclectic C'!CD70</f>
        <v>#N/A</v>
      </c>
      <c r="BR70" s="6" t="e">
        <f>'Eclectic C'!CE70</f>
        <v>#N/A</v>
      </c>
      <c r="BS70" s="103" t="e">
        <f>'Eclectic C'!CF70</f>
        <v>#N/A</v>
      </c>
    </row>
    <row r="71" spans="1:71">
      <c r="A71" s="10" t="str">
        <f>IF(ISBLANK(Players!K69),"",Players!K69)</f>
        <v/>
      </c>
      <c r="B71" s="10" t="str">
        <f>IF(ISBLANK(Players!L69),"",Players!L69)</f>
        <v/>
      </c>
      <c r="C71" s="10" t="str">
        <f>IF(ISBLANK(Players!N69),"",Players!N69)</f>
        <v/>
      </c>
      <c r="D71" s="126" t="str">
        <f>IF(ISNUMBER(C71),MIN((C71*Rules!$N$14/113)+(Rules!$N$13-Rules!$N$12),Rules!$N$37),"-")</f>
        <v>-</v>
      </c>
      <c r="E71" s="126" t="str">
        <f>IF(ISNUMBER(C71),    ROUND( (D71*Rules!$N$11) / 100,0),"-")</f>
        <v>-</v>
      </c>
      <c r="F71" s="36" t="str">
        <f>IF(AND(ISNUMBER(C71),C71&gt;=Rules!$M$24,C71&lt;=Rules!$N$24),"Y","N")</f>
        <v>N</v>
      </c>
      <c r="G71" s="137" t="str">
        <f>'Eclectic C'!M71</f>
        <v>-</v>
      </c>
      <c r="H71" s="137" t="str">
        <f>'Eclectic C'!W71</f>
        <v>-</v>
      </c>
      <c r="I71" s="137" t="str">
        <f>'Eclectic C'!AJ71</f>
        <v>-</v>
      </c>
      <c r="J71" s="137" t="str">
        <f>'Eclectic C'!AT71</f>
        <v>-</v>
      </c>
      <c r="K71" s="14" t="str">
        <f t="shared" si="19"/>
        <v>-</v>
      </c>
      <c r="L71" s="14" t="str">
        <f t="shared" si="20"/>
        <v>-</v>
      </c>
      <c r="M71" s="14" t="str">
        <f t="shared" si="21"/>
        <v>-</v>
      </c>
      <c r="N71" s="14" t="str">
        <f t="shared" si="22"/>
        <v>-</v>
      </c>
      <c r="O71" s="14" t="str">
        <f t="shared" si="23"/>
        <v>-</v>
      </c>
      <c r="P71" s="14" t="str">
        <f t="shared" si="24"/>
        <v>-</v>
      </c>
      <c r="Q71" s="108" t="e">
        <f>RANK($K71,$K$5:$K$104,1)+COUNTIF(K$5:K71,K71)-1</f>
        <v>#VALUE!</v>
      </c>
      <c r="R71" s="108" t="e">
        <f t="shared" si="25"/>
        <v>#VALUE!</v>
      </c>
      <c r="S71" s="108" t="e">
        <f>RANK($L71,$L$5:$L$104,1)+COUNTIF(L$5:L71,L71)-1</f>
        <v>#VALUE!</v>
      </c>
      <c r="T71" s="108" t="e">
        <f t="shared" si="26"/>
        <v>#VALUE!</v>
      </c>
      <c r="U71" s="108" t="e">
        <f>RANK($M71,$M$5:$M$104,1)+COUNTIF(M$5:M71,M71)-1</f>
        <v>#VALUE!</v>
      </c>
      <c r="V71" s="108" t="e">
        <f t="shared" si="27"/>
        <v>#VALUE!</v>
      </c>
      <c r="W71" s="108" t="e">
        <f>RANK($N71,$N$5:$N$104,1)+COUNTIF(N$5:N71,N71)-1</f>
        <v>#VALUE!</v>
      </c>
      <c r="X71" s="108" t="e">
        <f t="shared" si="28"/>
        <v>#VALUE!</v>
      </c>
      <c r="Y71" s="108" t="e">
        <f>RANK($O71,$O$5:$O$104,1)+COUNTIF(O$5:O71,O71)-1</f>
        <v>#VALUE!</v>
      </c>
      <c r="Z71" s="108" t="e">
        <f t="shared" si="29"/>
        <v>#VALUE!</v>
      </c>
      <c r="AA71" s="108" t="e">
        <f>RANK($P71,$P$5:$P$104,1)+COUNTIF(P$5:P71,P71)-1</f>
        <v>#VALUE!</v>
      </c>
      <c r="AB71" s="108" t="e">
        <f t="shared" si="30"/>
        <v>#VALUE!</v>
      </c>
      <c r="AC71" s="59" t="str">
        <f t="shared" si="31"/>
        <v xml:space="preserve"> </v>
      </c>
      <c r="AD71" s="59" t="str">
        <f t="shared" si="32"/>
        <v>-</v>
      </c>
      <c r="AE71" s="119" t="str">
        <f t="shared" si="18"/>
        <v>-</v>
      </c>
      <c r="AF71" s="119" t="str">
        <f t="shared" si="18"/>
        <v>-</v>
      </c>
      <c r="AG71" s="119" t="str">
        <f t="shared" si="18"/>
        <v>-</v>
      </c>
      <c r="AH71" s="119" t="str">
        <f t="shared" si="17"/>
        <v>-</v>
      </c>
      <c r="AI71" s="119" t="str">
        <f t="shared" si="17"/>
        <v>-</v>
      </c>
      <c r="AJ71" s="119" t="str">
        <f t="shared" si="17"/>
        <v>-</v>
      </c>
      <c r="AM71" s="120">
        <v>67</v>
      </c>
      <c r="AN71" s="58" t="e">
        <f>VLOOKUP(AM71,Q$5:$AJ$104,$AO$2,FALSE)</f>
        <v>#N/A</v>
      </c>
      <c r="AO71" s="93" t="e">
        <f>VLOOKUP(AM71,Q$5:$AJ$104,$AO$2+11,FALSE)</f>
        <v>#N/A</v>
      </c>
      <c r="AP71" s="58" t="e">
        <f t="shared" si="33"/>
        <v>#N/A</v>
      </c>
      <c r="AR71" s="120">
        <v>67</v>
      </c>
      <c r="AS71" s="58" t="e">
        <f>VLOOKUP(AR71,$S$5:$AJ$104,$AT$2,FALSE)</f>
        <v>#N/A</v>
      </c>
      <c r="AT71" s="93" t="e">
        <f>VLOOKUP(AR71,$S$5:$AJ$104,$AT$2+9,FALSE)</f>
        <v>#N/A</v>
      </c>
      <c r="AU71" s="58" t="e">
        <f>VLOOKUP(AS71,$S$5:$AJ$104,$AT$2+12,FALSE)</f>
        <v>#N/A</v>
      </c>
      <c r="AV71" s="75"/>
      <c r="AW71" s="120">
        <v>67</v>
      </c>
      <c r="AX71" s="58" t="e">
        <f>VLOOKUP(AW71,$U$5:$AJ$104,$AY$2,FALSE)</f>
        <v>#N/A</v>
      </c>
      <c r="AY71" s="93" t="e">
        <f>VLOOKUP(AW71,$U$5:$AJ$104,$AY$2+7,FALSE)</f>
        <v>#N/A</v>
      </c>
      <c r="AZ71" s="58" t="e">
        <f>VLOOKUP(AX71,$U$5:$AJ$104,$AY$2+11,FALSE)</f>
        <v>#N/A</v>
      </c>
      <c r="BB71" s="120">
        <v>67</v>
      </c>
      <c r="BC71" s="58" t="e">
        <f>VLOOKUP(BB71,$W$5:$AJ$104,$BD$2,FALSE)</f>
        <v>#N/A</v>
      </c>
      <c r="BD71" s="93" t="e">
        <f>VLOOKUP(BB71,$W$5:$AJ$104,$BD$2+5,FALSE)</f>
        <v>#N/A</v>
      </c>
      <c r="BE71" s="58" t="e">
        <f>VLOOKUP(BC71,$W$5:$AJ$104,$BD$2+10,FALSE)</f>
        <v>#N/A</v>
      </c>
      <c r="BF71" s="75"/>
      <c r="BG71" s="120">
        <v>67</v>
      </c>
      <c r="BH71" s="58" t="e">
        <f>VLOOKUP(BG71,$Y$5:$AJ$104,$BI$2,FALSE)</f>
        <v>#N/A</v>
      </c>
      <c r="BI71" s="93" t="e">
        <f>VLOOKUP(BG71,$Y$5:$AJ$104,$BI$2+3,FALSE)</f>
        <v>#N/A</v>
      </c>
      <c r="BJ71" s="58" t="e">
        <f>VLOOKUP(BH71,$Y$5:$AJ$104,$BI$2+9,FALSE)</f>
        <v>#N/A</v>
      </c>
      <c r="BL71" s="120">
        <v>67</v>
      </c>
      <c r="BM71" s="58" t="e">
        <f>VLOOKUP(BL71,$AA$5:$AJ$104,$BN$2,FALSE)</f>
        <v>#N/A</v>
      </c>
      <c r="BN71" s="93" t="e">
        <f>VLOOKUP(BL71,$AA$5:$AJ$104,$BN$2+1,FALSE)</f>
        <v>#N/A</v>
      </c>
      <c r="BO71" s="58" t="e">
        <f>VLOOKUP(BM71,$AA$5:$AJ$104,$BN$2+8,FALSE)</f>
        <v>#N/A</v>
      </c>
      <c r="BQ71" s="2" t="e">
        <f>'Eclectic C'!CD71</f>
        <v>#N/A</v>
      </c>
      <c r="BR71" s="6" t="e">
        <f>'Eclectic C'!CE71</f>
        <v>#N/A</v>
      </c>
      <c r="BS71" s="103" t="e">
        <f>'Eclectic C'!CF71</f>
        <v>#N/A</v>
      </c>
    </row>
    <row r="72" spans="1:71">
      <c r="A72" s="10" t="str">
        <f>IF(ISBLANK(Players!K70),"",Players!K70)</f>
        <v/>
      </c>
      <c r="B72" s="10" t="str">
        <f>IF(ISBLANK(Players!L70),"",Players!L70)</f>
        <v/>
      </c>
      <c r="C72" s="10" t="str">
        <f>IF(ISBLANK(Players!N70),"",Players!N70)</f>
        <v/>
      </c>
      <c r="D72" s="126" t="str">
        <f>IF(ISNUMBER(C72),MIN((C72*Rules!$N$14/113)+(Rules!$N$13-Rules!$N$12),Rules!$N$37),"-")</f>
        <v>-</v>
      </c>
      <c r="E72" s="126" t="str">
        <f>IF(ISNUMBER(C72),    ROUND( (D72*Rules!$N$11) / 100,0),"-")</f>
        <v>-</v>
      </c>
      <c r="F72" s="36" t="str">
        <f>IF(AND(ISNUMBER(C72),C72&gt;=Rules!$M$24,C72&lt;=Rules!$N$24),"Y","N")</f>
        <v>N</v>
      </c>
      <c r="G72" s="137" t="str">
        <f>'Eclectic C'!M72</f>
        <v>-</v>
      </c>
      <c r="H72" s="137" t="str">
        <f>'Eclectic C'!W72</f>
        <v>-</v>
      </c>
      <c r="I72" s="137" t="str">
        <f>'Eclectic C'!AJ72</f>
        <v>-</v>
      </c>
      <c r="J72" s="137" t="str">
        <f>'Eclectic C'!AT72</f>
        <v>-</v>
      </c>
      <c r="K72" s="14" t="str">
        <f t="shared" si="19"/>
        <v>-</v>
      </c>
      <c r="L72" s="14" t="str">
        <f t="shared" si="20"/>
        <v>-</v>
      </c>
      <c r="M72" s="14" t="str">
        <f t="shared" si="21"/>
        <v>-</v>
      </c>
      <c r="N72" s="14" t="str">
        <f t="shared" si="22"/>
        <v>-</v>
      </c>
      <c r="O72" s="14" t="str">
        <f t="shared" si="23"/>
        <v>-</v>
      </c>
      <c r="P72" s="14" t="str">
        <f t="shared" si="24"/>
        <v>-</v>
      </c>
      <c r="Q72" s="108" t="e">
        <f>RANK($K72,$K$5:$K$104,1)+COUNTIF(K$5:K72,K72)-1</f>
        <v>#VALUE!</v>
      </c>
      <c r="R72" s="108" t="e">
        <f t="shared" si="25"/>
        <v>#VALUE!</v>
      </c>
      <c r="S72" s="108" t="e">
        <f>RANK($L72,$L$5:$L$104,1)+COUNTIF(L$5:L72,L72)-1</f>
        <v>#VALUE!</v>
      </c>
      <c r="T72" s="108" t="e">
        <f t="shared" si="26"/>
        <v>#VALUE!</v>
      </c>
      <c r="U72" s="108" t="e">
        <f>RANK($M72,$M$5:$M$104,1)+COUNTIF(M$5:M72,M72)-1</f>
        <v>#VALUE!</v>
      </c>
      <c r="V72" s="108" t="e">
        <f t="shared" si="27"/>
        <v>#VALUE!</v>
      </c>
      <c r="W72" s="108" t="e">
        <f>RANK($N72,$N$5:$N$104,1)+COUNTIF(N$5:N72,N72)-1</f>
        <v>#VALUE!</v>
      </c>
      <c r="X72" s="108" t="e">
        <f t="shared" si="28"/>
        <v>#VALUE!</v>
      </c>
      <c r="Y72" s="108" t="e">
        <f>RANK($O72,$O$5:$O$104,1)+COUNTIF(O$5:O72,O72)-1</f>
        <v>#VALUE!</v>
      </c>
      <c r="Z72" s="108" t="e">
        <f t="shared" si="29"/>
        <v>#VALUE!</v>
      </c>
      <c r="AA72" s="108" t="e">
        <f>RANK($P72,$P$5:$P$104,1)+COUNTIF(P$5:P72,P72)-1</f>
        <v>#VALUE!</v>
      </c>
      <c r="AB72" s="108" t="e">
        <f t="shared" si="30"/>
        <v>#VALUE!</v>
      </c>
      <c r="AC72" s="59" t="str">
        <f t="shared" si="31"/>
        <v xml:space="preserve"> </v>
      </c>
      <c r="AD72" s="59" t="str">
        <f t="shared" si="32"/>
        <v>-</v>
      </c>
      <c r="AE72" s="119" t="str">
        <f t="shared" si="18"/>
        <v>-</v>
      </c>
      <c r="AF72" s="119" t="str">
        <f t="shared" si="18"/>
        <v>-</v>
      </c>
      <c r="AG72" s="119" t="str">
        <f t="shared" si="18"/>
        <v>-</v>
      </c>
      <c r="AH72" s="119" t="str">
        <f t="shared" si="17"/>
        <v>-</v>
      </c>
      <c r="AI72" s="119" t="str">
        <f t="shared" si="17"/>
        <v>-</v>
      </c>
      <c r="AJ72" s="119" t="str">
        <f t="shared" si="17"/>
        <v>-</v>
      </c>
      <c r="AM72" s="120">
        <v>68</v>
      </c>
      <c r="AN72" s="58" t="e">
        <f>VLOOKUP(AM72,Q$5:$AJ$104,$AO$2,FALSE)</f>
        <v>#N/A</v>
      </c>
      <c r="AO72" s="93" t="e">
        <f>VLOOKUP(AM72,Q$5:$AJ$104,$AO$2+11,FALSE)</f>
        <v>#N/A</v>
      </c>
      <c r="AP72" s="58" t="e">
        <f t="shared" si="33"/>
        <v>#N/A</v>
      </c>
      <c r="AR72" s="120">
        <v>68</v>
      </c>
      <c r="AS72" s="58" t="e">
        <f>VLOOKUP(AR72,$S$5:$AJ$104,$AT$2,FALSE)</f>
        <v>#N/A</v>
      </c>
      <c r="AT72" s="93" t="e">
        <f>VLOOKUP(AR72,$S$5:$AJ$104,$AT$2+9,FALSE)</f>
        <v>#N/A</v>
      </c>
      <c r="AU72" s="58" t="e">
        <f>VLOOKUP(AS72,$S$5:$AJ$104,$AT$2+12,FALSE)</f>
        <v>#N/A</v>
      </c>
      <c r="AV72" s="75"/>
      <c r="AW72" s="120">
        <v>68</v>
      </c>
      <c r="AX72" s="58" t="e">
        <f>VLOOKUP(AW72,$U$5:$AJ$104,$AY$2,FALSE)</f>
        <v>#N/A</v>
      </c>
      <c r="AY72" s="93" t="e">
        <f>VLOOKUP(AW72,$U$5:$AJ$104,$AY$2+7,FALSE)</f>
        <v>#N/A</v>
      </c>
      <c r="AZ72" s="58" t="e">
        <f>VLOOKUP(AX72,$U$5:$AJ$104,$AY$2+11,FALSE)</f>
        <v>#N/A</v>
      </c>
      <c r="BB72" s="120">
        <v>68</v>
      </c>
      <c r="BC72" s="58" t="e">
        <f>VLOOKUP(BB72,$W$5:$AJ$104,$BD$2,FALSE)</f>
        <v>#N/A</v>
      </c>
      <c r="BD72" s="93" t="e">
        <f>VLOOKUP(BB72,$W$5:$AJ$104,$BD$2+5,FALSE)</f>
        <v>#N/A</v>
      </c>
      <c r="BE72" s="58" t="e">
        <f>VLOOKUP(BC72,$W$5:$AJ$104,$BD$2+10,FALSE)</f>
        <v>#N/A</v>
      </c>
      <c r="BF72" s="75"/>
      <c r="BG72" s="120">
        <v>68</v>
      </c>
      <c r="BH72" s="58" t="e">
        <f>VLOOKUP(BG72,$Y$5:$AJ$104,$BI$2,FALSE)</f>
        <v>#N/A</v>
      </c>
      <c r="BI72" s="93" t="e">
        <f>VLOOKUP(BG72,$Y$5:$AJ$104,$BI$2+3,FALSE)</f>
        <v>#N/A</v>
      </c>
      <c r="BJ72" s="58" t="e">
        <f>VLOOKUP(BH72,$Y$5:$AJ$104,$BI$2+9,FALSE)</f>
        <v>#N/A</v>
      </c>
      <c r="BL72" s="120">
        <v>68</v>
      </c>
      <c r="BM72" s="58" t="e">
        <f>VLOOKUP(BL72,$AA$5:$AJ$104,$BN$2,FALSE)</f>
        <v>#N/A</v>
      </c>
      <c r="BN72" s="93" t="e">
        <f>VLOOKUP(BL72,$AA$5:$AJ$104,$BN$2+1,FALSE)</f>
        <v>#N/A</v>
      </c>
      <c r="BO72" s="58" t="e">
        <f>VLOOKUP(BM72,$AA$5:$AJ$104,$BN$2+8,FALSE)</f>
        <v>#N/A</v>
      </c>
      <c r="BQ72" s="2" t="e">
        <f>'Eclectic C'!CD72</f>
        <v>#N/A</v>
      </c>
      <c r="BR72" s="6" t="e">
        <f>'Eclectic C'!CE72</f>
        <v>#N/A</v>
      </c>
      <c r="BS72" s="103" t="e">
        <f>'Eclectic C'!CF72</f>
        <v>#N/A</v>
      </c>
    </row>
    <row r="73" spans="1:71">
      <c r="A73" s="10" t="str">
        <f>IF(ISBLANK(Players!K71),"",Players!K71)</f>
        <v/>
      </c>
      <c r="B73" s="10" t="str">
        <f>IF(ISBLANK(Players!L71),"",Players!L71)</f>
        <v/>
      </c>
      <c r="C73" s="10" t="str">
        <f>IF(ISBLANK(Players!N71),"",Players!N71)</f>
        <v/>
      </c>
      <c r="D73" s="126" t="str">
        <f>IF(ISNUMBER(C73),MIN((C73*Rules!$N$14/113)+(Rules!$N$13-Rules!$N$12),Rules!$N$37),"-")</f>
        <v>-</v>
      </c>
      <c r="E73" s="126" t="str">
        <f>IF(ISNUMBER(C73),    ROUND( (D73*Rules!$N$11) / 100,0),"-")</f>
        <v>-</v>
      </c>
      <c r="F73" s="36" t="str">
        <f>IF(AND(ISNUMBER(C73),C73&gt;=Rules!$M$24,C73&lt;=Rules!$N$24),"Y","N")</f>
        <v>N</v>
      </c>
      <c r="G73" s="137" t="str">
        <f>'Eclectic C'!M73</f>
        <v>-</v>
      </c>
      <c r="H73" s="137" t="str">
        <f>'Eclectic C'!W73</f>
        <v>-</v>
      </c>
      <c r="I73" s="137" t="str">
        <f>'Eclectic C'!AJ73</f>
        <v>-</v>
      </c>
      <c r="J73" s="137" t="str">
        <f>'Eclectic C'!AT73</f>
        <v>-</v>
      </c>
      <c r="K73" s="14" t="str">
        <f t="shared" si="19"/>
        <v>-</v>
      </c>
      <c r="L73" s="14" t="str">
        <f t="shared" si="20"/>
        <v>-</v>
      </c>
      <c r="M73" s="14" t="str">
        <f t="shared" si="21"/>
        <v>-</v>
      </c>
      <c r="N73" s="14" t="str">
        <f t="shared" si="22"/>
        <v>-</v>
      </c>
      <c r="O73" s="14" t="str">
        <f t="shared" si="23"/>
        <v>-</v>
      </c>
      <c r="P73" s="14" t="str">
        <f t="shared" si="24"/>
        <v>-</v>
      </c>
      <c r="Q73" s="108" t="e">
        <f>RANK($K73,$K$5:$K$104,1)+COUNTIF(K$5:K73,K73)-1</f>
        <v>#VALUE!</v>
      </c>
      <c r="R73" s="108" t="e">
        <f t="shared" si="25"/>
        <v>#VALUE!</v>
      </c>
      <c r="S73" s="108" t="e">
        <f>RANK($L73,$L$5:$L$104,1)+COUNTIF(L$5:L73,L73)-1</f>
        <v>#VALUE!</v>
      </c>
      <c r="T73" s="108" t="e">
        <f t="shared" si="26"/>
        <v>#VALUE!</v>
      </c>
      <c r="U73" s="108" t="e">
        <f>RANK($M73,$M$5:$M$104,1)+COUNTIF(M$5:M73,M73)-1</f>
        <v>#VALUE!</v>
      </c>
      <c r="V73" s="108" t="e">
        <f t="shared" si="27"/>
        <v>#VALUE!</v>
      </c>
      <c r="W73" s="108" t="e">
        <f>RANK($N73,$N$5:$N$104,1)+COUNTIF(N$5:N73,N73)-1</f>
        <v>#VALUE!</v>
      </c>
      <c r="X73" s="108" t="e">
        <f t="shared" si="28"/>
        <v>#VALUE!</v>
      </c>
      <c r="Y73" s="108" t="e">
        <f>RANK($O73,$O$5:$O$104,1)+COUNTIF(O$5:O73,O73)-1</f>
        <v>#VALUE!</v>
      </c>
      <c r="Z73" s="108" t="e">
        <f t="shared" si="29"/>
        <v>#VALUE!</v>
      </c>
      <c r="AA73" s="108" t="e">
        <f>RANK($P73,$P$5:$P$104,1)+COUNTIF(P$5:P73,P73)-1</f>
        <v>#VALUE!</v>
      </c>
      <c r="AB73" s="108" t="e">
        <f t="shared" si="30"/>
        <v>#VALUE!</v>
      </c>
      <c r="AC73" s="59" t="str">
        <f t="shared" si="31"/>
        <v xml:space="preserve"> </v>
      </c>
      <c r="AD73" s="59" t="str">
        <f t="shared" si="32"/>
        <v>-</v>
      </c>
      <c r="AE73" s="119" t="str">
        <f t="shared" si="18"/>
        <v>-</v>
      </c>
      <c r="AF73" s="119" t="str">
        <f t="shared" si="18"/>
        <v>-</v>
      </c>
      <c r="AG73" s="119" t="str">
        <f t="shared" si="18"/>
        <v>-</v>
      </c>
      <c r="AH73" s="119" t="str">
        <f t="shared" si="17"/>
        <v>-</v>
      </c>
      <c r="AI73" s="119" t="str">
        <f t="shared" si="17"/>
        <v>-</v>
      </c>
      <c r="AJ73" s="119" t="str">
        <f t="shared" si="17"/>
        <v>-</v>
      </c>
      <c r="AM73" s="120">
        <v>69</v>
      </c>
      <c r="AN73" s="58" t="e">
        <f>VLOOKUP(AM73,Q$5:$AJ$104,$AO$2,FALSE)</f>
        <v>#N/A</v>
      </c>
      <c r="AO73" s="93" t="e">
        <f>VLOOKUP(AM73,Q$5:$AJ$104,$AO$2+11,FALSE)</f>
        <v>#N/A</v>
      </c>
      <c r="AP73" s="58" t="e">
        <f t="shared" si="33"/>
        <v>#N/A</v>
      </c>
      <c r="AR73" s="120">
        <v>69</v>
      </c>
      <c r="AS73" s="58" t="e">
        <f>VLOOKUP(AR73,$S$5:$AJ$104,$AT$2,FALSE)</f>
        <v>#N/A</v>
      </c>
      <c r="AT73" s="93" t="e">
        <f>VLOOKUP(AR73,$S$5:$AJ$104,$AT$2+9,FALSE)</f>
        <v>#N/A</v>
      </c>
      <c r="AU73" s="58" t="e">
        <f>VLOOKUP(AS73,$S$5:$AJ$104,$AT$2+12,FALSE)</f>
        <v>#N/A</v>
      </c>
      <c r="AV73" s="75"/>
      <c r="AW73" s="120">
        <v>69</v>
      </c>
      <c r="AX73" s="58" t="e">
        <f>VLOOKUP(AW73,$U$5:$AJ$104,$AY$2,FALSE)</f>
        <v>#N/A</v>
      </c>
      <c r="AY73" s="93" t="e">
        <f>VLOOKUP(AW73,$U$5:$AJ$104,$AY$2+7,FALSE)</f>
        <v>#N/A</v>
      </c>
      <c r="AZ73" s="58" t="e">
        <f>VLOOKUP(AX73,$U$5:$AJ$104,$AY$2+11,FALSE)</f>
        <v>#N/A</v>
      </c>
      <c r="BB73" s="120">
        <v>69</v>
      </c>
      <c r="BC73" s="58" t="e">
        <f>VLOOKUP(BB73,$W$5:$AJ$104,$BD$2,FALSE)</f>
        <v>#N/A</v>
      </c>
      <c r="BD73" s="93" t="e">
        <f>VLOOKUP(BB73,$W$5:$AJ$104,$BD$2+5,FALSE)</f>
        <v>#N/A</v>
      </c>
      <c r="BE73" s="58" t="e">
        <f>VLOOKUP(BC73,$W$5:$AJ$104,$BD$2+10,FALSE)</f>
        <v>#N/A</v>
      </c>
      <c r="BF73" s="75"/>
      <c r="BG73" s="120">
        <v>69</v>
      </c>
      <c r="BH73" s="58" t="e">
        <f>VLOOKUP(BG73,$Y$5:$AJ$104,$BI$2,FALSE)</f>
        <v>#N/A</v>
      </c>
      <c r="BI73" s="93" t="e">
        <f>VLOOKUP(BG73,$Y$5:$AJ$104,$BI$2+3,FALSE)</f>
        <v>#N/A</v>
      </c>
      <c r="BJ73" s="58" t="e">
        <f>VLOOKUP(BH73,$Y$5:$AJ$104,$BI$2+9,FALSE)</f>
        <v>#N/A</v>
      </c>
      <c r="BL73" s="120">
        <v>69</v>
      </c>
      <c r="BM73" s="58" t="e">
        <f>VLOOKUP(BL73,$AA$5:$AJ$104,$BN$2,FALSE)</f>
        <v>#N/A</v>
      </c>
      <c r="BN73" s="93" t="e">
        <f>VLOOKUP(BL73,$AA$5:$AJ$104,$BN$2+1,FALSE)</f>
        <v>#N/A</v>
      </c>
      <c r="BO73" s="58" t="e">
        <f>VLOOKUP(BM73,$AA$5:$AJ$104,$BN$2+8,FALSE)</f>
        <v>#N/A</v>
      </c>
      <c r="BQ73" s="2" t="e">
        <f>'Eclectic C'!CD73</f>
        <v>#N/A</v>
      </c>
      <c r="BR73" s="6" t="e">
        <f>'Eclectic C'!CE73</f>
        <v>#N/A</v>
      </c>
      <c r="BS73" s="103" t="e">
        <f>'Eclectic C'!CF73</f>
        <v>#N/A</v>
      </c>
    </row>
    <row r="74" spans="1:71">
      <c r="A74" s="10" t="str">
        <f>IF(ISBLANK(Players!K72),"",Players!K72)</f>
        <v/>
      </c>
      <c r="B74" s="10" t="str">
        <f>IF(ISBLANK(Players!L72),"",Players!L72)</f>
        <v/>
      </c>
      <c r="C74" s="10" t="str">
        <f>IF(ISBLANK(Players!N72),"",Players!N72)</f>
        <v/>
      </c>
      <c r="D74" s="126" t="str">
        <f>IF(ISNUMBER(C74),MIN((C74*Rules!$N$14/113)+(Rules!$N$13-Rules!$N$12),Rules!$N$37),"-")</f>
        <v>-</v>
      </c>
      <c r="E74" s="126" t="str">
        <f>IF(ISNUMBER(C74),    ROUND( (D74*Rules!$N$11) / 100,0),"-")</f>
        <v>-</v>
      </c>
      <c r="F74" s="36" t="str">
        <f>IF(AND(ISNUMBER(C74),C74&gt;=Rules!$M$24,C74&lt;=Rules!$N$24),"Y","N")</f>
        <v>N</v>
      </c>
      <c r="G74" s="137" t="str">
        <f>'Eclectic C'!M74</f>
        <v>-</v>
      </c>
      <c r="H74" s="137" t="str">
        <f>'Eclectic C'!W74</f>
        <v>-</v>
      </c>
      <c r="I74" s="137" t="str">
        <f>'Eclectic C'!AJ74</f>
        <v>-</v>
      </c>
      <c r="J74" s="137" t="str">
        <f>'Eclectic C'!AT74</f>
        <v>-</v>
      </c>
      <c r="K74" s="14" t="str">
        <f t="shared" si="19"/>
        <v>-</v>
      </c>
      <c r="L74" s="14" t="str">
        <f t="shared" si="20"/>
        <v>-</v>
      </c>
      <c r="M74" s="14" t="str">
        <f t="shared" si="21"/>
        <v>-</v>
      </c>
      <c r="N74" s="14" t="str">
        <f t="shared" si="22"/>
        <v>-</v>
      </c>
      <c r="O74" s="14" t="str">
        <f t="shared" si="23"/>
        <v>-</v>
      </c>
      <c r="P74" s="14" t="str">
        <f t="shared" si="24"/>
        <v>-</v>
      </c>
      <c r="Q74" s="108" t="e">
        <f>RANK($K74,$K$5:$K$104,1)+COUNTIF(K$5:K74,K74)-1</f>
        <v>#VALUE!</v>
      </c>
      <c r="R74" s="108" t="e">
        <f t="shared" si="25"/>
        <v>#VALUE!</v>
      </c>
      <c r="S74" s="108" t="e">
        <f>RANK($L74,$L$5:$L$104,1)+COUNTIF(L$5:L74,L74)-1</f>
        <v>#VALUE!</v>
      </c>
      <c r="T74" s="108" t="e">
        <f t="shared" si="26"/>
        <v>#VALUE!</v>
      </c>
      <c r="U74" s="108" t="e">
        <f>RANK($M74,$M$5:$M$104,1)+COUNTIF(M$5:M74,M74)-1</f>
        <v>#VALUE!</v>
      </c>
      <c r="V74" s="108" t="e">
        <f t="shared" si="27"/>
        <v>#VALUE!</v>
      </c>
      <c r="W74" s="108" t="e">
        <f>RANK($N74,$N$5:$N$104,1)+COUNTIF(N$5:N74,N74)-1</f>
        <v>#VALUE!</v>
      </c>
      <c r="X74" s="108" t="e">
        <f t="shared" si="28"/>
        <v>#VALUE!</v>
      </c>
      <c r="Y74" s="108" t="e">
        <f>RANK($O74,$O$5:$O$104,1)+COUNTIF(O$5:O74,O74)-1</f>
        <v>#VALUE!</v>
      </c>
      <c r="Z74" s="108" t="e">
        <f t="shared" si="29"/>
        <v>#VALUE!</v>
      </c>
      <c r="AA74" s="108" t="e">
        <f>RANK($P74,$P$5:$P$104,1)+COUNTIF(P$5:P74,P74)-1</f>
        <v>#VALUE!</v>
      </c>
      <c r="AB74" s="108" t="e">
        <f t="shared" si="30"/>
        <v>#VALUE!</v>
      </c>
      <c r="AC74" s="59" t="str">
        <f t="shared" si="31"/>
        <v xml:space="preserve"> </v>
      </c>
      <c r="AD74" s="59" t="str">
        <f t="shared" si="32"/>
        <v>-</v>
      </c>
      <c r="AE74" s="119" t="str">
        <f t="shared" si="18"/>
        <v>-</v>
      </c>
      <c r="AF74" s="119" t="str">
        <f t="shared" si="18"/>
        <v>-</v>
      </c>
      <c r="AG74" s="119" t="str">
        <f t="shared" si="18"/>
        <v>-</v>
      </c>
      <c r="AH74" s="119" t="str">
        <f t="shared" si="17"/>
        <v>-</v>
      </c>
      <c r="AI74" s="119" t="str">
        <f t="shared" si="17"/>
        <v>-</v>
      </c>
      <c r="AJ74" s="119" t="str">
        <f t="shared" si="17"/>
        <v>-</v>
      </c>
      <c r="AM74" s="120">
        <v>70</v>
      </c>
      <c r="AN74" s="58" t="e">
        <f>VLOOKUP(AM74,Q$5:$AJ$104,$AO$2,FALSE)</f>
        <v>#N/A</v>
      </c>
      <c r="AO74" s="93" t="e">
        <f>VLOOKUP(AM74,Q$5:$AJ$104,$AO$2+11,FALSE)</f>
        <v>#N/A</v>
      </c>
      <c r="AP74" s="58" t="e">
        <f t="shared" si="33"/>
        <v>#N/A</v>
      </c>
      <c r="AR74" s="120">
        <v>70</v>
      </c>
      <c r="AS74" s="58" t="e">
        <f>VLOOKUP(AR74,$S$5:$AJ$104,$AT$2,FALSE)</f>
        <v>#N/A</v>
      </c>
      <c r="AT74" s="93" t="e">
        <f>VLOOKUP(AR74,$S$5:$AJ$104,$AT$2+9,FALSE)</f>
        <v>#N/A</v>
      </c>
      <c r="AU74" s="58" t="e">
        <f>VLOOKUP(AS74,$S$5:$AJ$104,$AT$2+12,FALSE)</f>
        <v>#N/A</v>
      </c>
      <c r="AV74" s="75"/>
      <c r="AW74" s="120">
        <v>70</v>
      </c>
      <c r="AX74" s="58" t="e">
        <f>VLOOKUP(AW74,$U$5:$AJ$104,$AY$2,FALSE)</f>
        <v>#N/A</v>
      </c>
      <c r="AY74" s="93" t="e">
        <f>VLOOKUP(AW74,$U$5:$AJ$104,$AY$2+7,FALSE)</f>
        <v>#N/A</v>
      </c>
      <c r="AZ74" s="58" t="e">
        <f>VLOOKUP(AX74,$U$5:$AJ$104,$AY$2+11,FALSE)</f>
        <v>#N/A</v>
      </c>
      <c r="BB74" s="120">
        <v>70</v>
      </c>
      <c r="BC74" s="58" t="e">
        <f>VLOOKUP(BB74,$W$5:$AJ$104,$BD$2,FALSE)</f>
        <v>#N/A</v>
      </c>
      <c r="BD74" s="93" t="e">
        <f>VLOOKUP(BB74,$W$5:$AJ$104,$BD$2+5,FALSE)</f>
        <v>#N/A</v>
      </c>
      <c r="BE74" s="58" t="e">
        <f>VLOOKUP(BC74,$W$5:$AJ$104,$BD$2+10,FALSE)</f>
        <v>#N/A</v>
      </c>
      <c r="BF74" s="75"/>
      <c r="BG74" s="120">
        <v>70</v>
      </c>
      <c r="BH74" s="58" t="e">
        <f>VLOOKUP(BG74,$Y$5:$AJ$104,$BI$2,FALSE)</f>
        <v>#N/A</v>
      </c>
      <c r="BI74" s="93" t="e">
        <f>VLOOKUP(BG74,$Y$5:$AJ$104,$BI$2+3,FALSE)</f>
        <v>#N/A</v>
      </c>
      <c r="BJ74" s="58" t="e">
        <f>VLOOKUP(BH74,$Y$5:$AJ$104,$BI$2+9,FALSE)</f>
        <v>#N/A</v>
      </c>
      <c r="BL74" s="120">
        <v>70</v>
      </c>
      <c r="BM74" s="58" t="e">
        <f>VLOOKUP(BL74,$AA$5:$AJ$104,$BN$2,FALSE)</f>
        <v>#N/A</v>
      </c>
      <c r="BN74" s="93" t="e">
        <f>VLOOKUP(BL74,$AA$5:$AJ$104,$BN$2+1,FALSE)</f>
        <v>#N/A</v>
      </c>
      <c r="BO74" s="58" t="e">
        <f>VLOOKUP(BM74,$AA$5:$AJ$104,$BN$2+8,FALSE)</f>
        <v>#N/A</v>
      </c>
      <c r="BQ74" s="2" t="e">
        <f>'Eclectic C'!CD74</f>
        <v>#N/A</v>
      </c>
      <c r="BR74" s="6" t="e">
        <f>'Eclectic C'!CE74</f>
        <v>#N/A</v>
      </c>
      <c r="BS74" s="103" t="e">
        <f>'Eclectic C'!CF74</f>
        <v>#N/A</v>
      </c>
    </row>
    <row r="75" spans="1:71">
      <c r="A75" s="10" t="str">
        <f>IF(ISBLANK(Players!K73),"",Players!K73)</f>
        <v/>
      </c>
      <c r="B75" s="10" t="str">
        <f>IF(ISBLANK(Players!L73),"",Players!L73)</f>
        <v/>
      </c>
      <c r="C75" s="10" t="str">
        <f>IF(ISBLANK(Players!N73),"",Players!N73)</f>
        <v/>
      </c>
      <c r="D75" s="126" t="str">
        <f>IF(ISNUMBER(C75),MIN((C75*Rules!$N$14/113)+(Rules!$N$13-Rules!$N$12),Rules!$N$37),"-")</f>
        <v>-</v>
      </c>
      <c r="E75" s="126" t="str">
        <f>IF(ISNUMBER(C75),    ROUND( (D75*Rules!$N$11) / 100,0),"-")</f>
        <v>-</v>
      </c>
      <c r="F75" s="36" t="str">
        <f>IF(AND(ISNUMBER(C75),C75&gt;=Rules!$M$24,C75&lt;=Rules!$N$24),"Y","N")</f>
        <v>N</v>
      </c>
      <c r="G75" s="137" t="str">
        <f>'Eclectic C'!M75</f>
        <v>-</v>
      </c>
      <c r="H75" s="137" t="str">
        <f>'Eclectic C'!W75</f>
        <v>-</v>
      </c>
      <c r="I75" s="137" t="str">
        <f>'Eclectic C'!AJ75</f>
        <v>-</v>
      </c>
      <c r="J75" s="137" t="str">
        <f>'Eclectic C'!AT75</f>
        <v>-</v>
      </c>
      <c r="K75" s="14" t="str">
        <f t="shared" si="19"/>
        <v>-</v>
      </c>
      <c r="L75" s="14" t="str">
        <f t="shared" si="20"/>
        <v>-</v>
      </c>
      <c r="M75" s="14" t="str">
        <f t="shared" si="21"/>
        <v>-</v>
      </c>
      <c r="N75" s="14" t="str">
        <f t="shared" si="22"/>
        <v>-</v>
      </c>
      <c r="O75" s="14" t="str">
        <f t="shared" si="23"/>
        <v>-</v>
      </c>
      <c r="P75" s="14" t="str">
        <f t="shared" si="24"/>
        <v>-</v>
      </c>
      <c r="Q75" s="108" t="e">
        <f>RANK($K75,$K$5:$K$104,1)+COUNTIF(K$5:K75,K75)-1</f>
        <v>#VALUE!</v>
      </c>
      <c r="R75" s="108" t="e">
        <f t="shared" si="25"/>
        <v>#VALUE!</v>
      </c>
      <c r="S75" s="108" t="e">
        <f>RANK($L75,$L$5:$L$104,1)+COUNTIF(L$5:L75,L75)-1</f>
        <v>#VALUE!</v>
      </c>
      <c r="T75" s="108" t="e">
        <f t="shared" si="26"/>
        <v>#VALUE!</v>
      </c>
      <c r="U75" s="108" t="e">
        <f>RANK($M75,$M$5:$M$104,1)+COUNTIF(M$5:M75,M75)-1</f>
        <v>#VALUE!</v>
      </c>
      <c r="V75" s="108" t="e">
        <f t="shared" si="27"/>
        <v>#VALUE!</v>
      </c>
      <c r="W75" s="108" t="e">
        <f>RANK($N75,$N$5:$N$104,1)+COUNTIF(N$5:N75,N75)-1</f>
        <v>#VALUE!</v>
      </c>
      <c r="X75" s="108" t="e">
        <f t="shared" si="28"/>
        <v>#VALUE!</v>
      </c>
      <c r="Y75" s="108" t="e">
        <f>RANK($O75,$O$5:$O$104,1)+COUNTIF(O$5:O75,O75)-1</f>
        <v>#VALUE!</v>
      </c>
      <c r="Z75" s="108" t="e">
        <f t="shared" si="29"/>
        <v>#VALUE!</v>
      </c>
      <c r="AA75" s="108" t="e">
        <f>RANK($P75,$P$5:$P$104,1)+COUNTIF(P$5:P75,P75)-1</f>
        <v>#VALUE!</v>
      </c>
      <c r="AB75" s="108" t="e">
        <f t="shared" si="30"/>
        <v>#VALUE!</v>
      </c>
      <c r="AC75" s="59" t="str">
        <f t="shared" si="31"/>
        <v xml:space="preserve"> </v>
      </c>
      <c r="AD75" s="59" t="str">
        <f t="shared" si="32"/>
        <v>-</v>
      </c>
      <c r="AE75" s="119" t="str">
        <f t="shared" si="18"/>
        <v>-</v>
      </c>
      <c r="AF75" s="119" t="str">
        <f t="shared" si="18"/>
        <v>-</v>
      </c>
      <c r="AG75" s="119" t="str">
        <f t="shared" si="18"/>
        <v>-</v>
      </c>
      <c r="AH75" s="119" t="str">
        <f t="shared" si="17"/>
        <v>-</v>
      </c>
      <c r="AI75" s="119" t="str">
        <f t="shared" si="17"/>
        <v>-</v>
      </c>
      <c r="AJ75" s="119" t="str">
        <f t="shared" si="17"/>
        <v>-</v>
      </c>
      <c r="AM75" s="120">
        <v>71</v>
      </c>
      <c r="AN75" s="58" t="e">
        <f>VLOOKUP(AM75,Q$5:$AJ$104,$AO$2,FALSE)</f>
        <v>#N/A</v>
      </c>
      <c r="AO75" s="93" t="e">
        <f>VLOOKUP(AM75,Q$5:$AJ$104,$AO$2+11,FALSE)</f>
        <v>#N/A</v>
      </c>
      <c r="AP75" s="58" t="e">
        <f t="shared" si="33"/>
        <v>#N/A</v>
      </c>
      <c r="AR75" s="120">
        <v>71</v>
      </c>
      <c r="AS75" s="58" t="e">
        <f>VLOOKUP(AR75,$S$5:$AJ$104,$AT$2,FALSE)</f>
        <v>#N/A</v>
      </c>
      <c r="AT75" s="93" t="e">
        <f>VLOOKUP(AR75,$S$5:$AJ$104,$AT$2+9,FALSE)</f>
        <v>#N/A</v>
      </c>
      <c r="AU75" s="58" t="e">
        <f>VLOOKUP(AS75,$S$5:$AJ$104,$AT$2+12,FALSE)</f>
        <v>#N/A</v>
      </c>
      <c r="AV75" s="75"/>
      <c r="AW75" s="120">
        <v>71</v>
      </c>
      <c r="AX75" s="58" t="e">
        <f>VLOOKUP(AW75,$U$5:$AJ$104,$AY$2,FALSE)</f>
        <v>#N/A</v>
      </c>
      <c r="AY75" s="93" t="e">
        <f>VLOOKUP(AW75,$U$5:$AJ$104,$AY$2+7,FALSE)</f>
        <v>#N/A</v>
      </c>
      <c r="AZ75" s="58" t="e">
        <f>VLOOKUP(AX75,$U$5:$AJ$104,$AY$2+11,FALSE)</f>
        <v>#N/A</v>
      </c>
      <c r="BB75" s="120">
        <v>71</v>
      </c>
      <c r="BC75" s="58" t="e">
        <f>VLOOKUP(BB75,$W$5:$AJ$104,$BD$2,FALSE)</f>
        <v>#N/A</v>
      </c>
      <c r="BD75" s="93" t="e">
        <f>VLOOKUP(BB75,$W$5:$AJ$104,$BD$2+5,FALSE)</f>
        <v>#N/A</v>
      </c>
      <c r="BE75" s="58" t="e">
        <f>VLOOKUP(BC75,$W$5:$AJ$104,$BD$2+10,FALSE)</f>
        <v>#N/A</v>
      </c>
      <c r="BF75" s="75"/>
      <c r="BG75" s="120">
        <v>71</v>
      </c>
      <c r="BH75" s="58" t="e">
        <f>VLOOKUP(BG75,$Y$5:$AJ$104,$BI$2,FALSE)</f>
        <v>#N/A</v>
      </c>
      <c r="BI75" s="93" t="e">
        <f>VLOOKUP(BG75,$Y$5:$AJ$104,$BI$2+3,FALSE)</f>
        <v>#N/A</v>
      </c>
      <c r="BJ75" s="58" t="e">
        <f>VLOOKUP(BH75,$Y$5:$AJ$104,$BI$2+9,FALSE)</f>
        <v>#N/A</v>
      </c>
      <c r="BL75" s="120">
        <v>71</v>
      </c>
      <c r="BM75" s="58" t="e">
        <f>VLOOKUP(BL75,$AA$5:$AJ$104,$BN$2,FALSE)</f>
        <v>#N/A</v>
      </c>
      <c r="BN75" s="93" t="e">
        <f>VLOOKUP(BL75,$AA$5:$AJ$104,$BN$2+1,FALSE)</f>
        <v>#N/A</v>
      </c>
      <c r="BO75" s="58" t="e">
        <f>VLOOKUP(BM75,$AA$5:$AJ$104,$BN$2+8,FALSE)</f>
        <v>#N/A</v>
      </c>
      <c r="BQ75" s="2" t="e">
        <f>'Eclectic C'!CD75</f>
        <v>#N/A</v>
      </c>
      <c r="BR75" s="6" t="e">
        <f>'Eclectic C'!CE75</f>
        <v>#N/A</v>
      </c>
      <c r="BS75" s="103" t="e">
        <f>'Eclectic C'!CF75</f>
        <v>#N/A</v>
      </c>
    </row>
    <row r="76" spans="1:71">
      <c r="A76" s="10" t="str">
        <f>IF(ISBLANK(Players!K74),"",Players!K74)</f>
        <v/>
      </c>
      <c r="B76" s="10" t="str">
        <f>IF(ISBLANK(Players!L74),"",Players!L74)</f>
        <v/>
      </c>
      <c r="C76" s="10" t="str">
        <f>IF(ISBLANK(Players!N74),"",Players!N74)</f>
        <v/>
      </c>
      <c r="D76" s="126" t="str">
        <f>IF(ISNUMBER(C76),MIN((C76*Rules!$N$14/113)+(Rules!$N$13-Rules!$N$12),Rules!$N$37),"-")</f>
        <v>-</v>
      </c>
      <c r="E76" s="126" t="str">
        <f>IF(ISNUMBER(C76),    ROUND( (D76*Rules!$N$11) / 100,0),"-")</f>
        <v>-</v>
      </c>
      <c r="F76" s="36" t="str">
        <f>IF(AND(ISNUMBER(C76),C76&gt;=Rules!$M$24,C76&lt;=Rules!$N$24),"Y","N")</f>
        <v>N</v>
      </c>
      <c r="G76" s="137" t="str">
        <f>'Eclectic C'!M76</f>
        <v>-</v>
      </c>
      <c r="H76" s="137" t="str">
        <f>'Eclectic C'!W76</f>
        <v>-</v>
      </c>
      <c r="I76" s="137" t="str">
        <f>'Eclectic C'!AJ76</f>
        <v>-</v>
      </c>
      <c r="J76" s="137" t="str">
        <f>'Eclectic C'!AT76</f>
        <v>-</v>
      </c>
      <c r="K76" s="14" t="str">
        <f t="shared" si="19"/>
        <v>-</v>
      </c>
      <c r="L76" s="14" t="str">
        <f t="shared" si="20"/>
        <v>-</v>
      </c>
      <c r="M76" s="14" t="str">
        <f t="shared" si="21"/>
        <v>-</v>
      </c>
      <c r="N76" s="14" t="str">
        <f t="shared" si="22"/>
        <v>-</v>
      </c>
      <c r="O76" s="14" t="str">
        <f t="shared" si="23"/>
        <v>-</v>
      </c>
      <c r="P76" s="14" t="str">
        <f t="shared" si="24"/>
        <v>-</v>
      </c>
      <c r="Q76" s="108" t="e">
        <f>RANK($K76,$K$5:$K$104,1)+COUNTIF(K$5:K76,K76)-1</f>
        <v>#VALUE!</v>
      </c>
      <c r="R76" s="108" t="e">
        <f t="shared" si="25"/>
        <v>#VALUE!</v>
      </c>
      <c r="S76" s="108" t="e">
        <f>RANK($L76,$L$5:$L$104,1)+COUNTIF(L$5:L76,L76)-1</f>
        <v>#VALUE!</v>
      </c>
      <c r="T76" s="108" t="e">
        <f t="shared" si="26"/>
        <v>#VALUE!</v>
      </c>
      <c r="U76" s="108" t="e">
        <f>RANK($M76,$M$5:$M$104,1)+COUNTIF(M$5:M76,M76)-1</f>
        <v>#VALUE!</v>
      </c>
      <c r="V76" s="108" t="e">
        <f t="shared" si="27"/>
        <v>#VALUE!</v>
      </c>
      <c r="W76" s="108" t="e">
        <f>RANK($N76,$N$5:$N$104,1)+COUNTIF(N$5:N76,N76)-1</f>
        <v>#VALUE!</v>
      </c>
      <c r="X76" s="108" t="e">
        <f t="shared" si="28"/>
        <v>#VALUE!</v>
      </c>
      <c r="Y76" s="108" t="e">
        <f>RANK($O76,$O$5:$O$104,1)+COUNTIF(O$5:O76,O76)-1</f>
        <v>#VALUE!</v>
      </c>
      <c r="Z76" s="108" t="e">
        <f t="shared" si="29"/>
        <v>#VALUE!</v>
      </c>
      <c r="AA76" s="108" t="e">
        <f>RANK($P76,$P$5:$P$104,1)+COUNTIF(P$5:P76,P76)-1</f>
        <v>#VALUE!</v>
      </c>
      <c r="AB76" s="108" t="e">
        <f t="shared" si="30"/>
        <v>#VALUE!</v>
      </c>
      <c r="AC76" s="59" t="str">
        <f t="shared" si="31"/>
        <v xml:space="preserve"> </v>
      </c>
      <c r="AD76" s="59" t="str">
        <f t="shared" si="32"/>
        <v>-</v>
      </c>
      <c r="AE76" s="119" t="str">
        <f t="shared" si="18"/>
        <v>-</v>
      </c>
      <c r="AF76" s="119" t="str">
        <f t="shared" si="18"/>
        <v>-</v>
      </c>
      <c r="AG76" s="119" t="str">
        <f t="shared" si="18"/>
        <v>-</v>
      </c>
      <c r="AH76" s="119" t="str">
        <f t="shared" si="17"/>
        <v>-</v>
      </c>
      <c r="AI76" s="119" t="str">
        <f t="shared" si="17"/>
        <v>-</v>
      </c>
      <c r="AJ76" s="119" t="str">
        <f t="shared" si="17"/>
        <v>-</v>
      </c>
      <c r="AM76" s="120">
        <v>72</v>
      </c>
      <c r="AN76" s="58" t="e">
        <f>VLOOKUP(AM76,Q$5:$AJ$104,$AO$2,FALSE)</f>
        <v>#N/A</v>
      </c>
      <c r="AO76" s="93" t="e">
        <f>VLOOKUP(AM76,Q$5:$AJ$104,$AO$2+11,FALSE)</f>
        <v>#N/A</v>
      </c>
      <c r="AP76" s="58" t="e">
        <f t="shared" si="33"/>
        <v>#N/A</v>
      </c>
      <c r="AR76" s="120">
        <v>72</v>
      </c>
      <c r="AS76" s="58" t="e">
        <f>VLOOKUP(AR76,$S$5:$AJ$104,$AT$2,FALSE)</f>
        <v>#N/A</v>
      </c>
      <c r="AT76" s="93" t="e">
        <f>VLOOKUP(AR76,$S$5:$AJ$104,$AT$2+9,FALSE)</f>
        <v>#N/A</v>
      </c>
      <c r="AU76" s="58" t="e">
        <f>VLOOKUP(AS76,$S$5:$AJ$104,$AT$2+12,FALSE)</f>
        <v>#N/A</v>
      </c>
      <c r="AV76" s="75"/>
      <c r="AW76" s="120">
        <v>72</v>
      </c>
      <c r="AX76" s="58" t="e">
        <f>VLOOKUP(AW76,$U$5:$AJ$104,$AY$2,FALSE)</f>
        <v>#N/A</v>
      </c>
      <c r="AY76" s="93" t="e">
        <f>VLOOKUP(AW76,$U$5:$AJ$104,$AY$2+7,FALSE)</f>
        <v>#N/A</v>
      </c>
      <c r="AZ76" s="58" t="e">
        <f>VLOOKUP(AX76,$U$5:$AJ$104,$AY$2+11,FALSE)</f>
        <v>#N/A</v>
      </c>
      <c r="BB76" s="120">
        <v>72</v>
      </c>
      <c r="BC76" s="58" t="e">
        <f>VLOOKUP(BB76,$W$5:$AJ$104,$BD$2,FALSE)</f>
        <v>#N/A</v>
      </c>
      <c r="BD76" s="93" t="e">
        <f>VLOOKUP(BB76,$W$5:$AJ$104,$BD$2+5,FALSE)</f>
        <v>#N/A</v>
      </c>
      <c r="BE76" s="58" t="e">
        <f>VLOOKUP(BC76,$W$5:$AJ$104,$BD$2+10,FALSE)</f>
        <v>#N/A</v>
      </c>
      <c r="BF76" s="75"/>
      <c r="BG76" s="120">
        <v>72</v>
      </c>
      <c r="BH76" s="58" t="e">
        <f>VLOOKUP(BG76,$Y$5:$AJ$104,$BI$2,FALSE)</f>
        <v>#N/A</v>
      </c>
      <c r="BI76" s="93" t="e">
        <f>VLOOKUP(BG76,$Y$5:$AJ$104,$BI$2+3,FALSE)</f>
        <v>#N/A</v>
      </c>
      <c r="BJ76" s="58" t="e">
        <f>VLOOKUP(BH76,$Y$5:$AJ$104,$BI$2+9,FALSE)</f>
        <v>#N/A</v>
      </c>
      <c r="BL76" s="120">
        <v>72</v>
      </c>
      <c r="BM76" s="58" t="e">
        <f>VLOOKUP(BL76,$AA$5:$AJ$104,$BN$2,FALSE)</f>
        <v>#N/A</v>
      </c>
      <c r="BN76" s="93" t="e">
        <f>VLOOKUP(BL76,$AA$5:$AJ$104,$BN$2+1,FALSE)</f>
        <v>#N/A</v>
      </c>
      <c r="BO76" s="58" t="e">
        <f>VLOOKUP(BM76,$AA$5:$AJ$104,$BN$2+8,FALSE)</f>
        <v>#N/A</v>
      </c>
      <c r="BQ76" s="2" t="e">
        <f>'Eclectic C'!CD76</f>
        <v>#N/A</v>
      </c>
      <c r="BR76" s="6" t="e">
        <f>'Eclectic C'!CE76</f>
        <v>#N/A</v>
      </c>
      <c r="BS76" s="103" t="e">
        <f>'Eclectic C'!CF76</f>
        <v>#N/A</v>
      </c>
    </row>
    <row r="77" spans="1:71">
      <c r="A77" s="10" t="str">
        <f>IF(ISBLANK(Players!K75),"",Players!K75)</f>
        <v/>
      </c>
      <c r="B77" s="10" t="str">
        <f>IF(ISBLANK(Players!L75),"",Players!L75)</f>
        <v/>
      </c>
      <c r="C77" s="10" t="str">
        <f>IF(ISBLANK(Players!N75),"",Players!N75)</f>
        <v/>
      </c>
      <c r="D77" s="126" t="str">
        <f>IF(ISNUMBER(C77),MIN((C77*Rules!$N$14/113)+(Rules!$N$13-Rules!$N$12),Rules!$N$37),"-")</f>
        <v>-</v>
      </c>
      <c r="E77" s="126" t="str">
        <f>IF(ISNUMBER(C77),    ROUND( (D77*Rules!$N$11) / 100,0),"-")</f>
        <v>-</v>
      </c>
      <c r="F77" s="36" t="str">
        <f>IF(AND(ISNUMBER(C77),C77&gt;=Rules!$M$24,C77&lt;=Rules!$N$24),"Y","N")</f>
        <v>N</v>
      </c>
      <c r="G77" s="137" t="str">
        <f>'Eclectic C'!M77</f>
        <v>-</v>
      </c>
      <c r="H77" s="137" t="str">
        <f>'Eclectic C'!W77</f>
        <v>-</v>
      </c>
      <c r="I77" s="137" t="str">
        <f>'Eclectic C'!AJ77</f>
        <v>-</v>
      </c>
      <c r="J77" s="137" t="str">
        <f>'Eclectic C'!AT77</f>
        <v>-</v>
      </c>
      <c r="K77" s="14" t="str">
        <f t="shared" si="19"/>
        <v>-</v>
      </c>
      <c r="L77" s="14" t="str">
        <f t="shared" si="20"/>
        <v>-</v>
      </c>
      <c r="M77" s="14" t="str">
        <f t="shared" si="21"/>
        <v>-</v>
      </c>
      <c r="N77" s="14" t="str">
        <f t="shared" si="22"/>
        <v>-</v>
      </c>
      <c r="O77" s="14" t="str">
        <f t="shared" si="23"/>
        <v>-</v>
      </c>
      <c r="P77" s="14" t="str">
        <f t="shared" si="24"/>
        <v>-</v>
      </c>
      <c r="Q77" s="108" t="e">
        <f>RANK($K77,$K$5:$K$104,1)+COUNTIF(K$5:K77,K77)-1</f>
        <v>#VALUE!</v>
      </c>
      <c r="R77" s="108" t="e">
        <f t="shared" si="25"/>
        <v>#VALUE!</v>
      </c>
      <c r="S77" s="108" t="e">
        <f>RANK($L77,$L$5:$L$104,1)+COUNTIF(L$5:L77,L77)-1</f>
        <v>#VALUE!</v>
      </c>
      <c r="T77" s="108" t="e">
        <f t="shared" si="26"/>
        <v>#VALUE!</v>
      </c>
      <c r="U77" s="108" t="e">
        <f>RANK($M77,$M$5:$M$104,1)+COUNTIF(M$5:M77,M77)-1</f>
        <v>#VALUE!</v>
      </c>
      <c r="V77" s="108" t="e">
        <f t="shared" si="27"/>
        <v>#VALUE!</v>
      </c>
      <c r="W77" s="108" t="e">
        <f>RANK($N77,$N$5:$N$104,1)+COUNTIF(N$5:N77,N77)-1</f>
        <v>#VALUE!</v>
      </c>
      <c r="X77" s="108" t="e">
        <f t="shared" si="28"/>
        <v>#VALUE!</v>
      </c>
      <c r="Y77" s="108" t="e">
        <f>RANK($O77,$O$5:$O$104,1)+COUNTIF(O$5:O77,O77)-1</f>
        <v>#VALUE!</v>
      </c>
      <c r="Z77" s="108" t="e">
        <f t="shared" si="29"/>
        <v>#VALUE!</v>
      </c>
      <c r="AA77" s="108" t="e">
        <f>RANK($P77,$P$5:$P$104,1)+COUNTIF(P$5:P77,P77)-1</f>
        <v>#VALUE!</v>
      </c>
      <c r="AB77" s="108" t="e">
        <f t="shared" si="30"/>
        <v>#VALUE!</v>
      </c>
      <c r="AC77" s="59" t="str">
        <f t="shared" si="31"/>
        <v xml:space="preserve"> </v>
      </c>
      <c r="AD77" s="59" t="str">
        <f t="shared" si="32"/>
        <v>-</v>
      </c>
      <c r="AE77" s="119" t="str">
        <f t="shared" si="18"/>
        <v>-</v>
      </c>
      <c r="AF77" s="119" t="str">
        <f t="shared" si="18"/>
        <v>-</v>
      </c>
      <c r="AG77" s="119" t="str">
        <f t="shared" si="18"/>
        <v>-</v>
      </c>
      <c r="AH77" s="119" t="str">
        <f t="shared" si="17"/>
        <v>-</v>
      </c>
      <c r="AI77" s="119" t="str">
        <f t="shared" si="17"/>
        <v>-</v>
      </c>
      <c r="AJ77" s="119" t="str">
        <f t="shared" si="17"/>
        <v>-</v>
      </c>
      <c r="AM77" s="120">
        <v>73</v>
      </c>
      <c r="AN77" s="58" t="e">
        <f>VLOOKUP(AM77,Q$5:$AJ$104,$AO$2,FALSE)</f>
        <v>#N/A</v>
      </c>
      <c r="AO77" s="93" t="e">
        <f>VLOOKUP(AM77,Q$5:$AJ$104,$AO$2+11,FALSE)</f>
        <v>#N/A</v>
      </c>
      <c r="AP77" s="58" t="e">
        <f t="shared" si="33"/>
        <v>#N/A</v>
      </c>
      <c r="AR77" s="120">
        <v>73</v>
      </c>
      <c r="AS77" s="58" t="e">
        <f>VLOOKUP(AR77,$S$5:$AJ$104,$AT$2,FALSE)</f>
        <v>#N/A</v>
      </c>
      <c r="AT77" s="93" t="e">
        <f>VLOOKUP(AR77,$S$5:$AJ$104,$AT$2+9,FALSE)</f>
        <v>#N/A</v>
      </c>
      <c r="AU77" s="58" t="e">
        <f>VLOOKUP(AS77,$S$5:$AJ$104,$AT$2+12,FALSE)</f>
        <v>#N/A</v>
      </c>
      <c r="AV77" s="75"/>
      <c r="AW77" s="120">
        <v>73</v>
      </c>
      <c r="AX77" s="58" t="e">
        <f>VLOOKUP(AW77,$U$5:$AJ$104,$AY$2,FALSE)</f>
        <v>#N/A</v>
      </c>
      <c r="AY77" s="93" t="e">
        <f>VLOOKUP(AW77,$U$5:$AJ$104,$AY$2+7,FALSE)</f>
        <v>#N/A</v>
      </c>
      <c r="AZ77" s="58" t="e">
        <f>VLOOKUP(AX77,$U$5:$AJ$104,$AY$2+11,FALSE)</f>
        <v>#N/A</v>
      </c>
      <c r="BB77" s="120">
        <v>73</v>
      </c>
      <c r="BC77" s="58" t="e">
        <f>VLOOKUP(BB77,$W$5:$AJ$104,$BD$2,FALSE)</f>
        <v>#N/A</v>
      </c>
      <c r="BD77" s="93" t="e">
        <f>VLOOKUP(BB77,$W$5:$AJ$104,$BD$2+5,FALSE)</f>
        <v>#N/A</v>
      </c>
      <c r="BE77" s="58" t="e">
        <f>VLOOKUP(BC77,$W$5:$AJ$104,$BD$2+10,FALSE)</f>
        <v>#N/A</v>
      </c>
      <c r="BF77" s="75"/>
      <c r="BG77" s="120">
        <v>73</v>
      </c>
      <c r="BH77" s="58" t="e">
        <f>VLOOKUP(BG77,$Y$5:$AJ$104,$BI$2,FALSE)</f>
        <v>#N/A</v>
      </c>
      <c r="BI77" s="93" t="e">
        <f>VLOOKUP(BG77,$Y$5:$AJ$104,$BI$2+3,FALSE)</f>
        <v>#N/A</v>
      </c>
      <c r="BJ77" s="58" t="e">
        <f>VLOOKUP(BH77,$Y$5:$AJ$104,$BI$2+9,FALSE)</f>
        <v>#N/A</v>
      </c>
      <c r="BL77" s="120">
        <v>73</v>
      </c>
      <c r="BM77" s="58" t="e">
        <f>VLOOKUP(BL77,$AA$5:$AJ$104,$BN$2,FALSE)</f>
        <v>#N/A</v>
      </c>
      <c r="BN77" s="93" t="e">
        <f>VLOOKUP(BL77,$AA$5:$AJ$104,$BN$2+1,FALSE)</f>
        <v>#N/A</v>
      </c>
      <c r="BO77" s="58" t="e">
        <f>VLOOKUP(BM77,$AA$5:$AJ$104,$BN$2+8,FALSE)</f>
        <v>#N/A</v>
      </c>
      <c r="BQ77" s="2" t="e">
        <f>'Eclectic C'!CD77</f>
        <v>#N/A</v>
      </c>
      <c r="BR77" s="6" t="e">
        <f>'Eclectic C'!CE77</f>
        <v>#N/A</v>
      </c>
      <c r="BS77" s="103" t="e">
        <f>'Eclectic C'!CF77</f>
        <v>#N/A</v>
      </c>
    </row>
    <row r="78" spans="1:71">
      <c r="A78" s="10" t="str">
        <f>IF(ISBLANK(Players!K76),"",Players!K76)</f>
        <v/>
      </c>
      <c r="B78" s="10" t="str">
        <f>IF(ISBLANK(Players!L76),"",Players!L76)</f>
        <v/>
      </c>
      <c r="C78" s="10" t="str">
        <f>IF(ISBLANK(Players!N76),"",Players!N76)</f>
        <v/>
      </c>
      <c r="D78" s="126" t="str">
        <f>IF(ISNUMBER(C78),MIN((C78*Rules!$N$14/113)+(Rules!$N$13-Rules!$N$12),Rules!$N$37),"-")</f>
        <v>-</v>
      </c>
      <c r="E78" s="126" t="str">
        <f>IF(ISNUMBER(C78),    ROUND( (D78*Rules!$N$11) / 100,0),"-")</f>
        <v>-</v>
      </c>
      <c r="F78" s="36" t="str">
        <f>IF(AND(ISNUMBER(C78),C78&gt;=Rules!$M$24,C78&lt;=Rules!$N$24),"Y","N")</f>
        <v>N</v>
      </c>
      <c r="G78" s="137" t="str">
        <f>'Eclectic C'!M78</f>
        <v>-</v>
      </c>
      <c r="H78" s="137" t="str">
        <f>'Eclectic C'!W78</f>
        <v>-</v>
      </c>
      <c r="I78" s="137" t="str">
        <f>'Eclectic C'!AJ78</f>
        <v>-</v>
      </c>
      <c r="J78" s="137" t="str">
        <f>'Eclectic C'!AT78</f>
        <v>-</v>
      </c>
      <c r="K78" s="14" t="str">
        <f t="shared" si="19"/>
        <v>-</v>
      </c>
      <c r="L78" s="14" t="str">
        <f t="shared" si="20"/>
        <v>-</v>
      </c>
      <c r="M78" s="14" t="str">
        <f t="shared" si="21"/>
        <v>-</v>
      </c>
      <c r="N78" s="14" t="str">
        <f t="shared" si="22"/>
        <v>-</v>
      </c>
      <c r="O78" s="14" t="str">
        <f t="shared" si="23"/>
        <v>-</v>
      </c>
      <c r="P78" s="14" t="str">
        <f t="shared" si="24"/>
        <v>-</v>
      </c>
      <c r="Q78" s="108" t="e">
        <f>RANK($K78,$K$5:$K$104,1)+COUNTIF(K$5:K78,K78)-1</f>
        <v>#VALUE!</v>
      </c>
      <c r="R78" s="108" t="e">
        <f t="shared" si="25"/>
        <v>#VALUE!</v>
      </c>
      <c r="S78" s="108" t="e">
        <f>RANK($L78,$L$5:$L$104,1)+COUNTIF(L$5:L78,L78)-1</f>
        <v>#VALUE!</v>
      </c>
      <c r="T78" s="108" t="e">
        <f t="shared" si="26"/>
        <v>#VALUE!</v>
      </c>
      <c r="U78" s="108" t="e">
        <f>RANK($M78,$M$5:$M$104,1)+COUNTIF(M$5:M78,M78)-1</f>
        <v>#VALUE!</v>
      </c>
      <c r="V78" s="108" t="e">
        <f t="shared" si="27"/>
        <v>#VALUE!</v>
      </c>
      <c r="W78" s="108" t="e">
        <f>RANK($N78,$N$5:$N$104,1)+COUNTIF(N$5:N78,N78)-1</f>
        <v>#VALUE!</v>
      </c>
      <c r="X78" s="108" t="e">
        <f t="shared" si="28"/>
        <v>#VALUE!</v>
      </c>
      <c r="Y78" s="108" t="e">
        <f>RANK($O78,$O$5:$O$104,1)+COUNTIF(O$5:O78,O78)-1</f>
        <v>#VALUE!</v>
      </c>
      <c r="Z78" s="108" t="e">
        <f t="shared" si="29"/>
        <v>#VALUE!</v>
      </c>
      <c r="AA78" s="108" t="e">
        <f>RANK($P78,$P$5:$P$104,1)+COUNTIF(P$5:P78,P78)-1</f>
        <v>#VALUE!</v>
      </c>
      <c r="AB78" s="108" t="e">
        <f t="shared" si="30"/>
        <v>#VALUE!</v>
      </c>
      <c r="AC78" s="59" t="str">
        <f t="shared" si="31"/>
        <v xml:space="preserve"> </v>
      </c>
      <c r="AD78" s="59" t="str">
        <f t="shared" si="32"/>
        <v>-</v>
      </c>
      <c r="AE78" s="119" t="str">
        <f t="shared" si="18"/>
        <v>-</v>
      </c>
      <c r="AF78" s="119" t="str">
        <f t="shared" si="18"/>
        <v>-</v>
      </c>
      <c r="AG78" s="119" t="str">
        <f t="shared" si="18"/>
        <v>-</v>
      </c>
      <c r="AH78" s="119" t="str">
        <f t="shared" si="17"/>
        <v>-</v>
      </c>
      <c r="AI78" s="119" t="str">
        <f t="shared" si="17"/>
        <v>-</v>
      </c>
      <c r="AJ78" s="119" t="str">
        <f t="shared" si="17"/>
        <v>-</v>
      </c>
      <c r="AM78" s="120">
        <v>74</v>
      </c>
      <c r="AN78" s="58" t="e">
        <f>VLOOKUP(AM78,Q$5:$AJ$104,$AO$2,FALSE)</f>
        <v>#N/A</v>
      </c>
      <c r="AO78" s="93" t="e">
        <f>VLOOKUP(AM78,Q$5:$AJ$104,$AO$2+11,FALSE)</f>
        <v>#N/A</v>
      </c>
      <c r="AP78" s="58" t="e">
        <f t="shared" si="33"/>
        <v>#N/A</v>
      </c>
      <c r="AR78" s="120">
        <v>74</v>
      </c>
      <c r="AS78" s="58" t="e">
        <f>VLOOKUP(AR78,$S$5:$AJ$104,$AT$2,FALSE)</f>
        <v>#N/A</v>
      </c>
      <c r="AT78" s="93" t="e">
        <f>VLOOKUP(AR78,$S$5:$AJ$104,$AT$2+9,FALSE)</f>
        <v>#N/A</v>
      </c>
      <c r="AU78" s="58" t="e">
        <f>VLOOKUP(AS78,$S$5:$AJ$104,$AT$2+12,FALSE)</f>
        <v>#N/A</v>
      </c>
      <c r="AV78" s="75"/>
      <c r="AW78" s="120">
        <v>74</v>
      </c>
      <c r="AX78" s="58" t="e">
        <f>VLOOKUP(AW78,$U$5:$AJ$104,$AY$2,FALSE)</f>
        <v>#N/A</v>
      </c>
      <c r="AY78" s="93" t="e">
        <f>VLOOKUP(AW78,$U$5:$AJ$104,$AY$2+7,FALSE)</f>
        <v>#N/A</v>
      </c>
      <c r="AZ78" s="58" t="e">
        <f>VLOOKUP(AX78,$U$5:$AJ$104,$AY$2+11,FALSE)</f>
        <v>#N/A</v>
      </c>
      <c r="BB78" s="120">
        <v>74</v>
      </c>
      <c r="BC78" s="58" t="e">
        <f>VLOOKUP(BB78,$W$5:$AJ$104,$BD$2,FALSE)</f>
        <v>#N/A</v>
      </c>
      <c r="BD78" s="93" t="e">
        <f>VLOOKUP(BB78,$W$5:$AJ$104,$BD$2+5,FALSE)</f>
        <v>#N/A</v>
      </c>
      <c r="BE78" s="58" t="e">
        <f>VLOOKUP(BC78,$W$5:$AJ$104,$BD$2+10,FALSE)</f>
        <v>#N/A</v>
      </c>
      <c r="BF78" s="75"/>
      <c r="BG78" s="120">
        <v>74</v>
      </c>
      <c r="BH78" s="58" t="e">
        <f>VLOOKUP(BG78,$Y$5:$AJ$104,$BI$2,FALSE)</f>
        <v>#N/A</v>
      </c>
      <c r="BI78" s="93" t="e">
        <f>VLOOKUP(BG78,$Y$5:$AJ$104,$BI$2+3,FALSE)</f>
        <v>#N/A</v>
      </c>
      <c r="BJ78" s="58" t="e">
        <f>VLOOKUP(BH78,$Y$5:$AJ$104,$BI$2+9,FALSE)</f>
        <v>#N/A</v>
      </c>
      <c r="BL78" s="120">
        <v>74</v>
      </c>
      <c r="BM78" s="58" t="e">
        <f>VLOOKUP(BL78,$AA$5:$AJ$104,$BN$2,FALSE)</f>
        <v>#N/A</v>
      </c>
      <c r="BN78" s="93" t="e">
        <f>VLOOKUP(BL78,$AA$5:$AJ$104,$BN$2+1,FALSE)</f>
        <v>#N/A</v>
      </c>
      <c r="BO78" s="58" t="e">
        <f>VLOOKUP(BM78,$AA$5:$AJ$104,$BN$2+8,FALSE)</f>
        <v>#N/A</v>
      </c>
      <c r="BQ78" s="2" t="e">
        <f>'Eclectic C'!CD78</f>
        <v>#N/A</v>
      </c>
      <c r="BR78" s="6" t="e">
        <f>'Eclectic C'!CE78</f>
        <v>#N/A</v>
      </c>
      <c r="BS78" s="103" t="e">
        <f>'Eclectic C'!CF78</f>
        <v>#N/A</v>
      </c>
    </row>
    <row r="79" spans="1:71">
      <c r="A79" s="10" t="str">
        <f>IF(ISBLANK(Players!K77),"",Players!K77)</f>
        <v/>
      </c>
      <c r="B79" s="10" t="str">
        <f>IF(ISBLANK(Players!L77),"",Players!L77)</f>
        <v/>
      </c>
      <c r="C79" s="10" t="str">
        <f>IF(ISBLANK(Players!N77),"",Players!N77)</f>
        <v/>
      </c>
      <c r="D79" s="126" t="str">
        <f>IF(ISNUMBER(C79),MIN((C79*Rules!$N$14/113)+(Rules!$N$13-Rules!$N$12),Rules!$N$37),"-")</f>
        <v>-</v>
      </c>
      <c r="E79" s="126" t="str">
        <f>IF(ISNUMBER(C79),    ROUND( (D79*Rules!$N$11) / 100,0),"-")</f>
        <v>-</v>
      </c>
      <c r="F79" s="36" t="str">
        <f>IF(AND(ISNUMBER(C79),C79&gt;=Rules!$M$24,C79&lt;=Rules!$N$24),"Y","N")</f>
        <v>N</v>
      </c>
      <c r="G79" s="137" t="str">
        <f>'Eclectic C'!M79</f>
        <v>-</v>
      </c>
      <c r="H79" s="137" t="str">
        <f>'Eclectic C'!W79</f>
        <v>-</v>
      </c>
      <c r="I79" s="137" t="str">
        <f>'Eclectic C'!AJ79</f>
        <v>-</v>
      </c>
      <c r="J79" s="137" t="str">
        <f>'Eclectic C'!AT79</f>
        <v>-</v>
      </c>
      <c r="K79" s="14" t="str">
        <f t="shared" si="19"/>
        <v>-</v>
      </c>
      <c r="L79" s="14" t="str">
        <f t="shared" si="20"/>
        <v>-</v>
      </c>
      <c r="M79" s="14" t="str">
        <f t="shared" si="21"/>
        <v>-</v>
      </c>
      <c r="N79" s="14" t="str">
        <f t="shared" si="22"/>
        <v>-</v>
      </c>
      <c r="O79" s="14" t="str">
        <f t="shared" si="23"/>
        <v>-</v>
      </c>
      <c r="P79" s="14" t="str">
        <f t="shared" si="24"/>
        <v>-</v>
      </c>
      <c r="Q79" s="108" t="e">
        <f>RANK($K79,$K$5:$K$104,1)+COUNTIF(K$5:K79,K79)-1</f>
        <v>#VALUE!</v>
      </c>
      <c r="R79" s="108" t="e">
        <f t="shared" si="25"/>
        <v>#VALUE!</v>
      </c>
      <c r="S79" s="108" t="e">
        <f>RANK($L79,$L$5:$L$104,1)+COUNTIF(L$5:L79,L79)-1</f>
        <v>#VALUE!</v>
      </c>
      <c r="T79" s="108" t="e">
        <f t="shared" si="26"/>
        <v>#VALUE!</v>
      </c>
      <c r="U79" s="108" t="e">
        <f>RANK($M79,$M$5:$M$104,1)+COUNTIF(M$5:M79,M79)-1</f>
        <v>#VALUE!</v>
      </c>
      <c r="V79" s="108" t="e">
        <f t="shared" si="27"/>
        <v>#VALUE!</v>
      </c>
      <c r="W79" s="108" t="e">
        <f>RANK($N79,$N$5:$N$104,1)+COUNTIF(N$5:N79,N79)-1</f>
        <v>#VALUE!</v>
      </c>
      <c r="X79" s="108" t="e">
        <f t="shared" si="28"/>
        <v>#VALUE!</v>
      </c>
      <c r="Y79" s="108" t="e">
        <f>RANK($O79,$O$5:$O$104,1)+COUNTIF(O$5:O79,O79)-1</f>
        <v>#VALUE!</v>
      </c>
      <c r="Z79" s="108" t="e">
        <f t="shared" si="29"/>
        <v>#VALUE!</v>
      </c>
      <c r="AA79" s="108" t="e">
        <f>RANK($P79,$P$5:$P$104,1)+COUNTIF(P$5:P79,P79)-1</f>
        <v>#VALUE!</v>
      </c>
      <c r="AB79" s="108" t="e">
        <f t="shared" si="30"/>
        <v>#VALUE!</v>
      </c>
      <c r="AC79" s="59" t="str">
        <f t="shared" si="31"/>
        <v xml:space="preserve"> </v>
      </c>
      <c r="AD79" s="59" t="str">
        <f t="shared" si="32"/>
        <v>-</v>
      </c>
      <c r="AE79" s="119" t="str">
        <f t="shared" si="18"/>
        <v>-</v>
      </c>
      <c r="AF79" s="119" t="str">
        <f t="shared" si="18"/>
        <v>-</v>
      </c>
      <c r="AG79" s="119" t="str">
        <f t="shared" si="18"/>
        <v>-</v>
      </c>
      <c r="AH79" s="119" t="str">
        <f t="shared" si="17"/>
        <v>-</v>
      </c>
      <c r="AI79" s="119" t="str">
        <f t="shared" si="17"/>
        <v>-</v>
      </c>
      <c r="AJ79" s="119" t="str">
        <f t="shared" si="17"/>
        <v>-</v>
      </c>
      <c r="AM79" s="120">
        <v>75</v>
      </c>
      <c r="AN79" s="58" t="e">
        <f>VLOOKUP(AM79,Q$5:$AJ$104,$AO$2,FALSE)</f>
        <v>#N/A</v>
      </c>
      <c r="AO79" s="93" t="e">
        <f>VLOOKUP(AM79,Q$5:$AJ$104,$AO$2+11,FALSE)</f>
        <v>#N/A</v>
      </c>
      <c r="AP79" s="58" t="e">
        <f t="shared" si="33"/>
        <v>#N/A</v>
      </c>
      <c r="AR79" s="120">
        <v>75</v>
      </c>
      <c r="AS79" s="58" t="e">
        <f>VLOOKUP(AR79,$S$5:$AJ$104,$AT$2,FALSE)</f>
        <v>#N/A</v>
      </c>
      <c r="AT79" s="93" t="e">
        <f>VLOOKUP(AR79,$S$5:$AJ$104,$AT$2+9,FALSE)</f>
        <v>#N/A</v>
      </c>
      <c r="AU79" s="58" t="e">
        <f>VLOOKUP(AS79,$S$5:$AJ$104,$AT$2+12,FALSE)</f>
        <v>#N/A</v>
      </c>
      <c r="AV79" s="75"/>
      <c r="AW79" s="120">
        <v>75</v>
      </c>
      <c r="AX79" s="58" t="e">
        <f>VLOOKUP(AW79,$U$5:$AJ$104,$AY$2,FALSE)</f>
        <v>#N/A</v>
      </c>
      <c r="AY79" s="93" t="e">
        <f>VLOOKUP(AW79,$U$5:$AJ$104,$AY$2+7,FALSE)</f>
        <v>#N/A</v>
      </c>
      <c r="AZ79" s="58" t="e">
        <f>VLOOKUP(AX79,$U$5:$AJ$104,$AY$2+11,FALSE)</f>
        <v>#N/A</v>
      </c>
      <c r="BB79" s="120">
        <v>75</v>
      </c>
      <c r="BC79" s="58" t="e">
        <f>VLOOKUP(BB79,$W$5:$AJ$104,$BD$2,FALSE)</f>
        <v>#N/A</v>
      </c>
      <c r="BD79" s="93" t="e">
        <f>VLOOKUP(BB79,$W$5:$AJ$104,$BD$2+5,FALSE)</f>
        <v>#N/A</v>
      </c>
      <c r="BE79" s="58" t="e">
        <f>VLOOKUP(BC79,$W$5:$AJ$104,$BD$2+10,FALSE)</f>
        <v>#N/A</v>
      </c>
      <c r="BF79" s="75"/>
      <c r="BG79" s="120">
        <v>75</v>
      </c>
      <c r="BH79" s="58" t="e">
        <f>VLOOKUP(BG79,$Y$5:$AJ$104,$BI$2,FALSE)</f>
        <v>#N/A</v>
      </c>
      <c r="BI79" s="93" t="e">
        <f>VLOOKUP(BG79,$Y$5:$AJ$104,$BI$2+3,FALSE)</f>
        <v>#N/A</v>
      </c>
      <c r="BJ79" s="58" t="e">
        <f>VLOOKUP(BH79,$Y$5:$AJ$104,$BI$2+9,FALSE)</f>
        <v>#N/A</v>
      </c>
      <c r="BL79" s="120">
        <v>75</v>
      </c>
      <c r="BM79" s="58" t="e">
        <f>VLOOKUP(BL79,$AA$5:$AJ$104,$BN$2,FALSE)</f>
        <v>#N/A</v>
      </c>
      <c r="BN79" s="93" t="e">
        <f>VLOOKUP(BL79,$AA$5:$AJ$104,$BN$2+1,FALSE)</f>
        <v>#N/A</v>
      </c>
      <c r="BO79" s="58" t="e">
        <f>VLOOKUP(BM79,$AA$5:$AJ$104,$BN$2+8,FALSE)</f>
        <v>#N/A</v>
      </c>
      <c r="BQ79" s="2" t="e">
        <f>'Eclectic C'!CD79</f>
        <v>#N/A</v>
      </c>
      <c r="BR79" s="6" t="e">
        <f>'Eclectic C'!CE79</f>
        <v>#N/A</v>
      </c>
      <c r="BS79" s="103" t="e">
        <f>'Eclectic C'!CF79</f>
        <v>#N/A</v>
      </c>
    </row>
    <row r="80" spans="1:71">
      <c r="A80" s="10" t="str">
        <f>IF(ISBLANK(Players!K78),"",Players!K78)</f>
        <v/>
      </c>
      <c r="B80" s="10" t="str">
        <f>IF(ISBLANK(Players!L78),"",Players!L78)</f>
        <v/>
      </c>
      <c r="C80" s="10" t="str">
        <f>IF(ISBLANK(Players!N78),"",Players!N78)</f>
        <v/>
      </c>
      <c r="D80" s="126" t="str">
        <f>IF(ISNUMBER(C80),MIN((C80*Rules!$N$14/113)+(Rules!$N$13-Rules!$N$12),Rules!$N$37),"-")</f>
        <v>-</v>
      </c>
      <c r="E80" s="126" t="str">
        <f>IF(ISNUMBER(C80),    ROUND( (D80*Rules!$N$11) / 100,0),"-")</f>
        <v>-</v>
      </c>
      <c r="F80" s="36" t="str">
        <f>IF(AND(ISNUMBER(C80),C80&gt;=Rules!$M$24,C80&lt;=Rules!$N$24),"Y","N")</f>
        <v>N</v>
      </c>
      <c r="G80" s="137" t="str">
        <f>'Eclectic C'!M80</f>
        <v>-</v>
      </c>
      <c r="H80" s="137" t="str">
        <f>'Eclectic C'!W80</f>
        <v>-</v>
      </c>
      <c r="I80" s="137" t="str">
        <f>'Eclectic C'!AJ80</f>
        <v>-</v>
      </c>
      <c r="J80" s="137" t="str">
        <f>'Eclectic C'!AT80</f>
        <v>-</v>
      </c>
      <c r="K80" s="14" t="str">
        <f t="shared" si="19"/>
        <v>-</v>
      </c>
      <c r="L80" s="14" t="str">
        <f t="shared" si="20"/>
        <v>-</v>
      </c>
      <c r="M80" s="14" t="str">
        <f t="shared" si="21"/>
        <v>-</v>
      </c>
      <c r="N80" s="14" t="str">
        <f t="shared" si="22"/>
        <v>-</v>
      </c>
      <c r="O80" s="14" t="str">
        <f t="shared" si="23"/>
        <v>-</v>
      </c>
      <c r="P80" s="14" t="str">
        <f t="shared" si="24"/>
        <v>-</v>
      </c>
      <c r="Q80" s="108" t="e">
        <f>RANK($K80,$K$5:$K$104,1)+COUNTIF(K$5:K80,K80)-1</f>
        <v>#VALUE!</v>
      </c>
      <c r="R80" s="108" t="e">
        <f t="shared" si="25"/>
        <v>#VALUE!</v>
      </c>
      <c r="S80" s="108" t="e">
        <f>RANK($L80,$L$5:$L$104,1)+COUNTIF(L$5:L80,L80)-1</f>
        <v>#VALUE!</v>
      </c>
      <c r="T80" s="108" t="e">
        <f t="shared" si="26"/>
        <v>#VALUE!</v>
      </c>
      <c r="U80" s="108" t="e">
        <f>RANK($M80,$M$5:$M$104,1)+COUNTIF(M$5:M80,M80)-1</f>
        <v>#VALUE!</v>
      </c>
      <c r="V80" s="108" t="e">
        <f t="shared" si="27"/>
        <v>#VALUE!</v>
      </c>
      <c r="W80" s="108" t="e">
        <f>RANK($N80,$N$5:$N$104,1)+COUNTIF(N$5:N80,N80)-1</f>
        <v>#VALUE!</v>
      </c>
      <c r="X80" s="108" t="e">
        <f t="shared" si="28"/>
        <v>#VALUE!</v>
      </c>
      <c r="Y80" s="108" t="e">
        <f>RANK($O80,$O$5:$O$104,1)+COUNTIF(O$5:O80,O80)-1</f>
        <v>#VALUE!</v>
      </c>
      <c r="Z80" s="108" t="e">
        <f t="shared" si="29"/>
        <v>#VALUE!</v>
      </c>
      <c r="AA80" s="108" t="e">
        <f>RANK($P80,$P$5:$P$104,1)+COUNTIF(P$5:P80,P80)-1</f>
        <v>#VALUE!</v>
      </c>
      <c r="AB80" s="108" t="e">
        <f t="shared" si="30"/>
        <v>#VALUE!</v>
      </c>
      <c r="AC80" s="59" t="str">
        <f t="shared" si="31"/>
        <v xml:space="preserve"> </v>
      </c>
      <c r="AD80" s="59" t="str">
        <f t="shared" si="32"/>
        <v>-</v>
      </c>
      <c r="AE80" s="119" t="str">
        <f t="shared" si="18"/>
        <v>-</v>
      </c>
      <c r="AF80" s="119" t="str">
        <f t="shared" si="18"/>
        <v>-</v>
      </c>
      <c r="AG80" s="119" t="str">
        <f t="shared" si="18"/>
        <v>-</v>
      </c>
      <c r="AH80" s="119" t="str">
        <f t="shared" si="17"/>
        <v>-</v>
      </c>
      <c r="AI80" s="119" t="str">
        <f t="shared" si="17"/>
        <v>-</v>
      </c>
      <c r="AJ80" s="119" t="str">
        <f t="shared" si="17"/>
        <v>-</v>
      </c>
      <c r="AM80" s="120">
        <v>76</v>
      </c>
      <c r="AN80" s="58" t="e">
        <f>VLOOKUP(AM80,Q$5:$AJ$104,$AO$2,FALSE)</f>
        <v>#N/A</v>
      </c>
      <c r="AO80" s="93" t="e">
        <f>VLOOKUP(AM80,Q$5:$AJ$104,$AO$2+11,FALSE)</f>
        <v>#N/A</v>
      </c>
      <c r="AP80" s="58" t="e">
        <f t="shared" si="33"/>
        <v>#N/A</v>
      </c>
      <c r="AR80" s="120">
        <v>76</v>
      </c>
      <c r="AS80" s="58" t="e">
        <f>VLOOKUP(AR80,$S$5:$AJ$104,$AT$2,FALSE)</f>
        <v>#N/A</v>
      </c>
      <c r="AT80" s="93" t="e">
        <f>VLOOKUP(AR80,$S$5:$AJ$104,$AT$2+9,FALSE)</f>
        <v>#N/A</v>
      </c>
      <c r="AU80" s="58" t="e">
        <f>VLOOKUP(AS80,$S$5:$AJ$104,$AT$2+12,FALSE)</f>
        <v>#N/A</v>
      </c>
      <c r="AV80" s="75"/>
      <c r="AW80" s="120">
        <v>76</v>
      </c>
      <c r="AX80" s="58" t="e">
        <f>VLOOKUP(AW80,$U$5:$AJ$104,$AY$2,FALSE)</f>
        <v>#N/A</v>
      </c>
      <c r="AY80" s="93" t="e">
        <f>VLOOKUP(AW80,$U$5:$AJ$104,$AY$2+7,FALSE)</f>
        <v>#N/A</v>
      </c>
      <c r="AZ80" s="58" t="e">
        <f>VLOOKUP(AX80,$U$5:$AJ$104,$AY$2+11,FALSE)</f>
        <v>#N/A</v>
      </c>
      <c r="BB80" s="120">
        <v>76</v>
      </c>
      <c r="BC80" s="58" t="e">
        <f>VLOOKUP(BB80,$W$5:$AJ$104,$BD$2,FALSE)</f>
        <v>#N/A</v>
      </c>
      <c r="BD80" s="93" t="e">
        <f>VLOOKUP(BB80,$W$5:$AJ$104,$BD$2+5,FALSE)</f>
        <v>#N/A</v>
      </c>
      <c r="BE80" s="58" t="e">
        <f>VLOOKUP(BC80,$W$5:$AJ$104,$BD$2+10,FALSE)</f>
        <v>#N/A</v>
      </c>
      <c r="BF80" s="75"/>
      <c r="BG80" s="120">
        <v>76</v>
      </c>
      <c r="BH80" s="58" t="e">
        <f>VLOOKUP(BG80,$Y$5:$AJ$104,$BI$2,FALSE)</f>
        <v>#N/A</v>
      </c>
      <c r="BI80" s="93" t="e">
        <f>VLOOKUP(BG80,$Y$5:$AJ$104,$BI$2+3,FALSE)</f>
        <v>#N/A</v>
      </c>
      <c r="BJ80" s="58" t="e">
        <f>VLOOKUP(BH80,$Y$5:$AJ$104,$BI$2+9,FALSE)</f>
        <v>#N/A</v>
      </c>
      <c r="BL80" s="120">
        <v>76</v>
      </c>
      <c r="BM80" s="58" t="e">
        <f>VLOOKUP(BL80,$AA$5:$AJ$104,$BN$2,FALSE)</f>
        <v>#N/A</v>
      </c>
      <c r="BN80" s="93" t="e">
        <f>VLOOKUP(BL80,$AA$5:$AJ$104,$BN$2+1,FALSE)</f>
        <v>#N/A</v>
      </c>
      <c r="BO80" s="58" t="e">
        <f>VLOOKUP(BM80,$AA$5:$AJ$104,$BN$2+8,FALSE)</f>
        <v>#N/A</v>
      </c>
      <c r="BQ80" s="2" t="e">
        <f>'Eclectic C'!CD80</f>
        <v>#N/A</v>
      </c>
      <c r="BR80" s="6" t="e">
        <f>'Eclectic C'!CE80</f>
        <v>#N/A</v>
      </c>
      <c r="BS80" s="103" t="e">
        <f>'Eclectic C'!CF80</f>
        <v>#N/A</v>
      </c>
    </row>
    <row r="81" spans="1:71">
      <c r="A81" s="10" t="str">
        <f>IF(ISBLANK(Players!K79),"",Players!K79)</f>
        <v/>
      </c>
      <c r="B81" s="10" t="str">
        <f>IF(ISBLANK(Players!L79),"",Players!L79)</f>
        <v/>
      </c>
      <c r="C81" s="10" t="str">
        <f>IF(ISBLANK(Players!N79),"",Players!N79)</f>
        <v/>
      </c>
      <c r="D81" s="126" t="str">
        <f>IF(ISNUMBER(C81),MIN((C81*Rules!$N$14/113)+(Rules!$N$13-Rules!$N$12),Rules!$N$37),"-")</f>
        <v>-</v>
      </c>
      <c r="E81" s="126" t="str">
        <f>IF(ISNUMBER(C81),    ROUND( (D81*Rules!$N$11) / 100,0),"-")</f>
        <v>-</v>
      </c>
      <c r="F81" s="36" t="str">
        <f>IF(AND(ISNUMBER(C81),C81&gt;=Rules!$M$24,C81&lt;=Rules!$N$24),"Y","N")</f>
        <v>N</v>
      </c>
      <c r="G81" s="137" t="str">
        <f>'Eclectic C'!M81</f>
        <v>-</v>
      </c>
      <c r="H81" s="137" t="str">
        <f>'Eclectic C'!W81</f>
        <v>-</v>
      </c>
      <c r="I81" s="137" t="str">
        <f>'Eclectic C'!AJ81</f>
        <v>-</v>
      </c>
      <c r="J81" s="137" t="str">
        <f>'Eclectic C'!AT81</f>
        <v>-</v>
      </c>
      <c r="K81" s="14" t="str">
        <f t="shared" si="19"/>
        <v>-</v>
      </c>
      <c r="L81" s="14" t="str">
        <f t="shared" si="20"/>
        <v>-</v>
      </c>
      <c r="M81" s="14" t="str">
        <f t="shared" si="21"/>
        <v>-</v>
      </c>
      <c r="N81" s="14" t="str">
        <f t="shared" si="22"/>
        <v>-</v>
      </c>
      <c r="O81" s="14" t="str">
        <f t="shared" si="23"/>
        <v>-</v>
      </c>
      <c r="P81" s="14" t="str">
        <f t="shared" si="24"/>
        <v>-</v>
      </c>
      <c r="Q81" s="108" t="e">
        <f>RANK($K81,$K$5:$K$104,1)+COUNTIF(K$5:K81,K81)-1</f>
        <v>#VALUE!</v>
      </c>
      <c r="R81" s="108" t="e">
        <f t="shared" si="25"/>
        <v>#VALUE!</v>
      </c>
      <c r="S81" s="108" t="e">
        <f>RANK($L81,$L$5:$L$104,1)+COUNTIF(L$5:L81,L81)-1</f>
        <v>#VALUE!</v>
      </c>
      <c r="T81" s="108" t="e">
        <f t="shared" si="26"/>
        <v>#VALUE!</v>
      </c>
      <c r="U81" s="108" t="e">
        <f>RANK($M81,$M$5:$M$104,1)+COUNTIF(M$5:M81,M81)-1</f>
        <v>#VALUE!</v>
      </c>
      <c r="V81" s="108" t="e">
        <f t="shared" si="27"/>
        <v>#VALUE!</v>
      </c>
      <c r="W81" s="108" t="e">
        <f>RANK($N81,$N$5:$N$104,1)+COUNTIF(N$5:N81,N81)-1</f>
        <v>#VALUE!</v>
      </c>
      <c r="X81" s="108" t="e">
        <f t="shared" si="28"/>
        <v>#VALUE!</v>
      </c>
      <c r="Y81" s="108" t="e">
        <f>RANK($O81,$O$5:$O$104,1)+COUNTIF(O$5:O81,O81)-1</f>
        <v>#VALUE!</v>
      </c>
      <c r="Z81" s="108" t="e">
        <f t="shared" si="29"/>
        <v>#VALUE!</v>
      </c>
      <c r="AA81" s="108" t="e">
        <f>RANK($P81,$P$5:$P$104,1)+COUNTIF(P$5:P81,P81)-1</f>
        <v>#VALUE!</v>
      </c>
      <c r="AB81" s="108" t="e">
        <f t="shared" si="30"/>
        <v>#VALUE!</v>
      </c>
      <c r="AC81" s="59" t="str">
        <f t="shared" si="31"/>
        <v xml:space="preserve"> </v>
      </c>
      <c r="AD81" s="59" t="str">
        <f t="shared" si="32"/>
        <v>-</v>
      </c>
      <c r="AE81" s="119" t="str">
        <f t="shared" si="18"/>
        <v>-</v>
      </c>
      <c r="AF81" s="119" t="str">
        <f t="shared" si="18"/>
        <v>-</v>
      </c>
      <c r="AG81" s="119" t="str">
        <f t="shared" si="18"/>
        <v>-</v>
      </c>
      <c r="AH81" s="119" t="str">
        <f t="shared" si="17"/>
        <v>-</v>
      </c>
      <c r="AI81" s="119" t="str">
        <f t="shared" si="17"/>
        <v>-</v>
      </c>
      <c r="AJ81" s="119" t="str">
        <f t="shared" si="17"/>
        <v>-</v>
      </c>
      <c r="AM81" s="120">
        <v>77</v>
      </c>
      <c r="AN81" s="58" t="e">
        <f>VLOOKUP(AM81,Q$5:$AJ$104,$AO$2,FALSE)</f>
        <v>#N/A</v>
      </c>
      <c r="AO81" s="93" t="e">
        <f>VLOOKUP(AM81,Q$5:$AJ$104,$AO$2+11,FALSE)</f>
        <v>#N/A</v>
      </c>
      <c r="AP81" s="58" t="e">
        <f t="shared" si="33"/>
        <v>#N/A</v>
      </c>
      <c r="AR81" s="120">
        <v>77</v>
      </c>
      <c r="AS81" s="58" t="e">
        <f>VLOOKUP(AR81,$S$5:$AJ$104,$AT$2,FALSE)</f>
        <v>#N/A</v>
      </c>
      <c r="AT81" s="93" t="e">
        <f>VLOOKUP(AR81,$S$5:$AJ$104,$AT$2+9,FALSE)</f>
        <v>#N/A</v>
      </c>
      <c r="AU81" s="58" t="e">
        <f>VLOOKUP(AS81,$S$5:$AJ$104,$AT$2+12,FALSE)</f>
        <v>#N/A</v>
      </c>
      <c r="AV81" s="75"/>
      <c r="AW81" s="120">
        <v>77</v>
      </c>
      <c r="AX81" s="58" t="e">
        <f>VLOOKUP(AW81,$U$5:$AJ$104,$AY$2,FALSE)</f>
        <v>#N/A</v>
      </c>
      <c r="AY81" s="93" t="e">
        <f>VLOOKUP(AW81,$U$5:$AJ$104,$AY$2+7,FALSE)</f>
        <v>#N/A</v>
      </c>
      <c r="AZ81" s="58" t="e">
        <f>VLOOKUP(AX81,$U$5:$AJ$104,$AY$2+11,FALSE)</f>
        <v>#N/A</v>
      </c>
      <c r="BB81" s="120">
        <v>77</v>
      </c>
      <c r="BC81" s="58" t="e">
        <f>VLOOKUP(BB81,$W$5:$AJ$104,$BD$2,FALSE)</f>
        <v>#N/A</v>
      </c>
      <c r="BD81" s="93" t="e">
        <f>VLOOKUP(BB81,$W$5:$AJ$104,$BD$2+5,FALSE)</f>
        <v>#N/A</v>
      </c>
      <c r="BE81" s="58" t="e">
        <f>VLOOKUP(BC81,$W$5:$AJ$104,$BD$2+10,FALSE)</f>
        <v>#N/A</v>
      </c>
      <c r="BF81" s="75"/>
      <c r="BG81" s="120">
        <v>77</v>
      </c>
      <c r="BH81" s="58" t="e">
        <f>VLOOKUP(BG81,$Y$5:$AJ$104,$BI$2,FALSE)</f>
        <v>#N/A</v>
      </c>
      <c r="BI81" s="93" t="e">
        <f>VLOOKUP(BG81,$Y$5:$AJ$104,$BI$2+3,FALSE)</f>
        <v>#N/A</v>
      </c>
      <c r="BJ81" s="58" t="e">
        <f>VLOOKUP(BH81,$Y$5:$AJ$104,$BI$2+9,FALSE)</f>
        <v>#N/A</v>
      </c>
      <c r="BL81" s="120">
        <v>77</v>
      </c>
      <c r="BM81" s="58" t="e">
        <f>VLOOKUP(BL81,$AA$5:$AJ$104,$BN$2,FALSE)</f>
        <v>#N/A</v>
      </c>
      <c r="BN81" s="93" t="e">
        <f>VLOOKUP(BL81,$AA$5:$AJ$104,$BN$2+1,FALSE)</f>
        <v>#N/A</v>
      </c>
      <c r="BO81" s="58" t="e">
        <f>VLOOKUP(BM81,$AA$5:$AJ$104,$BN$2+8,FALSE)</f>
        <v>#N/A</v>
      </c>
      <c r="BQ81" s="2" t="e">
        <f>'Eclectic C'!CD81</f>
        <v>#N/A</v>
      </c>
      <c r="BR81" s="6" t="e">
        <f>'Eclectic C'!CE81</f>
        <v>#N/A</v>
      </c>
      <c r="BS81" s="103" t="e">
        <f>'Eclectic C'!CF81</f>
        <v>#N/A</v>
      </c>
    </row>
    <row r="82" spans="1:71">
      <c r="A82" s="10" t="str">
        <f>IF(ISBLANK(Players!K80),"",Players!K80)</f>
        <v/>
      </c>
      <c r="B82" s="10" t="str">
        <f>IF(ISBLANK(Players!L80),"",Players!L80)</f>
        <v/>
      </c>
      <c r="C82" s="10" t="str">
        <f>IF(ISBLANK(Players!N80),"",Players!N80)</f>
        <v/>
      </c>
      <c r="D82" s="126" t="str">
        <f>IF(ISNUMBER(C82),MIN((C82*Rules!$N$14/113)+(Rules!$N$13-Rules!$N$12),Rules!$N$37),"-")</f>
        <v>-</v>
      </c>
      <c r="E82" s="126" t="str">
        <f>IF(ISNUMBER(C82),    ROUND( (D82*Rules!$N$11) / 100,0),"-")</f>
        <v>-</v>
      </c>
      <c r="F82" s="36" t="str">
        <f>IF(AND(ISNUMBER(C82),C82&gt;=Rules!$M$24,C82&lt;=Rules!$N$24),"Y","N")</f>
        <v>N</v>
      </c>
      <c r="G82" s="137" t="str">
        <f>'Eclectic C'!M82</f>
        <v>-</v>
      </c>
      <c r="H82" s="137" t="str">
        <f>'Eclectic C'!W82</f>
        <v>-</v>
      </c>
      <c r="I82" s="137" t="str">
        <f>'Eclectic C'!AJ82</f>
        <v>-</v>
      </c>
      <c r="J82" s="137" t="str">
        <f>'Eclectic C'!AT82</f>
        <v>-</v>
      </c>
      <c r="K82" s="14" t="str">
        <f t="shared" si="19"/>
        <v>-</v>
      </c>
      <c r="L82" s="14" t="str">
        <f t="shared" si="20"/>
        <v>-</v>
      </c>
      <c r="M82" s="14" t="str">
        <f t="shared" si="21"/>
        <v>-</v>
      </c>
      <c r="N82" s="14" t="str">
        <f t="shared" si="22"/>
        <v>-</v>
      </c>
      <c r="O82" s="14" t="str">
        <f t="shared" si="23"/>
        <v>-</v>
      </c>
      <c r="P82" s="14" t="str">
        <f t="shared" si="24"/>
        <v>-</v>
      </c>
      <c r="Q82" s="108" t="e">
        <f>RANK($K82,$K$5:$K$104,1)+COUNTIF(K$5:K82,K82)-1</f>
        <v>#VALUE!</v>
      </c>
      <c r="R82" s="108" t="e">
        <f t="shared" si="25"/>
        <v>#VALUE!</v>
      </c>
      <c r="S82" s="108" t="e">
        <f>RANK($L82,$L$5:$L$104,1)+COUNTIF(L$5:L82,L82)-1</f>
        <v>#VALUE!</v>
      </c>
      <c r="T82" s="108" t="e">
        <f t="shared" si="26"/>
        <v>#VALUE!</v>
      </c>
      <c r="U82" s="108" t="e">
        <f>RANK($M82,$M$5:$M$104,1)+COUNTIF(M$5:M82,M82)-1</f>
        <v>#VALUE!</v>
      </c>
      <c r="V82" s="108" t="e">
        <f t="shared" si="27"/>
        <v>#VALUE!</v>
      </c>
      <c r="W82" s="108" t="e">
        <f>RANK($N82,$N$5:$N$104,1)+COUNTIF(N$5:N82,N82)-1</f>
        <v>#VALUE!</v>
      </c>
      <c r="X82" s="108" t="e">
        <f t="shared" si="28"/>
        <v>#VALUE!</v>
      </c>
      <c r="Y82" s="108" t="e">
        <f>RANK($O82,$O$5:$O$104,1)+COUNTIF(O$5:O82,O82)-1</f>
        <v>#VALUE!</v>
      </c>
      <c r="Z82" s="108" t="e">
        <f t="shared" si="29"/>
        <v>#VALUE!</v>
      </c>
      <c r="AA82" s="108" t="e">
        <f>RANK($P82,$P$5:$P$104,1)+COUNTIF(P$5:P82,P82)-1</f>
        <v>#VALUE!</v>
      </c>
      <c r="AB82" s="108" t="e">
        <f t="shared" si="30"/>
        <v>#VALUE!</v>
      </c>
      <c r="AC82" s="59" t="str">
        <f t="shared" si="31"/>
        <v xml:space="preserve"> </v>
      </c>
      <c r="AD82" s="59" t="str">
        <f t="shared" si="32"/>
        <v>-</v>
      </c>
      <c r="AE82" s="119" t="str">
        <f t="shared" si="18"/>
        <v>-</v>
      </c>
      <c r="AF82" s="119" t="str">
        <f t="shared" si="18"/>
        <v>-</v>
      </c>
      <c r="AG82" s="119" t="str">
        <f t="shared" si="18"/>
        <v>-</v>
      </c>
      <c r="AH82" s="119" t="str">
        <f t="shared" si="17"/>
        <v>-</v>
      </c>
      <c r="AI82" s="119" t="str">
        <f t="shared" si="17"/>
        <v>-</v>
      </c>
      <c r="AJ82" s="119" t="str">
        <f t="shared" si="17"/>
        <v>-</v>
      </c>
      <c r="AM82" s="120">
        <v>78</v>
      </c>
      <c r="AN82" s="58" t="e">
        <f>VLOOKUP(AM82,Q$5:$AJ$104,$AO$2,FALSE)</f>
        <v>#N/A</v>
      </c>
      <c r="AO82" s="93" t="e">
        <f>VLOOKUP(AM82,Q$5:$AJ$104,$AO$2+11,FALSE)</f>
        <v>#N/A</v>
      </c>
      <c r="AP82" s="58" t="e">
        <f t="shared" si="33"/>
        <v>#N/A</v>
      </c>
      <c r="AR82" s="120">
        <v>78</v>
      </c>
      <c r="AS82" s="58" t="e">
        <f>VLOOKUP(AR82,$S$5:$AJ$104,$AT$2,FALSE)</f>
        <v>#N/A</v>
      </c>
      <c r="AT82" s="93" t="e">
        <f>VLOOKUP(AR82,$S$5:$AJ$104,$AT$2+9,FALSE)</f>
        <v>#N/A</v>
      </c>
      <c r="AU82" s="58" t="e">
        <f>VLOOKUP(AS82,$S$5:$AJ$104,$AT$2+12,FALSE)</f>
        <v>#N/A</v>
      </c>
      <c r="AV82" s="75"/>
      <c r="AW82" s="120">
        <v>78</v>
      </c>
      <c r="AX82" s="58" t="e">
        <f>VLOOKUP(AW82,$U$5:$AJ$104,$AY$2,FALSE)</f>
        <v>#N/A</v>
      </c>
      <c r="AY82" s="93" t="e">
        <f>VLOOKUP(AW82,$U$5:$AJ$104,$AY$2+7,FALSE)</f>
        <v>#N/A</v>
      </c>
      <c r="AZ82" s="58" t="e">
        <f>VLOOKUP(AX82,$U$5:$AJ$104,$AY$2+11,FALSE)</f>
        <v>#N/A</v>
      </c>
      <c r="BB82" s="120">
        <v>78</v>
      </c>
      <c r="BC82" s="58" t="e">
        <f>VLOOKUP(BB82,$W$5:$AJ$104,$BD$2,FALSE)</f>
        <v>#N/A</v>
      </c>
      <c r="BD82" s="93" t="e">
        <f>VLOOKUP(BB82,$W$5:$AJ$104,$BD$2+5,FALSE)</f>
        <v>#N/A</v>
      </c>
      <c r="BE82" s="58" t="e">
        <f>VLOOKUP(BC82,$W$5:$AJ$104,$BD$2+10,FALSE)</f>
        <v>#N/A</v>
      </c>
      <c r="BF82" s="75"/>
      <c r="BG82" s="120">
        <v>78</v>
      </c>
      <c r="BH82" s="58" t="e">
        <f>VLOOKUP(BG82,$Y$5:$AJ$104,$BI$2,FALSE)</f>
        <v>#N/A</v>
      </c>
      <c r="BI82" s="93" t="e">
        <f>VLOOKUP(BG82,$Y$5:$AJ$104,$BI$2+3,FALSE)</f>
        <v>#N/A</v>
      </c>
      <c r="BJ82" s="58" t="e">
        <f>VLOOKUP(BH82,$Y$5:$AJ$104,$BI$2+9,FALSE)</f>
        <v>#N/A</v>
      </c>
      <c r="BL82" s="120">
        <v>78</v>
      </c>
      <c r="BM82" s="58" t="e">
        <f>VLOOKUP(BL82,$AA$5:$AJ$104,$BN$2,FALSE)</f>
        <v>#N/A</v>
      </c>
      <c r="BN82" s="93" t="e">
        <f>VLOOKUP(BL82,$AA$5:$AJ$104,$BN$2+1,FALSE)</f>
        <v>#N/A</v>
      </c>
      <c r="BO82" s="58" t="e">
        <f>VLOOKUP(BM82,$AA$5:$AJ$104,$BN$2+8,FALSE)</f>
        <v>#N/A</v>
      </c>
      <c r="BQ82" s="2" t="e">
        <f>'Eclectic C'!CD82</f>
        <v>#N/A</v>
      </c>
      <c r="BR82" s="6" t="e">
        <f>'Eclectic C'!CE82</f>
        <v>#N/A</v>
      </c>
      <c r="BS82" s="103" t="e">
        <f>'Eclectic C'!CF82</f>
        <v>#N/A</v>
      </c>
    </row>
    <row r="83" spans="1:71">
      <c r="A83" s="10" t="str">
        <f>IF(ISBLANK(Players!K81),"",Players!K81)</f>
        <v/>
      </c>
      <c r="B83" s="10" t="str">
        <f>IF(ISBLANK(Players!L81),"",Players!L81)</f>
        <v/>
      </c>
      <c r="C83" s="10" t="str">
        <f>IF(ISBLANK(Players!N81),"",Players!N81)</f>
        <v/>
      </c>
      <c r="D83" s="126" t="str">
        <f>IF(ISNUMBER(C83),MIN((C83*Rules!$N$14/113)+(Rules!$N$13-Rules!$N$12),Rules!$N$37),"-")</f>
        <v>-</v>
      </c>
      <c r="E83" s="126" t="str">
        <f>IF(ISNUMBER(C83),    ROUND( (D83*Rules!$N$11) / 100,0),"-")</f>
        <v>-</v>
      </c>
      <c r="F83" s="36" t="str">
        <f>IF(AND(ISNUMBER(C83),C83&gt;=Rules!$M$24,C83&lt;=Rules!$N$24),"Y","N")</f>
        <v>N</v>
      </c>
      <c r="G83" s="137" t="str">
        <f>'Eclectic C'!M83</f>
        <v>-</v>
      </c>
      <c r="H83" s="137" t="str">
        <f>'Eclectic C'!W83</f>
        <v>-</v>
      </c>
      <c r="I83" s="137" t="str">
        <f>'Eclectic C'!AJ83</f>
        <v>-</v>
      </c>
      <c r="J83" s="137" t="str">
        <f>'Eclectic C'!AT83</f>
        <v>-</v>
      </c>
      <c r="K83" s="14" t="str">
        <f t="shared" si="19"/>
        <v>-</v>
      </c>
      <c r="L83" s="14" t="str">
        <f t="shared" si="20"/>
        <v>-</v>
      </c>
      <c r="M83" s="14" t="str">
        <f t="shared" si="21"/>
        <v>-</v>
      </c>
      <c r="N83" s="14" t="str">
        <f t="shared" si="22"/>
        <v>-</v>
      </c>
      <c r="O83" s="14" t="str">
        <f t="shared" si="23"/>
        <v>-</v>
      </c>
      <c r="P83" s="14" t="str">
        <f t="shared" si="24"/>
        <v>-</v>
      </c>
      <c r="Q83" s="108" t="e">
        <f>RANK($K83,$K$5:$K$104,1)+COUNTIF(K$5:K83,K83)-1</f>
        <v>#VALUE!</v>
      </c>
      <c r="R83" s="108" t="e">
        <f t="shared" si="25"/>
        <v>#VALUE!</v>
      </c>
      <c r="S83" s="108" t="e">
        <f>RANK($L83,$L$5:$L$104,1)+COUNTIF(L$5:L83,L83)-1</f>
        <v>#VALUE!</v>
      </c>
      <c r="T83" s="108" t="e">
        <f t="shared" si="26"/>
        <v>#VALUE!</v>
      </c>
      <c r="U83" s="108" t="e">
        <f>RANK($M83,$M$5:$M$104,1)+COUNTIF(M$5:M83,M83)-1</f>
        <v>#VALUE!</v>
      </c>
      <c r="V83" s="108" t="e">
        <f t="shared" si="27"/>
        <v>#VALUE!</v>
      </c>
      <c r="W83" s="108" t="e">
        <f>RANK($N83,$N$5:$N$104,1)+COUNTIF(N$5:N83,N83)-1</f>
        <v>#VALUE!</v>
      </c>
      <c r="X83" s="108" t="e">
        <f t="shared" si="28"/>
        <v>#VALUE!</v>
      </c>
      <c r="Y83" s="108" t="e">
        <f>RANK($O83,$O$5:$O$104,1)+COUNTIF(O$5:O83,O83)-1</f>
        <v>#VALUE!</v>
      </c>
      <c r="Z83" s="108" t="e">
        <f t="shared" si="29"/>
        <v>#VALUE!</v>
      </c>
      <c r="AA83" s="108" t="e">
        <f>RANK($P83,$P$5:$P$104,1)+COUNTIF(P$5:P83,P83)-1</f>
        <v>#VALUE!</v>
      </c>
      <c r="AB83" s="108" t="e">
        <f t="shared" si="30"/>
        <v>#VALUE!</v>
      </c>
      <c r="AC83" s="59" t="str">
        <f t="shared" si="31"/>
        <v xml:space="preserve"> </v>
      </c>
      <c r="AD83" s="59" t="str">
        <f t="shared" si="32"/>
        <v>-</v>
      </c>
      <c r="AE83" s="119" t="str">
        <f t="shared" si="18"/>
        <v>-</v>
      </c>
      <c r="AF83" s="119" t="str">
        <f t="shared" si="18"/>
        <v>-</v>
      </c>
      <c r="AG83" s="119" t="str">
        <f t="shared" si="18"/>
        <v>-</v>
      </c>
      <c r="AH83" s="119" t="str">
        <f t="shared" si="17"/>
        <v>-</v>
      </c>
      <c r="AI83" s="119" t="str">
        <f t="shared" si="17"/>
        <v>-</v>
      </c>
      <c r="AJ83" s="119" t="str">
        <f t="shared" si="17"/>
        <v>-</v>
      </c>
      <c r="AM83" s="120">
        <v>79</v>
      </c>
      <c r="AN83" s="58" t="e">
        <f>VLOOKUP(AM83,Q$5:$AJ$104,$AO$2,FALSE)</f>
        <v>#N/A</v>
      </c>
      <c r="AO83" s="93" t="e">
        <f>VLOOKUP(AM83,Q$5:$AJ$104,$AO$2+11,FALSE)</f>
        <v>#N/A</v>
      </c>
      <c r="AP83" s="58" t="e">
        <f t="shared" si="33"/>
        <v>#N/A</v>
      </c>
      <c r="AR83" s="120">
        <v>79</v>
      </c>
      <c r="AS83" s="58" t="e">
        <f>VLOOKUP(AR83,$S$5:$AJ$104,$AT$2,FALSE)</f>
        <v>#N/A</v>
      </c>
      <c r="AT83" s="93" t="e">
        <f>VLOOKUP(AR83,$S$5:$AJ$104,$AT$2+9,FALSE)</f>
        <v>#N/A</v>
      </c>
      <c r="AU83" s="58" t="e">
        <f>VLOOKUP(AS83,$S$5:$AJ$104,$AT$2+12,FALSE)</f>
        <v>#N/A</v>
      </c>
      <c r="AV83" s="75"/>
      <c r="AW83" s="120">
        <v>79</v>
      </c>
      <c r="AX83" s="58" t="e">
        <f>VLOOKUP(AW83,$U$5:$AJ$104,$AY$2,FALSE)</f>
        <v>#N/A</v>
      </c>
      <c r="AY83" s="93" t="e">
        <f>VLOOKUP(AW83,$U$5:$AJ$104,$AY$2+7,FALSE)</f>
        <v>#N/A</v>
      </c>
      <c r="AZ83" s="58" t="e">
        <f>VLOOKUP(AX83,$U$5:$AJ$104,$AY$2+11,FALSE)</f>
        <v>#N/A</v>
      </c>
      <c r="BB83" s="120">
        <v>79</v>
      </c>
      <c r="BC83" s="58" t="e">
        <f>VLOOKUP(BB83,$W$5:$AJ$104,$BD$2,FALSE)</f>
        <v>#N/A</v>
      </c>
      <c r="BD83" s="93" t="e">
        <f>VLOOKUP(BB83,$W$5:$AJ$104,$BD$2+5,FALSE)</f>
        <v>#N/A</v>
      </c>
      <c r="BE83" s="58" t="e">
        <f>VLOOKUP(BC83,$W$5:$AJ$104,$BD$2+10,FALSE)</f>
        <v>#N/A</v>
      </c>
      <c r="BF83" s="75"/>
      <c r="BG83" s="120">
        <v>79</v>
      </c>
      <c r="BH83" s="58" t="e">
        <f>VLOOKUP(BG83,$Y$5:$AJ$104,$BI$2,FALSE)</f>
        <v>#N/A</v>
      </c>
      <c r="BI83" s="93" t="e">
        <f>VLOOKUP(BG83,$Y$5:$AJ$104,$BI$2+3,FALSE)</f>
        <v>#N/A</v>
      </c>
      <c r="BJ83" s="58" t="e">
        <f>VLOOKUP(BH83,$Y$5:$AJ$104,$BI$2+9,FALSE)</f>
        <v>#N/A</v>
      </c>
      <c r="BL83" s="120">
        <v>79</v>
      </c>
      <c r="BM83" s="58" t="e">
        <f>VLOOKUP(BL83,$AA$5:$AJ$104,$BN$2,FALSE)</f>
        <v>#N/A</v>
      </c>
      <c r="BN83" s="93" t="e">
        <f>VLOOKUP(BL83,$AA$5:$AJ$104,$BN$2+1,FALSE)</f>
        <v>#N/A</v>
      </c>
      <c r="BO83" s="58" t="e">
        <f>VLOOKUP(BM83,$AA$5:$AJ$104,$BN$2+8,FALSE)</f>
        <v>#N/A</v>
      </c>
      <c r="BQ83" s="2" t="e">
        <f>'Eclectic C'!CD83</f>
        <v>#N/A</v>
      </c>
      <c r="BR83" s="6" t="e">
        <f>'Eclectic C'!CE83</f>
        <v>#N/A</v>
      </c>
      <c r="BS83" s="103" t="e">
        <f>'Eclectic C'!CF83</f>
        <v>#N/A</v>
      </c>
    </row>
    <row r="84" spans="1:71">
      <c r="A84" s="10" t="str">
        <f>IF(ISBLANK(Players!K82),"",Players!K82)</f>
        <v/>
      </c>
      <c r="B84" s="10" t="str">
        <f>IF(ISBLANK(Players!L82),"",Players!L82)</f>
        <v/>
      </c>
      <c r="C84" s="10" t="str">
        <f>IF(ISBLANK(Players!N82),"",Players!N82)</f>
        <v/>
      </c>
      <c r="D84" s="126" t="str">
        <f>IF(ISNUMBER(C84),MIN((C84*Rules!$N$14/113)+(Rules!$N$13-Rules!$N$12),Rules!$N$37),"-")</f>
        <v>-</v>
      </c>
      <c r="E84" s="126" t="str">
        <f>IF(ISNUMBER(C84),    ROUND( (D84*Rules!$N$11) / 100,0),"-")</f>
        <v>-</v>
      </c>
      <c r="F84" s="36" t="str">
        <f>IF(AND(ISNUMBER(C84),C84&gt;=Rules!$M$24,C84&lt;=Rules!$N$24),"Y","N")</f>
        <v>N</v>
      </c>
      <c r="G84" s="137" t="str">
        <f>'Eclectic C'!M84</f>
        <v>-</v>
      </c>
      <c r="H84" s="137" t="str">
        <f>'Eclectic C'!W84</f>
        <v>-</v>
      </c>
      <c r="I84" s="137" t="str">
        <f>'Eclectic C'!AJ84</f>
        <v>-</v>
      </c>
      <c r="J84" s="137" t="str">
        <f>'Eclectic C'!AT84</f>
        <v>-</v>
      </c>
      <c r="K84" s="14" t="str">
        <f t="shared" si="19"/>
        <v>-</v>
      </c>
      <c r="L84" s="14" t="str">
        <f t="shared" si="20"/>
        <v>-</v>
      </c>
      <c r="M84" s="14" t="str">
        <f t="shared" si="21"/>
        <v>-</v>
      </c>
      <c r="N84" s="14" t="str">
        <f t="shared" si="22"/>
        <v>-</v>
      </c>
      <c r="O84" s="14" t="str">
        <f t="shared" si="23"/>
        <v>-</v>
      </c>
      <c r="P84" s="14" t="str">
        <f t="shared" si="24"/>
        <v>-</v>
      </c>
      <c r="Q84" s="108" t="e">
        <f>RANK($K84,$K$5:$K$104,1)+COUNTIF(K$5:K84,K84)-1</f>
        <v>#VALUE!</v>
      </c>
      <c r="R84" s="108" t="e">
        <f t="shared" si="25"/>
        <v>#VALUE!</v>
      </c>
      <c r="S84" s="108" t="e">
        <f>RANK($L84,$L$5:$L$104,1)+COUNTIF(L$5:L84,L84)-1</f>
        <v>#VALUE!</v>
      </c>
      <c r="T84" s="108" t="e">
        <f t="shared" si="26"/>
        <v>#VALUE!</v>
      </c>
      <c r="U84" s="108" t="e">
        <f>RANK($M84,$M$5:$M$104,1)+COUNTIF(M$5:M84,M84)-1</f>
        <v>#VALUE!</v>
      </c>
      <c r="V84" s="108" t="e">
        <f t="shared" si="27"/>
        <v>#VALUE!</v>
      </c>
      <c r="W84" s="108" t="e">
        <f>RANK($N84,$N$5:$N$104,1)+COUNTIF(N$5:N84,N84)-1</f>
        <v>#VALUE!</v>
      </c>
      <c r="X84" s="108" t="e">
        <f t="shared" si="28"/>
        <v>#VALUE!</v>
      </c>
      <c r="Y84" s="108" t="e">
        <f>RANK($O84,$O$5:$O$104,1)+COUNTIF(O$5:O84,O84)-1</f>
        <v>#VALUE!</v>
      </c>
      <c r="Z84" s="108" t="e">
        <f t="shared" si="29"/>
        <v>#VALUE!</v>
      </c>
      <c r="AA84" s="108" t="e">
        <f>RANK($P84,$P$5:$P$104,1)+COUNTIF(P$5:P84,P84)-1</f>
        <v>#VALUE!</v>
      </c>
      <c r="AB84" s="108" t="e">
        <f t="shared" si="30"/>
        <v>#VALUE!</v>
      </c>
      <c r="AC84" s="59" t="str">
        <f t="shared" si="31"/>
        <v xml:space="preserve"> </v>
      </c>
      <c r="AD84" s="59" t="str">
        <f t="shared" si="32"/>
        <v>-</v>
      </c>
      <c r="AE84" s="119" t="str">
        <f t="shared" si="18"/>
        <v>-</v>
      </c>
      <c r="AF84" s="119" t="str">
        <f t="shared" si="18"/>
        <v>-</v>
      </c>
      <c r="AG84" s="119" t="str">
        <f t="shared" si="18"/>
        <v>-</v>
      </c>
      <c r="AH84" s="119" t="str">
        <f t="shared" si="17"/>
        <v>-</v>
      </c>
      <c r="AI84" s="119" t="str">
        <f t="shared" si="17"/>
        <v>-</v>
      </c>
      <c r="AJ84" s="119" t="str">
        <f t="shared" si="17"/>
        <v>-</v>
      </c>
      <c r="AM84" s="120">
        <v>80</v>
      </c>
      <c r="AN84" s="58" t="e">
        <f>VLOOKUP(AM84,Q$5:$AJ$104,$AO$2,FALSE)</f>
        <v>#N/A</v>
      </c>
      <c r="AO84" s="93" t="e">
        <f>VLOOKUP(AM84,Q$5:$AJ$104,$AO$2+11,FALSE)</f>
        <v>#N/A</v>
      </c>
      <c r="AP84" s="58" t="e">
        <f t="shared" si="33"/>
        <v>#N/A</v>
      </c>
      <c r="AR84" s="120">
        <v>80</v>
      </c>
      <c r="AS84" s="58" t="e">
        <f>VLOOKUP(AR84,$S$5:$AJ$104,$AT$2,FALSE)</f>
        <v>#N/A</v>
      </c>
      <c r="AT84" s="93" t="e">
        <f>VLOOKUP(AR84,$S$5:$AJ$104,$AT$2+9,FALSE)</f>
        <v>#N/A</v>
      </c>
      <c r="AU84" s="58" t="e">
        <f>VLOOKUP(AS84,$S$5:$AJ$104,$AT$2+12,FALSE)</f>
        <v>#N/A</v>
      </c>
      <c r="AV84" s="75"/>
      <c r="AW84" s="120">
        <v>80</v>
      </c>
      <c r="AX84" s="58" t="e">
        <f>VLOOKUP(AW84,$U$5:$AJ$104,$AY$2,FALSE)</f>
        <v>#N/A</v>
      </c>
      <c r="AY84" s="93" t="e">
        <f>VLOOKUP(AW84,$U$5:$AJ$104,$AY$2+7,FALSE)</f>
        <v>#N/A</v>
      </c>
      <c r="AZ84" s="58" t="e">
        <f>VLOOKUP(AX84,$U$5:$AJ$104,$AY$2+11,FALSE)</f>
        <v>#N/A</v>
      </c>
      <c r="BB84" s="120">
        <v>80</v>
      </c>
      <c r="BC84" s="58" t="e">
        <f>VLOOKUP(BB84,$W$5:$AJ$104,$BD$2,FALSE)</f>
        <v>#N/A</v>
      </c>
      <c r="BD84" s="93" t="e">
        <f>VLOOKUP(BB84,$W$5:$AJ$104,$BD$2+5,FALSE)</f>
        <v>#N/A</v>
      </c>
      <c r="BE84" s="58" t="e">
        <f>VLOOKUP(BC84,$W$5:$AJ$104,$BD$2+10,FALSE)</f>
        <v>#N/A</v>
      </c>
      <c r="BF84" s="75"/>
      <c r="BG84" s="120">
        <v>80</v>
      </c>
      <c r="BH84" s="58" t="e">
        <f>VLOOKUP(BG84,$Y$5:$AJ$104,$BI$2,FALSE)</f>
        <v>#N/A</v>
      </c>
      <c r="BI84" s="93" t="e">
        <f>VLOOKUP(BG84,$Y$5:$AJ$104,$BI$2+3,FALSE)</f>
        <v>#N/A</v>
      </c>
      <c r="BJ84" s="58" t="e">
        <f>VLOOKUP(BH84,$Y$5:$AJ$104,$BI$2+9,FALSE)</f>
        <v>#N/A</v>
      </c>
      <c r="BL84" s="120">
        <v>80</v>
      </c>
      <c r="BM84" s="58" t="e">
        <f>VLOOKUP(BL84,$AA$5:$AJ$104,$BN$2,FALSE)</f>
        <v>#N/A</v>
      </c>
      <c r="BN84" s="93" t="e">
        <f>VLOOKUP(BL84,$AA$5:$AJ$104,$BN$2+1,FALSE)</f>
        <v>#N/A</v>
      </c>
      <c r="BO84" s="58" t="e">
        <f>VLOOKUP(BM84,$AA$5:$AJ$104,$BN$2+8,FALSE)</f>
        <v>#N/A</v>
      </c>
      <c r="BQ84" s="2" t="e">
        <f>'Eclectic C'!CD84</f>
        <v>#N/A</v>
      </c>
      <c r="BR84" s="6" t="e">
        <f>'Eclectic C'!CE84</f>
        <v>#N/A</v>
      </c>
      <c r="BS84" s="103" t="e">
        <f>'Eclectic C'!CF84</f>
        <v>#N/A</v>
      </c>
    </row>
    <row r="85" spans="1:71">
      <c r="A85" s="10" t="str">
        <f>IF(ISBLANK(Players!K83),"",Players!K83)</f>
        <v/>
      </c>
      <c r="B85" s="10" t="str">
        <f>IF(ISBLANK(Players!L83),"",Players!L83)</f>
        <v/>
      </c>
      <c r="C85" s="10" t="str">
        <f>IF(ISBLANK(Players!N83),"",Players!N83)</f>
        <v/>
      </c>
      <c r="D85" s="126" t="str">
        <f>IF(ISNUMBER(C85),MIN((C85*Rules!$N$14/113)+(Rules!$N$13-Rules!$N$12),Rules!$N$37),"-")</f>
        <v>-</v>
      </c>
      <c r="E85" s="126" t="str">
        <f>IF(ISNUMBER(C85),    ROUND( (D85*Rules!$N$11) / 100,0),"-")</f>
        <v>-</v>
      </c>
      <c r="F85" s="36" t="str">
        <f>IF(AND(ISNUMBER(C85),C85&gt;=Rules!$M$24,C85&lt;=Rules!$N$24),"Y","N")</f>
        <v>N</v>
      </c>
      <c r="G85" s="137" t="str">
        <f>'Eclectic C'!M85</f>
        <v>-</v>
      </c>
      <c r="H85" s="137" t="str">
        <f>'Eclectic C'!W85</f>
        <v>-</v>
      </c>
      <c r="I85" s="137" t="str">
        <f>'Eclectic C'!AJ85</f>
        <v>-</v>
      </c>
      <c r="J85" s="137" t="str">
        <f>'Eclectic C'!AT85</f>
        <v>-</v>
      </c>
      <c r="K85" s="14" t="str">
        <f t="shared" si="19"/>
        <v>-</v>
      </c>
      <c r="L85" s="14" t="str">
        <f t="shared" si="20"/>
        <v>-</v>
      </c>
      <c r="M85" s="14" t="str">
        <f t="shared" si="21"/>
        <v>-</v>
      </c>
      <c r="N85" s="14" t="str">
        <f t="shared" si="22"/>
        <v>-</v>
      </c>
      <c r="O85" s="14" t="str">
        <f t="shared" si="23"/>
        <v>-</v>
      </c>
      <c r="P85" s="14" t="str">
        <f t="shared" si="24"/>
        <v>-</v>
      </c>
      <c r="Q85" s="108" t="e">
        <f>RANK($K85,$K$5:$K$104,1)+COUNTIF(K$5:K85,K85)-1</f>
        <v>#VALUE!</v>
      </c>
      <c r="R85" s="108" t="e">
        <f t="shared" si="25"/>
        <v>#VALUE!</v>
      </c>
      <c r="S85" s="108" t="e">
        <f>RANK($L85,$L$5:$L$104,1)+COUNTIF(L$5:L85,L85)-1</f>
        <v>#VALUE!</v>
      </c>
      <c r="T85" s="108" t="e">
        <f t="shared" si="26"/>
        <v>#VALUE!</v>
      </c>
      <c r="U85" s="108" t="e">
        <f>RANK($M85,$M$5:$M$104,1)+COUNTIF(M$5:M85,M85)-1</f>
        <v>#VALUE!</v>
      </c>
      <c r="V85" s="108" t="e">
        <f t="shared" si="27"/>
        <v>#VALUE!</v>
      </c>
      <c r="W85" s="108" t="e">
        <f>RANK($N85,$N$5:$N$104,1)+COUNTIF(N$5:N85,N85)-1</f>
        <v>#VALUE!</v>
      </c>
      <c r="X85" s="108" t="e">
        <f t="shared" si="28"/>
        <v>#VALUE!</v>
      </c>
      <c r="Y85" s="108" t="e">
        <f>RANK($O85,$O$5:$O$104,1)+COUNTIF(O$5:O85,O85)-1</f>
        <v>#VALUE!</v>
      </c>
      <c r="Z85" s="108" t="e">
        <f t="shared" si="29"/>
        <v>#VALUE!</v>
      </c>
      <c r="AA85" s="108" t="e">
        <f>RANK($P85,$P$5:$P$104,1)+COUNTIF(P$5:P85,P85)-1</f>
        <v>#VALUE!</v>
      </c>
      <c r="AB85" s="108" t="e">
        <f t="shared" si="30"/>
        <v>#VALUE!</v>
      </c>
      <c r="AC85" s="59" t="str">
        <f t="shared" si="31"/>
        <v xml:space="preserve"> </v>
      </c>
      <c r="AD85" s="59" t="str">
        <f t="shared" si="32"/>
        <v>-</v>
      </c>
      <c r="AE85" s="119" t="str">
        <f t="shared" si="18"/>
        <v>-</v>
      </c>
      <c r="AF85" s="119" t="str">
        <f t="shared" si="18"/>
        <v>-</v>
      </c>
      <c r="AG85" s="119" t="str">
        <f t="shared" si="18"/>
        <v>-</v>
      </c>
      <c r="AH85" s="119" t="str">
        <f t="shared" si="17"/>
        <v>-</v>
      </c>
      <c r="AI85" s="119" t="str">
        <f t="shared" si="17"/>
        <v>-</v>
      </c>
      <c r="AJ85" s="119" t="str">
        <f t="shared" si="17"/>
        <v>-</v>
      </c>
      <c r="AM85" s="120">
        <v>81</v>
      </c>
      <c r="AN85" s="58" t="e">
        <f>VLOOKUP(AM85,Q$5:$AJ$104,$AO$2,FALSE)</f>
        <v>#N/A</v>
      </c>
      <c r="AO85" s="93" t="e">
        <f>VLOOKUP(AM85,Q$5:$AJ$104,$AO$2+11,FALSE)</f>
        <v>#N/A</v>
      </c>
      <c r="AP85" s="58" t="e">
        <f t="shared" si="33"/>
        <v>#N/A</v>
      </c>
      <c r="AR85" s="120">
        <v>81</v>
      </c>
      <c r="AS85" s="58" t="e">
        <f>VLOOKUP(AR85,$S$5:$AJ$104,$AT$2,FALSE)</f>
        <v>#N/A</v>
      </c>
      <c r="AT85" s="93" t="e">
        <f>VLOOKUP(AR85,$S$5:$AJ$104,$AT$2+9,FALSE)</f>
        <v>#N/A</v>
      </c>
      <c r="AU85" s="58" t="e">
        <f>VLOOKUP(AS85,$S$5:$AJ$104,$AT$2+12,FALSE)</f>
        <v>#N/A</v>
      </c>
      <c r="AV85" s="75"/>
      <c r="AW85" s="120">
        <v>81</v>
      </c>
      <c r="AX85" s="58" t="e">
        <f>VLOOKUP(AW85,$U$5:$AJ$104,$AY$2,FALSE)</f>
        <v>#N/A</v>
      </c>
      <c r="AY85" s="93" t="e">
        <f>VLOOKUP(AW85,$U$5:$AJ$104,$AY$2+7,FALSE)</f>
        <v>#N/A</v>
      </c>
      <c r="AZ85" s="58" t="e">
        <f>VLOOKUP(AX85,$U$5:$AJ$104,$AY$2+11,FALSE)</f>
        <v>#N/A</v>
      </c>
      <c r="BB85" s="120">
        <v>81</v>
      </c>
      <c r="BC85" s="58" t="e">
        <f>VLOOKUP(BB85,$W$5:$AJ$104,$BD$2,FALSE)</f>
        <v>#N/A</v>
      </c>
      <c r="BD85" s="93" t="e">
        <f>VLOOKUP(BB85,$W$5:$AJ$104,$BD$2+5,FALSE)</f>
        <v>#N/A</v>
      </c>
      <c r="BE85" s="58" t="e">
        <f>VLOOKUP(BC85,$W$5:$AJ$104,$BD$2+10,FALSE)</f>
        <v>#N/A</v>
      </c>
      <c r="BF85" s="75"/>
      <c r="BG85" s="120">
        <v>81</v>
      </c>
      <c r="BH85" s="58" t="e">
        <f>VLOOKUP(BG85,$Y$5:$AJ$104,$BI$2,FALSE)</f>
        <v>#N/A</v>
      </c>
      <c r="BI85" s="93" t="e">
        <f>VLOOKUP(BG85,$Y$5:$AJ$104,$BI$2+3,FALSE)</f>
        <v>#N/A</v>
      </c>
      <c r="BJ85" s="58" t="e">
        <f>VLOOKUP(BH85,$Y$5:$AJ$104,$BI$2+9,FALSE)</f>
        <v>#N/A</v>
      </c>
      <c r="BL85" s="120">
        <v>81</v>
      </c>
      <c r="BM85" s="58" t="e">
        <f>VLOOKUP(BL85,$AA$5:$AJ$104,$BN$2,FALSE)</f>
        <v>#N/A</v>
      </c>
      <c r="BN85" s="93" t="e">
        <f>VLOOKUP(BL85,$AA$5:$AJ$104,$BN$2+1,FALSE)</f>
        <v>#N/A</v>
      </c>
      <c r="BO85" s="58" t="e">
        <f>VLOOKUP(BM85,$AA$5:$AJ$104,$BN$2+8,FALSE)</f>
        <v>#N/A</v>
      </c>
      <c r="BQ85" s="2" t="e">
        <f>'Eclectic C'!CD85</f>
        <v>#N/A</v>
      </c>
      <c r="BR85" s="6" t="e">
        <f>'Eclectic C'!CE85</f>
        <v>#N/A</v>
      </c>
      <c r="BS85" s="103" t="e">
        <f>'Eclectic C'!CF85</f>
        <v>#N/A</v>
      </c>
    </row>
    <row r="86" spans="1:71">
      <c r="A86" s="10" t="str">
        <f>IF(ISBLANK(Players!K84),"",Players!K84)</f>
        <v/>
      </c>
      <c r="B86" s="10" t="str">
        <f>IF(ISBLANK(Players!L84),"",Players!L84)</f>
        <v/>
      </c>
      <c r="C86" s="10" t="str">
        <f>IF(ISBLANK(Players!N84),"",Players!N84)</f>
        <v/>
      </c>
      <c r="D86" s="126" t="str">
        <f>IF(ISNUMBER(C86),MIN((C86*Rules!$N$14/113)+(Rules!$N$13-Rules!$N$12),Rules!$N$37),"-")</f>
        <v>-</v>
      </c>
      <c r="E86" s="126" t="str">
        <f>IF(ISNUMBER(C86),    ROUND( (D86*Rules!$N$11) / 100,0),"-")</f>
        <v>-</v>
      </c>
      <c r="F86" s="36" t="str">
        <f>IF(AND(ISNUMBER(C86),C86&gt;=Rules!$M$24,C86&lt;=Rules!$N$24),"Y","N")</f>
        <v>N</v>
      </c>
      <c r="G86" s="137" t="str">
        <f>'Eclectic C'!M86</f>
        <v>-</v>
      </c>
      <c r="H86" s="137" t="str">
        <f>'Eclectic C'!W86</f>
        <v>-</v>
      </c>
      <c r="I86" s="137" t="str">
        <f>'Eclectic C'!AJ86</f>
        <v>-</v>
      </c>
      <c r="J86" s="137" t="str">
        <f>'Eclectic C'!AT86</f>
        <v>-</v>
      </c>
      <c r="K86" s="14" t="str">
        <f t="shared" si="19"/>
        <v>-</v>
      </c>
      <c r="L86" s="14" t="str">
        <f t="shared" si="20"/>
        <v>-</v>
      </c>
      <c r="M86" s="14" t="str">
        <f t="shared" si="21"/>
        <v>-</v>
      </c>
      <c r="N86" s="14" t="str">
        <f t="shared" si="22"/>
        <v>-</v>
      </c>
      <c r="O86" s="14" t="str">
        <f t="shared" si="23"/>
        <v>-</v>
      </c>
      <c r="P86" s="14" t="str">
        <f t="shared" si="24"/>
        <v>-</v>
      </c>
      <c r="Q86" s="108" t="e">
        <f>RANK($K86,$K$5:$K$104,1)+COUNTIF(K$5:K86,K86)-1</f>
        <v>#VALUE!</v>
      </c>
      <c r="R86" s="108" t="e">
        <f t="shared" si="25"/>
        <v>#VALUE!</v>
      </c>
      <c r="S86" s="108" t="e">
        <f>RANK($L86,$L$5:$L$104,1)+COUNTIF(L$5:L86,L86)-1</f>
        <v>#VALUE!</v>
      </c>
      <c r="T86" s="108" t="e">
        <f t="shared" si="26"/>
        <v>#VALUE!</v>
      </c>
      <c r="U86" s="108" t="e">
        <f>RANK($M86,$M$5:$M$104,1)+COUNTIF(M$5:M86,M86)-1</f>
        <v>#VALUE!</v>
      </c>
      <c r="V86" s="108" t="e">
        <f t="shared" si="27"/>
        <v>#VALUE!</v>
      </c>
      <c r="W86" s="108" t="e">
        <f>RANK($N86,$N$5:$N$104,1)+COUNTIF(N$5:N86,N86)-1</f>
        <v>#VALUE!</v>
      </c>
      <c r="X86" s="108" t="e">
        <f t="shared" si="28"/>
        <v>#VALUE!</v>
      </c>
      <c r="Y86" s="108" t="e">
        <f>RANK($O86,$O$5:$O$104,1)+COUNTIF(O$5:O86,O86)-1</f>
        <v>#VALUE!</v>
      </c>
      <c r="Z86" s="108" t="e">
        <f t="shared" si="29"/>
        <v>#VALUE!</v>
      </c>
      <c r="AA86" s="108" t="e">
        <f>RANK($P86,$P$5:$P$104,1)+COUNTIF(P$5:P86,P86)-1</f>
        <v>#VALUE!</v>
      </c>
      <c r="AB86" s="108" t="e">
        <f t="shared" si="30"/>
        <v>#VALUE!</v>
      </c>
      <c r="AC86" s="59" t="str">
        <f t="shared" si="31"/>
        <v xml:space="preserve"> </v>
      </c>
      <c r="AD86" s="59" t="str">
        <f t="shared" si="32"/>
        <v>-</v>
      </c>
      <c r="AE86" s="119" t="str">
        <f t="shared" si="18"/>
        <v>-</v>
      </c>
      <c r="AF86" s="119" t="str">
        <f t="shared" si="18"/>
        <v>-</v>
      </c>
      <c r="AG86" s="119" t="str">
        <f t="shared" si="18"/>
        <v>-</v>
      </c>
      <c r="AH86" s="119" t="str">
        <f t="shared" si="17"/>
        <v>-</v>
      </c>
      <c r="AI86" s="119" t="str">
        <f t="shared" si="17"/>
        <v>-</v>
      </c>
      <c r="AJ86" s="119" t="str">
        <f t="shared" si="17"/>
        <v>-</v>
      </c>
      <c r="AM86" s="120">
        <v>82</v>
      </c>
      <c r="AN86" s="58" t="e">
        <f>VLOOKUP(AM86,Q$5:$AJ$104,$AO$2,FALSE)</f>
        <v>#N/A</v>
      </c>
      <c r="AO86" s="93" t="e">
        <f>VLOOKUP(AM86,Q$5:$AJ$104,$AO$2+11,FALSE)</f>
        <v>#N/A</v>
      </c>
      <c r="AP86" s="58" t="e">
        <f t="shared" si="33"/>
        <v>#N/A</v>
      </c>
      <c r="AR86" s="120">
        <v>82</v>
      </c>
      <c r="AS86" s="58" t="e">
        <f>VLOOKUP(AR86,$S$5:$AJ$104,$AT$2,FALSE)</f>
        <v>#N/A</v>
      </c>
      <c r="AT86" s="93" t="e">
        <f>VLOOKUP(AR86,$S$5:$AJ$104,$AT$2+9,FALSE)</f>
        <v>#N/A</v>
      </c>
      <c r="AU86" s="58" t="e">
        <f>VLOOKUP(AS86,$S$5:$AJ$104,$AT$2+12,FALSE)</f>
        <v>#N/A</v>
      </c>
      <c r="AV86" s="75"/>
      <c r="AW86" s="120">
        <v>82</v>
      </c>
      <c r="AX86" s="58" t="e">
        <f>VLOOKUP(AW86,$U$5:$AJ$104,$AY$2,FALSE)</f>
        <v>#N/A</v>
      </c>
      <c r="AY86" s="93" t="e">
        <f>VLOOKUP(AW86,$U$5:$AJ$104,$AY$2+7,FALSE)</f>
        <v>#N/A</v>
      </c>
      <c r="AZ86" s="58" t="e">
        <f>VLOOKUP(AX86,$U$5:$AJ$104,$AY$2+11,FALSE)</f>
        <v>#N/A</v>
      </c>
      <c r="BB86" s="120">
        <v>82</v>
      </c>
      <c r="BC86" s="58" t="e">
        <f>VLOOKUP(BB86,$W$5:$AJ$104,$BD$2,FALSE)</f>
        <v>#N/A</v>
      </c>
      <c r="BD86" s="93" t="e">
        <f>VLOOKUP(BB86,$W$5:$AJ$104,$BD$2+5,FALSE)</f>
        <v>#N/A</v>
      </c>
      <c r="BE86" s="58" t="e">
        <f>VLOOKUP(BC86,$W$5:$AJ$104,$BD$2+10,FALSE)</f>
        <v>#N/A</v>
      </c>
      <c r="BF86" s="75"/>
      <c r="BG86" s="120">
        <v>82</v>
      </c>
      <c r="BH86" s="58" t="e">
        <f>VLOOKUP(BG86,$Y$5:$AJ$104,$BI$2,FALSE)</f>
        <v>#N/A</v>
      </c>
      <c r="BI86" s="93" t="e">
        <f>VLOOKUP(BG86,$Y$5:$AJ$104,$BI$2+3,FALSE)</f>
        <v>#N/A</v>
      </c>
      <c r="BJ86" s="58" t="e">
        <f>VLOOKUP(BH86,$Y$5:$AJ$104,$BI$2+9,FALSE)</f>
        <v>#N/A</v>
      </c>
      <c r="BL86" s="120">
        <v>82</v>
      </c>
      <c r="BM86" s="58" t="e">
        <f>VLOOKUP(BL86,$AA$5:$AJ$104,$BN$2,FALSE)</f>
        <v>#N/A</v>
      </c>
      <c r="BN86" s="93" t="e">
        <f>VLOOKUP(BL86,$AA$5:$AJ$104,$BN$2+1,FALSE)</f>
        <v>#N/A</v>
      </c>
      <c r="BO86" s="58" t="e">
        <f>VLOOKUP(BM86,$AA$5:$AJ$104,$BN$2+8,FALSE)</f>
        <v>#N/A</v>
      </c>
      <c r="BQ86" s="2" t="e">
        <f>'Eclectic C'!CD86</f>
        <v>#N/A</v>
      </c>
      <c r="BR86" s="6" t="e">
        <f>'Eclectic C'!CE86</f>
        <v>#N/A</v>
      </c>
      <c r="BS86" s="103" t="e">
        <f>'Eclectic C'!CF86</f>
        <v>#N/A</v>
      </c>
    </row>
    <row r="87" spans="1:71">
      <c r="A87" s="10" t="str">
        <f>IF(ISBLANK(Players!K85),"",Players!K85)</f>
        <v/>
      </c>
      <c r="B87" s="10" t="str">
        <f>IF(ISBLANK(Players!L85),"",Players!L85)</f>
        <v/>
      </c>
      <c r="C87" s="10" t="str">
        <f>IF(ISBLANK(Players!N85),"",Players!N85)</f>
        <v/>
      </c>
      <c r="D87" s="126" t="str">
        <f>IF(ISNUMBER(C87),MIN((C87*Rules!$N$14/113)+(Rules!$N$13-Rules!$N$12),Rules!$N$37),"-")</f>
        <v>-</v>
      </c>
      <c r="E87" s="126" t="str">
        <f>IF(ISNUMBER(C87),    ROUND( (D87*Rules!$N$11) / 100,0),"-")</f>
        <v>-</v>
      </c>
      <c r="F87" s="36" t="str">
        <f>IF(AND(ISNUMBER(C87),C87&gt;=Rules!$M$24,C87&lt;=Rules!$N$24),"Y","N")</f>
        <v>N</v>
      </c>
      <c r="G87" s="137" t="str">
        <f>'Eclectic C'!M87</f>
        <v>-</v>
      </c>
      <c r="H87" s="137" t="str">
        <f>'Eclectic C'!W87</f>
        <v>-</v>
      </c>
      <c r="I87" s="137" t="str">
        <f>'Eclectic C'!AJ87</f>
        <v>-</v>
      </c>
      <c r="J87" s="137" t="str">
        <f>'Eclectic C'!AT87</f>
        <v>-</v>
      </c>
      <c r="K87" s="14" t="str">
        <f t="shared" si="19"/>
        <v>-</v>
      </c>
      <c r="L87" s="14" t="str">
        <f t="shared" si="20"/>
        <v>-</v>
      </c>
      <c r="M87" s="14" t="str">
        <f t="shared" si="21"/>
        <v>-</v>
      </c>
      <c r="N87" s="14" t="str">
        <f t="shared" si="22"/>
        <v>-</v>
      </c>
      <c r="O87" s="14" t="str">
        <f t="shared" si="23"/>
        <v>-</v>
      </c>
      <c r="P87" s="14" t="str">
        <f t="shared" si="24"/>
        <v>-</v>
      </c>
      <c r="Q87" s="108" t="e">
        <f>RANK($K87,$K$5:$K$104,1)+COUNTIF(K$5:K87,K87)-1</f>
        <v>#VALUE!</v>
      </c>
      <c r="R87" s="108" t="e">
        <f t="shared" si="25"/>
        <v>#VALUE!</v>
      </c>
      <c r="S87" s="108" t="e">
        <f>RANK($L87,$L$5:$L$104,1)+COUNTIF(L$5:L87,L87)-1</f>
        <v>#VALUE!</v>
      </c>
      <c r="T87" s="108" t="e">
        <f t="shared" si="26"/>
        <v>#VALUE!</v>
      </c>
      <c r="U87" s="108" t="e">
        <f>RANK($M87,$M$5:$M$104,1)+COUNTIF(M$5:M87,M87)-1</f>
        <v>#VALUE!</v>
      </c>
      <c r="V87" s="108" t="e">
        <f t="shared" si="27"/>
        <v>#VALUE!</v>
      </c>
      <c r="W87" s="108" t="e">
        <f>RANK($N87,$N$5:$N$104,1)+COUNTIF(N$5:N87,N87)-1</f>
        <v>#VALUE!</v>
      </c>
      <c r="X87" s="108" t="e">
        <f t="shared" si="28"/>
        <v>#VALUE!</v>
      </c>
      <c r="Y87" s="108" t="e">
        <f>RANK($O87,$O$5:$O$104,1)+COUNTIF(O$5:O87,O87)-1</f>
        <v>#VALUE!</v>
      </c>
      <c r="Z87" s="108" t="e">
        <f t="shared" si="29"/>
        <v>#VALUE!</v>
      </c>
      <c r="AA87" s="108" t="e">
        <f>RANK($P87,$P$5:$P$104,1)+COUNTIF(P$5:P87,P87)-1</f>
        <v>#VALUE!</v>
      </c>
      <c r="AB87" s="108" t="e">
        <f t="shared" si="30"/>
        <v>#VALUE!</v>
      </c>
      <c r="AC87" s="59" t="str">
        <f t="shared" si="31"/>
        <v xml:space="preserve"> </v>
      </c>
      <c r="AD87" s="59" t="str">
        <f t="shared" si="32"/>
        <v>-</v>
      </c>
      <c r="AE87" s="119" t="str">
        <f t="shared" si="18"/>
        <v>-</v>
      </c>
      <c r="AF87" s="119" t="str">
        <f t="shared" si="18"/>
        <v>-</v>
      </c>
      <c r="AG87" s="119" t="str">
        <f t="shared" si="18"/>
        <v>-</v>
      </c>
      <c r="AH87" s="119" t="str">
        <f t="shared" si="17"/>
        <v>-</v>
      </c>
      <c r="AI87" s="119" t="str">
        <f t="shared" si="17"/>
        <v>-</v>
      </c>
      <c r="AJ87" s="119" t="str">
        <f t="shared" si="17"/>
        <v>-</v>
      </c>
      <c r="AM87" s="120">
        <v>83</v>
      </c>
      <c r="AN87" s="58" t="e">
        <f>VLOOKUP(AM87,Q$5:$AJ$104,$AO$2,FALSE)</f>
        <v>#N/A</v>
      </c>
      <c r="AO87" s="93" t="e">
        <f>VLOOKUP(AM87,Q$5:$AJ$104,$AO$2+11,FALSE)</f>
        <v>#N/A</v>
      </c>
      <c r="AP87" s="58" t="e">
        <f t="shared" si="33"/>
        <v>#N/A</v>
      </c>
      <c r="AR87" s="120">
        <v>83</v>
      </c>
      <c r="AS87" s="58" t="e">
        <f>VLOOKUP(AR87,$S$5:$AJ$104,$AT$2,FALSE)</f>
        <v>#N/A</v>
      </c>
      <c r="AT87" s="93" t="e">
        <f>VLOOKUP(AR87,$S$5:$AJ$104,$AT$2+9,FALSE)</f>
        <v>#N/A</v>
      </c>
      <c r="AU87" s="58" t="e">
        <f>VLOOKUP(AS87,$S$5:$AJ$104,$AT$2+12,FALSE)</f>
        <v>#N/A</v>
      </c>
      <c r="AV87" s="75"/>
      <c r="AW87" s="120">
        <v>83</v>
      </c>
      <c r="AX87" s="58" t="e">
        <f>VLOOKUP(AW87,$U$5:$AJ$104,$AY$2,FALSE)</f>
        <v>#N/A</v>
      </c>
      <c r="AY87" s="93" t="e">
        <f>VLOOKUP(AW87,$U$5:$AJ$104,$AY$2+7,FALSE)</f>
        <v>#N/A</v>
      </c>
      <c r="AZ87" s="58" t="e">
        <f>VLOOKUP(AX87,$U$5:$AJ$104,$AY$2+11,FALSE)</f>
        <v>#N/A</v>
      </c>
      <c r="BB87" s="120">
        <v>83</v>
      </c>
      <c r="BC87" s="58" t="e">
        <f>VLOOKUP(BB87,$W$5:$AJ$104,$BD$2,FALSE)</f>
        <v>#N/A</v>
      </c>
      <c r="BD87" s="93" t="e">
        <f>VLOOKUP(BB87,$W$5:$AJ$104,$BD$2+5,FALSE)</f>
        <v>#N/A</v>
      </c>
      <c r="BE87" s="58" t="e">
        <f>VLOOKUP(BC87,$W$5:$AJ$104,$BD$2+10,FALSE)</f>
        <v>#N/A</v>
      </c>
      <c r="BF87" s="75"/>
      <c r="BG87" s="120">
        <v>83</v>
      </c>
      <c r="BH87" s="58" t="e">
        <f>VLOOKUP(BG87,$Y$5:$AJ$104,$BI$2,FALSE)</f>
        <v>#N/A</v>
      </c>
      <c r="BI87" s="93" t="e">
        <f>VLOOKUP(BG87,$Y$5:$AJ$104,$BI$2+3,FALSE)</f>
        <v>#N/A</v>
      </c>
      <c r="BJ87" s="58" t="e">
        <f>VLOOKUP(BH87,$Y$5:$AJ$104,$BI$2+9,FALSE)</f>
        <v>#N/A</v>
      </c>
      <c r="BL87" s="120">
        <v>83</v>
      </c>
      <c r="BM87" s="58" t="e">
        <f>VLOOKUP(BL87,$AA$5:$AJ$104,$BN$2,FALSE)</f>
        <v>#N/A</v>
      </c>
      <c r="BN87" s="93" t="e">
        <f>VLOOKUP(BL87,$AA$5:$AJ$104,$BN$2+1,FALSE)</f>
        <v>#N/A</v>
      </c>
      <c r="BO87" s="58" t="e">
        <f>VLOOKUP(BM87,$AA$5:$AJ$104,$BN$2+8,FALSE)</f>
        <v>#N/A</v>
      </c>
      <c r="BQ87" s="2" t="e">
        <f>'Eclectic C'!CD87</f>
        <v>#N/A</v>
      </c>
      <c r="BR87" s="6" t="e">
        <f>'Eclectic C'!CE87</f>
        <v>#N/A</v>
      </c>
      <c r="BS87" s="103" t="e">
        <f>'Eclectic C'!CF87</f>
        <v>#N/A</v>
      </c>
    </row>
    <row r="88" spans="1:71">
      <c r="A88" s="10" t="str">
        <f>IF(ISBLANK(Players!K86),"",Players!K86)</f>
        <v/>
      </c>
      <c r="B88" s="10" t="str">
        <f>IF(ISBLANK(Players!L86),"",Players!L86)</f>
        <v/>
      </c>
      <c r="C88" s="10" t="str">
        <f>IF(ISBLANK(Players!N86),"",Players!N86)</f>
        <v/>
      </c>
      <c r="D88" s="126" t="str">
        <f>IF(ISNUMBER(C88),MIN((C88*Rules!$N$14/113)+(Rules!$N$13-Rules!$N$12),Rules!$N$37),"-")</f>
        <v>-</v>
      </c>
      <c r="E88" s="126" t="str">
        <f>IF(ISNUMBER(C88),    ROUND( (D88*Rules!$N$11) / 100,0),"-")</f>
        <v>-</v>
      </c>
      <c r="F88" s="36" t="str">
        <f>IF(AND(ISNUMBER(C88),C88&gt;=Rules!$M$24,C88&lt;=Rules!$N$24),"Y","N")</f>
        <v>N</v>
      </c>
      <c r="G88" s="137" t="str">
        <f>'Eclectic C'!M88</f>
        <v>-</v>
      </c>
      <c r="H88" s="137" t="str">
        <f>'Eclectic C'!W88</f>
        <v>-</v>
      </c>
      <c r="I88" s="137" t="str">
        <f>'Eclectic C'!AJ88</f>
        <v>-</v>
      </c>
      <c r="J88" s="137" t="str">
        <f>'Eclectic C'!AT88</f>
        <v>-</v>
      </c>
      <c r="K88" s="14" t="str">
        <f t="shared" si="19"/>
        <v>-</v>
      </c>
      <c r="L88" s="14" t="str">
        <f t="shared" si="20"/>
        <v>-</v>
      </c>
      <c r="M88" s="14" t="str">
        <f t="shared" si="21"/>
        <v>-</v>
      </c>
      <c r="N88" s="14" t="str">
        <f t="shared" si="22"/>
        <v>-</v>
      </c>
      <c r="O88" s="14" t="str">
        <f t="shared" si="23"/>
        <v>-</v>
      </c>
      <c r="P88" s="14" t="str">
        <f t="shared" si="24"/>
        <v>-</v>
      </c>
      <c r="Q88" s="108" t="e">
        <f>RANK($K88,$K$5:$K$104,1)+COUNTIF(K$5:K88,K88)-1</f>
        <v>#VALUE!</v>
      </c>
      <c r="R88" s="108" t="e">
        <f t="shared" si="25"/>
        <v>#VALUE!</v>
      </c>
      <c r="S88" s="108" t="e">
        <f>RANK($L88,$L$5:$L$104,1)+COUNTIF(L$5:L88,L88)-1</f>
        <v>#VALUE!</v>
      </c>
      <c r="T88" s="108" t="e">
        <f t="shared" si="26"/>
        <v>#VALUE!</v>
      </c>
      <c r="U88" s="108" t="e">
        <f>RANK($M88,$M$5:$M$104,1)+COUNTIF(M$5:M88,M88)-1</f>
        <v>#VALUE!</v>
      </c>
      <c r="V88" s="108" t="e">
        <f t="shared" si="27"/>
        <v>#VALUE!</v>
      </c>
      <c r="W88" s="108" t="e">
        <f>RANK($N88,$N$5:$N$104,1)+COUNTIF(N$5:N88,N88)-1</f>
        <v>#VALUE!</v>
      </c>
      <c r="X88" s="108" t="e">
        <f t="shared" si="28"/>
        <v>#VALUE!</v>
      </c>
      <c r="Y88" s="108" t="e">
        <f>RANK($O88,$O$5:$O$104,1)+COUNTIF(O$5:O88,O88)-1</f>
        <v>#VALUE!</v>
      </c>
      <c r="Z88" s="108" t="e">
        <f t="shared" si="29"/>
        <v>#VALUE!</v>
      </c>
      <c r="AA88" s="108" t="e">
        <f>RANK($P88,$P$5:$P$104,1)+COUNTIF(P$5:P88,P88)-1</f>
        <v>#VALUE!</v>
      </c>
      <c r="AB88" s="108" t="e">
        <f t="shared" si="30"/>
        <v>#VALUE!</v>
      </c>
      <c r="AC88" s="59" t="str">
        <f t="shared" si="31"/>
        <v xml:space="preserve"> </v>
      </c>
      <c r="AD88" s="59" t="str">
        <f t="shared" si="32"/>
        <v>-</v>
      </c>
      <c r="AE88" s="119" t="str">
        <f t="shared" si="18"/>
        <v>-</v>
      </c>
      <c r="AF88" s="119" t="str">
        <f t="shared" si="18"/>
        <v>-</v>
      </c>
      <c r="AG88" s="119" t="str">
        <f t="shared" si="18"/>
        <v>-</v>
      </c>
      <c r="AH88" s="119" t="str">
        <f t="shared" si="17"/>
        <v>-</v>
      </c>
      <c r="AI88" s="119" t="str">
        <f t="shared" si="17"/>
        <v>-</v>
      </c>
      <c r="AJ88" s="119" t="str">
        <f t="shared" si="17"/>
        <v>-</v>
      </c>
      <c r="AM88" s="120">
        <v>84</v>
      </c>
      <c r="AN88" s="58" t="e">
        <f>VLOOKUP(AM88,Q$5:$AJ$104,$AO$2,FALSE)</f>
        <v>#N/A</v>
      </c>
      <c r="AO88" s="93" t="e">
        <f>VLOOKUP(AM88,Q$5:$AJ$104,$AO$2+11,FALSE)</f>
        <v>#N/A</v>
      </c>
      <c r="AP88" s="58" t="e">
        <f t="shared" si="33"/>
        <v>#N/A</v>
      </c>
      <c r="AR88" s="120">
        <v>84</v>
      </c>
      <c r="AS88" s="58" t="e">
        <f>VLOOKUP(AR88,$S$5:$AJ$104,$AT$2,FALSE)</f>
        <v>#N/A</v>
      </c>
      <c r="AT88" s="93" t="e">
        <f>VLOOKUP(AR88,$S$5:$AJ$104,$AT$2+9,FALSE)</f>
        <v>#N/A</v>
      </c>
      <c r="AU88" s="58" t="e">
        <f>VLOOKUP(AS88,$S$5:$AJ$104,$AT$2+12,FALSE)</f>
        <v>#N/A</v>
      </c>
      <c r="AV88" s="75"/>
      <c r="AW88" s="120">
        <v>84</v>
      </c>
      <c r="AX88" s="58" t="e">
        <f>VLOOKUP(AW88,$U$5:$AJ$104,$AY$2,FALSE)</f>
        <v>#N/A</v>
      </c>
      <c r="AY88" s="93" t="e">
        <f>VLOOKUP(AW88,$U$5:$AJ$104,$AY$2+7,FALSE)</f>
        <v>#N/A</v>
      </c>
      <c r="AZ88" s="58" t="e">
        <f>VLOOKUP(AX88,$U$5:$AJ$104,$AY$2+11,FALSE)</f>
        <v>#N/A</v>
      </c>
      <c r="BB88" s="120">
        <v>84</v>
      </c>
      <c r="BC88" s="58" t="e">
        <f>VLOOKUP(BB88,$W$5:$AJ$104,$BD$2,FALSE)</f>
        <v>#N/A</v>
      </c>
      <c r="BD88" s="93" t="e">
        <f>VLOOKUP(BB88,$W$5:$AJ$104,$BD$2+5,FALSE)</f>
        <v>#N/A</v>
      </c>
      <c r="BE88" s="58" t="e">
        <f>VLOOKUP(BC88,$W$5:$AJ$104,$BD$2+10,FALSE)</f>
        <v>#N/A</v>
      </c>
      <c r="BF88" s="75"/>
      <c r="BG88" s="120">
        <v>84</v>
      </c>
      <c r="BH88" s="58" t="e">
        <f>VLOOKUP(BG88,$Y$5:$AJ$104,$BI$2,FALSE)</f>
        <v>#N/A</v>
      </c>
      <c r="BI88" s="93" t="e">
        <f>VLOOKUP(BG88,$Y$5:$AJ$104,$BI$2+3,FALSE)</f>
        <v>#N/A</v>
      </c>
      <c r="BJ88" s="58" t="e">
        <f>VLOOKUP(BH88,$Y$5:$AJ$104,$BI$2+9,FALSE)</f>
        <v>#N/A</v>
      </c>
      <c r="BL88" s="120">
        <v>84</v>
      </c>
      <c r="BM88" s="58" t="e">
        <f>VLOOKUP(BL88,$AA$5:$AJ$104,$BN$2,FALSE)</f>
        <v>#N/A</v>
      </c>
      <c r="BN88" s="93" t="e">
        <f>VLOOKUP(BL88,$AA$5:$AJ$104,$BN$2+1,FALSE)</f>
        <v>#N/A</v>
      </c>
      <c r="BO88" s="58" t="e">
        <f>VLOOKUP(BM88,$AA$5:$AJ$104,$BN$2+8,FALSE)</f>
        <v>#N/A</v>
      </c>
      <c r="BQ88" s="2" t="e">
        <f>'Eclectic C'!CD88</f>
        <v>#N/A</v>
      </c>
      <c r="BR88" s="6" t="e">
        <f>'Eclectic C'!CE88</f>
        <v>#N/A</v>
      </c>
      <c r="BS88" s="103" t="e">
        <f>'Eclectic C'!CF88</f>
        <v>#N/A</v>
      </c>
    </row>
    <row r="89" spans="1:71">
      <c r="A89" s="10" t="str">
        <f>IF(ISBLANK(Players!K87),"",Players!K87)</f>
        <v/>
      </c>
      <c r="B89" s="10" t="str">
        <f>IF(ISBLANK(Players!L87),"",Players!L87)</f>
        <v/>
      </c>
      <c r="C89" s="10" t="str">
        <f>IF(ISBLANK(Players!N87),"",Players!N87)</f>
        <v/>
      </c>
      <c r="D89" s="126" t="str">
        <f>IF(ISNUMBER(C89),MIN((C89*Rules!$N$14/113)+(Rules!$N$13-Rules!$N$12),Rules!$N$37),"-")</f>
        <v>-</v>
      </c>
      <c r="E89" s="126" t="str">
        <f>IF(ISNUMBER(C89),    ROUND( (D89*Rules!$N$11) / 100,0),"-")</f>
        <v>-</v>
      </c>
      <c r="F89" s="36" t="str">
        <f>IF(AND(ISNUMBER(C89),C89&gt;=Rules!$M$24,C89&lt;=Rules!$N$24),"Y","N")</f>
        <v>N</v>
      </c>
      <c r="G89" s="137" t="str">
        <f>'Eclectic C'!M89</f>
        <v>-</v>
      </c>
      <c r="H89" s="137" t="str">
        <f>'Eclectic C'!W89</f>
        <v>-</v>
      </c>
      <c r="I89" s="137" t="str">
        <f>'Eclectic C'!AJ89</f>
        <v>-</v>
      </c>
      <c r="J89" s="137" t="str">
        <f>'Eclectic C'!AT89</f>
        <v>-</v>
      </c>
      <c r="K89" s="14" t="str">
        <f t="shared" si="19"/>
        <v>-</v>
      </c>
      <c r="L89" s="14" t="str">
        <f t="shared" si="20"/>
        <v>-</v>
      </c>
      <c r="M89" s="14" t="str">
        <f t="shared" si="21"/>
        <v>-</v>
      </c>
      <c r="N89" s="14" t="str">
        <f t="shared" si="22"/>
        <v>-</v>
      </c>
      <c r="O89" s="14" t="str">
        <f t="shared" si="23"/>
        <v>-</v>
      </c>
      <c r="P89" s="14" t="str">
        <f t="shared" si="24"/>
        <v>-</v>
      </c>
      <c r="Q89" s="108" t="e">
        <f>RANK($K89,$K$5:$K$104,1)+COUNTIF(K$5:K89,K89)-1</f>
        <v>#VALUE!</v>
      </c>
      <c r="R89" s="108" t="e">
        <f t="shared" si="25"/>
        <v>#VALUE!</v>
      </c>
      <c r="S89" s="108" t="e">
        <f>RANK($L89,$L$5:$L$104,1)+COUNTIF(L$5:L89,L89)-1</f>
        <v>#VALUE!</v>
      </c>
      <c r="T89" s="108" t="e">
        <f t="shared" si="26"/>
        <v>#VALUE!</v>
      </c>
      <c r="U89" s="108" t="e">
        <f>RANK($M89,$M$5:$M$104,1)+COUNTIF(M$5:M89,M89)-1</f>
        <v>#VALUE!</v>
      </c>
      <c r="V89" s="108" t="e">
        <f t="shared" si="27"/>
        <v>#VALUE!</v>
      </c>
      <c r="W89" s="108" t="e">
        <f>RANK($N89,$N$5:$N$104,1)+COUNTIF(N$5:N89,N89)-1</f>
        <v>#VALUE!</v>
      </c>
      <c r="X89" s="108" t="e">
        <f t="shared" si="28"/>
        <v>#VALUE!</v>
      </c>
      <c r="Y89" s="108" t="e">
        <f>RANK($O89,$O$5:$O$104,1)+COUNTIF(O$5:O89,O89)-1</f>
        <v>#VALUE!</v>
      </c>
      <c r="Z89" s="108" t="e">
        <f t="shared" si="29"/>
        <v>#VALUE!</v>
      </c>
      <c r="AA89" s="108" t="e">
        <f>RANK($P89,$P$5:$P$104,1)+COUNTIF(P$5:P89,P89)-1</f>
        <v>#VALUE!</v>
      </c>
      <c r="AB89" s="108" t="e">
        <f t="shared" si="30"/>
        <v>#VALUE!</v>
      </c>
      <c r="AC89" s="59" t="str">
        <f t="shared" si="31"/>
        <v xml:space="preserve"> </v>
      </c>
      <c r="AD89" s="59" t="str">
        <f t="shared" si="32"/>
        <v>-</v>
      </c>
      <c r="AE89" s="119" t="str">
        <f t="shared" si="18"/>
        <v>-</v>
      </c>
      <c r="AF89" s="119" t="str">
        <f t="shared" si="18"/>
        <v>-</v>
      </c>
      <c r="AG89" s="119" t="str">
        <f t="shared" si="18"/>
        <v>-</v>
      </c>
      <c r="AH89" s="119" t="str">
        <f t="shared" si="17"/>
        <v>-</v>
      </c>
      <c r="AI89" s="119" t="str">
        <f t="shared" si="17"/>
        <v>-</v>
      </c>
      <c r="AJ89" s="119" t="str">
        <f t="shared" si="17"/>
        <v>-</v>
      </c>
      <c r="AM89" s="120">
        <v>85</v>
      </c>
      <c r="AN89" s="58" t="e">
        <f>VLOOKUP(AM89,Q$5:$AJ$104,$AO$2,FALSE)</f>
        <v>#N/A</v>
      </c>
      <c r="AO89" s="93" t="e">
        <f>VLOOKUP(AM89,Q$5:$AJ$104,$AO$2+11,FALSE)</f>
        <v>#N/A</v>
      </c>
      <c r="AP89" s="58" t="e">
        <f t="shared" si="33"/>
        <v>#N/A</v>
      </c>
      <c r="AR89" s="120">
        <v>85</v>
      </c>
      <c r="AS89" s="58" t="e">
        <f>VLOOKUP(AR89,$S$5:$AJ$104,$AT$2,FALSE)</f>
        <v>#N/A</v>
      </c>
      <c r="AT89" s="93" t="e">
        <f>VLOOKUP(AR89,$S$5:$AJ$104,$AT$2+9,FALSE)</f>
        <v>#N/A</v>
      </c>
      <c r="AU89" s="58" t="e">
        <f>VLOOKUP(AS89,$S$5:$AJ$104,$AT$2+12,FALSE)</f>
        <v>#N/A</v>
      </c>
      <c r="AV89" s="75"/>
      <c r="AW89" s="120">
        <v>85</v>
      </c>
      <c r="AX89" s="58" t="e">
        <f>VLOOKUP(AW89,$U$5:$AJ$104,$AY$2,FALSE)</f>
        <v>#N/A</v>
      </c>
      <c r="AY89" s="93" t="e">
        <f>VLOOKUP(AW89,$U$5:$AJ$104,$AY$2+7,FALSE)</f>
        <v>#N/A</v>
      </c>
      <c r="AZ89" s="58" t="e">
        <f>VLOOKUP(AX89,$U$5:$AJ$104,$AY$2+11,FALSE)</f>
        <v>#N/A</v>
      </c>
      <c r="BB89" s="120">
        <v>85</v>
      </c>
      <c r="BC89" s="58" t="e">
        <f>VLOOKUP(BB89,$W$5:$AJ$104,$BD$2,FALSE)</f>
        <v>#N/A</v>
      </c>
      <c r="BD89" s="93" t="e">
        <f>VLOOKUP(BB89,$W$5:$AJ$104,$BD$2+5,FALSE)</f>
        <v>#N/A</v>
      </c>
      <c r="BE89" s="58" t="e">
        <f>VLOOKUP(BC89,$W$5:$AJ$104,$BD$2+10,FALSE)</f>
        <v>#N/A</v>
      </c>
      <c r="BF89" s="75"/>
      <c r="BG89" s="120">
        <v>85</v>
      </c>
      <c r="BH89" s="58" t="e">
        <f>VLOOKUP(BG89,$Y$5:$AJ$104,$BI$2,FALSE)</f>
        <v>#N/A</v>
      </c>
      <c r="BI89" s="93" t="e">
        <f>VLOOKUP(BG89,$Y$5:$AJ$104,$BI$2+3,FALSE)</f>
        <v>#N/A</v>
      </c>
      <c r="BJ89" s="58" t="e">
        <f>VLOOKUP(BH89,$Y$5:$AJ$104,$BI$2+9,FALSE)</f>
        <v>#N/A</v>
      </c>
      <c r="BL89" s="120">
        <v>85</v>
      </c>
      <c r="BM89" s="58" t="e">
        <f>VLOOKUP(BL89,$AA$5:$AJ$104,$BN$2,FALSE)</f>
        <v>#N/A</v>
      </c>
      <c r="BN89" s="93" t="e">
        <f>VLOOKUP(BL89,$AA$5:$AJ$104,$BN$2+1,FALSE)</f>
        <v>#N/A</v>
      </c>
      <c r="BO89" s="58" t="e">
        <f>VLOOKUP(BM89,$AA$5:$AJ$104,$BN$2+8,FALSE)</f>
        <v>#N/A</v>
      </c>
      <c r="BQ89" s="2" t="e">
        <f>'Eclectic C'!CD89</f>
        <v>#N/A</v>
      </c>
      <c r="BR89" s="6" t="e">
        <f>'Eclectic C'!CE89</f>
        <v>#N/A</v>
      </c>
      <c r="BS89" s="103" t="e">
        <f>'Eclectic C'!CF89</f>
        <v>#N/A</v>
      </c>
    </row>
    <row r="90" spans="1:71">
      <c r="A90" s="10" t="str">
        <f>IF(ISBLANK(Players!K88),"",Players!K88)</f>
        <v/>
      </c>
      <c r="B90" s="10" t="str">
        <f>IF(ISBLANK(Players!L88),"",Players!L88)</f>
        <v/>
      </c>
      <c r="C90" s="10" t="str">
        <f>IF(ISBLANK(Players!N88),"",Players!N88)</f>
        <v/>
      </c>
      <c r="D90" s="126" t="str">
        <f>IF(ISNUMBER(C90),MIN((C90*Rules!$N$14/113)+(Rules!$N$13-Rules!$N$12),Rules!$N$37),"-")</f>
        <v>-</v>
      </c>
      <c r="E90" s="126" t="str">
        <f>IF(ISNUMBER(C90),    ROUND( (D90*Rules!$N$11) / 100,0),"-")</f>
        <v>-</v>
      </c>
      <c r="F90" s="36" t="str">
        <f>IF(AND(ISNUMBER(C90),C90&gt;=Rules!$M$24,C90&lt;=Rules!$N$24),"Y","N")</f>
        <v>N</v>
      </c>
      <c r="G90" s="137" t="str">
        <f>'Eclectic C'!M90</f>
        <v>-</v>
      </c>
      <c r="H90" s="137" t="str">
        <f>'Eclectic C'!W90</f>
        <v>-</v>
      </c>
      <c r="I90" s="137" t="str">
        <f>'Eclectic C'!AJ90</f>
        <v>-</v>
      </c>
      <c r="J90" s="137" t="str">
        <f>'Eclectic C'!AT90</f>
        <v>-</v>
      </c>
      <c r="K90" s="14" t="str">
        <f t="shared" si="19"/>
        <v>-</v>
      </c>
      <c r="L90" s="14" t="str">
        <f t="shared" si="20"/>
        <v>-</v>
      </c>
      <c r="M90" s="14" t="str">
        <f t="shared" si="21"/>
        <v>-</v>
      </c>
      <c r="N90" s="14" t="str">
        <f t="shared" si="22"/>
        <v>-</v>
      </c>
      <c r="O90" s="14" t="str">
        <f t="shared" si="23"/>
        <v>-</v>
      </c>
      <c r="P90" s="14" t="str">
        <f t="shared" si="24"/>
        <v>-</v>
      </c>
      <c r="Q90" s="108" t="e">
        <f>RANK($K90,$K$5:$K$104,1)+COUNTIF(K$5:K90,K90)-1</f>
        <v>#VALUE!</v>
      </c>
      <c r="R90" s="108" t="e">
        <f t="shared" si="25"/>
        <v>#VALUE!</v>
      </c>
      <c r="S90" s="108" t="e">
        <f>RANK($L90,$L$5:$L$104,1)+COUNTIF(L$5:L90,L90)-1</f>
        <v>#VALUE!</v>
      </c>
      <c r="T90" s="108" t="e">
        <f t="shared" si="26"/>
        <v>#VALUE!</v>
      </c>
      <c r="U90" s="108" t="e">
        <f>RANK($M90,$M$5:$M$104,1)+COUNTIF(M$5:M90,M90)-1</f>
        <v>#VALUE!</v>
      </c>
      <c r="V90" s="108" t="e">
        <f t="shared" si="27"/>
        <v>#VALUE!</v>
      </c>
      <c r="W90" s="108" t="e">
        <f>RANK($N90,$N$5:$N$104,1)+COUNTIF(N$5:N90,N90)-1</f>
        <v>#VALUE!</v>
      </c>
      <c r="X90" s="108" t="e">
        <f t="shared" si="28"/>
        <v>#VALUE!</v>
      </c>
      <c r="Y90" s="108" t="e">
        <f>RANK($O90,$O$5:$O$104,1)+COUNTIF(O$5:O90,O90)-1</f>
        <v>#VALUE!</v>
      </c>
      <c r="Z90" s="108" t="e">
        <f t="shared" si="29"/>
        <v>#VALUE!</v>
      </c>
      <c r="AA90" s="108" t="e">
        <f>RANK($P90,$P$5:$P$104,1)+COUNTIF(P$5:P90,P90)-1</f>
        <v>#VALUE!</v>
      </c>
      <c r="AB90" s="108" t="e">
        <f t="shared" si="30"/>
        <v>#VALUE!</v>
      </c>
      <c r="AC90" s="59" t="str">
        <f t="shared" si="31"/>
        <v xml:space="preserve"> </v>
      </c>
      <c r="AD90" s="59" t="str">
        <f t="shared" si="32"/>
        <v>-</v>
      </c>
      <c r="AE90" s="119" t="str">
        <f t="shared" si="18"/>
        <v>-</v>
      </c>
      <c r="AF90" s="119" t="str">
        <f t="shared" si="18"/>
        <v>-</v>
      </c>
      <c r="AG90" s="119" t="str">
        <f t="shared" si="18"/>
        <v>-</v>
      </c>
      <c r="AH90" s="119" t="str">
        <f t="shared" si="17"/>
        <v>-</v>
      </c>
      <c r="AI90" s="119" t="str">
        <f t="shared" si="17"/>
        <v>-</v>
      </c>
      <c r="AJ90" s="119" t="str">
        <f t="shared" si="17"/>
        <v>-</v>
      </c>
      <c r="AM90" s="120">
        <v>86</v>
      </c>
      <c r="AN90" s="58" t="e">
        <f>VLOOKUP(AM90,Q$5:$AJ$104,$AO$2,FALSE)</f>
        <v>#N/A</v>
      </c>
      <c r="AO90" s="93" t="e">
        <f>VLOOKUP(AM90,Q$5:$AJ$104,$AO$2+11,FALSE)</f>
        <v>#N/A</v>
      </c>
      <c r="AP90" s="58" t="e">
        <f t="shared" si="33"/>
        <v>#N/A</v>
      </c>
      <c r="AR90" s="120">
        <v>86</v>
      </c>
      <c r="AS90" s="58" t="e">
        <f>VLOOKUP(AR90,$S$5:$AJ$104,$AT$2,FALSE)</f>
        <v>#N/A</v>
      </c>
      <c r="AT90" s="93" t="e">
        <f>VLOOKUP(AR90,$S$5:$AJ$104,$AT$2+9,FALSE)</f>
        <v>#N/A</v>
      </c>
      <c r="AU90" s="58" t="e">
        <f>VLOOKUP(AS90,$S$5:$AJ$104,$AT$2+12,FALSE)</f>
        <v>#N/A</v>
      </c>
      <c r="AV90" s="75"/>
      <c r="AW90" s="120">
        <v>86</v>
      </c>
      <c r="AX90" s="58" t="e">
        <f>VLOOKUP(AW90,$U$5:$AJ$104,$AY$2,FALSE)</f>
        <v>#N/A</v>
      </c>
      <c r="AY90" s="93" t="e">
        <f>VLOOKUP(AW90,$U$5:$AJ$104,$AY$2+7,FALSE)</f>
        <v>#N/A</v>
      </c>
      <c r="AZ90" s="58" t="e">
        <f>VLOOKUP(AX90,$U$5:$AJ$104,$AY$2+11,FALSE)</f>
        <v>#N/A</v>
      </c>
      <c r="BB90" s="120">
        <v>86</v>
      </c>
      <c r="BC90" s="58" t="e">
        <f>VLOOKUP(BB90,$W$5:$AJ$104,$BD$2,FALSE)</f>
        <v>#N/A</v>
      </c>
      <c r="BD90" s="93" t="e">
        <f>VLOOKUP(BB90,$W$5:$AJ$104,$BD$2+5,FALSE)</f>
        <v>#N/A</v>
      </c>
      <c r="BE90" s="58" t="e">
        <f>VLOOKUP(BC90,$W$5:$AJ$104,$BD$2+10,FALSE)</f>
        <v>#N/A</v>
      </c>
      <c r="BF90" s="75"/>
      <c r="BG90" s="120">
        <v>86</v>
      </c>
      <c r="BH90" s="58" t="e">
        <f>VLOOKUP(BG90,$Y$5:$AJ$104,$BI$2,FALSE)</f>
        <v>#N/A</v>
      </c>
      <c r="BI90" s="93" t="e">
        <f>VLOOKUP(BG90,$Y$5:$AJ$104,$BI$2+3,FALSE)</f>
        <v>#N/A</v>
      </c>
      <c r="BJ90" s="58" t="e">
        <f>VLOOKUP(BH90,$Y$5:$AJ$104,$BI$2+9,FALSE)</f>
        <v>#N/A</v>
      </c>
      <c r="BL90" s="120">
        <v>86</v>
      </c>
      <c r="BM90" s="58" t="e">
        <f>VLOOKUP(BL90,$AA$5:$AJ$104,$BN$2,FALSE)</f>
        <v>#N/A</v>
      </c>
      <c r="BN90" s="93" t="e">
        <f>VLOOKUP(BL90,$AA$5:$AJ$104,$BN$2+1,FALSE)</f>
        <v>#N/A</v>
      </c>
      <c r="BO90" s="58" t="e">
        <f>VLOOKUP(BM90,$AA$5:$AJ$104,$BN$2+8,FALSE)</f>
        <v>#N/A</v>
      </c>
      <c r="BQ90" s="2" t="e">
        <f>'Eclectic C'!CD90</f>
        <v>#N/A</v>
      </c>
      <c r="BR90" s="6" t="e">
        <f>'Eclectic C'!CE90</f>
        <v>#N/A</v>
      </c>
      <c r="BS90" s="103" t="e">
        <f>'Eclectic C'!CF90</f>
        <v>#N/A</v>
      </c>
    </row>
    <row r="91" spans="1:71">
      <c r="A91" s="10" t="str">
        <f>IF(ISBLANK(Players!K89),"",Players!K89)</f>
        <v/>
      </c>
      <c r="B91" s="10" t="str">
        <f>IF(ISBLANK(Players!L89),"",Players!L89)</f>
        <v/>
      </c>
      <c r="C91" s="10" t="str">
        <f>IF(ISBLANK(Players!N89),"",Players!N89)</f>
        <v/>
      </c>
      <c r="D91" s="126" t="str">
        <f>IF(ISNUMBER(C91),MIN((C91*Rules!$N$14/113)+(Rules!$N$13-Rules!$N$12),Rules!$N$37),"-")</f>
        <v>-</v>
      </c>
      <c r="E91" s="126" t="str">
        <f>IF(ISNUMBER(C91),    ROUND( (D91*Rules!$N$11) / 100,0),"-")</f>
        <v>-</v>
      </c>
      <c r="F91" s="36" t="str">
        <f>IF(AND(ISNUMBER(C91),C91&gt;=Rules!$M$24,C91&lt;=Rules!$N$24),"Y","N")</f>
        <v>N</v>
      </c>
      <c r="G91" s="137" t="str">
        <f>'Eclectic C'!M91</f>
        <v>-</v>
      </c>
      <c r="H91" s="137" t="str">
        <f>'Eclectic C'!W91</f>
        <v>-</v>
      </c>
      <c r="I91" s="137" t="str">
        <f>'Eclectic C'!AJ91</f>
        <v>-</v>
      </c>
      <c r="J91" s="137" t="str">
        <f>'Eclectic C'!AT91</f>
        <v>-</v>
      </c>
      <c r="K91" s="14" t="str">
        <f t="shared" si="19"/>
        <v>-</v>
      </c>
      <c r="L91" s="14" t="str">
        <f t="shared" si="20"/>
        <v>-</v>
      </c>
      <c r="M91" s="14" t="str">
        <f t="shared" si="21"/>
        <v>-</v>
      </c>
      <c r="N91" s="14" t="str">
        <f t="shared" si="22"/>
        <v>-</v>
      </c>
      <c r="O91" s="14" t="str">
        <f t="shared" si="23"/>
        <v>-</v>
      </c>
      <c r="P91" s="14" t="str">
        <f t="shared" si="24"/>
        <v>-</v>
      </c>
      <c r="Q91" s="108" t="e">
        <f>RANK($K91,$K$5:$K$104,1)+COUNTIF(K$5:K91,K91)-1</f>
        <v>#VALUE!</v>
      </c>
      <c r="R91" s="108" t="e">
        <f t="shared" si="25"/>
        <v>#VALUE!</v>
      </c>
      <c r="S91" s="108" t="e">
        <f>RANK($L91,$L$5:$L$104,1)+COUNTIF(L$5:L91,L91)-1</f>
        <v>#VALUE!</v>
      </c>
      <c r="T91" s="108" t="e">
        <f t="shared" si="26"/>
        <v>#VALUE!</v>
      </c>
      <c r="U91" s="108" t="e">
        <f>RANK($M91,$M$5:$M$104,1)+COUNTIF(M$5:M91,M91)-1</f>
        <v>#VALUE!</v>
      </c>
      <c r="V91" s="108" t="e">
        <f t="shared" si="27"/>
        <v>#VALUE!</v>
      </c>
      <c r="W91" s="108" t="e">
        <f>RANK($N91,$N$5:$N$104,1)+COUNTIF(N$5:N91,N91)-1</f>
        <v>#VALUE!</v>
      </c>
      <c r="X91" s="108" t="e">
        <f t="shared" si="28"/>
        <v>#VALUE!</v>
      </c>
      <c r="Y91" s="108" t="e">
        <f>RANK($O91,$O$5:$O$104,1)+COUNTIF(O$5:O91,O91)-1</f>
        <v>#VALUE!</v>
      </c>
      <c r="Z91" s="108" t="e">
        <f t="shared" si="29"/>
        <v>#VALUE!</v>
      </c>
      <c r="AA91" s="108" t="e">
        <f>RANK($P91,$P$5:$P$104,1)+COUNTIF(P$5:P91,P91)-1</f>
        <v>#VALUE!</v>
      </c>
      <c r="AB91" s="108" t="e">
        <f t="shared" si="30"/>
        <v>#VALUE!</v>
      </c>
      <c r="AC91" s="59" t="str">
        <f t="shared" si="31"/>
        <v xml:space="preserve"> </v>
      </c>
      <c r="AD91" s="59" t="str">
        <f t="shared" si="32"/>
        <v>-</v>
      </c>
      <c r="AE91" s="119" t="str">
        <f t="shared" si="18"/>
        <v>-</v>
      </c>
      <c r="AF91" s="119" t="str">
        <f t="shared" si="18"/>
        <v>-</v>
      </c>
      <c r="AG91" s="119" t="str">
        <f t="shared" si="18"/>
        <v>-</v>
      </c>
      <c r="AH91" s="119" t="str">
        <f t="shared" si="17"/>
        <v>-</v>
      </c>
      <c r="AI91" s="119" t="str">
        <f t="shared" si="17"/>
        <v>-</v>
      </c>
      <c r="AJ91" s="119" t="str">
        <f t="shared" si="17"/>
        <v>-</v>
      </c>
      <c r="AM91" s="120">
        <v>87</v>
      </c>
      <c r="AN91" s="58" t="e">
        <f>VLOOKUP(AM91,Q$5:$AJ$104,$AO$2,FALSE)</f>
        <v>#N/A</v>
      </c>
      <c r="AO91" s="93" t="e">
        <f>VLOOKUP(AM91,Q$5:$AJ$104,$AO$2+11,FALSE)</f>
        <v>#N/A</v>
      </c>
      <c r="AP91" s="58" t="e">
        <f t="shared" si="33"/>
        <v>#N/A</v>
      </c>
      <c r="AR91" s="120">
        <v>87</v>
      </c>
      <c r="AS91" s="58" t="e">
        <f>VLOOKUP(AR91,$S$5:$AJ$104,$AT$2,FALSE)</f>
        <v>#N/A</v>
      </c>
      <c r="AT91" s="93" t="e">
        <f>VLOOKUP(AR91,$S$5:$AJ$104,$AT$2+9,FALSE)</f>
        <v>#N/A</v>
      </c>
      <c r="AU91" s="58" t="e">
        <f>VLOOKUP(AS91,$S$5:$AJ$104,$AT$2+12,FALSE)</f>
        <v>#N/A</v>
      </c>
      <c r="AV91" s="75"/>
      <c r="AW91" s="120">
        <v>87</v>
      </c>
      <c r="AX91" s="58" t="e">
        <f>VLOOKUP(AW91,$U$5:$AJ$104,$AY$2,FALSE)</f>
        <v>#N/A</v>
      </c>
      <c r="AY91" s="93" t="e">
        <f>VLOOKUP(AW91,$U$5:$AJ$104,$AY$2+7,FALSE)</f>
        <v>#N/A</v>
      </c>
      <c r="AZ91" s="58" t="e">
        <f>VLOOKUP(AX91,$U$5:$AJ$104,$AY$2+11,FALSE)</f>
        <v>#N/A</v>
      </c>
      <c r="BB91" s="120">
        <v>87</v>
      </c>
      <c r="BC91" s="58" t="e">
        <f>VLOOKUP(BB91,$W$5:$AJ$104,$BD$2,FALSE)</f>
        <v>#N/A</v>
      </c>
      <c r="BD91" s="93" t="e">
        <f>VLOOKUP(BB91,$W$5:$AJ$104,$BD$2+5,FALSE)</f>
        <v>#N/A</v>
      </c>
      <c r="BE91" s="58" t="e">
        <f>VLOOKUP(BC91,$W$5:$AJ$104,$BD$2+10,FALSE)</f>
        <v>#N/A</v>
      </c>
      <c r="BF91" s="75"/>
      <c r="BG91" s="120">
        <v>87</v>
      </c>
      <c r="BH91" s="58" t="e">
        <f>VLOOKUP(BG91,$Y$5:$AJ$104,$BI$2,FALSE)</f>
        <v>#N/A</v>
      </c>
      <c r="BI91" s="93" t="e">
        <f>VLOOKUP(BG91,$Y$5:$AJ$104,$BI$2+3,FALSE)</f>
        <v>#N/A</v>
      </c>
      <c r="BJ91" s="58" t="e">
        <f>VLOOKUP(BH91,$Y$5:$AJ$104,$BI$2+9,FALSE)</f>
        <v>#N/A</v>
      </c>
      <c r="BL91" s="120">
        <v>87</v>
      </c>
      <c r="BM91" s="58" t="e">
        <f>VLOOKUP(BL91,$AA$5:$AJ$104,$BN$2,FALSE)</f>
        <v>#N/A</v>
      </c>
      <c r="BN91" s="93" t="e">
        <f>VLOOKUP(BL91,$AA$5:$AJ$104,$BN$2+1,FALSE)</f>
        <v>#N/A</v>
      </c>
      <c r="BO91" s="58" t="e">
        <f>VLOOKUP(BM91,$AA$5:$AJ$104,$BN$2+8,FALSE)</f>
        <v>#N/A</v>
      </c>
      <c r="BQ91" s="2" t="e">
        <f>'Eclectic C'!CD91</f>
        <v>#N/A</v>
      </c>
      <c r="BR91" s="6" t="e">
        <f>'Eclectic C'!CE91</f>
        <v>#N/A</v>
      </c>
      <c r="BS91" s="103" t="e">
        <f>'Eclectic C'!CF91</f>
        <v>#N/A</v>
      </c>
    </row>
    <row r="92" spans="1:71">
      <c r="A92" s="10" t="str">
        <f>IF(ISBLANK(Players!K90),"",Players!K90)</f>
        <v/>
      </c>
      <c r="B92" s="10" t="str">
        <f>IF(ISBLANK(Players!L90),"",Players!L90)</f>
        <v/>
      </c>
      <c r="C92" s="10" t="str">
        <f>IF(ISBLANK(Players!N90),"",Players!N90)</f>
        <v/>
      </c>
      <c r="D92" s="126" t="str">
        <f>IF(ISNUMBER(C92),MIN((C92*Rules!$N$14/113)+(Rules!$N$13-Rules!$N$12),Rules!$N$37),"-")</f>
        <v>-</v>
      </c>
      <c r="E92" s="126" t="str">
        <f>IF(ISNUMBER(C92),    ROUND( (D92*Rules!$N$11) / 100,0),"-")</f>
        <v>-</v>
      </c>
      <c r="F92" s="36" t="str">
        <f>IF(AND(ISNUMBER(C92),C92&gt;=Rules!$M$24,C92&lt;=Rules!$N$24),"Y","N")</f>
        <v>N</v>
      </c>
      <c r="G92" s="137" t="str">
        <f>'Eclectic C'!M92</f>
        <v>-</v>
      </c>
      <c r="H92" s="137" t="str">
        <f>'Eclectic C'!W92</f>
        <v>-</v>
      </c>
      <c r="I92" s="137" t="str">
        <f>'Eclectic C'!AJ92</f>
        <v>-</v>
      </c>
      <c r="J92" s="137" t="str">
        <f>'Eclectic C'!AT92</f>
        <v>-</v>
      </c>
      <c r="K92" s="14" t="str">
        <f t="shared" si="19"/>
        <v>-</v>
      </c>
      <c r="L92" s="14" t="str">
        <f t="shared" si="20"/>
        <v>-</v>
      </c>
      <c r="M92" s="14" t="str">
        <f t="shared" si="21"/>
        <v>-</v>
      </c>
      <c r="N92" s="14" t="str">
        <f t="shared" si="22"/>
        <v>-</v>
      </c>
      <c r="O92" s="14" t="str">
        <f t="shared" si="23"/>
        <v>-</v>
      </c>
      <c r="P92" s="14" t="str">
        <f t="shared" si="24"/>
        <v>-</v>
      </c>
      <c r="Q92" s="108" t="e">
        <f>RANK($K92,$K$5:$K$104,1)+COUNTIF(K$5:K92,K92)-1</f>
        <v>#VALUE!</v>
      </c>
      <c r="R92" s="108" t="e">
        <f t="shared" si="25"/>
        <v>#VALUE!</v>
      </c>
      <c r="S92" s="108" t="e">
        <f>RANK($L92,$L$5:$L$104,1)+COUNTIF(L$5:L92,L92)-1</f>
        <v>#VALUE!</v>
      </c>
      <c r="T92" s="108" t="e">
        <f t="shared" si="26"/>
        <v>#VALUE!</v>
      </c>
      <c r="U92" s="108" t="e">
        <f>RANK($M92,$M$5:$M$104,1)+COUNTIF(M$5:M92,M92)-1</f>
        <v>#VALUE!</v>
      </c>
      <c r="V92" s="108" t="e">
        <f t="shared" si="27"/>
        <v>#VALUE!</v>
      </c>
      <c r="W92" s="108" t="e">
        <f>RANK($N92,$N$5:$N$104,1)+COUNTIF(N$5:N92,N92)-1</f>
        <v>#VALUE!</v>
      </c>
      <c r="X92" s="108" t="e">
        <f t="shared" si="28"/>
        <v>#VALUE!</v>
      </c>
      <c r="Y92" s="108" t="e">
        <f>RANK($O92,$O$5:$O$104,1)+COUNTIF(O$5:O92,O92)-1</f>
        <v>#VALUE!</v>
      </c>
      <c r="Z92" s="108" t="e">
        <f t="shared" si="29"/>
        <v>#VALUE!</v>
      </c>
      <c r="AA92" s="108" t="e">
        <f>RANK($P92,$P$5:$P$104,1)+COUNTIF(P$5:P92,P92)-1</f>
        <v>#VALUE!</v>
      </c>
      <c r="AB92" s="108" t="e">
        <f t="shared" si="30"/>
        <v>#VALUE!</v>
      </c>
      <c r="AC92" s="59" t="str">
        <f t="shared" si="31"/>
        <v xml:space="preserve"> </v>
      </c>
      <c r="AD92" s="59" t="str">
        <f t="shared" si="32"/>
        <v>-</v>
      </c>
      <c r="AE92" s="119" t="str">
        <f t="shared" si="18"/>
        <v>-</v>
      </c>
      <c r="AF92" s="119" t="str">
        <f t="shared" si="18"/>
        <v>-</v>
      </c>
      <c r="AG92" s="119" t="str">
        <f t="shared" si="18"/>
        <v>-</v>
      </c>
      <c r="AH92" s="119" t="str">
        <f t="shared" si="17"/>
        <v>-</v>
      </c>
      <c r="AI92" s="119" t="str">
        <f t="shared" si="17"/>
        <v>-</v>
      </c>
      <c r="AJ92" s="119" t="str">
        <f t="shared" si="17"/>
        <v>-</v>
      </c>
      <c r="AM92" s="120">
        <v>88</v>
      </c>
      <c r="AN92" s="58" t="e">
        <f>VLOOKUP(AM92,Q$5:$AJ$104,$AO$2,FALSE)</f>
        <v>#N/A</v>
      </c>
      <c r="AO92" s="93" t="e">
        <f>VLOOKUP(AM92,Q$5:$AJ$104,$AO$2+11,FALSE)</f>
        <v>#N/A</v>
      </c>
      <c r="AP92" s="58" t="e">
        <f t="shared" si="33"/>
        <v>#N/A</v>
      </c>
      <c r="AR92" s="120">
        <v>88</v>
      </c>
      <c r="AS92" s="58" t="e">
        <f>VLOOKUP(AR92,$S$5:$AJ$104,$AT$2,FALSE)</f>
        <v>#N/A</v>
      </c>
      <c r="AT92" s="93" t="e">
        <f>VLOOKUP(AR92,$S$5:$AJ$104,$AT$2+9,FALSE)</f>
        <v>#N/A</v>
      </c>
      <c r="AU92" s="58" t="e">
        <f>VLOOKUP(AS92,$S$5:$AJ$104,$AT$2+12,FALSE)</f>
        <v>#N/A</v>
      </c>
      <c r="AV92" s="75"/>
      <c r="AW92" s="120">
        <v>88</v>
      </c>
      <c r="AX92" s="58" t="e">
        <f>VLOOKUP(AW92,$U$5:$AJ$104,$AY$2,FALSE)</f>
        <v>#N/A</v>
      </c>
      <c r="AY92" s="93" t="e">
        <f>VLOOKUP(AW92,$U$5:$AJ$104,$AY$2+7,FALSE)</f>
        <v>#N/A</v>
      </c>
      <c r="AZ92" s="58" t="e">
        <f>VLOOKUP(AX92,$U$5:$AJ$104,$AY$2+11,FALSE)</f>
        <v>#N/A</v>
      </c>
      <c r="BB92" s="120">
        <v>88</v>
      </c>
      <c r="BC92" s="58" t="e">
        <f>VLOOKUP(BB92,$W$5:$AJ$104,$BD$2,FALSE)</f>
        <v>#N/A</v>
      </c>
      <c r="BD92" s="93" t="e">
        <f>VLOOKUP(BB92,$W$5:$AJ$104,$BD$2+5,FALSE)</f>
        <v>#N/A</v>
      </c>
      <c r="BE92" s="58" t="e">
        <f>VLOOKUP(BC92,$W$5:$AJ$104,$BD$2+10,FALSE)</f>
        <v>#N/A</v>
      </c>
      <c r="BF92" s="75"/>
      <c r="BG92" s="120">
        <v>88</v>
      </c>
      <c r="BH92" s="58" t="e">
        <f>VLOOKUP(BG92,$Y$5:$AJ$104,$BI$2,FALSE)</f>
        <v>#N/A</v>
      </c>
      <c r="BI92" s="93" t="e">
        <f>VLOOKUP(BG92,$Y$5:$AJ$104,$BI$2+3,FALSE)</f>
        <v>#N/A</v>
      </c>
      <c r="BJ92" s="58" t="e">
        <f>VLOOKUP(BH92,$Y$5:$AJ$104,$BI$2+9,FALSE)</f>
        <v>#N/A</v>
      </c>
      <c r="BL92" s="120">
        <v>88</v>
      </c>
      <c r="BM92" s="58" t="e">
        <f>VLOOKUP(BL92,$AA$5:$AJ$104,$BN$2,FALSE)</f>
        <v>#N/A</v>
      </c>
      <c r="BN92" s="93" t="e">
        <f>VLOOKUP(BL92,$AA$5:$AJ$104,$BN$2+1,FALSE)</f>
        <v>#N/A</v>
      </c>
      <c r="BO92" s="58" t="e">
        <f>VLOOKUP(BM92,$AA$5:$AJ$104,$BN$2+8,FALSE)</f>
        <v>#N/A</v>
      </c>
      <c r="BQ92" s="2" t="e">
        <f>'Eclectic C'!CD92</f>
        <v>#N/A</v>
      </c>
      <c r="BR92" s="6" t="e">
        <f>'Eclectic C'!CE92</f>
        <v>#N/A</v>
      </c>
      <c r="BS92" s="103" t="e">
        <f>'Eclectic C'!CF92</f>
        <v>#N/A</v>
      </c>
    </row>
    <row r="93" spans="1:71">
      <c r="A93" s="10" t="str">
        <f>IF(ISBLANK(Players!K91),"",Players!K91)</f>
        <v/>
      </c>
      <c r="B93" s="10" t="str">
        <f>IF(ISBLANK(Players!L91),"",Players!L91)</f>
        <v/>
      </c>
      <c r="C93" s="10" t="str">
        <f>IF(ISBLANK(Players!N91),"",Players!N91)</f>
        <v/>
      </c>
      <c r="D93" s="126" t="str">
        <f>IF(ISNUMBER(C93),MIN((C93*Rules!$N$14/113)+(Rules!$N$13-Rules!$N$12),Rules!$N$37),"-")</f>
        <v>-</v>
      </c>
      <c r="E93" s="126" t="str">
        <f>IF(ISNUMBER(C93),    ROUND( (D93*Rules!$N$11) / 100,0),"-")</f>
        <v>-</v>
      </c>
      <c r="F93" s="36" t="str">
        <f>IF(AND(ISNUMBER(C93),C93&gt;=Rules!$M$24,C93&lt;=Rules!$N$24),"Y","N")</f>
        <v>N</v>
      </c>
      <c r="G93" s="137" t="str">
        <f>'Eclectic C'!M93</f>
        <v>-</v>
      </c>
      <c r="H93" s="137" t="str">
        <f>'Eclectic C'!W93</f>
        <v>-</v>
      </c>
      <c r="I93" s="137" t="str">
        <f>'Eclectic C'!AJ93</f>
        <v>-</v>
      </c>
      <c r="J93" s="137" t="str">
        <f>'Eclectic C'!AT93</f>
        <v>-</v>
      </c>
      <c r="K93" s="14" t="str">
        <f t="shared" si="19"/>
        <v>-</v>
      </c>
      <c r="L93" s="14" t="str">
        <f t="shared" si="20"/>
        <v>-</v>
      </c>
      <c r="M93" s="14" t="str">
        <f t="shared" si="21"/>
        <v>-</v>
      </c>
      <c r="N93" s="14" t="str">
        <f t="shared" si="22"/>
        <v>-</v>
      </c>
      <c r="O93" s="14" t="str">
        <f t="shared" si="23"/>
        <v>-</v>
      </c>
      <c r="P93" s="14" t="str">
        <f t="shared" si="24"/>
        <v>-</v>
      </c>
      <c r="Q93" s="108" t="e">
        <f>RANK($K93,$K$5:$K$104,1)+COUNTIF(K$5:K93,K93)-1</f>
        <v>#VALUE!</v>
      </c>
      <c r="R93" s="108" t="e">
        <f t="shared" si="25"/>
        <v>#VALUE!</v>
      </c>
      <c r="S93" s="108" t="e">
        <f>RANK($L93,$L$5:$L$104,1)+COUNTIF(L$5:L93,L93)-1</f>
        <v>#VALUE!</v>
      </c>
      <c r="T93" s="108" t="e">
        <f t="shared" si="26"/>
        <v>#VALUE!</v>
      </c>
      <c r="U93" s="108" t="e">
        <f>RANK($M93,$M$5:$M$104,1)+COUNTIF(M$5:M93,M93)-1</f>
        <v>#VALUE!</v>
      </c>
      <c r="V93" s="108" t="e">
        <f t="shared" si="27"/>
        <v>#VALUE!</v>
      </c>
      <c r="W93" s="108" t="e">
        <f>RANK($N93,$N$5:$N$104,1)+COUNTIF(N$5:N93,N93)-1</f>
        <v>#VALUE!</v>
      </c>
      <c r="X93" s="108" t="e">
        <f t="shared" si="28"/>
        <v>#VALUE!</v>
      </c>
      <c r="Y93" s="108" t="e">
        <f>RANK($O93,$O$5:$O$104,1)+COUNTIF(O$5:O93,O93)-1</f>
        <v>#VALUE!</v>
      </c>
      <c r="Z93" s="108" t="e">
        <f t="shared" si="29"/>
        <v>#VALUE!</v>
      </c>
      <c r="AA93" s="108" t="e">
        <f>RANK($P93,$P$5:$P$104,1)+COUNTIF(P$5:P93,P93)-1</f>
        <v>#VALUE!</v>
      </c>
      <c r="AB93" s="108" t="e">
        <f t="shared" si="30"/>
        <v>#VALUE!</v>
      </c>
      <c r="AC93" s="59" t="str">
        <f t="shared" si="31"/>
        <v xml:space="preserve"> </v>
      </c>
      <c r="AD93" s="59" t="str">
        <f t="shared" si="32"/>
        <v>-</v>
      </c>
      <c r="AE93" s="119" t="str">
        <f t="shared" si="18"/>
        <v>-</v>
      </c>
      <c r="AF93" s="119" t="str">
        <f t="shared" si="18"/>
        <v>-</v>
      </c>
      <c r="AG93" s="119" t="str">
        <f t="shared" si="18"/>
        <v>-</v>
      </c>
      <c r="AH93" s="119" t="str">
        <f t="shared" si="17"/>
        <v>-</v>
      </c>
      <c r="AI93" s="119" t="str">
        <f t="shared" si="17"/>
        <v>-</v>
      </c>
      <c r="AJ93" s="119" t="str">
        <f t="shared" si="17"/>
        <v>-</v>
      </c>
      <c r="AM93" s="120">
        <v>89</v>
      </c>
      <c r="AN93" s="58" t="e">
        <f>VLOOKUP(AM93,Q$5:$AJ$104,$AO$2,FALSE)</f>
        <v>#N/A</v>
      </c>
      <c r="AO93" s="93" t="e">
        <f>VLOOKUP(AM93,Q$5:$AJ$104,$AO$2+11,FALSE)</f>
        <v>#N/A</v>
      </c>
      <c r="AP93" s="58" t="e">
        <f t="shared" si="33"/>
        <v>#N/A</v>
      </c>
      <c r="AR93" s="120">
        <v>89</v>
      </c>
      <c r="AS93" s="58" t="e">
        <f>VLOOKUP(AR93,$S$5:$AJ$104,$AT$2,FALSE)</f>
        <v>#N/A</v>
      </c>
      <c r="AT93" s="93" t="e">
        <f>VLOOKUP(AR93,$S$5:$AJ$104,$AT$2+9,FALSE)</f>
        <v>#N/A</v>
      </c>
      <c r="AU93" s="58" t="e">
        <f>VLOOKUP(AS93,$S$5:$AJ$104,$AT$2+12,FALSE)</f>
        <v>#N/A</v>
      </c>
      <c r="AV93" s="75"/>
      <c r="AW93" s="120">
        <v>89</v>
      </c>
      <c r="AX93" s="58" t="e">
        <f>VLOOKUP(AW93,$U$5:$AJ$104,$AY$2,FALSE)</f>
        <v>#N/A</v>
      </c>
      <c r="AY93" s="93" t="e">
        <f>VLOOKUP(AW93,$U$5:$AJ$104,$AY$2+7,FALSE)</f>
        <v>#N/A</v>
      </c>
      <c r="AZ93" s="58" t="e">
        <f>VLOOKUP(AX93,$U$5:$AJ$104,$AY$2+11,FALSE)</f>
        <v>#N/A</v>
      </c>
      <c r="BB93" s="120">
        <v>89</v>
      </c>
      <c r="BC93" s="58" t="e">
        <f>VLOOKUP(BB93,$W$5:$AJ$104,$BD$2,FALSE)</f>
        <v>#N/A</v>
      </c>
      <c r="BD93" s="93" t="e">
        <f>VLOOKUP(BB93,$W$5:$AJ$104,$BD$2+5,FALSE)</f>
        <v>#N/A</v>
      </c>
      <c r="BE93" s="58" t="e">
        <f>VLOOKUP(BC93,$W$5:$AJ$104,$BD$2+10,FALSE)</f>
        <v>#N/A</v>
      </c>
      <c r="BF93" s="75"/>
      <c r="BG93" s="120">
        <v>89</v>
      </c>
      <c r="BH93" s="58" t="e">
        <f>VLOOKUP(BG93,$Y$5:$AJ$104,$BI$2,FALSE)</f>
        <v>#N/A</v>
      </c>
      <c r="BI93" s="93" t="e">
        <f>VLOOKUP(BG93,$Y$5:$AJ$104,$BI$2+3,FALSE)</f>
        <v>#N/A</v>
      </c>
      <c r="BJ93" s="58" t="e">
        <f>VLOOKUP(BH93,$Y$5:$AJ$104,$BI$2+9,FALSE)</f>
        <v>#N/A</v>
      </c>
      <c r="BL93" s="120">
        <v>89</v>
      </c>
      <c r="BM93" s="58" t="e">
        <f>VLOOKUP(BL93,$AA$5:$AJ$104,$BN$2,FALSE)</f>
        <v>#N/A</v>
      </c>
      <c r="BN93" s="93" t="e">
        <f>VLOOKUP(BL93,$AA$5:$AJ$104,$BN$2+1,FALSE)</f>
        <v>#N/A</v>
      </c>
      <c r="BO93" s="58" t="e">
        <f>VLOOKUP(BM93,$AA$5:$AJ$104,$BN$2+8,FALSE)</f>
        <v>#N/A</v>
      </c>
      <c r="BQ93" s="2" t="e">
        <f>'Eclectic C'!CD93</f>
        <v>#N/A</v>
      </c>
      <c r="BR93" s="6" t="e">
        <f>'Eclectic C'!CE93</f>
        <v>#N/A</v>
      </c>
      <c r="BS93" s="103" t="e">
        <f>'Eclectic C'!CF93</f>
        <v>#N/A</v>
      </c>
    </row>
    <row r="94" spans="1:71">
      <c r="A94" s="10" t="str">
        <f>IF(ISBLANK(Players!K92),"",Players!K92)</f>
        <v/>
      </c>
      <c r="B94" s="10" t="str">
        <f>IF(ISBLANK(Players!L92),"",Players!L92)</f>
        <v/>
      </c>
      <c r="C94" s="10" t="str">
        <f>IF(ISBLANK(Players!N92),"",Players!N92)</f>
        <v/>
      </c>
      <c r="D94" s="126" t="str">
        <f>IF(ISNUMBER(C94),MIN((C94*Rules!$N$14/113)+(Rules!$N$13-Rules!$N$12),Rules!$N$37),"-")</f>
        <v>-</v>
      </c>
      <c r="E94" s="126" t="str">
        <f>IF(ISNUMBER(C94),    ROUND( (D94*Rules!$N$11) / 100,0),"-")</f>
        <v>-</v>
      </c>
      <c r="F94" s="36" t="str">
        <f>IF(AND(ISNUMBER(C94),C94&gt;=Rules!$M$24,C94&lt;=Rules!$N$24),"Y","N")</f>
        <v>N</v>
      </c>
      <c r="G94" s="137" t="str">
        <f>'Eclectic C'!M94</f>
        <v>-</v>
      </c>
      <c r="H94" s="137" t="str">
        <f>'Eclectic C'!W94</f>
        <v>-</v>
      </c>
      <c r="I94" s="137" t="str">
        <f>'Eclectic C'!AJ94</f>
        <v>-</v>
      </c>
      <c r="J94" s="137" t="str">
        <f>'Eclectic C'!AT94</f>
        <v>-</v>
      </c>
      <c r="K94" s="14" t="str">
        <f t="shared" si="19"/>
        <v>-</v>
      </c>
      <c r="L94" s="14" t="str">
        <f t="shared" si="20"/>
        <v>-</v>
      </c>
      <c r="M94" s="14" t="str">
        <f t="shared" si="21"/>
        <v>-</v>
      </c>
      <c r="N94" s="14" t="str">
        <f t="shared" si="22"/>
        <v>-</v>
      </c>
      <c r="O94" s="14" t="str">
        <f t="shared" si="23"/>
        <v>-</v>
      </c>
      <c r="P94" s="14" t="str">
        <f t="shared" si="24"/>
        <v>-</v>
      </c>
      <c r="Q94" s="108" t="e">
        <f>RANK($K94,$K$5:$K$104,1)+COUNTIF(K$5:K94,K94)-1</f>
        <v>#VALUE!</v>
      </c>
      <c r="R94" s="108" t="e">
        <f t="shared" si="25"/>
        <v>#VALUE!</v>
      </c>
      <c r="S94" s="108" t="e">
        <f>RANK($L94,$L$5:$L$104,1)+COUNTIF(L$5:L94,L94)-1</f>
        <v>#VALUE!</v>
      </c>
      <c r="T94" s="108" t="e">
        <f t="shared" si="26"/>
        <v>#VALUE!</v>
      </c>
      <c r="U94" s="108" t="e">
        <f>RANK($M94,$M$5:$M$104,1)+COUNTIF(M$5:M94,M94)-1</f>
        <v>#VALUE!</v>
      </c>
      <c r="V94" s="108" t="e">
        <f t="shared" si="27"/>
        <v>#VALUE!</v>
      </c>
      <c r="W94" s="108" t="e">
        <f>RANK($N94,$N$5:$N$104,1)+COUNTIF(N$5:N94,N94)-1</f>
        <v>#VALUE!</v>
      </c>
      <c r="X94" s="108" t="e">
        <f t="shared" si="28"/>
        <v>#VALUE!</v>
      </c>
      <c r="Y94" s="108" t="e">
        <f>RANK($O94,$O$5:$O$104,1)+COUNTIF(O$5:O94,O94)-1</f>
        <v>#VALUE!</v>
      </c>
      <c r="Z94" s="108" t="e">
        <f t="shared" si="29"/>
        <v>#VALUE!</v>
      </c>
      <c r="AA94" s="108" t="e">
        <f>RANK($P94,$P$5:$P$104,1)+COUNTIF(P$5:P94,P94)-1</f>
        <v>#VALUE!</v>
      </c>
      <c r="AB94" s="108" t="e">
        <f t="shared" si="30"/>
        <v>#VALUE!</v>
      </c>
      <c r="AC94" s="59" t="str">
        <f t="shared" si="31"/>
        <v xml:space="preserve"> </v>
      </c>
      <c r="AD94" s="59" t="str">
        <f t="shared" si="32"/>
        <v>-</v>
      </c>
      <c r="AE94" s="119" t="str">
        <f t="shared" si="18"/>
        <v>-</v>
      </c>
      <c r="AF94" s="119" t="str">
        <f t="shared" si="18"/>
        <v>-</v>
      </c>
      <c r="AG94" s="119" t="str">
        <f t="shared" si="18"/>
        <v>-</v>
      </c>
      <c r="AH94" s="119" t="str">
        <f t="shared" si="17"/>
        <v>-</v>
      </c>
      <c r="AI94" s="119" t="str">
        <f t="shared" si="17"/>
        <v>-</v>
      </c>
      <c r="AJ94" s="119" t="str">
        <f t="shared" si="17"/>
        <v>-</v>
      </c>
      <c r="AM94" s="120">
        <v>90</v>
      </c>
      <c r="AN94" s="58" t="e">
        <f>VLOOKUP(AM94,Q$5:$AJ$104,$AO$2,FALSE)</f>
        <v>#N/A</v>
      </c>
      <c r="AO94" s="93" t="e">
        <f>VLOOKUP(AM94,Q$5:$AJ$104,$AO$2+11,FALSE)</f>
        <v>#N/A</v>
      </c>
      <c r="AP94" s="58" t="e">
        <f t="shared" si="33"/>
        <v>#N/A</v>
      </c>
      <c r="AR94" s="120">
        <v>90</v>
      </c>
      <c r="AS94" s="58" t="e">
        <f>VLOOKUP(AR94,$S$5:$AJ$104,$AT$2,FALSE)</f>
        <v>#N/A</v>
      </c>
      <c r="AT94" s="93" t="e">
        <f>VLOOKUP(AR94,$S$5:$AJ$104,$AT$2+9,FALSE)</f>
        <v>#N/A</v>
      </c>
      <c r="AU94" s="58" t="e">
        <f>VLOOKUP(AS94,$S$5:$AJ$104,$AT$2+12,FALSE)</f>
        <v>#N/A</v>
      </c>
      <c r="AV94" s="75"/>
      <c r="AW94" s="120">
        <v>90</v>
      </c>
      <c r="AX94" s="58" t="e">
        <f>VLOOKUP(AW94,$U$5:$AJ$104,$AY$2,FALSE)</f>
        <v>#N/A</v>
      </c>
      <c r="AY94" s="93" t="e">
        <f>VLOOKUP(AW94,$U$5:$AJ$104,$AY$2+7,FALSE)</f>
        <v>#N/A</v>
      </c>
      <c r="AZ94" s="58" t="e">
        <f>VLOOKUP(AX94,$U$5:$AJ$104,$AY$2+11,FALSE)</f>
        <v>#N/A</v>
      </c>
      <c r="BB94" s="120">
        <v>90</v>
      </c>
      <c r="BC94" s="58" t="e">
        <f>VLOOKUP(BB94,$W$5:$AJ$104,$BD$2,FALSE)</f>
        <v>#N/A</v>
      </c>
      <c r="BD94" s="93" t="e">
        <f>VLOOKUP(BB94,$W$5:$AJ$104,$BD$2+5,FALSE)</f>
        <v>#N/A</v>
      </c>
      <c r="BE94" s="58" t="e">
        <f>VLOOKUP(BC94,$W$5:$AJ$104,$BD$2+10,FALSE)</f>
        <v>#N/A</v>
      </c>
      <c r="BF94" s="75"/>
      <c r="BG94" s="120">
        <v>90</v>
      </c>
      <c r="BH94" s="58" t="e">
        <f>VLOOKUP(BG94,$Y$5:$AJ$104,$BI$2,FALSE)</f>
        <v>#N/A</v>
      </c>
      <c r="BI94" s="93" t="e">
        <f>VLOOKUP(BG94,$Y$5:$AJ$104,$BI$2+3,FALSE)</f>
        <v>#N/A</v>
      </c>
      <c r="BJ94" s="58" t="e">
        <f>VLOOKUP(BH94,$Y$5:$AJ$104,$BI$2+9,FALSE)</f>
        <v>#N/A</v>
      </c>
      <c r="BL94" s="120">
        <v>90</v>
      </c>
      <c r="BM94" s="58" t="e">
        <f>VLOOKUP(BL94,$AA$5:$AJ$104,$BN$2,FALSE)</f>
        <v>#N/A</v>
      </c>
      <c r="BN94" s="93" t="e">
        <f>VLOOKUP(BL94,$AA$5:$AJ$104,$BN$2+1,FALSE)</f>
        <v>#N/A</v>
      </c>
      <c r="BO94" s="58" t="e">
        <f>VLOOKUP(BM94,$AA$5:$AJ$104,$BN$2+8,FALSE)</f>
        <v>#N/A</v>
      </c>
      <c r="BQ94" s="2" t="e">
        <f>'Eclectic C'!CD94</f>
        <v>#N/A</v>
      </c>
      <c r="BR94" s="6" t="e">
        <f>'Eclectic C'!CE94</f>
        <v>#N/A</v>
      </c>
      <c r="BS94" s="103" t="e">
        <f>'Eclectic C'!CF94</f>
        <v>#N/A</v>
      </c>
    </row>
    <row r="95" spans="1:71">
      <c r="A95" s="10" t="str">
        <f>IF(ISBLANK(Players!K93),"",Players!K93)</f>
        <v/>
      </c>
      <c r="B95" s="10" t="str">
        <f>IF(ISBLANK(Players!L93),"",Players!L93)</f>
        <v/>
      </c>
      <c r="C95" s="10" t="str">
        <f>IF(ISBLANK(Players!N93),"",Players!N93)</f>
        <v/>
      </c>
      <c r="D95" s="126" t="str">
        <f>IF(ISNUMBER(C95),MIN((C95*Rules!$N$14/113)+(Rules!$N$13-Rules!$N$12),Rules!$N$37),"-")</f>
        <v>-</v>
      </c>
      <c r="E95" s="126" t="str">
        <f>IF(ISNUMBER(C95),    ROUND( (D95*Rules!$N$11) / 100,0),"-")</f>
        <v>-</v>
      </c>
      <c r="F95" s="36" t="str">
        <f>IF(AND(ISNUMBER(C95),C95&gt;=Rules!$M$24,C95&lt;=Rules!$N$24),"Y","N")</f>
        <v>N</v>
      </c>
      <c r="G95" s="137" t="str">
        <f>'Eclectic C'!M95</f>
        <v>-</v>
      </c>
      <c r="H95" s="137" t="str">
        <f>'Eclectic C'!W95</f>
        <v>-</v>
      </c>
      <c r="I95" s="137" t="str">
        <f>'Eclectic C'!AJ95</f>
        <v>-</v>
      </c>
      <c r="J95" s="137" t="str">
        <f>'Eclectic C'!AT95</f>
        <v>-</v>
      </c>
      <c r="K95" s="14" t="str">
        <f t="shared" si="19"/>
        <v>-</v>
      </c>
      <c r="L95" s="14" t="str">
        <f t="shared" si="20"/>
        <v>-</v>
      </c>
      <c r="M95" s="14" t="str">
        <f t="shared" si="21"/>
        <v>-</v>
      </c>
      <c r="N95" s="14" t="str">
        <f t="shared" si="22"/>
        <v>-</v>
      </c>
      <c r="O95" s="14" t="str">
        <f t="shared" si="23"/>
        <v>-</v>
      </c>
      <c r="P95" s="14" t="str">
        <f t="shared" si="24"/>
        <v>-</v>
      </c>
      <c r="Q95" s="108" t="e">
        <f>RANK($K95,$K$5:$K$104,1)+COUNTIF(K$5:K95,K95)-1</f>
        <v>#VALUE!</v>
      </c>
      <c r="R95" s="108" t="e">
        <f t="shared" si="25"/>
        <v>#VALUE!</v>
      </c>
      <c r="S95" s="108" t="e">
        <f>RANK($L95,$L$5:$L$104,1)+COUNTIF(L$5:L95,L95)-1</f>
        <v>#VALUE!</v>
      </c>
      <c r="T95" s="108" t="e">
        <f t="shared" si="26"/>
        <v>#VALUE!</v>
      </c>
      <c r="U95" s="108" t="e">
        <f>RANK($M95,$M$5:$M$104,1)+COUNTIF(M$5:M95,M95)-1</f>
        <v>#VALUE!</v>
      </c>
      <c r="V95" s="108" t="e">
        <f t="shared" si="27"/>
        <v>#VALUE!</v>
      </c>
      <c r="W95" s="108" t="e">
        <f>RANK($N95,$N$5:$N$104,1)+COUNTIF(N$5:N95,N95)-1</f>
        <v>#VALUE!</v>
      </c>
      <c r="X95" s="108" t="e">
        <f t="shared" si="28"/>
        <v>#VALUE!</v>
      </c>
      <c r="Y95" s="108" t="e">
        <f>RANK($O95,$O$5:$O$104,1)+COUNTIF(O$5:O95,O95)-1</f>
        <v>#VALUE!</v>
      </c>
      <c r="Z95" s="108" t="e">
        <f t="shared" si="29"/>
        <v>#VALUE!</v>
      </c>
      <c r="AA95" s="108" t="e">
        <f>RANK($P95,$P$5:$P$104,1)+COUNTIF(P$5:P95,P95)-1</f>
        <v>#VALUE!</v>
      </c>
      <c r="AB95" s="108" t="e">
        <f t="shared" si="30"/>
        <v>#VALUE!</v>
      </c>
      <c r="AC95" s="59" t="str">
        <f t="shared" si="31"/>
        <v xml:space="preserve"> </v>
      </c>
      <c r="AD95" s="59" t="str">
        <f t="shared" si="32"/>
        <v>-</v>
      </c>
      <c r="AE95" s="119" t="str">
        <f t="shared" si="18"/>
        <v>-</v>
      </c>
      <c r="AF95" s="119" t="str">
        <f t="shared" si="18"/>
        <v>-</v>
      </c>
      <c r="AG95" s="119" t="str">
        <f t="shared" si="18"/>
        <v>-</v>
      </c>
      <c r="AH95" s="119" t="str">
        <f t="shared" si="17"/>
        <v>-</v>
      </c>
      <c r="AI95" s="119" t="str">
        <f t="shared" si="17"/>
        <v>-</v>
      </c>
      <c r="AJ95" s="119" t="str">
        <f t="shared" si="17"/>
        <v>-</v>
      </c>
      <c r="AM95" s="120">
        <v>91</v>
      </c>
      <c r="AN95" s="58" t="e">
        <f>VLOOKUP(AM95,Q$5:$AJ$104,$AO$2,FALSE)</f>
        <v>#N/A</v>
      </c>
      <c r="AO95" s="93" t="e">
        <f>VLOOKUP(AM95,Q$5:$AJ$104,$AO$2+11,FALSE)</f>
        <v>#N/A</v>
      </c>
      <c r="AP95" s="58" t="e">
        <f t="shared" si="33"/>
        <v>#N/A</v>
      </c>
      <c r="AR95" s="120">
        <v>91</v>
      </c>
      <c r="AS95" s="58" t="e">
        <f>VLOOKUP(AR95,$S$5:$AJ$104,$AT$2,FALSE)</f>
        <v>#N/A</v>
      </c>
      <c r="AT95" s="93" t="e">
        <f>VLOOKUP(AR95,$S$5:$AJ$104,$AT$2+9,FALSE)</f>
        <v>#N/A</v>
      </c>
      <c r="AU95" s="58" t="e">
        <f>VLOOKUP(AS95,$S$5:$AJ$104,$AT$2+12,FALSE)</f>
        <v>#N/A</v>
      </c>
      <c r="AV95" s="75"/>
      <c r="AW95" s="120">
        <v>91</v>
      </c>
      <c r="AX95" s="58" t="e">
        <f>VLOOKUP(AW95,$U$5:$AJ$104,$AY$2,FALSE)</f>
        <v>#N/A</v>
      </c>
      <c r="AY95" s="93" t="e">
        <f>VLOOKUP(AW95,$U$5:$AJ$104,$AY$2+7,FALSE)</f>
        <v>#N/A</v>
      </c>
      <c r="AZ95" s="58" t="e">
        <f>VLOOKUP(AX95,$U$5:$AJ$104,$AY$2+11,FALSE)</f>
        <v>#N/A</v>
      </c>
      <c r="BB95" s="120">
        <v>91</v>
      </c>
      <c r="BC95" s="58" t="e">
        <f>VLOOKUP(BB95,$W$5:$AJ$104,$BD$2,FALSE)</f>
        <v>#N/A</v>
      </c>
      <c r="BD95" s="93" t="e">
        <f>VLOOKUP(BB95,$W$5:$AJ$104,$BD$2+5,FALSE)</f>
        <v>#N/A</v>
      </c>
      <c r="BE95" s="58" t="e">
        <f>VLOOKUP(BC95,$W$5:$AJ$104,$BD$2+10,FALSE)</f>
        <v>#N/A</v>
      </c>
      <c r="BF95" s="75"/>
      <c r="BG95" s="120">
        <v>91</v>
      </c>
      <c r="BH95" s="58" t="e">
        <f>VLOOKUP(BG95,$Y$5:$AJ$104,$BI$2,FALSE)</f>
        <v>#N/A</v>
      </c>
      <c r="BI95" s="93" t="e">
        <f>VLOOKUP(BG95,$Y$5:$AJ$104,$BI$2+3,FALSE)</f>
        <v>#N/A</v>
      </c>
      <c r="BJ95" s="58" t="e">
        <f>VLOOKUP(BH95,$Y$5:$AJ$104,$BI$2+9,FALSE)</f>
        <v>#N/A</v>
      </c>
      <c r="BL95" s="120">
        <v>91</v>
      </c>
      <c r="BM95" s="58" t="e">
        <f>VLOOKUP(BL95,$AA$5:$AJ$104,$BN$2,FALSE)</f>
        <v>#N/A</v>
      </c>
      <c r="BN95" s="93" t="e">
        <f>VLOOKUP(BL95,$AA$5:$AJ$104,$BN$2+1,FALSE)</f>
        <v>#N/A</v>
      </c>
      <c r="BO95" s="58" t="e">
        <f>VLOOKUP(BM95,$AA$5:$AJ$104,$BN$2+8,FALSE)</f>
        <v>#N/A</v>
      </c>
      <c r="BQ95" s="2" t="e">
        <f>'Eclectic C'!CD95</f>
        <v>#N/A</v>
      </c>
      <c r="BR95" s="6" t="e">
        <f>'Eclectic C'!CE95</f>
        <v>#N/A</v>
      </c>
      <c r="BS95" s="103" t="e">
        <f>'Eclectic C'!CF95</f>
        <v>#N/A</v>
      </c>
    </row>
    <row r="96" spans="1:71">
      <c r="A96" s="10" t="str">
        <f>IF(ISBLANK(Players!K94),"",Players!K94)</f>
        <v/>
      </c>
      <c r="B96" s="10" t="str">
        <f>IF(ISBLANK(Players!L94),"",Players!L94)</f>
        <v/>
      </c>
      <c r="C96" s="10" t="str">
        <f>IF(ISBLANK(Players!N94),"",Players!N94)</f>
        <v/>
      </c>
      <c r="D96" s="126" t="str">
        <f>IF(ISNUMBER(C96),MIN((C96*Rules!$N$14/113)+(Rules!$N$13-Rules!$N$12),Rules!$N$37),"-")</f>
        <v>-</v>
      </c>
      <c r="E96" s="126" t="str">
        <f>IF(ISNUMBER(C96),    ROUND( (D96*Rules!$N$11) / 100,0),"-")</f>
        <v>-</v>
      </c>
      <c r="F96" s="36" t="str">
        <f>IF(AND(ISNUMBER(C96),C96&gt;=Rules!$M$24,C96&lt;=Rules!$N$24),"Y","N")</f>
        <v>N</v>
      </c>
      <c r="G96" s="137" t="str">
        <f>'Eclectic C'!M96</f>
        <v>-</v>
      </c>
      <c r="H96" s="137" t="str">
        <f>'Eclectic C'!W96</f>
        <v>-</v>
      </c>
      <c r="I96" s="137" t="str">
        <f>'Eclectic C'!AJ96</f>
        <v>-</v>
      </c>
      <c r="J96" s="137" t="str">
        <f>'Eclectic C'!AT96</f>
        <v>-</v>
      </c>
      <c r="K96" s="14" t="str">
        <f t="shared" si="19"/>
        <v>-</v>
      </c>
      <c r="L96" s="14" t="str">
        <f t="shared" si="20"/>
        <v>-</v>
      </c>
      <c r="M96" s="14" t="str">
        <f t="shared" si="21"/>
        <v>-</v>
      </c>
      <c r="N96" s="14" t="str">
        <f t="shared" si="22"/>
        <v>-</v>
      </c>
      <c r="O96" s="14" t="str">
        <f t="shared" si="23"/>
        <v>-</v>
      </c>
      <c r="P96" s="14" t="str">
        <f t="shared" si="24"/>
        <v>-</v>
      </c>
      <c r="Q96" s="108" t="e">
        <f>RANK($K96,$K$5:$K$104,1)+COUNTIF(K$5:K96,K96)-1</f>
        <v>#VALUE!</v>
      </c>
      <c r="R96" s="108" t="e">
        <f t="shared" si="25"/>
        <v>#VALUE!</v>
      </c>
      <c r="S96" s="108" t="e">
        <f>RANK($L96,$L$5:$L$104,1)+COUNTIF(L$5:L96,L96)-1</f>
        <v>#VALUE!</v>
      </c>
      <c r="T96" s="108" t="e">
        <f t="shared" si="26"/>
        <v>#VALUE!</v>
      </c>
      <c r="U96" s="108" t="e">
        <f>RANK($M96,$M$5:$M$104,1)+COUNTIF(M$5:M96,M96)-1</f>
        <v>#VALUE!</v>
      </c>
      <c r="V96" s="108" t="e">
        <f t="shared" si="27"/>
        <v>#VALUE!</v>
      </c>
      <c r="W96" s="108" t="e">
        <f>RANK($N96,$N$5:$N$104,1)+COUNTIF(N$5:N96,N96)-1</f>
        <v>#VALUE!</v>
      </c>
      <c r="X96" s="108" t="e">
        <f t="shared" si="28"/>
        <v>#VALUE!</v>
      </c>
      <c r="Y96" s="108" t="e">
        <f>RANK($O96,$O$5:$O$104,1)+COUNTIF(O$5:O96,O96)-1</f>
        <v>#VALUE!</v>
      </c>
      <c r="Z96" s="108" t="e">
        <f t="shared" si="29"/>
        <v>#VALUE!</v>
      </c>
      <c r="AA96" s="108" t="e">
        <f>RANK($P96,$P$5:$P$104,1)+COUNTIF(P$5:P96,P96)-1</f>
        <v>#VALUE!</v>
      </c>
      <c r="AB96" s="108" t="e">
        <f t="shared" si="30"/>
        <v>#VALUE!</v>
      </c>
      <c r="AC96" s="59" t="str">
        <f t="shared" si="31"/>
        <v xml:space="preserve"> </v>
      </c>
      <c r="AD96" s="59" t="str">
        <f t="shared" si="32"/>
        <v>-</v>
      </c>
      <c r="AE96" s="119" t="str">
        <f t="shared" si="18"/>
        <v>-</v>
      </c>
      <c r="AF96" s="119" t="str">
        <f t="shared" si="18"/>
        <v>-</v>
      </c>
      <c r="AG96" s="119" t="str">
        <f t="shared" si="18"/>
        <v>-</v>
      </c>
      <c r="AH96" s="119" t="str">
        <f t="shared" si="17"/>
        <v>-</v>
      </c>
      <c r="AI96" s="119" t="str">
        <f t="shared" si="17"/>
        <v>-</v>
      </c>
      <c r="AJ96" s="119" t="str">
        <f t="shared" si="17"/>
        <v>-</v>
      </c>
      <c r="AM96" s="120">
        <v>92</v>
      </c>
      <c r="AN96" s="58" t="e">
        <f>VLOOKUP(AM96,Q$5:$AJ$104,$AO$2,FALSE)</f>
        <v>#N/A</v>
      </c>
      <c r="AO96" s="93" t="e">
        <f>VLOOKUP(AM96,Q$5:$AJ$104,$AO$2+11,FALSE)</f>
        <v>#N/A</v>
      </c>
      <c r="AP96" s="58" t="e">
        <f t="shared" si="33"/>
        <v>#N/A</v>
      </c>
      <c r="AR96" s="120">
        <v>92</v>
      </c>
      <c r="AS96" s="58" t="e">
        <f>VLOOKUP(AR96,$S$5:$AJ$104,$AT$2,FALSE)</f>
        <v>#N/A</v>
      </c>
      <c r="AT96" s="93" t="e">
        <f>VLOOKUP(AR96,$S$5:$AJ$104,$AT$2+9,FALSE)</f>
        <v>#N/A</v>
      </c>
      <c r="AU96" s="58" t="e">
        <f>VLOOKUP(AS96,$S$5:$AJ$104,$AT$2+12,FALSE)</f>
        <v>#N/A</v>
      </c>
      <c r="AV96" s="75"/>
      <c r="AW96" s="120">
        <v>92</v>
      </c>
      <c r="AX96" s="58" t="e">
        <f>VLOOKUP(AW96,$U$5:$AJ$104,$AY$2,FALSE)</f>
        <v>#N/A</v>
      </c>
      <c r="AY96" s="93" t="e">
        <f>VLOOKUP(AW96,$U$5:$AJ$104,$AY$2+7,FALSE)</f>
        <v>#N/A</v>
      </c>
      <c r="AZ96" s="58" t="e">
        <f>VLOOKUP(AX96,$U$5:$AJ$104,$AY$2+11,FALSE)</f>
        <v>#N/A</v>
      </c>
      <c r="BB96" s="120">
        <v>92</v>
      </c>
      <c r="BC96" s="58" t="e">
        <f>VLOOKUP(BB96,$W$5:$AJ$104,$BD$2,FALSE)</f>
        <v>#N/A</v>
      </c>
      <c r="BD96" s="93" t="e">
        <f>VLOOKUP(BB96,$W$5:$AJ$104,$BD$2+5,FALSE)</f>
        <v>#N/A</v>
      </c>
      <c r="BE96" s="58" t="e">
        <f>VLOOKUP(BC96,$W$5:$AJ$104,$BD$2+10,FALSE)</f>
        <v>#N/A</v>
      </c>
      <c r="BF96" s="75"/>
      <c r="BG96" s="120">
        <v>92</v>
      </c>
      <c r="BH96" s="58" t="e">
        <f>VLOOKUP(BG96,$Y$5:$AJ$104,$BI$2,FALSE)</f>
        <v>#N/A</v>
      </c>
      <c r="BI96" s="93" t="e">
        <f>VLOOKUP(BG96,$Y$5:$AJ$104,$BI$2+3,FALSE)</f>
        <v>#N/A</v>
      </c>
      <c r="BJ96" s="58" t="e">
        <f>VLOOKUP(BH96,$Y$5:$AJ$104,$BI$2+9,FALSE)</f>
        <v>#N/A</v>
      </c>
      <c r="BL96" s="120">
        <v>92</v>
      </c>
      <c r="BM96" s="58" t="e">
        <f>VLOOKUP(BL96,$AA$5:$AJ$104,$BN$2,FALSE)</f>
        <v>#N/A</v>
      </c>
      <c r="BN96" s="93" t="e">
        <f>VLOOKUP(BL96,$AA$5:$AJ$104,$BN$2+1,FALSE)</f>
        <v>#N/A</v>
      </c>
      <c r="BO96" s="58" t="e">
        <f>VLOOKUP(BM96,$AA$5:$AJ$104,$BN$2+8,FALSE)</f>
        <v>#N/A</v>
      </c>
      <c r="BQ96" s="2" t="e">
        <f>'Eclectic C'!CD96</f>
        <v>#N/A</v>
      </c>
      <c r="BR96" s="6" t="e">
        <f>'Eclectic C'!CE96</f>
        <v>#N/A</v>
      </c>
      <c r="BS96" s="103" t="e">
        <f>'Eclectic C'!CF96</f>
        <v>#N/A</v>
      </c>
    </row>
    <row r="97" spans="1:71">
      <c r="A97" s="10" t="str">
        <f>IF(ISBLANK(Players!K95),"",Players!K95)</f>
        <v/>
      </c>
      <c r="B97" s="10" t="str">
        <f>IF(ISBLANK(Players!L95),"",Players!L95)</f>
        <v/>
      </c>
      <c r="C97" s="10" t="str">
        <f>IF(ISBLANK(Players!N95),"",Players!N95)</f>
        <v/>
      </c>
      <c r="D97" s="126" t="str">
        <f>IF(ISNUMBER(C97),MIN((C97*Rules!$N$14/113)+(Rules!$N$13-Rules!$N$12),Rules!$N$37),"-")</f>
        <v>-</v>
      </c>
      <c r="E97" s="126" t="str">
        <f>IF(ISNUMBER(C97),    ROUND( (D97*Rules!$N$11) / 100,0),"-")</f>
        <v>-</v>
      </c>
      <c r="F97" s="36" t="str">
        <f>IF(AND(ISNUMBER(C97),C97&gt;=Rules!$M$24,C97&lt;=Rules!$N$24),"Y","N")</f>
        <v>N</v>
      </c>
      <c r="G97" s="137" t="str">
        <f>'Eclectic C'!M97</f>
        <v>-</v>
      </c>
      <c r="H97" s="137" t="str">
        <f>'Eclectic C'!W97</f>
        <v>-</v>
      </c>
      <c r="I97" s="137" t="str">
        <f>'Eclectic C'!AJ97</f>
        <v>-</v>
      </c>
      <c r="J97" s="137" t="str">
        <f>'Eclectic C'!AT97</f>
        <v>-</v>
      </c>
      <c r="K97" s="14" t="str">
        <f t="shared" si="19"/>
        <v>-</v>
      </c>
      <c r="L97" s="14" t="str">
        <f t="shared" si="20"/>
        <v>-</v>
      </c>
      <c r="M97" s="14" t="str">
        <f t="shared" si="21"/>
        <v>-</v>
      </c>
      <c r="N97" s="14" t="str">
        <f t="shared" si="22"/>
        <v>-</v>
      </c>
      <c r="O97" s="14" t="str">
        <f t="shared" si="23"/>
        <v>-</v>
      </c>
      <c r="P97" s="14" t="str">
        <f t="shared" si="24"/>
        <v>-</v>
      </c>
      <c r="Q97" s="108" t="e">
        <f>RANK($K97,$K$5:$K$104,1)+COUNTIF(K$5:K97,K97)-1</f>
        <v>#VALUE!</v>
      </c>
      <c r="R97" s="108" t="e">
        <f t="shared" si="25"/>
        <v>#VALUE!</v>
      </c>
      <c r="S97" s="108" t="e">
        <f>RANK($L97,$L$5:$L$104,1)+COUNTIF(L$5:L97,L97)-1</f>
        <v>#VALUE!</v>
      </c>
      <c r="T97" s="108" t="e">
        <f t="shared" si="26"/>
        <v>#VALUE!</v>
      </c>
      <c r="U97" s="108" t="e">
        <f>RANK($M97,$M$5:$M$104,1)+COUNTIF(M$5:M97,M97)-1</f>
        <v>#VALUE!</v>
      </c>
      <c r="V97" s="108" t="e">
        <f t="shared" si="27"/>
        <v>#VALUE!</v>
      </c>
      <c r="W97" s="108" t="e">
        <f>RANK($N97,$N$5:$N$104,1)+COUNTIF(N$5:N97,N97)-1</f>
        <v>#VALUE!</v>
      </c>
      <c r="X97" s="108" t="e">
        <f t="shared" si="28"/>
        <v>#VALUE!</v>
      </c>
      <c r="Y97" s="108" t="e">
        <f>RANK($O97,$O$5:$O$104,1)+COUNTIF(O$5:O97,O97)-1</f>
        <v>#VALUE!</v>
      </c>
      <c r="Z97" s="108" t="e">
        <f t="shared" si="29"/>
        <v>#VALUE!</v>
      </c>
      <c r="AA97" s="108" t="e">
        <f>RANK($P97,$P$5:$P$104,1)+COUNTIF(P$5:P97,P97)-1</f>
        <v>#VALUE!</v>
      </c>
      <c r="AB97" s="108" t="e">
        <f t="shared" si="30"/>
        <v>#VALUE!</v>
      </c>
      <c r="AC97" s="59" t="str">
        <f t="shared" si="31"/>
        <v xml:space="preserve"> </v>
      </c>
      <c r="AD97" s="59" t="str">
        <f t="shared" si="32"/>
        <v>-</v>
      </c>
      <c r="AE97" s="119" t="str">
        <f t="shared" si="18"/>
        <v>-</v>
      </c>
      <c r="AF97" s="119" t="str">
        <f t="shared" si="18"/>
        <v>-</v>
      </c>
      <c r="AG97" s="119" t="str">
        <f t="shared" si="18"/>
        <v>-</v>
      </c>
      <c r="AH97" s="119" t="str">
        <f t="shared" si="17"/>
        <v>-</v>
      </c>
      <c r="AI97" s="119" t="str">
        <f t="shared" si="17"/>
        <v>-</v>
      </c>
      <c r="AJ97" s="119" t="str">
        <f t="shared" si="17"/>
        <v>-</v>
      </c>
      <c r="AM97" s="120">
        <v>93</v>
      </c>
      <c r="AN97" s="58" t="e">
        <f>VLOOKUP(AM97,Q$5:$AJ$104,$AO$2,FALSE)</f>
        <v>#N/A</v>
      </c>
      <c r="AO97" s="93" t="e">
        <f>VLOOKUP(AM97,Q$5:$AJ$104,$AO$2+11,FALSE)</f>
        <v>#N/A</v>
      </c>
      <c r="AP97" s="58" t="e">
        <f t="shared" si="33"/>
        <v>#N/A</v>
      </c>
      <c r="AR97" s="120">
        <v>93</v>
      </c>
      <c r="AS97" s="58" t="e">
        <f>VLOOKUP(AR97,$S$5:$AJ$104,$AT$2,FALSE)</f>
        <v>#N/A</v>
      </c>
      <c r="AT97" s="93" t="e">
        <f>VLOOKUP(AR97,$S$5:$AJ$104,$AT$2+9,FALSE)</f>
        <v>#N/A</v>
      </c>
      <c r="AU97" s="58" t="e">
        <f>VLOOKUP(AS97,$S$5:$AJ$104,$AT$2+12,FALSE)</f>
        <v>#N/A</v>
      </c>
      <c r="AV97" s="75"/>
      <c r="AW97" s="120">
        <v>93</v>
      </c>
      <c r="AX97" s="58" t="e">
        <f>VLOOKUP(AW97,$U$5:$AJ$104,$AY$2,FALSE)</f>
        <v>#N/A</v>
      </c>
      <c r="AY97" s="93" t="e">
        <f>VLOOKUP(AW97,$U$5:$AJ$104,$AY$2+7,FALSE)</f>
        <v>#N/A</v>
      </c>
      <c r="AZ97" s="58" t="e">
        <f>VLOOKUP(AX97,$U$5:$AJ$104,$AY$2+11,FALSE)</f>
        <v>#N/A</v>
      </c>
      <c r="BB97" s="120">
        <v>93</v>
      </c>
      <c r="BC97" s="58" t="e">
        <f>VLOOKUP(BB97,$W$5:$AJ$104,$BD$2,FALSE)</f>
        <v>#N/A</v>
      </c>
      <c r="BD97" s="93" t="e">
        <f>VLOOKUP(BB97,$W$5:$AJ$104,$BD$2+5,FALSE)</f>
        <v>#N/A</v>
      </c>
      <c r="BE97" s="58" t="e">
        <f>VLOOKUP(BC97,$W$5:$AJ$104,$BD$2+10,FALSE)</f>
        <v>#N/A</v>
      </c>
      <c r="BF97" s="75"/>
      <c r="BG97" s="120">
        <v>93</v>
      </c>
      <c r="BH97" s="58" t="e">
        <f>VLOOKUP(BG97,$Y$5:$AJ$104,$BI$2,FALSE)</f>
        <v>#N/A</v>
      </c>
      <c r="BI97" s="93" t="e">
        <f>VLOOKUP(BG97,$Y$5:$AJ$104,$BI$2+3,FALSE)</f>
        <v>#N/A</v>
      </c>
      <c r="BJ97" s="58" t="e">
        <f>VLOOKUP(BH97,$Y$5:$AJ$104,$BI$2+9,FALSE)</f>
        <v>#N/A</v>
      </c>
      <c r="BL97" s="120">
        <v>93</v>
      </c>
      <c r="BM97" s="58" t="e">
        <f>VLOOKUP(BL97,$AA$5:$AJ$104,$BN$2,FALSE)</f>
        <v>#N/A</v>
      </c>
      <c r="BN97" s="93" t="e">
        <f>VLOOKUP(BL97,$AA$5:$AJ$104,$BN$2+1,FALSE)</f>
        <v>#N/A</v>
      </c>
      <c r="BO97" s="58" t="e">
        <f>VLOOKUP(BM97,$AA$5:$AJ$104,$BN$2+8,FALSE)</f>
        <v>#N/A</v>
      </c>
      <c r="BQ97" s="2" t="e">
        <f>'Eclectic C'!CD97</f>
        <v>#N/A</v>
      </c>
      <c r="BR97" s="6" t="e">
        <f>'Eclectic C'!CE97</f>
        <v>#N/A</v>
      </c>
      <c r="BS97" s="103" t="e">
        <f>'Eclectic C'!CF97</f>
        <v>#N/A</v>
      </c>
    </row>
    <row r="98" spans="1:71">
      <c r="A98" s="10" t="str">
        <f>IF(ISBLANK(Players!K96),"",Players!K96)</f>
        <v/>
      </c>
      <c r="B98" s="10" t="str">
        <f>IF(ISBLANK(Players!L96),"",Players!L96)</f>
        <v/>
      </c>
      <c r="C98" s="10" t="str">
        <f>IF(ISBLANK(Players!N96),"",Players!N96)</f>
        <v/>
      </c>
      <c r="D98" s="126" t="str">
        <f>IF(ISNUMBER(C98),MIN((C98*Rules!$N$14/113)+(Rules!$N$13-Rules!$N$12),Rules!$N$37),"-")</f>
        <v>-</v>
      </c>
      <c r="E98" s="126" t="str">
        <f>IF(ISNUMBER(C98),    ROUND( (D98*Rules!$N$11) / 100,0),"-")</f>
        <v>-</v>
      </c>
      <c r="F98" s="36" t="str">
        <f>IF(AND(ISNUMBER(C98),C98&gt;=Rules!$M$24,C98&lt;=Rules!$N$24),"Y","N")</f>
        <v>N</v>
      </c>
      <c r="G98" s="137" t="str">
        <f>'Eclectic C'!M98</f>
        <v>-</v>
      </c>
      <c r="H98" s="137" t="str">
        <f>'Eclectic C'!W98</f>
        <v>-</v>
      </c>
      <c r="I98" s="137" t="str">
        <f>'Eclectic C'!AJ98</f>
        <v>-</v>
      </c>
      <c r="J98" s="137" t="str">
        <f>'Eclectic C'!AT98</f>
        <v>-</v>
      </c>
      <c r="K98" s="14" t="str">
        <f t="shared" si="19"/>
        <v>-</v>
      </c>
      <c r="L98" s="14" t="str">
        <f t="shared" si="20"/>
        <v>-</v>
      </c>
      <c r="M98" s="14" t="str">
        <f t="shared" si="21"/>
        <v>-</v>
      </c>
      <c r="N98" s="14" t="str">
        <f t="shared" si="22"/>
        <v>-</v>
      </c>
      <c r="O98" s="14" t="str">
        <f t="shared" si="23"/>
        <v>-</v>
      </c>
      <c r="P98" s="14" t="str">
        <f t="shared" si="24"/>
        <v>-</v>
      </c>
      <c r="Q98" s="108" t="e">
        <f>RANK($K98,$K$5:$K$104,1)+COUNTIF(K$5:K98,K98)-1</f>
        <v>#VALUE!</v>
      </c>
      <c r="R98" s="108" t="e">
        <f t="shared" si="25"/>
        <v>#VALUE!</v>
      </c>
      <c r="S98" s="108" t="e">
        <f>RANK($L98,$L$5:$L$104,1)+COUNTIF(L$5:L98,L98)-1</f>
        <v>#VALUE!</v>
      </c>
      <c r="T98" s="108" t="e">
        <f t="shared" si="26"/>
        <v>#VALUE!</v>
      </c>
      <c r="U98" s="108" t="e">
        <f>RANK($M98,$M$5:$M$104,1)+COUNTIF(M$5:M98,M98)-1</f>
        <v>#VALUE!</v>
      </c>
      <c r="V98" s="108" t="e">
        <f t="shared" si="27"/>
        <v>#VALUE!</v>
      </c>
      <c r="W98" s="108" t="e">
        <f>RANK($N98,$N$5:$N$104,1)+COUNTIF(N$5:N98,N98)-1</f>
        <v>#VALUE!</v>
      </c>
      <c r="X98" s="108" t="e">
        <f t="shared" si="28"/>
        <v>#VALUE!</v>
      </c>
      <c r="Y98" s="108" t="e">
        <f>RANK($O98,$O$5:$O$104,1)+COUNTIF(O$5:O98,O98)-1</f>
        <v>#VALUE!</v>
      </c>
      <c r="Z98" s="108" t="e">
        <f t="shared" si="29"/>
        <v>#VALUE!</v>
      </c>
      <c r="AA98" s="108" t="e">
        <f>RANK($P98,$P$5:$P$104,1)+COUNTIF(P$5:P98,P98)-1</f>
        <v>#VALUE!</v>
      </c>
      <c r="AB98" s="108" t="e">
        <f t="shared" si="30"/>
        <v>#VALUE!</v>
      </c>
      <c r="AC98" s="59" t="str">
        <f t="shared" si="31"/>
        <v xml:space="preserve"> </v>
      </c>
      <c r="AD98" s="59" t="str">
        <f t="shared" si="32"/>
        <v>-</v>
      </c>
      <c r="AE98" s="119" t="str">
        <f t="shared" si="18"/>
        <v>-</v>
      </c>
      <c r="AF98" s="119" t="str">
        <f t="shared" si="18"/>
        <v>-</v>
      </c>
      <c r="AG98" s="119" t="str">
        <f t="shared" si="18"/>
        <v>-</v>
      </c>
      <c r="AH98" s="119" t="str">
        <f t="shared" si="17"/>
        <v>-</v>
      </c>
      <c r="AI98" s="119" t="str">
        <f t="shared" si="17"/>
        <v>-</v>
      </c>
      <c r="AJ98" s="119" t="str">
        <f t="shared" si="17"/>
        <v>-</v>
      </c>
      <c r="AM98" s="120">
        <v>94</v>
      </c>
      <c r="AN98" s="58" t="e">
        <f>VLOOKUP(AM98,Q$5:$AJ$104,$AO$2,FALSE)</f>
        <v>#N/A</v>
      </c>
      <c r="AO98" s="93" t="e">
        <f>VLOOKUP(AM98,Q$5:$AJ$104,$AO$2+11,FALSE)</f>
        <v>#N/A</v>
      </c>
      <c r="AP98" s="58" t="e">
        <f t="shared" si="33"/>
        <v>#N/A</v>
      </c>
      <c r="AR98" s="120">
        <v>94</v>
      </c>
      <c r="AS98" s="58" t="e">
        <f>VLOOKUP(AR98,$S$5:$AJ$104,$AT$2,FALSE)</f>
        <v>#N/A</v>
      </c>
      <c r="AT98" s="93" t="e">
        <f>VLOOKUP(AR98,$S$5:$AJ$104,$AT$2+9,FALSE)</f>
        <v>#N/A</v>
      </c>
      <c r="AU98" s="58" t="e">
        <f>VLOOKUP(AS98,$S$5:$AJ$104,$AT$2+12,FALSE)</f>
        <v>#N/A</v>
      </c>
      <c r="AV98" s="75"/>
      <c r="AW98" s="120">
        <v>94</v>
      </c>
      <c r="AX98" s="58" t="e">
        <f>VLOOKUP(AW98,$U$5:$AJ$104,$AY$2,FALSE)</f>
        <v>#N/A</v>
      </c>
      <c r="AY98" s="93" t="e">
        <f>VLOOKUP(AW98,$U$5:$AJ$104,$AY$2+7,FALSE)</f>
        <v>#N/A</v>
      </c>
      <c r="AZ98" s="58" t="e">
        <f>VLOOKUP(AX98,$U$5:$AJ$104,$AY$2+11,FALSE)</f>
        <v>#N/A</v>
      </c>
      <c r="BB98" s="120">
        <v>94</v>
      </c>
      <c r="BC98" s="58" t="e">
        <f>VLOOKUP(BB98,$W$5:$AJ$104,$BD$2,FALSE)</f>
        <v>#N/A</v>
      </c>
      <c r="BD98" s="93" t="e">
        <f>VLOOKUP(BB98,$W$5:$AJ$104,$BD$2+5,FALSE)</f>
        <v>#N/A</v>
      </c>
      <c r="BE98" s="58" t="e">
        <f>VLOOKUP(BC98,$W$5:$AJ$104,$BD$2+10,FALSE)</f>
        <v>#N/A</v>
      </c>
      <c r="BF98" s="75"/>
      <c r="BG98" s="120">
        <v>94</v>
      </c>
      <c r="BH98" s="58" t="e">
        <f>VLOOKUP(BG98,$Y$5:$AJ$104,$BI$2,FALSE)</f>
        <v>#N/A</v>
      </c>
      <c r="BI98" s="93" t="e">
        <f>VLOOKUP(BG98,$Y$5:$AJ$104,$BI$2+3,FALSE)</f>
        <v>#N/A</v>
      </c>
      <c r="BJ98" s="58" t="e">
        <f>VLOOKUP(BH98,$Y$5:$AJ$104,$BI$2+9,FALSE)</f>
        <v>#N/A</v>
      </c>
      <c r="BL98" s="120">
        <v>94</v>
      </c>
      <c r="BM98" s="58" t="e">
        <f>VLOOKUP(BL98,$AA$5:$AJ$104,$BN$2,FALSE)</f>
        <v>#N/A</v>
      </c>
      <c r="BN98" s="93" t="e">
        <f>VLOOKUP(BL98,$AA$5:$AJ$104,$BN$2+1,FALSE)</f>
        <v>#N/A</v>
      </c>
      <c r="BO98" s="58" t="e">
        <f>VLOOKUP(BM98,$AA$5:$AJ$104,$BN$2+8,FALSE)</f>
        <v>#N/A</v>
      </c>
      <c r="BQ98" s="2" t="e">
        <f>'Eclectic C'!CD98</f>
        <v>#N/A</v>
      </c>
      <c r="BR98" s="6" t="e">
        <f>'Eclectic C'!CE98</f>
        <v>#N/A</v>
      </c>
      <c r="BS98" s="103" t="e">
        <f>'Eclectic C'!CF98</f>
        <v>#N/A</v>
      </c>
    </row>
    <row r="99" spans="1:71">
      <c r="A99" s="10" t="str">
        <f>IF(ISBLANK(Players!K97),"",Players!K97)</f>
        <v/>
      </c>
      <c r="B99" s="10" t="str">
        <f>IF(ISBLANK(Players!L97),"",Players!L97)</f>
        <v/>
      </c>
      <c r="C99" s="10" t="str">
        <f>IF(ISBLANK(Players!N97),"",Players!N97)</f>
        <v/>
      </c>
      <c r="D99" s="126" t="str">
        <f>IF(ISNUMBER(C99),MIN((C99*Rules!$N$14/113)+(Rules!$N$13-Rules!$N$12),Rules!$N$37),"-")</f>
        <v>-</v>
      </c>
      <c r="E99" s="126" t="str">
        <f>IF(ISNUMBER(C99),    ROUND( (D99*Rules!$N$11) / 100,0),"-")</f>
        <v>-</v>
      </c>
      <c r="F99" s="36" t="str">
        <f>IF(AND(ISNUMBER(C99),C99&gt;=Rules!$M$24,C99&lt;=Rules!$N$24),"Y","N")</f>
        <v>N</v>
      </c>
      <c r="G99" s="137" t="str">
        <f>'Eclectic C'!M99</f>
        <v>-</v>
      </c>
      <c r="H99" s="137" t="str">
        <f>'Eclectic C'!W99</f>
        <v>-</v>
      </c>
      <c r="I99" s="137" t="str">
        <f>'Eclectic C'!AJ99</f>
        <v>-</v>
      </c>
      <c r="J99" s="137" t="str">
        <f>'Eclectic C'!AT99</f>
        <v>-</v>
      </c>
      <c r="K99" s="14" t="str">
        <f t="shared" si="19"/>
        <v>-</v>
      </c>
      <c r="L99" s="14" t="str">
        <f t="shared" si="20"/>
        <v>-</v>
      </c>
      <c r="M99" s="14" t="str">
        <f t="shared" si="21"/>
        <v>-</v>
      </c>
      <c r="N99" s="14" t="str">
        <f t="shared" si="22"/>
        <v>-</v>
      </c>
      <c r="O99" s="14" t="str">
        <f t="shared" si="23"/>
        <v>-</v>
      </c>
      <c r="P99" s="14" t="str">
        <f t="shared" si="24"/>
        <v>-</v>
      </c>
      <c r="Q99" s="108" t="e">
        <f>RANK($K99,$K$5:$K$104,1)+COUNTIF(K$5:K99,K99)-1</f>
        <v>#VALUE!</v>
      </c>
      <c r="R99" s="108" t="e">
        <f t="shared" si="25"/>
        <v>#VALUE!</v>
      </c>
      <c r="S99" s="108" t="e">
        <f>RANK($L99,$L$5:$L$104,1)+COUNTIF(L$5:L99,L99)-1</f>
        <v>#VALUE!</v>
      </c>
      <c r="T99" s="108" t="e">
        <f t="shared" si="26"/>
        <v>#VALUE!</v>
      </c>
      <c r="U99" s="108" t="e">
        <f>RANK($M99,$M$5:$M$104,1)+COUNTIF(M$5:M99,M99)-1</f>
        <v>#VALUE!</v>
      </c>
      <c r="V99" s="108" t="e">
        <f t="shared" si="27"/>
        <v>#VALUE!</v>
      </c>
      <c r="W99" s="108" t="e">
        <f>RANK($N99,$N$5:$N$104,1)+COUNTIF(N$5:N99,N99)-1</f>
        <v>#VALUE!</v>
      </c>
      <c r="X99" s="108" t="e">
        <f t="shared" si="28"/>
        <v>#VALUE!</v>
      </c>
      <c r="Y99" s="108" t="e">
        <f>RANK($O99,$O$5:$O$104,1)+COUNTIF(O$5:O99,O99)-1</f>
        <v>#VALUE!</v>
      </c>
      <c r="Z99" s="108" t="e">
        <f t="shared" si="29"/>
        <v>#VALUE!</v>
      </c>
      <c r="AA99" s="108" t="e">
        <f>RANK($P99,$P$5:$P$104,1)+COUNTIF(P$5:P99,P99)-1</f>
        <v>#VALUE!</v>
      </c>
      <c r="AB99" s="108" t="e">
        <f t="shared" si="30"/>
        <v>#VALUE!</v>
      </c>
      <c r="AC99" s="59" t="str">
        <f t="shared" si="31"/>
        <v xml:space="preserve"> </v>
      </c>
      <c r="AD99" s="59" t="str">
        <f t="shared" si="32"/>
        <v>-</v>
      </c>
      <c r="AE99" s="119" t="str">
        <f t="shared" si="18"/>
        <v>-</v>
      </c>
      <c r="AF99" s="119" t="str">
        <f t="shared" si="18"/>
        <v>-</v>
      </c>
      <c r="AG99" s="119" t="str">
        <f t="shared" si="18"/>
        <v>-</v>
      </c>
      <c r="AH99" s="119" t="str">
        <f t="shared" si="17"/>
        <v>-</v>
      </c>
      <c r="AI99" s="119" t="str">
        <f t="shared" si="17"/>
        <v>-</v>
      </c>
      <c r="AJ99" s="119" t="str">
        <f t="shared" si="17"/>
        <v>-</v>
      </c>
      <c r="AM99" s="120">
        <v>95</v>
      </c>
      <c r="AN99" s="58" t="e">
        <f>VLOOKUP(AM99,Q$5:$AJ$104,$AO$2,FALSE)</f>
        <v>#N/A</v>
      </c>
      <c r="AO99" s="93" t="e">
        <f>VLOOKUP(AM99,Q$5:$AJ$104,$AO$2+11,FALSE)</f>
        <v>#N/A</v>
      </c>
      <c r="AP99" s="58" t="e">
        <f t="shared" si="33"/>
        <v>#N/A</v>
      </c>
      <c r="AR99" s="120">
        <v>95</v>
      </c>
      <c r="AS99" s="58" t="e">
        <f>VLOOKUP(AR99,$S$5:$AJ$104,$AT$2,FALSE)</f>
        <v>#N/A</v>
      </c>
      <c r="AT99" s="93" t="e">
        <f>VLOOKUP(AR99,$S$5:$AJ$104,$AT$2+9,FALSE)</f>
        <v>#N/A</v>
      </c>
      <c r="AU99" s="58" t="e">
        <f>VLOOKUP(AS99,$S$5:$AJ$104,$AT$2+12,FALSE)</f>
        <v>#N/A</v>
      </c>
      <c r="AW99" s="120">
        <v>95</v>
      </c>
      <c r="AX99" s="58" t="e">
        <f>VLOOKUP(AW99,$U$5:$AJ$104,$AY$2,FALSE)</f>
        <v>#N/A</v>
      </c>
      <c r="AY99" s="93" t="e">
        <f>VLOOKUP(AW99,$U$5:$AJ$104,$AY$2+7,FALSE)</f>
        <v>#N/A</v>
      </c>
      <c r="AZ99" s="58" t="e">
        <f>VLOOKUP(AX99,$U$5:$AJ$104,$AY$2+11,FALSE)</f>
        <v>#N/A</v>
      </c>
      <c r="BB99" s="120">
        <v>95</v>
      </c>
      <c r="BC99" s="58" t="e">
        <f>VLOOKUP(BB99,$W$5:$AJ$104,$BD$2,FALSE)</f>
        <v>#N/A</v>
      </c>
      <c r="BD99" s="93" t="e">
        <f>VLOOKUP(BB99,$W$5:$AJ$104,$BD$2+5,FALSE)</f>
        <v>#N/A</v>
      </c>
      <c r="BE99" s="58" t="e">
        <f>VLOOKUP(BC99,$W$5:$AJ$104,$BD$2+10,FALSE)</f>
        <v>#N/A</v>
      </c>
      <c r="BG99" s="120">
        <v>95</v>
      </c>
      <c r="BH99" s="58" t="e">
        <f>VLOOKUP(BG99,$Y$5:$AJ$104,$BI$2,FALSE)</f>
        <v>#N/A</v>
      </c>
      <c r="BI99" s="93" t="e">
        <f>VLOOKUP(BG99,$Y$5:$AJ$104,$BI$2+3,FALSE)</f>
        <v>#N/A</v>
      </c>
      <c r="BJ99" s="58" t="e">
        <f>VLOOKUP(BH99,$Y$5:$AJ$104,$BI$2+9,FALSE)</f>
        <v>#N/A</v>
      </c>
      <c r="BL99" s="120">
        <v>95</v>
      </c>
      <c r="BM99" s="58" t="e">
        <f>VLOOKUP(BL99,$AA$5:$AJ$104,$BN$2,FALSE)</f>
        <v>#N/A</v>
      </c>
      <c r="BN99" s="93" t="e">
        <f>VLOOKUP(BL99,$AA$5:$AJ$104,$BN$2+1,FALSE)</f>
        <v>#N/A</v>
      </c>
      <c r="BO99" s="58" t="e">
        <f>VLOOKUP(BM99,$AA$5:$AJ$104,$BN$2+8,FALSE)</f>
        <v>#N/A</v>
      </c>
      <c r="BQ99" s="2" t="e">
        <f>'Eclectic C'!CD99</f>
        <v>#N/A</v>
      </c>
      <c r="BR99" s="6" t="e">
        <f>'Eclectic C'!CE99</f>
        <v>#N/A</v>
      </c>
      <c r="BS99" s="103" t="e">
        <f>'Eclectic C'!CF99</f>
        <v>#N/A</v>
      </c>
    </row>
    <row r="100" spans="1:71">
      <c r="A100" s="10" t="str">
        <f>IF(ISBLANK(Players!K98),"",Players!K98)</f>
        <v/>
      </c>
      <c r="B100" s="10" t="str">
        <f>IF(ISBLANK(Players!L98),"",Players!L98)</f>
        <v/>
      </c>
      <c r="C100" s="10" t="str">
        <f>IF(ISBLANK(Players!N98),"",Players!N98)</f>
        <v/>
      </c>
      <c r="D100" s="126" t="str">
        <f>IF(ISNUMBER(C100),MIN((C100*Rules!$N$14/113)+(Rules!$N$13-Rules!$N$12),Rules!$N$37),"-")</f>
        <v>-</v>
      </c>
      <c r="E100" s="126" t="str">
        <f>IF(ISNUMBER(C100),    ROUND( (D100*Rules!$N$11) / 100,0),"-")</f>
        <v>-</v>
      </c>
      <c r="F100" s="36" t="str">
        <f>IF(AND(ISNUMBER(C100),C100&gt;=Rules!$M$24,C100&lt;=Rules!$N$24),"Y","N")</f>
        <v>N</v>
      </c>
      <c r="G100" s="137" t="str">
        <f>'Eclectic C'!M100</f>
        <v>-</v>
      </c>
      <c r="H100" s="137" t="str">
        <f>'Eclectic C'!W100</f>
        <v>-</v>
      </c>
      <c r="I100" s="137" t="str">
        <f>'Eclectic C'!AJ100</f>
        <v>-</v>
      </c>
      <c r="J100" s="137" t="str">
        <f>'Eclectic C'!AT100</f>
        <v>-</v>
      </c>
      <c r="K100" s="14" t="str">
        <f t="shared" si="19"/>
        <v>-</v>
      </c>
      <c r="L100" s="14" t="str">
        <f t="shared" si="20"/>
        <v>-</v>
      </c>
      <c r="M100" s="14" t="str">
        <f t="shared" si="21"/>
        <v>-</v>
      </c>
      <c r="N100" s="14" t="str">
        <f t="shared" si="22"/>
        <v>-</v>
      </c>
      <c r="O100" s="14" t="str">
        <f t="shared" si="23"/>
        <v>-</v>
      </c>
      <c r="P100" s="14" t="str">
        <f t="shared" si="24"/>
        <v>-</v>
      </c>
      <c r="Q100" s="108" t="e">
        <f>RANK($K100,$K$5:$K$104,1)+COUNTIF(K$5:K100,K100)-1</f>
        <v>#VALUE!</v>
      </c>
      <c r="R100" s="108" t="e">
        <f t="shared" si="25"/>
        <v>#VALUE!</v>
      </c>
      <c r="S100" s="108" t="e">
        <f>RANK($L100,$L$5:$L$104,1)+COUNTIF(L$5:L100,L100)-1</f>
        <v>#VALUE!</v>
      </c>
      <c r="T100" s="108" t="e">
        <f t="shared" si="26"/>
        <v>#VALUE!</v>
      </c>
      <c r="U100" s="108" t="e">
        <f>RANK($M100,$M$5:$M$104,1)+COUNTIF(M$5:M100,M100)-1</f>
        <v>#VALUE!</v>
      </c>
      <c r="V100" s="108" t="e">
        <f t="shared" si="27"/>
        <v>#VALUE!</v>
      </c>
      <c r="W100" s="108" t="e">
        <f>RANK($N100,$N$5:$N$104,1)+COUNTIF(N$5:N100,N100)-1</f>
        <v>#VALUE!</v>
      </c>
      <c r="X100" s="108" t="e">
        <f t="shared" si="28"/>
        <v>#VALUE!</v>
      </c>
      <c r="Y100" s="108" t="e">
        <f>RANK($O100,$O$5:$O$104,1)+COUNTIF(O$5:O100,O100)-1</f>
        <v>#VALUE!</v>
      </c>
      <c r="Z100" s="108" t="e">
        <f t="shared" si="29"/>
        <v>#VALUE!</v>
      </c>
      <c r="AA100" s="108" t="e">
        <f>RANK($P100,$P$5:$P$104,1)+COUNTIF(P$5:P100,P100)-1</f>
        <v>#VALUE!</v>
      </c>
      <c r="AB100" s="108" t="e">
        <f t="shared" si="30"/>
        <v>#VALUE!</v>
      </c>
      <c r="AC100" s="59" t="str">
        <f t="shared" si="31"/>
        <v xml:space="preserve"> </v>
      </c>
      <c r="AD100" s="59" t="str">
        <f t="shared" si="32"/>
        <v>-</v>
      </c>
      <c r="AE100" s="119" t="str">
        <f t="shared" si="18"/>
        <v>-</v>
      </c>
      <c r="AF100" s="119" t="str">
        <f t="shared" si="18"/>
        <v>-</v>
      </c>
      <c r="AG100" s="119" t="str">
        <f t="shared" si="18"/>
        <v>-</v>
      </c>
      <c r="AH100" s="119" t="str">
        <f t="shared" si="17"/>
        <v>-</v>
      </c>
      <c r="AI100" s="119" t="str">
        <f t="shared" si="17"/>
        <v>-</v>
      </c>
      <c r="AJ100" s="119" t="str">
        <f t="shared" si="17"/>
        <v>-</v>
      </c>
      <c r="AM100" s="120">
        <v>96</v>
      </c>
      <c r="AN100" s="58" t="e">
        <f>VLOOKUP(AM100,Q$5:$AJ$104,$AO$2,FALSE)</f>
        <v>#N/A</v>
      </c>
      <c r="AO100" s="93" t="e">
        <f>VLOOKUP(AM100,Q$5:$AJ$104,$AO$2+11,FALSE)</f>
        <v>#N/A</v>
      </c>
      <c r="AP100" s="58" t="e">
        <f t="shared" si="33"/>
        <v>#N/A</v>
      </c>
      <c r="AR100" s="120">
        <v>96</v>
      </c>
      <c r="AS100" s="58" t="e">
        <f>VLOOKUP(AR100,$S$5:$AJ$104,$AT$2,FALSE)</f>
        <v>#N/A</v>
      </c>
      <c r="AT100" s="93" t="e">
        <f>VLOOKUP(AR100,$S$5:$AJ$104,$AT$2+9,FALSE)</f>
        <v>#N/A</v>
      </c>
      <c r="AU100" s="58" t="e">
        <f>VLOOKUP(AS100,$S$5:$AJ$104,$AT$2+12,FALSE)</f>
        <v>#N/A</v>
      </c>
      <c r="AW100" s="120">
        <v>96</v>
      </c>
      <c r="AX100" s="58" t="e">
        <f>VLOOKUP(AW100,$U$5:$AJ$104,$AY$2,FALSE)</f>
        <v>#N/A</v>
      </c>
      <c r="AY100" s="93" t="e">
        <f>VLOOKUP(AW100,$U$5:$AJ$104,$AY$2+7,FALSE)</f>
        <v>#N/A</v>
      </c>
      <c r="AZ100" s="58" t="e">
        <f>VLOOKUP(AX100,$U$5:$AJ$104,$AY$2+11,FALSE)</f>
        <v>#N/A</v>
      </c>
      <c r="BB100" s="120">
        <v>96</v>
      </c>
      <c r="BC100" s="58" t="e">
        <f>VLOOKUP(BB100,$W$5:$AJ$104,$BD$2,FALSE)</f>
        <v>#N/A</v>
      </c>
      <c r="BD100" s="93" t="e">
        <f>VLOOKUP(BB100,$W$5:$AJ$104,$BD$2+5,FALSE)</f>
        <v>#N/A</v>
      </c>
      <c r="BE100" s="58" t="e">
        <f>VLOOKUP(BC100,$W$5:$AJ$104,$BD$2+10,FALSE)</f>
        <v>#N/A</v>
      </c>
      <c r="BG100" s="120">
        <v>96</v>
      </c>
      <c r="BH100" s="58" t="e">
        <f>VLOOKUP(BG100,$Y$5:$AJ$104,$BI$2,FALSE)</f>
        <v>#N/A</v>
      </c>
      <c r="BI100" s="93" t="e">
        <f>VLOOKUP(BG100,$Y$5:$AJ$104,$BI$2+3,FALSE)</f>
        <v>#N/A</v>
      </c>
      <c r="BJ100" s="58" t="e">
        <f>VLOOKUP(BH100,$Y$5:$AJ$104,$BI$2+9,FALSE)</f>
        <v>#N/A</v>
      </c>
      <c r="BL100" s="120">
        <v>96</v>
      </c>
      <c r="BM100" s="58" t="e">
        <f>VLOOKUP(BL100,$AA$5:$AJ$104,$BN$2,FALSE)</f>
        <v>#N/A</v>
      </c>
      <c r="BN100" s="93" t="e">
        <f>VLOOKUP(BL100,$AA$5:$AJ$104,$BN$2+1,FALSE)</f>
        <v>#N/A</v>
      </c>
      <c r="BO100" s="58" t="e">
        <f>VLOOKUP(BM100,$AA$5:$AJ$104,$BN$2+8,FALSE)</f>
        <v>#N/A</v>
      </c>
      <c r="BQ100" s="2" t="e">
        <f>'Eclectic C'!CD100</f>
        <v>#N/A</v>
      </c>
      <c r="BR100" s="6" t="e">
        <f>'Eclectic C'!CE100</f>
        <v>#N/A</v>
      </c>
      <c r="BS100" s="103" t="e">
        <f>'Eclectic C'!CF100</f>
        <v>#N/A</v>
      </c>
    </row>
    <row r="101" spans="1:71">
      <c r="A101" s="10" t="str">
        <f>IF(ISBLANK(Players!K99),"",Players!K99)</f>
        <v/>
      </c>
      <c r="B101" s="10" t="str">
        <f>IF(ISBLANK(Players!L99),"",Players!L99)</f>
        <v/>
      </c>
      <c r="C101" s="10" t="str">
        <f>IF(ISBLANK(Players!N99),"",Players!N99)</f>
        <v/>
      </c>
      <c r="D101" s="126" t="str">
        <f>IF(ISNUMBER(C101),MIN((C101*Rules!$N$14/113)+(Rules!$N$13-Rules!$N$12),Rules!$N$37),"-")</f>
        <v>-</v>
      </c>
      <c r="E101" s="126" t="str">
        <f>IF(ISNUMBER(C101),    ROUND( (D101*Rules!$N$11) / 100,0),"-")</f>
        <v>-</v>
      </c>
      <c r="F101" s="36" t="str">
        <f>IF(AND(ISNUMBER(C101),C101&gt;=Rules!$M$24,C101&lt;=Rules!$N$24),"Y","N")</f>
        <v>N</v>
      </c>
      <c r="G101" s="137" t="str">
        <f>'Eclectic C'!M101</f>
        <v>-</v>
      </c>
      <c r="H101" s="137" t="str">
        <f>'Eclectic C'!W101</f>
        <v>-</v>
      </c>
      <c r="I101" s="137" t="str">
        <f>'Eclectic C'!AJ101</f>
        <v>-</v>
      </c>
      <c r="J101" s="137" t="str">
        <f>'Eclectic C'!AT101</f>
        <v>-</v>
      </c>
      <c r="K101" s="14" t="str">
        <f t="shared" si="19"/>
        <v>-</v>
      </c>
      <c r="L101" s="14" t="str">
        <f t="shared" si="20"/>
        <v>-</v>
      </c>
      <c r="M101" s="14" t="str">
        <f t="shared" si="21"/>
        <v>-</v>
      </c>
      <c r="N101" s="14" t="str">
        <f t="shared" si="22"/>
        <v>-</v>
      </c>
      <c r="O101" s="14" t="str">
        <f t="shared" si="23"/>
        <v>-</v>
      </c>
      <c r="P101" s="14" t="str">
        <f t="shared" si="24"/>
        <v>-</v>
      </c>
      <c r="Q101" s="108" t="e">
        <f>RANK($K101,$K$5:$K$104,1)+COUNTIF(K$5:K101,K101)-1</f>
        <v>#VALUE!</v>
      </c>
      <c r="R101" s="108" t="e">
        <f t="shared" si="25"/>
        <v>#VALUE!</v>
      </c>
      <c r="S101" s="108" t="e">
        <f>RANK($L101,$L$5:$L$104,1)+COUNTIF(L$5:L101,L101)-1</f>
        <v>#VALUE!</v>
      </c>
      <c r="T101" s="108" t="e">
        <f t="shared" si="26"/>
        <v>#VALUE!</v>
      </c>
      <c r="U101" s="108" t="e">
        <f>RANK($M101,$M$5:$M$104,1)+COUNTIF(M$5:M101,M101)-1</f>
        <v>#VALUE!</v>
      </c>
      <c r="V101" s="108" t="e">
        <f t="shared" si="27"/>
        <v>#VALUE!</v>
      </c>
      <c r="W101" s="108" t="e">
        <f>RANK($N101,$N$5:$N$104,1)+COUNTIF(N$5:N101,N101)-1</f>
        <v>#VALUE!</v>
      </c>
      <c r="X101" s="108" t="e">
        <f t="shared" si="28"/>
        <v>#VALUE!</v>
      </c>
      <c r="Y101" s="108" t="e">
        <f>RANK($O101,$O$5:$O$104,1)+COUNTIF(O$5:O101,O101)-1</f>
        <v>#VALUE!</v>
      </c>
      <c r="Z101" s="108" t="e">
        <f t="shared" si="29"/>
        <v>#VALUE!</v>
      </c>
      <c r="AA101" s="108" t="e">
        <f>RANK($P101,$P$5:$P$104,1)+COUNTIF(P$5:P101,P101)-1</f>
        <v>#VALUE!</v>
      </c>
      <c r="AB101" s="108" t="e">
        <f t="shared" si="30"/>
        <v>#VALUE!</v>
      </c>
      <c r="AC101" s="59" t="str">
        <f t="shared" si="31"/>
        <v xml:space="preserve"> </v>
      </c>
      <c r="AD101" s="59" t="str">
        <f t="shared" si="32"/>
        <v>-</v>
      </c>
      <c r="AE101" s="119" t="str">
        <f t="shared" si="18"/>
        <v>-</v>
      </c>
      <c r="AF101" s="119" t="str">
        <f t="shared" si="18"/>
        <v>-</v>
      </c>
      <c r="AG101" s="119" t="str">
        <f t="shared" si="18"/>
        <v>-</v>
      </c>
      <c r="AH101" s="119" t="str">
        <f t="shared" si="17"/>
        <v>-</v>
      </c>
      <c r="AI101" s="119" t="str">
        <f t="shared" si="17"/>
        <v>-</v>
      </c>
      <c r="AJ101" s="119" t="str">
        <f t="shared" si="17"/>
        <v>-</v>
      </c>
      <c r="AM101" s="120">
        <v>97</v>
      </c>
      <c r="AN101" s="58" t="e">
        <f>VLOOKUP(AM101,Q$5:$AJ$104,$AO$2,FALSE)</f>
        <v>#N/A</v>
      </c>
      <c r="AO101" s="93" t="e">
        <f>VLOOKUP(AM101,Q$5:$AJ$104,$AO$2+11,FALSE)</f>
        <v>#N/A</v>
      </c>
      <c r="AP101" s="58" t="e">
        <f t="shared" si="33"/>
        <v>#N/A</v>
      </c>
      <c r="AR101" s="120">
        <v>97</v>
      </c>
      <c r="AS101" s="58" t="e">
        <f>VLOOKUP(AR101,$S$5:$AJ$104,$AT$2,FALSE)</f>
        <v>#N/A</v>
      </c>
      <c r="AT101" s="93" t="e">
        <f>VLOOKUP(AR101,$S$5:$AJ$104,$AT$2+9,FALSE)</f>
        <v>#N/A</v>
      </c>
      <c r="AU101" s="58" t="e">
        <f>VLOOKUP(AS101,$S$5:$AJ$104,$AT$2+12,FALSE)</f>
        <v>#N/A</v>
      </c>
      <c r="AW101" s="120">
        <v>97</v>
      </c>
      <c r="AX101" s="58" t="e">
        <f>VLOOKUP(AW101,$U$5:$AJ$104,$AY$2,FALSE)</f>
        <v>#N/A</v>
      </c>
      <c r="AY101" s="93" t="e">
        <f>VLOOKUP(AW101,$U$5:$AJ$104,$AY$2+7,FALSE)</f>
        <v>#N/A</v>
      </c>
      <c r="AZ101" s="58" t="e">
        <f>VLOOKUP(AX101,$U$5:$AJ$104,$AY$2+11,FALSE)</f>
        <v>#N/A</v>
      </c>
      <c r="BB101" s="120">
        <v>97</v>
      </c>
      <c r="BC101" s="58" t="e">
        <f>VLOOKUP(BB101,$W$5:$AJ$104,$BD$2,FALSE)</f>
        <v>#N/A</v>
      </c>
      <c r="BD101" s="93" t="e">
        <f>VLOOKUP(BB101,$W$5:$AJ$104,$BD$2+5,FALSE)</f>
        <v>#N/A</v>
      </c>
      <c r="BE101" s="58" t="e">
        <f>VLOOKUP(BC101,$W$5:$AJ$104,$BD$2+10,FALSE)</f>
        <v>#N/A</v>
      </c>
      <c r="BG101" s="120">
        <v>97</v>
      </c>
      <c r="BH101" s="58" t="e">
        <f>VLOOKUP(BG101,$Y$5:$AJ$104,$BI$2,FALSE)</f>
        <v>#N/A</v>
      </c>
      <c r="BI101" s="93" t="e">
        <f>VLOOKUP(BG101,$Y$5:$AJ$104,$BI$2+3,FALSE)</f>
        <v>#N/A</v>
      </c>
      <c r="BJ101" s="58" t="e">
        <f>VLOOKUP(BH101,$Y$5:$AJ$104,$BI$2+9,FALSE)</f>
        <v>#N/A</v>
      </c>
      <c r="BL101" s="120">
        <v>97</v>
      </c>
      <c r="BM101" s="58" t="e">
        <f>VLOOKUP(BL101,$AA$5:$AJ$104,$BN$2,FALSE)</f>
        <v>#N/A</v>
      </c>
      <c r="BN101" s="93" t="e">
        <f>VLOOKUP(BL101,$AA$5:$AJ$104,$BN$2+1,FALSE)</f>
        <v>#N/A</v>
      </c>
      <c r="BO101" s="58" t="e">
        <f>VLOOKUP(BM101,$AA$5:$AJ$104,$BN$2+8,FALSE)</f>
        <v>#N/A</v>
      </c>
      <c r="BQ101" s="2" t="e">
        <f>'Eclectic C'!CD101</f>
        <v>#N/A</v>
      </c>
      <c r="BR101" s="6" t="e">
        <f>'Eclectic C'!CE101</f>
        <v>#N/A</v>
      </c>
      <c r="BS101" s="103" t="e">
        <f>'Eclectic C'!CF101</f>
        <v>#N/A</v>
      </c>
    </row>
    <row r="102" spans="1:71">
      <c r="A102" s="10" t="str">
        <f>IF(ISBLANK(Players!K100),"",Players!K100)</f>
        <v/>
      </c>
      <c r="B102" s="10" t="str">
        <f>IF(ISBLANK(Players!L100),"",Players!L100)</f>
        <v/>
      </c>
      <c r="C102" s="10" t="str">
        <f>IF(ISBLANK(Players!N100),"",Players!N100)</f>
        <v/>
      </c>
      <c r="D102" s="126" t="str">
        <f>IF(ISNUMBER(C102),MIN((C102*Rules!$N$14/113)+(Rules!$N$13-Rules!$N$12),Rules!$N$37),"-")</f>
        <v>-</v>
      </c>
      <c r="E102" s="126" t="str">
        <f>IF(ISNUMBER(C102),    ROUND( (D102*Rules!$N$11) / 100,0),"-")</f>
        <v>-</v>
      </c>
      <c r="F102" s="36" t="str">
        <f>IF(AND(ISNUMBER(C102),C102&gt;=Rules!$M$24,C102&lt;=Rules!$N$24),"Y","N")</f>
        <v>N</v>
      </c>
      <c r="G102" s="137" t="str">
        <f>'Eclectic C'!M102</f>
        <v>-</v>
      </c>
      <c r="H102" s="137" t="str">
        <f>'Eclectic C'!W102</f>
        <v>-</v>
      </c>
      <c r="I102" s="137" t="str">
        <f>'Eclectic C'!AJ102</f>
        <v>-</v>
      </c>
      <c r="J102" s="137" t="str">
        <f>'Eclectic C'!AT102</f>
        <v>-</v>
      </c>
      <c r="K102" s="14" t="str">
        <f t="shared" si="19"/>
        <v>-</v>
      </c>
      <c r="L102" s="14" t="str">
        <f t="shared" si="20"/>
        <v>-</v>
      </c>
      <c r="M102" s="14" t="str">
        <f t="shared" si="21"/>
        <v>-</v>
      </c>
      <c r="N102" s="14" t="str">
        <f t="shared" si="22"/>
        <v>-</v>
      </c>
      <c r="O102" s="14" t="str">
        <f t="shared" si="23"/>
        <v>-</v>
      </c>
      <c r="P102" s="14" t="str">
        <f t="shared" si="24"/>
        <v>-</v>
      </c>
      <c r="Q102" s="108" t="e">
        <f>RANK($K102,$K$5:$K$104,1)+COUNTIF(K$5:K102,K102)-1</f>
        <v>#VALUE!</v>
      </c>
      <c r="R102" s="108" t="e">
        <f t="shared" si="25"/>
        <v>#VALUE!</v>
      </c>
      <c r="S102" s="108" t="e">
        <f>RANK($L102,$L$5:$L$104,1)+COUNTIF(L$5:L102,L102)-1</f>
        <v>#VALUE!</v>
      </c>
      <c r="T102" s="108" t="e">
        <f t="shared" si="26"/>
        <v>#VALUE!</v>
      </c>
      <c r="U102" s="108" t="e">
        <f>RANK($M102,$M$5:$M$104,1)+COUNTIF(M$5:M102,M102)-1</f>
        <v>#VALUE!</v>
      </c>
      <c r="V102" s="108" t="e">
        <f t="shared" si="27"/>
        <v>#VALUE!</v>
      </c>
      <c r="W102" s="108" t="e">
        <f>RANK($N102,$N$5:$N$104,1)+COUNTIF(N$5:N102,N102)-1</f>
        <v>#VALUE!</v>
      </c>
      <c r="X102" s="108" t="e">
        <f t="shared" si="28"/>
        <v>#VALUE!</v>
      </c>
      <c r="Y102" s="108" t="e">
        <f>RANK($O102,$O$5:$O$104,1)+COUNTIF(O$5:O102,O102)-1</f>
        <v>#VALUE!</v>
      </c>
      <c r="Z102" s="108" t="e">
        <f t="shared" si="29"/>
        <v>#VALUE!</v>
      </c>
      <c r="AA102" s="108" t="e">
        <f>RANK($P102,$P$5:$P$104,1)+COUNTIF(P$5:P102,P102)-1</f>
        <v>#VALUE!</v>
      </c>
      <c r="AB102" s="108" t="e">
        <f t="shared" si="30"/>
        <v>#VALUE!</v>
      </c>
      <c r="AC102" s="59" t="str">
        <f t="shared" si="31"/>
        <v xml:space="preserve"> </v>
      </c>
      <c r="AD102" s="59" t="str">
        <f t="shared" si="32"/>
        <v>-</v>
      </c>
      <c r="AE102" s="119" t="str">
        <f t="shared" si="18"/>
        <v>-</v>
      </c>
      <c r="AF102" s="119" t="str">
        <f t="shared" si="18"/>
        <v>-</v>
      </c>
      <c r="AG102" s="119" t="str">
        <f t="shared" si="18"/>
        <v>-</v>
      </c>
      <c r="AH102" s="119" t="str">
        <f t="shared" si="17"/>
        <v>-</v>
      </c>
      <c r="AI102" s="119" t="str">
        <f t="shared" si="17"/>
        <v>-</v>
      </c>
      <c r="AJ102" s="119" t="str">
        <f t="shared" si="17"/>
        <v>-</v>
      </c>
      <c r="AM102" s="120">
        <v>98</v>
      </c>
      <c r="AN102" s="58" t="e">
        <f>VLOOKUP(AM102,Q$5:$AJ$104,$AO$2,FALSE)</f>
        <v>#N/A</v>
      </c>
      <c r="AO102" s="93" t="e">
        <f>VLOOKUP(AM102,Q$5:$AJ$104,$AO$2+11,FALSE)</f>
        <v>#N/A</v>
      </c>
      <c r="AP102" s="58" t="e">
        <f t="shared" si="33"/>
        <v>#N/A</v>
      </c>
      <c r="AR102" s="120">
        <v>98</v>
      </c>
      <c r="AS102" s="58" t="e">
        <f>VLOOKUP(AR102,$S$5:$AJ$104,$AT$2,FALSE)</f>
        <v>#N/A</v>
      </c>
      <c r="AT102" s="93" t="e">
        <f>VLOOKUP(AR102,$S$5:$AJ$104,$AT$2+9,FALSE)</f>
        <v>#N/A</v>
      </c>
      <c r="AU102" s="58" t="e">
        <f>VLOOKUP(AS102,$S$5:$AJ$104,$AT$2+12,FALSE)</f>
        <v>#N/A</v>
      </c>
      <c r="AW102" s="120">
        <v>98</v>
      </c>
      <c r="AX102" s="58" t="e">
        <f>VLOOKUP(AW102,$U$5:$AJ$104,$AY$2,FALSE)</f>
        <v>#N/A</v>
      </c>
      <c r="AY102" s="93" t="e">
        <f>VLOOKUP(AW102,$U$5:$AJ$104,$AY$2+7,FALSE)</f>
        <v>#N/A</v>
      </c>
      <c r="AZ102" s="58" t="e">
        <f>VLOOKUP(AX102,$U$5:$AJ$104,$AY$2+11,FALSE)</f>
        <v>#N/A</v>
      </c>
      <c r="BB102" s="120">
        <v>98</v>
      </c>
      <c r="BC102" s="58" t="e">
        <f>VLOOKUP(BB102,$W$5:$AJ$104,$BD$2,FALSE)</f>
        <v>#N/A</v>
      </c>
      <c r="BD102" s="93" t="e">
        <f>VLOOKUP(BB102,$W$5:$AJ$104,$BD$2+5,FALSE)</f>
        <v>#N/A</v>
      </c>
      <c r="BE102" s="58" t="e">
        <f>VLOOKUP(BC102,$W$5:$AJ$104,$BD$2+10,FALSE)</f>
        <v>#N/A</v>
      </c>
      <c r="BG102" s="120">
        <v>98</v>
      </c>
      <c r="BH102" s="58" t="e">
        <f>VLOOKUP(BG102,$Y$5:$AJ$104,$BI$2,FALSE)</f>
        <v>#N/A</v>
      </c>
      <c r="BI102" s="93" t="e">
        <f>VLOOKUP(BG102,$Y$5:$AJ$104,$BI$2+3,FALSE)</f>
        <v>#N/A</v>
      </c>
      <c r="BJ102" s="58" t="e">
        <f>VLOOKUP(BH102,$Y$5:$AJ$104,$BI$2+9,FALSE)</f>
        <v>#N/A</v>
      </c>
      <c r="BL102" s="120">
        <v>98</v>
      </c>
      <c r="BM102" s="58" t="e">
        <f>VLOOKUP(BL102,$AA$5:$AJ$104,$BN$2,FALSE)</f>
        <v>#N/A</v>
      </c>
      <c r="BN102" s="93" t="e">
        <f>VLOOKUP(BL102,$AA$5:$AJ$104,$BN$2+1,FALSE)</f>
        <v>#N/A</v>
      </c>
      <c r="BO102" s="58" t="e">
        <f>VLOOKUP(BM102,$AA$5:$AJ$104,$BN$2+8,FALSE)</f>
        <v>#N/A</v>
      </c>
      <c r="BQ102" s="2" t="e">
        <f>'Eclectic C'!CD102</f>
        <v>#N/A</v>
      </c>
      <c r="BR102" s="6" t="e">
        <f>'Eclectic C'!CE102</f>
        <v>#N/A</v>
      </c>
      <c r="BS102" s="103" t="e">
        <f>'Eclectic C'!CF102</f>
        <v>#N/A</v>
      </c>
    </row>
    <row r="103" spans="1:71">
      <c r="A103" s="10" t="str">
        <f>IF(ISBLANK(Players!K101),"",Players!K101)</f>
        <v/>
      </c>
      <c r="B103" s="10" t="str">
        <f>IF(ISBLANK(Players!L101),"",Players!L101)</f>
        <v/>
      </c>
      <c r="C103" s="10" t="str">
        <f>IF(ISBLANK(Players!N101),"",Players!N101)</f>
        <v/>
      </c>
      <c r="D103" s="126" t="str">
        <f>IF(ISNUMBER(C103),MIN((C103*Rules!$N$14/113)+(Rules!$N$13-Rules!$N$12),Rules!$N$37),"-")</f>
        <v>-</v>
      </c>
      <c r="E103" s="126" t="str">
        <f>IF(ISNUMBER(C103),    ROUND( (D103*Rules!$N$11) / 100,0),"-")</f>
        <v>-</v>
      </c>
      <c r="F103" s="36" t="str">
        <f>IF(AND(ISNUMBER(C103),C103&gt;=Rules!$M$24,C103&lt;=Rules!$N$24),"Y","N")</f>
        <v>N</v>
      </c>
      <c r="G103" s="137" t="str">
        <f>'Eclectic C'!M103</f>
        <v>-</v>
      </c>
      <c r="H103" s="137" t="str">
        <f>'Eclectic C'!W103</f>
        <v>-</v>
      </c>
      <c r="I103" s="137" t="str">
        <f>'Eclectic C'!AJ103</f>
        <v>-</v>
      </c>
      <c r="J103" s="137" t="str">
        <f>'Eclectic C'!AT103</f>
        <v>-</v>
      </c>
      <c r="K103" s="14" t="str">
        <f t="shared" si="19"/>
        <v>-</v>
      </c>
      <c r="L103" s="14" t="str">
        <f t="shared" si="20"/>
        <v>-</v>
      </c>
      <c r="M103" s="14" t="str">
        <f t="shared" si="21"/>
        <v>-</v>
      </c>
      <c r="N103" s="14" t="str">
        <f t="shared" si="22"/>
        <v>-</v>
      </c>
      <c r="O103" s="14" t="str">
        <f t="shared" si="23"/>
        <v>-</v>
      </c>
      <c r="P103" s="14" t="str">
        <f t="shared" si="24"/>
        <v>-</v>
      </c>
      <c r="Q103" s="108" t="e">
        <f>RANK($K103,$K$5:$K$104,1)+COUNTIF(K$5:K103,K103)-1</f>
        <v>#VALUE!</v>
      </c>
      <c r="R103" s="108" t="e">
        <f t="shared" si="25"/>
        <v>#VALUE!</v>
      </c>
      <c r="S103" s="108" t="e">
        <f>RANK($L103,$L$5:$L$104,1)+COUNTIF(L$5:L103,L103)-1</f>
        <v>#VALUE!</v>
      </c>
      <c r="T103" s="108" t="e">
        <f t="shared" si="26"/>
        <v>#VALUE!</v>
      </c>
      <c r="U103" s="108" t="e">
        <f>RANK($M103,$M$5:$M$104,1)+COUNTIF(M$5:M103,M103)-1</f>
        <v>#VALUE!</v>
      </c>
      <c r="V103" s="108" t="e">
        <f t="shared" si="27"/>
        <v>#VALUE!</v>
      </c>
      <c r="W103" s="108" t="e">
        <f>RANK($N103,$N$5:$N$104,1)+COUNTIF(N$5:N103,N103)-1</f>
        <v>#VALUE!</v>
      </c>
      <c r="X103" s="108" t="e">
        <f t="shared" si="28"/>
        <v>#VALUE!</v>
      </c>
      <c r="Y103" s="108" t="e">
        <f>RANK($O103,$O$5:$O$104,1)+COUNTIF(O$5:O103,O103)-1</f>
        <v>#VALUE!</v>
      </c>
      <c r="Z103" s="108" t="e">
        <f t="shared" si="29"/>
        <v>#VALUE!</v>
      </c>
      <c r="AA103" s="108" t="e">
        <f>RANK($P103,$P$5:$P$104,1)+COUNTIF(P$5:P103,P103)-1</f>
        <v>#VALUE!</v>
      </c>
      <c r="AB103" s="108" t="e">
        <f t="shared" si="30"/>
        <v>#VALUE!</v>
      </c>
      <c r="AC103" s="59" t="str">
        <f t="shared" si="31"/>
        <v xml:space="preserve"> </v>
      </c>
      <c r="AD103" s="59" t="str">
        <f t="shared" si="32"/>
        <v>-</v>
      </c>
      <c r="AE103" s="119" t="str">
        <f t="shared" si="18"/>
        <v>-</v>
      </c>
      <c r="AF103" s="119" t="str">
        <f t="shared" si="18"/>
        <v>-</v>
      </c>
      <c r="AG103" s="119" t="str">
        <f t="shared" si="18"/>
        <v>-</v>
      </c>
      <c r="AH103" s="119" t="str">
        <f t="shared" si="17"/>
        <v>-</v>
      </c>
      <c r="AI103" s="119" t="str">
        <f t="shared" si="17"/>
        <v>-</v>
      </c>
      <c r="AJ103" s="119" t="str">
        <f t="shared" si="17"/>
        <v>-</v>
      </c>
      <c r="AM103" s="120">
        <v>99</v>
      </c>
      <c r="AN103" s="58" t="e">
        <f>VLOOKUP(AM103,Q$5:$AJ$104,$AO$2,FALSE)</f>
        <v>#N/A</v>
      </c>
      <c r="AO103" s="93" t="e">
        <f>VLOOKUP(AM103,Q$5:$AJ$104,$AO$2+11,FALSE)</f>
        <v>#N/A</v>
      </c>
      <c r="AP103" s="58" t="e">
        <f t="shared" si="33"/>
        <v>#N/A</v>
      </c>
      <c r="AR103" s="120">
        <v>99</v>
      </c>
      <c r="AS103" s="58" t="e">
        <f>VLOOKUP(AR103,$S$5:$AJ$104,$AT$2,FALSE)</f>
        <v>#N/A</v>
      </c>
      <c r="AT103" s="93" t="e">
        <f>VLOOKUP(AR103,$S$5:$AJ$104,$AT$2+9,FALSE)</f>
        <v>#N/A</v>
      </c>
      <c r="AU103" s="58" t="e">
        <f>VLOOKUP(AS103,$S$5:$AJ$104,$AT$2+12,FALSE)</f>
        <v>#N/A</v>
      </c>
      <c r="AW103" s="120">
        <v>99</v>
      </c>
      <c r="AX103" s="58" t="e">
        <f>VLOOKUP(AW103,$U$5:$AJ$104,$AY$2,FALSE)</f>
        <v>#N/A</v>
      </c>
      <c r="AY103" s="93" t="e">
        <f>VLOOKUP(AW103,$U$5:$AJ$104,$AY$2+7,FALSE)</f>
        <v>#N/A</v>
      </c>
      <c r="AZ103" s="58" t="e">
        <f>VLOOKUP(AX103,$U$5:$AJ$104,$AY$2+11,FALSE)</f>
        <v>#N/A</v>
      </c>
      <c r="BB103" s="120">
        <v>99</v>
      </c>
      <c r="BC103" s="58" t="e">
        <f>VLOOKUP(BB103,$W$5:$AJ$104,$BD$2,FALSE)</f>
        <v>#N/A</v>
      </c>
      <c r="BD103" s="93" t="e">
        <f>VLOOKUP(BB103,$W$5:$AJ$104,$BD$2+5,FALSE)</f>
        <v>#N/A</v>
      </c>
      <c r="BE103" s="58" t="e">
        <f>VLOOKUP(BC103,$W$5:$AJ$104,$BD$2+10,FALSE)</f>
        <v>#N/A</v>
      </c>
      <c r="BG103" s="120">
        <v>99</v>
      </c>
      <c r="BH103" s="58" t="e">
        <f>VLOOKUP(BG103,$Y$5:$AJ$104,$BI$2,FALSE)</f>
        <v>#N/A</v>
      </c>
      <c r="BI103" s="93"/>
      <c r="BJ103" s="58"/>
      <c r="BL103" s="120">
        <v>99</v>
      </c>
      <c r="BM103" s="58" t="e">
        <f>VLOOKUP(BL103,$AA$5:$AJ$104,$BN$2,FALSE)</f>
        <v>#N/A</v>
      </c>
      <c r="BN103" s="93" t="e">
        <f>VLOOKUP(BL103,$AA$5:$AJ$104,$BN$2+1,FALSE)</f>
        <v>#N/A</v>
      </c>
      <c r="BO103" s="58" t="e">
        <f>VLOOKUP(BM103,$AA$5:$AJ$104,$BN$2+8,FALSE)</f>
        <v>#N/A</v>
      </c>
      <c r="BQ103" s="2" t="e">
        <f>'Eclectic C'!CD103</f>
        <v>#N/A</v>
      </c>
      <c r="BR103" s="6" t="e">
        <f>'Eclectic C'!CE103</f>
        <v>#N/A</v>
      </c>
      <c r="BS103" s="103" t="e">
        <f>'Eclectic C'!CF103</f>
        <v>#N/A</v>
      </c>
    </row>
    <row r="104" spans="1:71">
      <c r="A104" s="10" t="str">
        <f>IF(ISBLANK(Players!K102),"",Players!K102)</f>
        <v/>
      </c>
      <c r="B104" s="10" t="str">
        <f>IF(ISBLANK(Players!L102),"",Players!L102)</f>
        <v/>
      </c>
      <c r="C104" s="10" t="str">
        <f>IF(ISBLANK(Players!N102),"",Players!N102)</f>
        <v/>
      </c>
      <c r="D104" s="126" t="str">
        <f>IF(ISNUMBER(C104),MIN((C104*Rules!$N$14/113)+(Rules!$N$13-Rules!$N$12),Rules!$N$37),"-")</f>
        <v>-</v>
      </c>
      <c r="E104" s="126" t="str">
        <f>IF(ISNUMBER(C104),    ROUND( (D104*Rules!$N$11) / 100,0),"-")</f>
        <v>-</v>
      </c>
      <c r="F104" s="36" t="str">
        <f>IF(AND(ISNUMBER(C104),C104&gt;=Rules!$M$24,C104&lt;=Rules!$N$24),"Y","N")</f>
        <v>N</v>
      </c>
      <c r="G104" s="137" t="str">
        <f>'Eclectic C'!M104</f>
        <v>-</v>
      </c>
      <c r="H104" s="137" t="str">
        <f>'Eclectic C'!W104</f>
        <v>-</v>
      </c>
      <c r="I104" s="137" t="str">
        <f>'Eclectic C'!AJ104</f>
        <v>-</v>
      </c>
      <c r="J104" s="137" t="str">
        <f>'Eclectic C'!AT104</f>
        <v>-</v>
      </c>
      <c r="K104" s="14" t="str">
        <f t="shared" si="19"/>
        <v>-</v>
      </c>
      <c r="L104" s="14" t="str">
        <f t="shared" si="20"/>
        <v>-</v>
      </c>
      <c r="M104" s="14" t="str">
        <f t="shared" si="21"/>
        <v>-</v>
      </c>
      <c r="N104" s="14" t="str">
        <f t="shared" si="22"/>
        <v>-</v>
      </c>
      <c r="O104" s="14" t="str">
        <f t="shared" si="23"/>
        <v>-</v>
      </c>
      <c r="P104" s="14" t="str">
        <f t="shared" si="24"/>
        <v>-</v>
      </c>
      <c r="Q104" s="108" t="e">
        <f>RANK($K104,$K$5:$K$104,1)+COUNTIF(K$5:K104,K104)-1</f>
        <v>#VALUE!</v>
      </c>
      <c r="R104" s="108" t="e">
        <f t="shared" si="25"/>
        <v>#VALUE!</v>
      </c>
      <c r="S104" s="108" t="e">
        <f>RANK($L104,$L$5:$L$104,1)+COUNTIF(L$5:L104,L104)-1</f>
        <v>#VALUE!</v>
      </c>
      <c r="T104" s="108" t="e">
        <f t="shared" si="26"/>
        <v>#VALUE!</v>
      </c>
      <c r="U104" s="108" t="e">
        <f>RANK($M104,$M$5:$M$104,1)+COUNTIF(M$5:M104,M104)-1</f>
        <v>#VALUE!</v>
      </c>
      <c r="V104" s="108" t="e">
        <f t="shared" si="27"/>
        <v>#VALUE!</v>
      </c>
      <c r="W104" s="108" t="e">
        <f>RANK($N104,$N$5:$N$104,1)+COUNTIF(N$5:N104,N104)-1</f>
        <v>#VALUE!</v>
      </c>
      <c r="X104" s="108" t="e">
        <f t="shared" si="28"/>
        <v>#VALUE!</v>
      </c>
      <c r="Y104" s="108" t="e">
        <f>RANK($O104,$O$5:$O$104,1)+COUNTIF(O$5:O104,O104)-1</f>
        <v>#VALUE!</v>
      </c>
      <c r="Z104" s="108" t="e">
        <f t="shared" si="29"/>
        <v>#VALUE!</v>
      </c>
      <c r="AA104" s="108" t="e">
        <f>RANK($P104,$P$5:$P$104,1)+COUNTIF(P$5:P104,P104)-1</f>
        <v>#VALUE!</v>
      </c>
      <c r="AB104" s="108" t="e">
        <f t="shared" si="30"/>
        <v>#VALUE!</v>
      </c>
      <c r="AC104" s="59" t="str">
        <f t="shared" si="31"/>
        <v xml:space="preserve"> </v>
      </c>
      <c r="AD104" s="59" t="str">
        <f t="shared" si="32"/>
        <v>-</v>
      </c>
      <c r="AE104" s="119" t="str">
        <f t="shared" si="18"/>
        <v>-</v>
      </c>
      <c r="AF104" s="119" t="str">
        <f t="shared" si="18"/>
        <v>-</v>
      </c>
      <c r="AG104" s="119" t="str">
        <f t="shared" si="18"/>
        <v>-</v>
      </c>
      <c r="AH104" s="119" t="str">
        <f t="shared" si="17"/>
        <v>-</v>
      </c>
      <c r="AI104" s="119" t="str">
        <f t="shared" si="17"/>
        <v>-</v>
      </c>
      <c r="AJ104" s="119" t="str">
        <f t="shared" si="17"/>
        <v>-</v>
      </c>
      <c r="AM104" s="120">
        <v>100</v>
      </c>
      <c r="AN104" s="58" t="e">
        <f>VLOOKUP(AM104,Q$5:$AJ$104,$AO$2,FALSE)</f>
        <v>#N/A</v>
      </c>
      <c r="AO104" s="93" t="e">
        <f>VLOOKUP(AM104,Q$5:$AJ$104,$AO$2+11,FALSE)</f>
        <v>#N/A</v>
      </c>
      <c r="AP104" s="58" t="e">
        <f t="shared" si="33"/>
        <v>#N/A</v>
      </c>
      <c r="AR104" s="120">
        <v>100</v>
      </c>
      <c r="AS104" s="58" t="e">
        <f>VLOOKUP(AR104,$S$5:$AJ$104,$AT$2,FALSE)</f>
        <v>#N/A</v>
      </c>
      <c r="AT104" s="93" t="e">
        <f>VLOOKUP(AR104,$S$5:$AJ$104,$AT$2+9,FALSE)</f>
        <v>#N/A</v>
      </c>
      <c r="AU104" s="58" t="e">
        <f>VLOOKUP(AS104,$S$5:$AJ$104,$AT$2+12,FALSE)</f>
        <v>#N/A</v>
      </c>
      <c r="AW104" s="120">
        <v>100</v>
      </c>
      <c r="AX104" s="58" t="e">
        <f>VLOOKUP(AW104,$U$5:$AJ$104,$AY$2,FALSE)</f>
        <v>#N/A</v>
      </c>
      <c r="AY104" s="93" t="e">
        <f>VLOOKUP(AW104,$U$5:$AJ$104,$AY$2+7,FALSE)</f>
        <v>#N/A</v>
      </c>
      <c r="AZ104" s="58" t="e">
        <f>VLOOKUP(AX104,$U$5:$AJ$104,$AY$2+11,FALSE)</f>
        <v>#N/A</v>
      </c>
      <c r="BB104" s="120">
        <v>100</v>
      </c>
      <c r="BC104" s="58" t="e">
        <f>VLOOKUP(BB104,$W$5:$AJ$104,$BD$2,FALSE)</f>
        <v>#N/A</v>
      </c>
      <c r="BD104" s="93" t="e">
        <f>VLOOKUP(BB104,$W$5:$AJ$104,$BD$2+5,FALSE)</f>
        <v>#N/A</v>
      </c>
      <c r="BE104" s="58" t="e">
        <f>VLOOKUP(BC104,$W$5:$AJ$104,$BD$2+10,FALSE)</f>
        <v>#N/A</v>
      </c>
      <c r="BG104" s="121">
        <v>100</v>
      </c>
      <c r="BH104" s="58" t="e">
        <f>VLOOKUP(BG104,$Y$5:$AJ$104,$BI$2,FALSE)</f>
        <v>#N/A</v>
      </c>
      <c r="BI104" s="93"/>
      <c r="BJ104" s="122"/>
      <c r="BL104" s="120">
        <v>100</v>
      </c>
      <c r="BM104" s="58" t="e">
        <f>VLOOKUP(BL104,$AA$5:$AJ$104,$BN$2,FALSE)</f>
        <v>#N/A</v>
      </c>
      <c r="BN104" s="93" t="e">
        <f>VLOOKUP(BL104,$AA$5:$AJ$104,$BN$2+1,FALSE)</f>
        <v>#N/A</v>
      </c>
      <c r="BO104" s="58" t="e">
        <f>VLOOKUP(BM104,$AA$5:$AJ$104,$BN$2+8,FALSE)</f>
        <v>#N/A</v>
      </c>
      <c r="BQ104" s="2" t="e">
        <f>'Eclectic C'!CD104</f>
        <v>#N/A</v>
      </c>
      <c r="BR104" s="6" t="e">
        <f>'Eclectic C'!CE104</f>
        <v>#N/A</v>
      </c>
      <c r="BS104" s="103" t="e">
        <f>'Eclectic C'!CF104</f>
        <v>#N/A</v>
      </c>
    </row>
    <row r="105" spans="1:71" ht="15" customHeight="1">
      <c r="BQ105" s="79"/>
      <c r="BR105" s="80"/>
      <c r="BS105" s="104"/>
    </row>
    <row r="106" spans="1:71" ht="15" customHeight="1">
      <c r="BQ106" s="79"/>
      <c r="BR106" s="80"/>
      <c r="BS106" s="104"/>
    </row>
    <row r="107" spans="1:71" ht="15" customHeight="1">
      <c r="BQ107" s="79"/>
      <c r="BR107" s="80"/>
      <c r="BS107" s="104"/>
    </row>
    <row r="108" spans="1:71" ht="15" customHeight="1">
      <c r="BQ108" s="79"/>
      <c r="BR108" s="80"/>
      <c r="BS108" s="104"/>
    </row>
    <row r="109" spans="1:71" ht="15" customHeight="1">
      <c r="BQ109" s="79"/>
      <c r="BR109" s="80"/>
      <c r="BS109" s="104"/>
    </row>
    <row r="110" spans="1:71" ht="15" customHeight="1">
      <c r="BQ110" s="79"/>
      <c r="BR110" s="80"/>
      <c r="BS110" s="104"/>
    </row>
    <row r="111" spans="1:71" ht="15" customHeight="1">
      <c r="BQ111" s="79"/>
      <c r="BR111" s="80"/>
      <c r="BS111" s="104"/>
    </row>
    <row r="112" spans="1:71" ht="15" customHeight="1">
      <c r="BQ112" s="79"/>
      <c r="BR112" s="80"/>
      <c r="BS112" s="104"/>
    </row>
    <row r="113" spans="69:71" ht="15" customHeight="1">
      <c r="BQ113" s="79"/>
      <c r="BR113" s="80"/>
      <c r="BS113" s="104"/>
    </row>
    <row r="114" spans="69:71" ht="15" customHeight="1">
      <c r="BQ114" s="79"/>
      <c r="BR114" s="80"/>
      <c r="BS114" s="104"/>
    </row>
    <row r="115" spans="69:71" ht="15" customHeight="1">
      <c r="BQ115" s="79"/>
      <c r="BR115" s="80"/>
      <c r="BS115" s="104"/>
    </row>
    <row r="116" spans="69:71" ht="15" customHeight="1">
      <c r="BQ116" s="79"/>
      <c r="BR116" s="80"/>
      <c r="BS116" s="104"/>
    </row>
    <row r="117" spans="69:71" ht="15" customHeight="1">
      <c r="BQ117" s="79"/>
      <c r="BR117" s="80"/>
      <c r="BS117" s="104"/>
    </row>
    <row r="118" spans="69:71" ht="15" customHeight="1">
      <c r="BQ118" s="79"/>
      <c r="BR118" s="80"/>
      <c r="BS118" s="104"/>
    </row>
    <row r="119" spans="69:71" ht="15" customHeight="1">
      <c r="BQ119" s="79"/>
      <c r="BR119" s="80"/>
      <c r="BS119" s="104"/>
    </row>
    <row r="120" spans="69:71" ht="15" customHeight="1">
      <c r="BQ120" s="79"/>
      <c r="BR120" s="80"/>
      <c r="BS120" s="104"/>
    </row>
    <row r="121" spans="69:71" ht="15" customHeight="1">
      <c r="BQ121" s="79"/>
      <c r="BR121" s="80"/>
      <c r="BS121" s="104"/>
    </row>
    <row r="122" spans="69:71" ht="15" customHeight="1">
      <c r="BQ122" s="79"/>
      <c r="BR122" s="80"/>
      <c r="BS122" s="104"/>
    </row>
    <row r="123" spans="69:71" ht="15" customHeight="1">
      <c r="BQ123" s="79"/>
      <c r="BR123" s="80"/>
      <c r="BS123" s="104"/>
    </row>
    <row r="124" spans="69:71" ht="15" customHeight="1">
      <c r="BQ124" s="79"/>
      <c r="BR124" s="80"/>
      <c r="BS124" s="104"/>
    </row>
    <row r="125" spans="69:71" ht="15" customHeight="1">
      <c r="BQ125" s="79"/>
      <c r="BR125" s="80"/>
      <c r="BS125" s="104"/>
    </row>
    <row r="126" spans="69:71" ht="15" customHeight="1">
      <c r="BQ126" s="79"/>
      <c r="BR126" s="80"/>
      <c r="BS126" s="104"/>
    </row>
    <row r="127" spans="69:71" ht="15" customHeight="1">
      <c r="BQ127" s="79"/>
      <c r="BR127" s="80"/>
      <c r="BS127" s="104"/>
    </row>
    <row r="128" spans="69:71" ht="15" customHeight="1">
      <c r="BQ128" s="79"/>
      <c r="BR128" s="80"/>
      <c r="BS128" s="104"/>
    </row>
    <row r="129" spans="69:71" ht="15" customHeight="1">
      <c r="BQ129" s="79"/>
      <c r="BR129" s="80"/>
      <c r="BS129" s="104"/>
    </row>
    <row r="130" spans="69:71" ht="15" customHeight="1">
      <c r="BQ130" s="79"/>
      <c r="BR130" s="80"/>
      <c r="BS130" s="104"/>
    </row>
    <row r="131" spans="69:71" ht="15" customHeight="1">
      <c r="BQ131" s="79"/>
      <c r="BR131" s="80"/>
      <c r="BS131" s="104"/>
    </row>
    <row r="132" spans="69:71" ht="15" customHeight="1">
      <c r="BQ132" s="79"/>
      <c r="BR132" s="80"/>
      <c r="BS132" s="104"/>
    </row>
    <row r="133" spans="69:71" ht="15" customHeight="1">
      <c r="BQ133" s="79"/>
      <c r="BR133" s="80"/>
      <c r="BS133" s="104"/>
    </row>
    <row r="134" spans="69:71" ht="15" customHeight="1">
      <c r="BQ134" s="79"/>
      <c r="BR134" s="80"/>
      <c r="BS134" s="104"/>
    </row>
    <row r="135" spans="69:71" ht="15" customHeight="1">
      <c r="BQ135" s="79"/>
      <c r="BR135" s="80"/>
      <c r="BS135" s="104"/>
    </row>
    <row r="136" spans="69:71" ht="15" customHeight="1">
      <c r="BQ136" s="79"/>
      <c r="BR136" s="80"/>
      <c r="BS136" s="104"/>
    </row>
    <row r="137" spans="69:71" ht="15" customHeight="1">
      <c r="BQ137" s="79"/>
      <c r="BR137" s="80"/>
      <c r="BS137" s="104"/>
    </row>
    <row r="138" spans="69:71" ht="15" customHeight="1">
      <c r="BQ138" s="79"/>
      <c r="BR138" s="80"/>
      <c r="BS138" s="104"/>
    </row>
    <row r="139" spans="69:71" ht="15" customHeight="1">
      <c r="BQ139" s="79"/>
      <c r="BR139" s="80"/>
      <c r="BS139" s="104"/>
    </row>
    <row r="140" spans="69:71" ht="15" customHeight="1">
      <c r="BQ140" s="79"/>
      <c r="BR140" s="80"/>
      <c r="BS140" s="104"/>
    </row>
    <row r="141" spans="69:71" ht="15" customHeight="1">
      <c r="BQ141" s="79"/>
      <c r="BR141" s="80"/>
      <c r="BS141" s="104"/>
    </row>
    <row r="142" spans="69:71" ht="15" customHeight="1">
      <c r="BQ142" s="79"/>
      <c r="BR142" s="80"/>
      <c r="BS142" s="104"/>
    </row>
    <row r="143" spans="69:71" ht="15" customHeight="1">
      <c r="BQ143" s="79"/>
      <c r="BR143" s="80"/>
      <c r="BS143" s="104"/>
    </row>
    <row r="144" spans="69:71" ht="15" customHeight="1">
      <c r="BQ144" s="79"/>
      <c r="BR144" s="80"/>
      <c r="BS144" s="104"/>
    </row>
    <row r="145" spans="69:71" ht="15" customHeight="1">
      <c r="BQ145" s="79"/>
      <c r="BR145" s="80"/>
      <c r="BS145" s="104"/>
    </row>
    <row r="146" spans="69:71" ht="15" customHeight="1">
      <c r="BQ146" s="79"/>
      <c r="BR146" s="80"/>
      <c r="BS146" s="104"/>
    </row>
    <row r="147" spans="69:71" ht="15" customHeight="1">
      <c r="BQ147" s="79"/>
      <c r="BR147" s="80"/>
      <c r="BS147" s="104"/>
    </row>
    <row r="148" spans="69:71" ht="15" customHeight="1">
      <c r="BQ148" s="79"/>
      <c r="BR148" s="80"/>
      <c r="BS148" s="104"/>
    </row>
    <row r="149" spans="69:71" ht="15" customHeight="1">
      <c r="BQ149" s="79"/>
      <c r="BR149" s="80"/>
      <c r="BS149" s="104"/>
    </row>
    <row r="150" spans="69:71" ht="15" customHeight="1">
      <c r="BQ150" s="79"/>
      <c r="BR150" s="80"/>
      <c r="BS150" s="104"/>
    </row>
    <row r="151" spans="69:71" ht="15" customHeight="1">
      <c r="BQ151" s="79"/>
      <c r="BR151" s="80"/>
      <c r="BS151" s="104"/>
    </row>
    <row r="152" spans="69:71" ht="15" customHeight="1">
      <c r="BQ152" s="79"/>
      <c r="BR152" s="80"/>
      <c r="BS152" s="104"/>
    </row>
    <row r="153" spans="69:71" ht="15" customHeight="1">
      <c r="BQ153" s="79"/>
      <c r="BR153" s="80"/>
      <c r="BS153" s="104"/>
    </row>
    <row r="154" spans="69:71" ht="15" customHeight="1">
      <c r="BQ154" s="79"/>
      <c r="BR154" s="80"/>
      <c r="BS154" s="104"/>
    </row>
    <row r="155" spans="69:71" ht="15" customHeight="1">
      <c r="BQ155" s="79"/>
      <c r="BR155" s="80"/>
      <c r="BS155" s="104"/>
    </row>
    <row r="156" spans="69:71" ht="15" customHeight="1">
      <c r="BQ156" s="79"/>
      <c r="BR156" s="80"/>
      <c r="BS156" s="104"/>
    </row>
    <row r="157" spans="69:71" ht="15" customHeight="1">
      <c r="BQ157" s="79"/>
      <c r="BR157" s="80"/>
      <c r="BS157" s="104"/>
    </row>
    <row r="158" spans="69:71" ht="15" customHeight="1">
      <c r="BQ158" s="79"/>
      <c r="BR158" s="80"/>
      <c r="BS158" s="104"/>
    </row>
    <row r="159" spans="69:71" ht="15" customHeight="1">
      <c r="BQ159" s="79"/>
      <c r="BR159" s="80"/>
      <c r="BS159" s="104"/>
    </row>
    <row r="160" spans="69:71" ht="15" customHeight="1">
      <c r="BQ160" s="79"/>
      <c r="BR160" s="80"/>
      <c r="BS160" s="104"/>
    </row>
    <row r="161" spans="69:71" ht="15" customHeight="1">
      <c r="BQ161" s="79"/>
      <c r="BR161" s="80"/>
      <c r="BS161" s="104"/>
    </row>
    <row r="162" spans="69:71" ht="15" customHeight="1">
      <c r="BQ162" s="79"/>
      <c r="BR162" s="80"/>
      <c r="BS162" s="104"/>
    </row>
    <row r="163" spans="69:71" ht="15" customHeight="1">
      <c r="BQ163" s="79"/>
      <c r="BR163" s="80"/>
      <c r="BS163" s="104"/>
    </row>
    <row r="164" spans="69:71" ht="15" customHeight="1">
      <c r="BQ164" s="79"/>
      <c r="BR164" s="80"/>
      <c r="BS164" s="104"/>
    </row>
    <row r="165" spans="69:71" ht="15" customHeight="1">
      <c r="BQ165" s="79"/>
      <c r="BR165" s="80"/>
      <c r="BS165" s="104"/>
    </row>
    <row r="166" spans="69:71" ht="15" customHeight="1">
      <c r="BQ166" s="79"/>
      <c r="BR166" s="80"/>
      <c r="BS166" s="104"/>
    </row>
    <row r="167" spans="69:71" ht="15" customHeight="1">
      <c r="BQ167" s="79"/>
      <c r="BR167" s="80"/>
      <c r="BS167" s="104"/>
    </row>
    <row r="168" spans="69:71" ht="15" customHeight="1">
      <c r="BQ168" s="79"/>
      <c r="BR168" s="80"/>
      <c r="BS168" s="104"/>
    </row>
    <row r="169" spans="69:71" ht="15" customHeight="1">
      <c r="BQ169" s="79"/>
      <c r="BR169" s="80"/>
      <c r="BS169" s="104"/>
    </row>
    <row r="170" spans="69:71" ht="15" customHeight="1">
      <c r="BQ170" s="79"/>
      <c r="BR170" s="80"/>
      <c r="BS170" s="104"/>
    </row>
    <row r="171" spans="69:71" ht="15" customHeight="1">
      <c r="BQ171" s="79"/>
      <c r="BR171" s="80"/>
      <c r="BS171" s="104"/>
    </row>
    <row r="172" spans="69:71" ht="15" customHeight="1">
      <c r="BQ172" s="79"/>
      <c r="BR172" s="80"/>
      <c r="BS172" s="104"/>
    </row>
    <row r="173" spans="69:71" ht="15" customHeight="1">
      <c r="BQ173" s="79"/>
      <c r="BR173" s="80"/>
      <c r="BS173" s="104"/>
    </row>
    <row r="174" spans="69:71" ht="15" customHeight="1">
      <c r="BQ174" s="79"/>
      <c r="BR174" s="80"/>
      <c r="BS174" s="104"/>
    </row>
    <row r="175" spans="69:71" ht="15" customHeight="1">
      <c r="BQ175" s="79"/>
      <c r="BR175" s="80"/>
      <c r="BS175" s="104"/>
    </row>
    <row r="176" spans="69:71" ht="15" customHeight="1">
      <c r="BQ176" s="79"/>
      <c r="BR176" s="80"/>
      <c r="BS176" s="104"/>
    </row>
    <row r="177" spans="69:71" ht="15" customHeight="1">
      <c r="BQ177" s="79"/>
      <c r="BR177" s="80"/>
      <c r="BS177" s="104"/>
    </row>
    <row r="178" spans="69:71" ht="15" customHeight="1">
      <c r="BQ178" s="79"/>
      <c r="BR178" s="80"/>
      <c r="BS178" s="104"/>
    </row>
    <row r="179" spans="69:71" ht="15" customHeight="1">
      <c r="BQ179" s="79"/>
      <c r="BR179" s="80"/>
      <c r="BS179" s="104"/>
    </row>
    <row r="180" spans="69:71" ht="15" customHeight="1">
      <c r="BQ180" s="79"/>
      <c r="BR180" s="80"/>
      <c r="BS180" s="104"/>
    </row>
    <row r="181" spans="69:71" ht="15" customHeight="1">
      <c r="BQ181" s="79"/>
      <c r="BR181" s="80"/>
      <c r="BS181" s="104"/>
    </row>
    <row r="182" spans="69:71" ht="15" customHeight="1">
      <c r="BQ182" s="79"/>
      <c r="BR182" s="80"/>
      <c r="BS182" s="104"/>
    </row>
    <row r="183" spans="69:71" ht="15" customHeight="1">
      <c r="BQ183" s="79"/>
      <c r="BR183" s="80"/>
      <c r="BS183" s="104"/>
    </row>
    <row r="184" spans="69:71" ht="15" customHeight="1">
      <c r="BQ184" s="79"/>
      <c r="BR184" s="80"/>
      <c r="BS184" s="104"/>
    </row>
    <row r="185" spans="69:71" ht="15" customHeight="1">
      <c r="BQ185" s="79"/>
      <c r="BR185" s="80"/>
      <c r="BS185" s="104"/>
    </row>
    <row r="186" spans="69:71" ht="15" customHeight="1">
      <c r="BQ186" s="79"/>
      <c r="BR186" s="80"/>
      <c r="BS186" s="104"/>
    </row>
    <row r="187" spans="69:71" ht="15" customHeight="1">
      <c r="BQ187" s="79"/>
      <c r="BR187" s="80"/>
      <c r="BS187" s="104"/>
    </row>
    <row r="188" spans="69:71" ht="15" customHeight="1">
      <c r="BQ188" s="79"/>
      <c r="BR188" s="80"/>
      <c r="BS188" s="104"/>
    </row>
    <row r="189" spans="69:71" ht="15" customHeight="1">
      <c r="BQ189" s="79"/>
      <c r="BR189" s="80"/>
      <c r="BS189" s="104"/>
    </row>
    <row r="190" spans="69:71" ht="15" customHeight="1">
      <c r="BQ190" s="79"/>
      <c r="BR190" s="80"/>
      <c r="BS190" s="104"/>
    </row>
    <row r="191" spans="69:71" ht="15" customHeight="1">
      <c r="BQ191" s="79"/>
      <c r="BR191" s="80"/>
      <c r="BS191" s="104"/>
    </row>
    <row r="192" spans="69:71" ht="15" customHeight="1">
      <c r="BQ192" s="79"/>
      <c r="BR192" s="80"/>
      <c r="BS192" s="104"/>
    </row>
    <row r="193" spans="69:71" ht="15" customHeight="1">
      <c r="BQ193" s="79"/>
      <c r="BR193" s="80"/>
      <c r="BS193" s="104"/>
    </row>
    <row r="194" spans="69:71" ht="15" customHeight="1">
      <c r="BQ194" s="79"/>
      <c r="BR194" s="80"/>
      <c r="BS194" s="104"/>
    </row>
    <row r="195" spans="69:71" ht="15" customHeight="1">
      <c r="BQ195" s="79"/>
      <c r="BR195" s="80"/>
      <c r="BS195" s="104"/>
    </row>
    <row r="196" spans="69:71" ht="15" customHeight="1">
      <c r="BQ196" s="79"/>
      <c r="BR196" s="80"/>
      <c r="BS196" s="104"/>
    </row>
    <row r="197" spans="69:71" ht="15" customHeight="1">
      <c r="BQ197" s="79"/>
      <c r="BR197" s="80"/>
      <c r="BS197" s="104"/>
    </row>
    <row r="198" spans="69:71" ht="15" customHeight="1">
      <c r="BQ198" s="79"/>
      <c r="BR198" s="80"/>
      <c r="BS198" s="104"/>
    </row>
    <row r="199" spans="69:71" ht="15" customHeight="1">
      <c r="BQ199" s="79"/>
      <c r="BR199" s="80"/>
      <c r="BS199" s="104"/>
    </row>
    <row r="200" spans="69:71" ht="15" customHeight="1">
      <c r="BQ200" s="79"/>
      <c r="BR200" s="80"/>
      <c r="BS200" s="104"/>
    </row>
    <row r="201" spans="69:71" ht="15" customHeight="1">
      <c r="BQ201" s="79"/>
      <c r="BR201" s="80"/>
      <c r="BS201" s="104"/>
    </row>
    <row r="202" spans="69:71" ht="15" customHeight="1">
      <c r="BQ202" s="79"/>
      <c r="BR202" s="80"/>
      <c r="BS202" s="104"/>
    </row>
    <row r="203" spans="69:71" ht="15" customHeight="1">
      <c r="BQ203" s="79"/>
      <c r="BR203" s="80"/>
      <c r="BS203" s="104"/>
    </row>
    <row r="204" spans="69:71" ht="15" customHeight="1">
      <c r="BQ204" s="79"/>
      <c r="BR204" s="80"/>
      <c r="BS204" s="104"/>
    </row>
    <row r="205" spans="69:71" ht="15" customHeight="1">
      <c r="BQ205" s="79"/>
      <c r="BR205" s="80"/>
      <c r="BS205" s="104"/>
    </row>
    <row r="206" spans="69:71" ht="15" customHeight="1">
      <c r="BQ206" s="79"/>
      <c r="BR206" s="80"/>
      <c r="BS206" s="104"/>
    </row>
    <row r="207" spans="69:71" ht="15" customHeight="1">
      <c r="BQ207" s="79"/>
      <c r="BR207" s="80"/>
      <c r="BS207" s="104"/>
    </row>
    <row r="208" spans="69:71" ht="15" customHeight="1">
      <c r="BQ208" s="79"/>
      <c r="BR208" s="80"/>
      <c r="BS208" s="104"/>
    </row>
    <row r="209" spans="69:71" ht="15" customHeight="1">
      <c r="BQ209" s="79"/>
      <c r="BR209" s="80"/>
      <c r="BS209" s="104"/>
    </row>
    <row r="210" spans="69:71" ht="15" customHeight="1">
      <c r="BQ210" s="79"/>
      <c r="BR210" s="80"/>
      <c r="BS210" s="104"/>
    </row>
    <row r="211" spans="69:71" ht="15" customHeight="1">
      <c r="BQ211" s="79"/>
      <c r="BR211" s="80"/>
      <c r="BS211" s="104"/>
    </row>
    <row r="212" spans="69:71" ht="15" customHeight="1">
      <c r="BQ212" s="79"/>
      <c r="BR212" s="80"/>
      <c r="BS212" s="104"/>
    </row>
    <row r="213" spans="69:71" ht="15" customHeight="1">
      <c r="BQ213" s="79"/>
      <c r="BR213" s="80"/>
      <c r="BS213" s="104"/>
    </row>
    <row r="214" spans="69:71" ht="15" customHeight="1">
      <c r="BQ214" s="79"/>
      <c r="BR214" s="80"/>
      <c r="BS214" s="104"/>
    </row>
    <row r="215" spans="69:71" ht="15" customHeight="1">
      <c r="BQ215" s="79"/>
      <c r="BR215" s="80"/>
      <c r="BS215" s="104"/>
    </row>
  </sheetData>
  <sheetProtection sort="0" autoFilter="0"/>
  <protectedRanges>
    <protectedRange sqref="A5:C104" name="Range2_1_1"/>
  </protectedRanges>
  <mergeCells count="9">
    <mergeCell ref="BQ3:BS3"/>
    <mergeCell ref="BQ2:BS2"/>
    <mergeCell ref="BQ1:BS1"/>
    <mergeCell ref="BM3:BO3"/>
    <mergeCell ref="AN3:AP3"/>
    <mergeCell ref="AS3:AU3"/>
    <mergeCell ref="AX3:AZ3"/>
    <mergeCell ref="BC3:BE3"/>
    <mergeCell ref="BH3:BJ3"/>
  </mergeCells>
  <conditionalFormatting sqref="F1:F1048576">
    <cfRule type="cellIs" dxfId="11" priority="8" operator="equal">
      <formula>"N"</formula>
    </cfRule>
  </conditionalFormatting>
  <conditionalFormatting sqref="AM3 AQ3:AR3 AM4:AU104 AY4:BE104 BO4:BO104 BG4:BN4 BI5:BN104">
    <cfRule type="expression" dxfId="10" priority="34" stopIfTrue="1">
      <formula>ISNA(AM3)</formula>
    </cfRule>
  </conditionalFormatting>
  <conditionalFormatting sqref="AV3:AW104">
    <cfRule type="expression" dxfId="9" priority="11" stopIfTrue="1">
      <formula>ISNA(AV3)</formula>
    </cfRule>
  </conditionalFormatting>
  <conditionalFormatting sqref="AX4:AX104">
    <cfRule type="expression" dxfId="8" priority="30" stopIfTrue="1">
      <formula>ISNA(AX4)</formula>
    </cfRule>
  </conditionalFormatting>
  <conditionalFormatting sqref="BA3:BB3">
    <cfRule type="expression" dxfId="7" priority="10" stopIfTrue="1">
      <formula>ISNA(BA3)</formula>
    </cfRule>
  </conditionalFormatting>
  <conditionalFormatting sqref="BG3 BK3:BL3 BF3:BF104">
    <cfRule type="expression" dxfId="6" priority="32" stopIfTrue="1">
      <formula>ISNA(BF3)</formula>
    </cfRule>
  </conditionalFormatting>
  <conditionalFormatting sqref="BG5:BH104">
    <cfRule type="expression" dxfId="5" priority="21" stopIfTrue="1">
      <formula>ISNA(BG5)</formula>
    </cfRule>
  </conditionalFormatting>
  <conditionalFormatting sqref="BH5:BH104">
    <cfRule type="expression" dxfId="4" priority="20">
      <formula>BH4=BH5</formula>
    </cfRule>
  </conditionalFormatting>
  <conditionalFormatting sqref="BI5:BI102">
    <cfRule type="expression" dxfId="3" priority="23">
      <formula>#REF!="Can't Enter"</formula>
    </cfRule>
  </conditionalFormatting>
  <conditionalFormatting sqref="BN5:BN104">
    <cfRule type="expression" dxfId="2" priority="7">
      <formula>#REF!="Can't Enter"</formula>
    </cfRule>
  </conditionalFormatting>
  <conditionalFormatting sqref="BQ4:BS104">
    <cfRule type="expression" dxfId="1" priority="2" stopIfTrue="1">
      <formula>ISNA(BQ4)</formula>
    </cfRule>
  </conditionalFormatting>
  <conditionalFormatting sqref="BQ5:BQ104">
    <cfRule type="expression" dxfId="0" priority="1">
      <formula>BQ4=BQ5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E191"/>
  <sheetViews>
    <sheetView tabSelected="1" zoomScaleNormal="100" workbookViewId="0">
      <selection activeCell="D1" sqref="B1:D1048576"/>
    </sheetView>
  </sheetViews>
  <sheetFormatPr defaultRowHeight="14.45"/>
  <cols>
    <col min="1" max="1" width="8.85546875" style="5"/>
    <col min="2" max="2" width="2" hidden="1" customWidth="1"/>
    <col min="3" max="3" width="21.7109375" hidden="1" customWidth="1"/>
    <col min="4" max="4" width="3.7109375" hidden="1" customWidth="1"/>
    <col min="5" max="5" width="2.42578125" style="5" customWidth="1"/>
    <col min="6" max="6" width="2" customWidth="1"/>
    <col min="7" max="7" width="21.7109375" customWidth="1"/>
    <col min="8" max="8" width="5.5703125" style="56" bestFit="1" customWidth="1"/>
    <col min="9" max="9" width="6.28515625" style="5" customWidth="1"/>
    <col min="10" max="10" width="2.28515625" bestFit="1" customWidth="1"/>
    <col min="11" max="11" width="21.7109375" customWidth="1"/>
    <col min="12" max="12" width="5.7109375" bestFit="1" customWidth="1"/>
    <col min="13" max="13" width="2.42578125" style="5" customWidth="1"/>
    <col min="14" max="57" width="8.85546875" style="5"/>
  </cols>
  <sheetData>
    <row r="1" spans="1:12" s="5" customFormat="1">
      <c r="H1" s="76"/>
    </row>
    <row r="2" spans="1:12">
      <c r="B2" s="186" t="s">
        <v>22</v>
      </c>
      <c r="C2" s="186"/>
      <c r="D2" s="186"/>
      <c r="F2" s="186" t="s">
        <v>23</v>
      </c>
      <c r="G2" s="186"/>
      <c r="H2" s="186"/>
      <c r="J2" s="186" t="s">
        <v>24</v>
      </c>
      <c r="K2" s="186"/>
      <c r="L2" s="186"/>
    </row>
    <row r="3" spans="1:12" ht="14.45" customHeight="1">
      <c r="B3" s="188" t="s">
        <v>116</v>
      </c>
      <c r="C3" s="188"/>
      <c r="D3" s="188"/>
      <c r="F3" s="181" t="s">
        <v>116</v>
      </c>
      <c r="G3" s="181"/>
      <c r="H3" s="181"/>
      <c r="J3" s="178" t="s">
        <v>116</v>
      </c>
      <c r="K3" s="179"/>
      <c r="L3" s="180"/>
    </row>
    <row r="4" spans="1:12" ht="14.45" customHeight="1">
      <c r="B4" s="86">
        <v>1</v>
      </c>
      <c r="C4" s="86" t="str">
        <f>'A Div'!AN5</f>
        <v>TARA SMITH</v>
      </c>
      <c r="D4" s="86">
        <f>'A Div'!AO5</f>
        <v>72</v>
      </c>
      <c r="F4" s="1">
        <v>1</v>
      </c>
      <c r="G4" s="1" t="str">
        <f>'B Div'!AN5</f>
        <v>TARA SMITH</v>
      </c>
      <c r="H4" s="59">
        <f>'B Div'!AO5</f>
        <v>72</v>
      </c>
      <c r="J4" s="1">
        <v>1</v>
      </c>
      <c r="K4" s="59" t="str">
        <f>'C Div'!AO5</f>
        <v>JANIS NEL</v>
      </c>
      <c r="L4" s="59">
        <f>'C Div'!AP5</f>
        <v>87</v>
      </c>
    </row>
    <row r="5" spans="1:12" s="5" customFormat="1">
      <c r="A5" s="85"/>
      <c r="B5" s="85"/>
      <c r="C5" s="85"/>
      <c r="D5" s="85"/>
      <c r="F5" s="1">
        <v>2</v>
      </c>
      <c r="G5" s="1" t="str">
        <f>'B Div'!AN6</f>
        <v>KAY DUNKLEY</v>
      </c>
      <c r="H5" s="59">
        <f>'B Div'!AO6</f>
        <v>91</v>
      </c>
      <c r="J5" s="1">
        <v>2</v>
      </c>
      <c r="K5" s="59" t="str">
        <f>'C Div'!AO6</f>
        <v>MELISSA PALMER</v>
      </c>
      <c r="L5" s="59">
        <f>'C Div'!AP6</f>
        <v>90</v>
      </c>
    </row>
    <row r="6" spans="1:12" s="5" customFormat="1" ht="9" customHeight="1">
      <c r="A6" s="85"/>
      <c r="B6" s="85"/>
      <c r="C6" s="85"/>
      <c r="D6" s="85"/>
      <c r="H6" s="76"/>
    </row>
    <row r="7" spans="1:12" ht="14.45" customHeight="1">
      <c r="A7" s="85"/>
      <c r="B7" s="187"/>
      <c r="C7" s="187"/>
      <c r="D7" s="187"/>
      <c r="F7" s="181" t="s">
        <v>117</v>
      </c>
      <c r="G7" s="181"/>
      <c r="H7" s="181"/>
      <c r="J7" s="178" t="s">
        <v>117</v>
      </c>
      <c r="K7" s="179"/>
      <c r="L7" s="180"/>
    </row>
    <row r="8" spans="1:12">
      <c r="A8" s="85"/>
      <c r="B8" s="85"/>
      <c r="C8" s="85"/>
      <c r="D8" s="85"/>
      <c r="F8" s="1">
        <v>1</v>
      </c>
      <c r="G8" s="1" t="str">
        <f>'B Div'!AS5</f>
        <v>TARA SMITH</v>
      </c>
      <c r="H8" s="59">
        <f>'B Div'!AT5</f>
        <v>70</v>
      </c>
      <c r="J8" s="1">
        <v>1</v>
      </c>
      <c r="K8" s="59" t="str">
        <f>'C Div'!AT5</f>
        <v>JANIS NEL</v>
      </c>
      <c r="L8" s="59">
        <f>'C Div'!AU5</f>
        <v>67</v>
      </c>
    </row>
    <row r="9" spans="1:12" s="85" customFormat="1" ht="14.45" customHeight="1">
      <c r="F9" s="1">
        <v>2</v>
      </c>
      <c r="G9" s="1" t="str">
        <f>'B Div'!AS6</f>
        <v>KAY DUNKLEY</v>
      </c>
      <c r="H9" s="59">
        <f>'B Div'!AT6</f>
        <v>75</v>
      </c>
      <c r="I9" s="5"/>
      <c r="J9" s="1">
        <v>2</v>
      </c>
      <c r="K9" s="59" t="str">
        <f>'C Div'!AT6</f>
        <v>MELISSA SAVIO</v>
      </c>
      <c r="L9" s="59">
        <f>'C Div'!AU6</f>
        <v>68</v>
      </c>
    </row>
    <row r="10" spans="1:12" s="5" customFormat="1" ht="9" customHeight="1">
      <c r="H10" s="76"/>
    </row>
    <row r="11" spans="1:12" ht="14.45" customHeight="1">
      <c r="B11" s="181" t="s">
        <v>118</v>
      </c>
      <c r="C11" s="181"/>
      <c r="D11" s="181"/>
      <c r="F11" s="181" t="s">
        <v>118</v>
      </c>
      <c r="G11" s="181"/>
      <c r="H11" s="181"/>
      <c r="J11" s="178" t="s">
        <v>118</v>
      </c>
      <c r="K11" s="179"/>
      <c r="L11" s="180"/>
    </row>
    <row r="12" spans="1:12">
      <c r="B12" s="1">
        <v>1</v>
      </c>
      <c r="C12" s="1" t="str">
        <f>'A Div'!AX5</f>
        <v>TARA SMITH</v>
      </c>
      <c r="D12" s="1">
        <f>'A Div'!AY5</f>
        <v>82</v>
      </c>
      <c r="F12" s="1">
        <v>1</v>
      </c>
      <c r="G12" s="1" t="str">
        <f>'B Div'!AX5</f>
        <v>TARA SMITH</v>
      </c>
      <c r="H12" s="59">
        <f>'B Div'!AY5</f>
        <v>82</v>
      </c>
      <c r="J12" s="1">
        <v>1</v>
      </c>
      <c r="K12" s="59" t="str">
        <f>'C Div'!AY5</f>
        <v>GAIL SPEIRS</v>
      </c>
      <c r="L12" s="59">
        <f>'C Div'!AZ5</f>
        <v>92</v>
      </c>
    </row>
    <row r="13" spans="1:12">
      <c r="F13" s="1">
        <v>2</v>
      </c>
      <c r="G13" s="1" t="str">
        <f>'B Div'!AX6</f>
        <v>ANITA VAN DER LINDE</v>
      </c>
      <c r="H13" s="59">
        <f>'B Div'!AY6</f>
        <v>88</v>
      </c>
      <c r="J13" s="1">
        <v>2</v>
      </c>
      <c r="K13" s="59" t="str">
        <f>'C Div'!AY6</f>
        <v>KAREN STOTT</v>
      </c>
      <c r="L13" s="59">
        <f>'C Div'!AZ6</f>
        <v>94</v>
      </c>
    </row>
    <row r="14" spans="1:12" s="5" customFormat="1" ht="9" customHeight="1">
      <c r="H14" s="76"/>
    </row>
    <row r="15" spans="1:12" ht="14.45" customHeight="1">
      <c r="B15" s="187"/>
      <c r="C15" s="187"/>
      <c r="D15" s="187"/>
      <c r="F15" s="181" t="s">
        <v>119</v>
      </c>
      <c r="G15" s="181"/>
      <c r="H15" s="181"/>
      <c r="J15" s="178" t="s">
        <v>119</v>
      </c>
      <c r="K15" s="179"/>
      <c r="L15" s="180"/>
    </row>
    <row r="16" spans="1:12">
      <c r="B16" s="85"/>
      <c r="C16" s="85"/>
      <c r="D16" s="85"/>
      <c r="F16" s="1">
        <v>1</v>
      </c>
      <c r="G16" s="1" t="str">
        <f>'B Div'!BC5</f>
        <v>ANITA VAN DER LINDE</v>
      </c>
      <c r="H16" s="59">
        <f>'B Div'!BD5</f>
        <v>72</v>
      </c>
      <c r="J16" s="1">
        <v>1</v>
      </c>
      <c r="K16" s="1" t="str">
        <f>'C Div'!BD5</f>
        <v>GAIL SPEIRS</v>
      </c>
      <c r="L16" s="59">
        <f>'C Div'!BE5</f>
        <v>72</v>
      </c>
    </row>
    <row r="17" spans="2:12">
      <c r="B17" s="85"/>
      <c r="C17" s="85"/>
      <c r="D17" s="85"/>
      <c r="F17" s="1">
        <v>2</v>
      </c>
      <c r="G17" s="1" t="str">
        <f>'B Div'!BC6</f>
        <v>ALIDA HOOPER</v>
      </c>
      <c r="H17" s="59">
        <f>'B Div'!BD6</f>
        <v>76</v>
      </c>
      <c r="J17" s="1">
        <v>2</v>
      </c>
      <c r="K17" s="1" t="str">
        <f>'C Div'!BD6</f>
        <v>JUDY VAN DER VEEN</v>
      </c>
      <c r="L17" s="59">
        <f>'C Div'!BE6</f>
        <v>73</v>
      </c>
    </row>
    <row r="18" spans="2:12">
      <c r="B18" s="85"/>
      <c r="C18" s="85"/>
      <c r="D18" s="85"/>
      <c r="F18" s="135"/>
      <c r="G18" s="135"/>
      <c r="H18" s="136"/>
      <c r="J18" s="135"/>
      <c r="K18" s="135"/>
      <c r="L18" s="136"/>
    </row>
    <row r="19" spans="2:12">
      <c r="B19" s="85"/>
      <c r="C19" s="85"/>
      <c r="D19" s="85"/>
      <c r="F19" s="181" t="s">
        <v>120</v>
      </c>
      <c r="G19" s="181"/>
      <c r="H19" s="181"/>
      <c r="J19" s="181" t="s">
        <v>120</v>
      </c>
      <c r="K19" s="181"/>
      <c r="L19" s="181"/>
    </row>
    <row r="20" spans="2:12">
      <c r="B20" s="85"/>
      <c r="C20" s="85"/>
      <c r="D20" s="85"/>
      <c r="F20" s="1">
        <v>1</v>
      </c>
      <c r="G20" s="1" t="str">
        <f>'B Div'!BH5</f>
        <v>TARA SMITH</v>
      </c>
      <c r="H20" s="59">
        <f>'B Div'!BJ5</f>
        <v>154</v>
      </c>
      <c r="J20" s="1">
        <v>1</v>
      </c>
      <c r="K20" s="59" t="str">
        <f>'C Div'!BI5</f>
        <v>JANIS NEL</v>
      </c>
      <c r="L20" s="87">
        <f>'C Div'!BJ5</f>
        <v>182</v>
      </c>
    </row>
    <row r="21" spans="2:12">
      <c r="B21" s="85"/>
      <c r="C21" s="85"/>
      <c r="D21" s="85"/>
      <c r="F21" s="1">
        <v>2</v>
      </c>
      <c r="G21" s="1" t="str">
        <f>'B Div'!BH6</f>
        <v>ANITA VAN DER LINDE</v>
      </c>
      <c r="H21" s="59">
        <f>'B Div'!BJ6</f>
        <v>181</v>
      </c>
      <c r="J21" s="1">
        <v>2</v>
      </c>
      <c r="K21" s="59" t="str">
        <f>'C Div'!BI6</f>
        <v>KAREN STOTT</v>
      </c>
      <c r="L21" s="87">
        <f>'C Div'!BJ6</f>
        <v>187</v>
      </c>
    </row>
    <row r="22" spans="2:12">
      <c r="B22" s="85"/>
      <c r="C22" s="85"/>
      <c r="D22" s="85"/>
      <c r="F22" s="5"/>
      <c r="G22" s="5"/>
      <c r="H22" s="76"/>
      <c r="J22" s="5"/>
      <c r="K22" s="5"/>
      <c r="L22" s="5"/>
    </row>
    <row r="23" spans="2:12">
      <c r="B23" s="85"/>
      <c r="C23" s="85"/>
      <c r="D23" s="85"/>
      <c r="F23" s="182" t="s">
        <v>121</v>
      </c>
      <c r="G23" s="182"/>
      <c r="H23" s="182"/>
      <c r="J23" s="183" t="s">
        <v>121</v>
      </c>
      <c r="K23" s="184"/>
      <c r="L23" s="185"/>
    </row>
    <row r="24" spans="2:12">
      <c r="B24" s="85"/>
      <c r="C24" s="85"/>
      <c r="D24" s="85"/>
      <c r="F24" s="86">
        <v>1</v>
      </c>
      <c r="G24" s="86" t="str">
        <f>'B Div'!BN5</f>
        <v>ANITA VAN DER LINDE</v>
      </c>
      <c r="H24" s="87">
        <f>'B Div'!BO5</f>
        <v>149</v>
      </c>
      <c r="J24" s="86">
        <v>1</v>
      </c>
      <c r="K24" s="87" t="str">
        <f>'C Div'!BN5</f>
        <v>JANIS NEL</v>
      </c>
      <c r="L24" s="87">
        <f>'C Div'!BO5</f>
        <v>142</v>
      </c>
    </row>
    <row r="25" spans="2:12">
      <c r="B25" s="85"/>
      <c r="C25" s="85"/>
      <c r="D25" s="85"/>
      <c r="F25" s="86">
        <v>2</v>
      </c>
      <c r="G25" s="86" t="str">
        <f>'B Div'!BN6</f>
        <v>TARA SMITH</v>
      </c>
      <c r="H25" s="87">
        <f>'B Div'!BO6</f>
        <v>150</v>
      </c>
      <c r="J25" s="86">
        <v>2</v>
      </c>
      <c r="K25" s="87" t="str">
        <f>'C Div'!BN6</f>
        <v>MELISSA SAVIO</v>
      </c>
      <c r="L25" s="87">
        <f>'C Div'!BO6</f>
        <v>144</v>
      </c>
    </row>
    <row r="26" spans="2:12" s="5" customFormat="1">
      <c r="H26" s="76"/>
    </row>
    <row r="27" spans="2:12" s="5" customFormat="1">
      <c r="B27" s="181" t="s">
        <v>122</v>
      </c>
      <c r="C27" s="181"/>
      <c r="D27" s="181"/>
      <c r="F27" s="181" t="s">
        <v>122</v>
      </c>
      <c r="G27" s="181"/>
      <c r="H27" s="181"/>
      <c r="J27" s="181" t="s">
        <v>122</v>
      </c>
      <c r="K27" s="181"/>
      <c r="L27" s="181"/>
    </row>
    <row r="28" spans="2:12" s="5" customFormat="1">
      <c r="B28" s="1">
        <v>1</v>
      </c>
      <c r="C28" s="1" t="str">
        <f>'Eclectic A'!CE5</f>
        <v>TARA SMITH</v>
      </c>
      <c r="D28" s="1" t="e">
        <f>'Eclectic A'!#REF!</f>
        <v>#REF!</v>
      </c>
      <c r="F28" s="1">
        <v>1</v>
      </c>
      <c r="G28" s="1" t="str">
        <f>'Eclectic B'!CE5</f>
        <v>TARA SMITH</v>
      </c>
      <c r="H28" s="98">
        <f>'Eclectic B'!CF5</f>
        <v>70.5</v>
      </c>
      <c r="J28" s="1">
        <v>1</v>
      </c>
      <c r="K28" s="1" t="str">
        <f>'Eclectic C'!CE5</f>
        <v>MELISSA PALMER</v>
      </c>
      <c r="L28" s="98">
        <f>'Eclectic C'!CF5</f>
        <v>78</v>
      </c>
    </row>
    <row r="29" spans="2:12" s="5" customFormat="1">
      <c r="H29" s="76"/>
    </row>
    <row r="30" spans="2:12" s="5" customFormat="1">
      <c r="H30" s="76"/>
    </row>
    <row r="31" spans="2:12" s="5" customFormat="1">
      <c r="H31" s="76"/>
    </row>
    <row r="32" spans="2:12" s="5" customFormat="1">
      <c r="H32" s="76"/>
    </row>
    <row r="33" spans="8:8" s="5" customFormat="1">
      <c r="H33" s="76"/>
    </row>
    <row r="34" spans="8:8" s="5" customFormat="1">
      <c r="H34" s="76"/>
    </row>
    <row r="35" spans="8:8" s="5" customFormat="1">
      <c r="H35" s="76"/>
    </row>
    <row r="36" spans="8:8" s="5" customFormat="1">
      <c r="H36" s="76"/>
    </row>
    <row r="37" spans="8:8" s="5" customFormat="1">
      <c r="H37" s="76"/>
    </row>
    <row r="38" spans="8:8" s="5" customFormat="1">
      <c r="H38" s="76"/>
    </row>
    <row r="39" spans="8:8" s="5" customFormat="1">
      <c r="H39" s="76"/>
    </row>
    <row r="40" spans="8:8" s="5" customFormat="1">
      <c r="H40" s="76"/>
    </row>
    <row r="41" spans="8:8" s="5" customFormat="1">
      <c r="H41" s="76"/>
    </row>
    <row r="42" spans="8:8" s="5" customFormat="1">
      <c r="H42" s="76"/>
    </row>
    <row r="43" spans="8:8" s="5" customFormat="1">
      <c r="H43" s="76"/>
    </row>
    <row r="44" spans="8:8" s="5" customFormat="1">
      <c r="H44" s="76"/>
    </row>
    <row r="45" spans="8:8" s="5" customFormat="1">
      <c r="H45" s="76"/>
    </row>
    <row r="46" spans="8:8" s="5" customFormat="1">
      <c r="H46" s="76"/>
    </row>
    <row r="47" spans="8:8" s="5" customFormat="1">
      <c r="H47" s="76"/>
    </row>
    <row r="48" spans="8:8" s="5" customFormat="1">
      <c r="H48" s="76"/>
    </row>
    <row r="49" spans="8:8" s="5" customFormat="1">
      <c r="H49" s="76"/>
    </row>
    <row r="50" spans="8:8" s="5" customFormat="1">
      <c r="H50" s="76"/>
    </row>
    <row r="51" spans="8:8" s="5" customFormat="1">
      <c r="H51" s="76"/>
    </row>
    <row r="52" spans="8:8" s="5" customFormat="1">
      <c r="H52" s="76"/>
    </row>
    <row r="53" spans="8:8" s="5" customFormat="1">
      <c r="H53" s="76"/>
    </row>
    <row r="54" spans="8:8" s="5" customFormat="1">
      <c r="H54" s="76"/>
    </row>
    <row r="55" spans="8:8" s="5" customFormat="1">
      <c r="H55" s="76"/>
    </row>
    <row r="56" spans="8:8" s="5" customFormat="1">
      <c r="H56" s="76"/>
    </row>
    <row r="57" spans="8:8" s="5" customFormat="1">
      <c r="H57" s="76"/>
    </row>
    <row r="58" spans="8:8" s="5" customFormat="1">
      <c r="H58" s="76"/>
    </row>
    <row r="59" spans="8:8" s="5" customFormat="1">
      <c r="H59" s="76"/>
    </row>
    <row r="60" spans="8:8" s="5" customFormat="1">
      <c r="H60" s="76"/>
    </row>
    <row r="61" spans="8:8" s="5" customFormat="1">
      <c r="H61" s="76"/>
    </row>
    <row r="62" spans="8:8" s="5" customFormat="1">
      <c r="H62" s="76"/>
    </row>
    <row r="63" spans="8:8" s="5" customFormat="1">
      <c r="H63" s="76"/>
    </row>
    <row r="64" spans="8:8" s="5" customFormat="1">
      <c r="H64" s="76"/>
    </row>
    <row r="65" spans="8:8" s="5" customFormat="1">
      <c r="H65" s="76"/>
    </row>
    <row r="66" spans="8:8" s="5" customFormat="1">
      <c r="H66" s="76"/>
    </row>
    <row r="67" spans="8:8" s="5" customFormat="1">
      <c r="H67" s="76"/>
    </row>
    <row r="68" spans="8:8" s="5" customFormat="1">
      <c r="H68" s="76"/>
    </row>
    <row r="69" spans="8:8" s="5" customFormat="1">
      <c r="H69" s="76"/>
    </row>
    <row r="70" spans="8:8" s="5" customFormat="1">
      <c r="H70" s="76"/>
    </row>
    <row r="71" spans="8:8" s="5" customFormat="1">
      <c r="H71" s="76"/>
    </row>
    <row r="72" spans="8:8" s="5" customFormat="1">
      <c r="H72" s="76"/>
    </row>
    <row r="73" spans="8:8" s="5" customFormat="1">
      <c r="H73" s="76"/>
    </row>
    <row r="74" spans="8:8" s="5" customFormat="1">
      <c r="H74" s="76"/>
    </row>
    <row r="75" spans="8:8" s="5" customFormat="1">
      <c r="H75" s="76"/>
    </row>
    <row r="76" spans="8:8" s="5" customFormat="1">
      <c r="H76" s="76"/>
    </row>
    <row r="77" spans="8:8" s="5" customFormat="1">
      <c r="H77" s="76"/>
    </row>
    <row r="78" spans="8:8" s="5" customFormat="1">
      <c r="H78" s="76"/>
    </row>
    <row r="79" spans="8:8" s="5" customFormat="1">
      <c r="H79" s="76"/>
    </row>
    <row r="80" spans="8:8" s="5" customFormat="1">
      <c r="H80" s="76"/>
    </row>
    <row r="81" spans="8:8" s="5" customFormat="1">
      <c r="H81" s="76"/>
    </row>
    <row r="82" spans="8:8" s="5" customFormat="1">
      <c r="H82" s="76"/>
    </row>
    <row r="83" spans="8:8" s="5" customFormat="1">
      <c r="H83" s="76"/>
    </row>
    <row r="84" spans="8:8" s="5" customFormat="1">
      <c r="H84" s="76"/>
    </row>
    <row r="85" spans="8:8" s="5" customFormat="1">
      <c r="H85" s="76"/>
    </row>
    <row r="86" spans="8:8" s="5" customFormat="1">
      <c r="H86" s="76"/>
    </row>
    <row r="87" spans="8:8" s="5" customFormat="1">
      <c r="H87" s="76"/>
    </row>
    <row r="88" spans="8:8" s="5" customFormat="1">
      <c r="H88" s="76"/>
    </row>
    <row r="89" spans="8:8" s="5" customFormat="1">
      <c r="H89" s="76"/>
    </row>
    <row r="90" spans="8:8" s="5" customFormat="1">
      <c r="H90" s="76"/>
    </row>
    <row r="91" spans="8:8" s="5" customFormat="1">
      <c r="H91" s="76"/>
    </row>
    <row r="92" spans="8:8" s="5" customFormat="1">
      <c r="H92" s="76"/>
    </row>
    <row r="93" spans="8:8" s="5" customFormat="1">
      <c r="H93" s="76"/>
    </row>
    <row r="94" spans="8:8" s="5" customFormat="1">
      <c r="H94" s="76"/>
    </row>
    <row r="95" spans="8:8" s="5" customFormat="1">
      <c r="H95" s="76"/>
    </row>
    <row r="96" spans="8:8" s="5" customFormat="1">
      <c r="H96" s="76"/>
    </row>
    <row r="97" spans="8:8" s="5" customFormat="1">
      <c r="H97" s="76"/>
    </row>
    <row r="98" spans="8:8" s="5" customFormat="1">
      <c r="H98" s="76"/>
    </row>
    <row r="99" spans="8:8" s="5" customFormat="1">
      <c r="H99" s="76"/>
    </row>
    <row r="100" spans="8:8" s="5" customFormat="1">
      <c r="H100" s="76"/>
    </row>
    <row r="101" spans="8:8" s="5" customFormat="1">
      <c r="H101" s="76"/>
    </row>
    <row r="102" spans="8:8" s="5" customFormat="1">
      <c r="H102" s="76"/>
    </row>
    <row r="103" spans="8:8" s="5" customFormat="1">
      <c r="H103" s="76"/>
    </row>
    <row r="104" spans="8:8" s="5" customFormat="1">
      <c r="H104" s="76"/>
    </row>
    <row r="105" spans="8:8" s="5" customFormat="1">
      <c r="H105" s="76"/>
    </row>
    <row r="106" spans="8:8" s="5" customFormat="1">
      <c r="H106" s="76"/>
    </row>
    <row r="107" spans="8:8" s="5" customFormat="1">
      <c r="H107" s="76"/>
    </row>
    <row r="108" spans="8:8" s="5" customFormat="1">
      <c r="H108" s="76"/>
    </row>
    <row r="109" spans="8:8" s="5" customFormat="1">
      <c r="H109" s="76"/>
    </row>
    <row r="110" spans="8:8" s="5" customFormat="1">
      <c r="H110" s="76"/>
    </row>
    <row r="111" spans="8:8" s="5" customFormat="1">
      <c r="H111" s="76"/>
    </row>
    <row r="112" spans="8:8" s="5" customFormat="1">
      <c r="H112" s="76"/>
    </row>
    <row r="113" spans="8:8" s="5" customFormat="1">
      <c r="H113" s="76"/>
    </row>
    <row r="114" spans="8:8" s="5" customFormat="1">
      <c r="H114" s="76"/>
    </row>
    <row r="115" spans="8:8" s="5" customFormat="1">
      <c r="H115" s="76"/>
    </row>
    <row r="116" spans="8:8" s="5" customFormat="1">
      <c r="H116" s="76"/>
    </row>
    <row r="117" spans="8:8" s="5" customFormat="1">
      <c r="H117" s="76"/>
    </row>
    <row r="118" spans="8:8" s="5" customFormat="1">
      <c r="H118" s="76"/>
    </row>
    <row r="119" spans="8:8" s="5" customFormat="1">
      <c r="H119" s="76"/>
    </row>
    <row r="120" spans="8:8" s="5" customFormat="1">
      <c r="H120" s="76"/>
    </row>
    <row r="121" spans="8:8" s="5" customFormat="1">
      <c r="H121" s="76"/>
    </row>
    <row r="122" spans="8:8" s="5" customFormat="1">
      <c r="H122" s="76"/>
    </row>
    <row r="123" spans="8:8" s="5" customFormat="1">
      <c r="H123" s="76"/>
    </row>
    <row r="124" spans="8:8" s="5" customFormat="1">
      <c r="H124" s="76"/>
    </row>
    <row r="125" spans="8:8" s="5" customFormat="1">
      <c r="H125" s="76"/>
    </row>
    <row r="126" spans="8:8" s="5" customFormat="1">
      <c r="H126" s="76"/>
    </row>
    <row r="127" spans="8:8" s="5" customFormat="1">
      <c r="H127" s="76"/>
    </row>
    <row r="128" spans="8:8" s="5" customFormat="1">
      <c r="H128" s="76"/>
    </row>
    <row r="129" spans="8:8" s="5" customFormat="1">
      <c r="H129" s="76"/>
    </row>
    <row r="130" spans="8:8" s="5" customFormat="1">
      <c r="H130" s="76"/>
    </row>
    <row r="131" spans="8:8" s="5" customFormat="1">
      <c r="H131" s="76"/>
    </row>
    <row r="132" spans="8:8" s="5" customFormat="1">
      <c r="H132" s="76"/>
    </row>
    <row r="133" spans="8:8" s="5" customFormat="1">
      <c r="H133" s="76"/>
    </row>
    <row r="134" spans="8:8" s="5" customFormat="1">
      <c r="H134" s="76"/>
    </row>
    <row r="135" spans="8:8" s="5" customFormat="1">
      <c r="H135" s="76"/>
    </row>
    <row r="136" spans="8:8" s="5" customFormat="1">
      <c r="H136" s="76"/>
    </row>
    <row r="137" spans="8:8" s="5" customFormat="1">
      <c r="H137" s="76"/>
    </row>
    <row r="138" spans="8:8" s="5" customFormat="1">
      <c r="H138" s="76"/>
    </row>
    <row r="139" spans="8:8" s="5" customFormat="1">
      <c r="H139" s="76"/>
    </row>
    <row r="140" spans="8:8" s="5" customFormat="1">
      <c r="H140" s="76"/>
    </row>
    <row r="141" spans="8:8" s="5" customFormat="1">
      <c r="H141" s="76"/>
    </row>
    <row r="142" spans="8:8" s="5" customFormat="1">
      <c r="H142" s="76"/>
    </row>
    <row r="143" spans="8:8" s="5" customFormat="1">
      <c r="H143" s="76"/>
    </row>
    <row r="144" spans="8:8" s="5" customFormat="1">
      <c r="H144" s="76"/>
    </row>
    <row r="145" spans="8:8" s="5" customFormat="1">
      <c r="H145" s="76"/>
    </row>
    <row r="146" spans="8:8" s="5" customFormat="1">
      <c r="H146" s="76"/>
    </row>
    <row r="147" spans="8:8" s="5" customFormat="1">
      <c r="H147" s="76"/>
    </row>
    <row r="148" spans="8:8" s="5" customFormat="1">
      <c r="H148" s="76"/>
    </row>
    <row r="149" spans="8:8" s="5" customFormat="1">
      <c r="H149" s="76"/>
    </row>
    <row r="150" spans="8:8" s="5" customFormat="1">
      <c r="H150" s="76"/>
    </row>
    <row r="151" spans="8:8" s="5" customFormat="1">
      <c r="H151" s="76"/>
    </row>
    <row r="152" spans="8:8" s="5" customFormat="1">
      <c r="H152" s="76"/>
    </row>
    <row r="153" spans="8:8" s="5" customFormat="1">
      <c r="H153" s="76"/>
    </row>
    <row r="154" spans="8:8" s="5" customFormat="1">
      <c r="H154" s="76"/>
    </row>
    <row r="155" spans="8:8" s="5" customFormat="1">
      <c r="H155" s="76"/>
    </row>
    <row r="156" spans="8:8" s="5" customFormat="1">
      <c r="H156" s="76"/>
    </row>
    <row r="157" spans="8:8" s="5" customFormat="1">
      <c r="H157" s="76"/>
    </row>
    <row r="158" spans="8:8" s="5" customFormat="1">
      <c r="H158" s="76"/>
    </row>
    <row r="159" spans="8:8" s="5" customFormat="1">
      <c r="H159" s="76"/>
    </row>
    <row r="160" spans="8:8" s="5" customFormat="1">
      <c r="H160" s="76"/>
    </row>
    <row r="161" spans="8:8" s="5" customFormat="1">
      <c r="H161" s="76"/>
    </row>
    <row r="162" spans="8:8" s="5" customFormat="1">
      <c r="H162" s="76"/>
    </row>
    <row r="163" spans="8:8" s="5" customFormat="1">
      <c r="H163" s="76"/>
    </row>
    <row r="164" spans="8:8" s="5" customFormat="1">
      <c r="H164" s="76"/>
    </row>
    <row r="165" spans="8:8" s="5" customFormat="1">
      <c r="H165" s="76"/>
    </row>
    <row r="166" spans="8:8" s="5" customFormat="1">
      <c r="H166" s="76"/>
    </row>
    <row r="167" spans="8:8" s="5" customFormat="1">
      <c r="H167" s="76"/>
    </row>
    <row r="168" spans="8:8" s="5" customFormat="1">
      <c r="H168" s="76"/>
    </row>
    <row r="169" spans="8:8" s="5" customFormat="1">
      <c r="H169" s="76"/>
    </row>
    <row r="170" spans="8:8" s="5" customFormat="1">
      <c r="H170" s="76"/>
    </row>
    <row r="171" spans="8:8" s="5" customFormat="1">
      <c r="H171" s="76"/>
    </row>
    <row r="172" spans="8:8" s="5" customFormat="1">
      <c r="H172" s="76"/>
    </row>
    <row r="173" spans="8:8" s="5" customFormat="1">
      <c r="H173" s="76"/>
    </row>
    <row r="174" spans="8:8" s="5" customFormat="1">
      <c r="H174" s="76"/>
    </row>
    <row r="175" spans="8:8" s="5" customFormat="1">
      <c r="H175" s="76"/>
    </row>
    <row r="176" spans="8:8" s="5" customFormat="1">
      <c r="H176" s="76"/>
    </row>
    <row r="177" spans="8:8" s="5" customFormat="1">
      <c r="H177" s="76"/>
    </row>
    <row r="178" spans="8:8" s="5" customFormat="1">
      <c r="H178" s="76"/>
    </row>
    <row r="179" spans="8:8" s="5" customFormat="1">
      <c r="H179" s="76"/>
    </row>
    <row r="180" spans="8:8" s="5" customFormat="1">
      <c r="H180" s="76"/>
    </row>
    <row r="181" spans="8:8" s="5" customFormat="1">
      <c r="H181" s="76"/>
    </row>
    <row r="182" spans="8:8" s="5" customFormat="1">
      <c r="H182" s="76"/>
    </row>
    <row r="183" spans="8:8" s="5" customFormat="1">
      <c r="H183" s="76"/>
    </row>
    <row r="184" spans="8:8" s="5" customFormat="1">
      <c r="H184" s="76"/>
    </row>
    <row r="185" spans="8:8" s="5" customFormat="1">
      <c r="H185" s="76"/>
    </row>
    <row r="186" spans="8:8" s="5" customFormat="1">
      <c r="H186" s="76"/>
    </row>
    <row r="187" spans="8:8" s="5" customFormat="1">
      <c r="H187" s="76"/>
    </row>
    <row r="188" spans="8:8" s="5" customFormat="1">
      <c r="H188" s="76"/>
    </row>
    <row r="189" spans="8:8" s="5" customFormat="1">
      <c r="H189" s="76"/>
    </row>
    <row r="190" spans="8:8" s="5" customFormat="1">
      <c r="H190" s="76"/>
    </row>
    <row r="191" spans="8:8" s="5" customFormat="1">
      <c r="H191" s="76"/>
    </row>
  </sheetData>
  <mergeCells count="22">
    <mergeCell ref="B2:D2"/>
    <mergeCell ref="F2:H2"/>
    <mergeCell ref="J2:L2"/>
    <mergeCell ref="F19:H19"/>
    <mergeCell ref="J19:L19"/>
    <mergeCell ref="B11:D11"/>
    <mergeCell ref="F11:H11"/>
    <mergeCell ref="J11:L11"/>
    <mergeCell ref="B15:D15"/>
    <mergeCell ref="F15:H15"/>
    <mergeCell ref="J15:L15"/>
    <mergeCell ref="B3:D3"/>
    <mergeCell ref="F3:H3"/>
    <mergeCell ref="J3:L3"/>
    <mergeCell ref="B7:D7"/>
    <mergeCell ref="F7:H7"/>
    <mergeCell ref="J7:L7"/>
    <mergeCell ref="B27:D27"/>
    <mergeCell ref="F27:H27"/>
    <mergeCell ref="J27:L27"/>
    <mergeCell ref="F23:H23"/>
    <mergeCell ref="J23:L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Acer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Valued Acer Customer</dc:creator>
  <cp:keywords/>
  <dc:description/>
  <cp:lastModifiedBy>Melissa Palmer</cp:lastModifiedBy>
  <cp:revision/>
  <dcterms:created xsi:type="dcterms:W3CDTF">2012-04-11T19:29:45Z</dcterms:created>
  <dcterms:modified xsi:type="dcterms:W3CDTF">2025-06-16T09:41:33Z</dcterms:modified>
  <cp:category/>
  <cp:contentStatus/>
</cp:coreProperties>
</file>